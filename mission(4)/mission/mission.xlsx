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theme/themeOverride1.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750" windowHeight="11190" firstSheet="3" activeTab="5"/>
  </bookViews>
  <sheets>
    <sheet name="Sheet1" sheetId="1" r:id="rId1"/>
    <sheet name="Sheet2" sheetId="2" r:id="rId2"/>
    <sheet name="Sheet3" sheetId="3" r:id="rId3"/>
    <sheet name="Sheet4" sheetId="13" r:id="rId4"/>
    <sheet name="Sheet5" sheetId="14" r:id="rId5"/>
    <sheet name="Sheet6" sheetId="15" r:id="rId6"/>
    <sheet name="Sheet7" sheetId="7" r:id="rId7"/>
    <sheet name="Sheet8" sheetId="8" r:id="rId8"/>
    <sheet name="Sheet9" sheetId="16" r:id="rId9"/>
    <sheet name="Sheet10" sheetId="19" r:id="rId10"/>
    <sheet name="Sheet11" sheetId="9" r:id="rId11"/>
    <sheet name="Sheet12" sheetId="10" r:id="rId12"/>
    <sheet name="Sheet13" sheetId="11" r:id="rId13"/>
    <sheet name="Sheet14" sheetId="12" r:id="rId14"/>
  </sheets>
  <externalReferences>
    <externalReference r:id="rId15"/>
    <externalReference r:id="rId16"/>
    <externalReference r:id="rId17"/>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<sst xmlns="http://schemas.openxmlformats.org/spreadsheetml/2006/main" count="6569" uniqueCount="274">
  <si>
    <t>创始日期</t>
  </si>
  <si>
    <t>帖子数量/个</t>
  </si>
  <si>
    <t>总帖子数量/个</t>
  </si>
  <si>
    <t>总计数</t>
  </si>
  <si>
    <t>年月份</t>
  </si>
  <si>
    <t>每月增加的数量/个</t>
  </si>
  <si>
    <t>每月总数量/个</t>
  </si>
  <si>
    <t>Category</t>
  </si>
  <si>
    <t>数量/个</t>
  </si>
  <si>
    <t>百分比</t>
  </si>
  <si>
    <t>Announcements</t>
  </si>
  <si>
    <t>Deprecations</t>
  </si>
  <si>
    <t>Forum feedback</t>
  </si>
  <si>
    <t>Plugin store</t>
  </si>
  <si>
    <t>Feedback</t>
  </si>
  <si>
    <t>GPT builders</t>
  </si>
  <si>
    <t>Documentation</t>
  </si>
  <si>
    <t>Bugs</t>
  </si>
  <si>
    <t>Plugins / Actions builders</t>
  </si>
  <si>
    <t>Prompting</t>
  </si>
  <si>
    <t>Community</t>
  </si>
  <si>
    <t>ChatGPT</t>
  </si>
  <si>
    <t>API</t>
  </si>
  <si>
    <t>叶子类别</t>
  </si>
  <si>
    <t>编码</t>
  </si>
  <si>
    <t>二级类别</t>
  </si>
  <si>
    <t>三级类别</t>
  </si>
  <si>
    <t>A.1.1</t>
  </si>
  <si>
    <t>Token Number Calculation</t>
  </si>
  <si>
    <t>A</t>
  </si>
  <si>
    <t>General Questions</t>
  </si>
  <si>
    <t>A.1</t>
  </si>
  <si>
    <t>A.1.1*</t>
  </si>
  <si>
    <t>Content Fitering</t>
  </si>
  <si>
    <t>A.1.2</t>
  </si>
  <si>
    <t>GPT Builders</t>
  </si>
  <si>
    <t>B</t>
  </si>
  <si>
    <t>API Usage Issues</t>
  </si>
  <si>
    <t>A.2</t>
  </si>
  <si>
    <t>A.1.1--A.5.1</t>
  </si>
  <si>
    <t>Conceptiona  Question</t>
  </si>
  <si>
    <t>A.1.3</t>
  </si>
  <si>
    <t>C</t>
  </si>
  <si>
    <t>Defects in API</t>
  </si>
  <si>
    <t>A.3</t>
  </si>
  <si>
    <t>A.1.1--A.5.6</t>
  </si>
  <si>
    <t>Professional Guidance</t>
  </si>
  <si>
    <t>A.1.4</t>
  </si>
  <si>
    <t>D</t>
  </si>
  <si>
    <t>Prompt Engineering</t>
  </si>
  <si>
    <t>A.4</t>
  </si>
  <si>
    <t>A.1.1--A.6.2</t>
  </si>
  <si>
    <t>Parameter Setting</t>
  </si>
  <si>
    <t>A.2.1</t>
  </si>
  <si>
    <t>Capabilities</t>
  </si>
  <si>
    <t>A.5</t>
  </si>
  <si>
    <t>API Usage Assistance</t>
  </si>
  <si>
    <t>A.2.2</t>
  </si>
  <si>
    <t>Non-functional Requirements</t>
  </si>
  <si>
    <t>A.6</t>
  </si>
  <si>
    <t>A.1.2*</t>
  </si>
  <si>
    <t>Errors in API Calling</t>
  </si>
  <si>
    <t>A.2.3</t>
  </si>
  <si>
    <t>Feature Requests</t>
  </si>
  <si>
    <t>A.7</t>
  </si>
  <si>
    <t>Prompt Optimization</t>
  </si>
  <si>
    <t>A.2.4</t>
  </si>
  <si>
    <t>Development</t>
  </si>
  <si>
    <t>B.1</t>
  </si>
  <si>
    <t>A.1.3*</t>
  </si>
  <si>
    <t>Bug</t>
  </si>
  <si>
    <t>A.3.1</t>
  </si>
  <si>
    <t>Testing</t>
  </si>
  <si>
    <t>B.2</t>
  </si>
  <si>
    <t>A.1.3--A.5.1</t>
  </si>
  <si>
    <t>Unsatisfactory Output</t>
  </si>
  <si>
    <t>A.3.2</t>
  </si>
  <si>
    <t>Release</t>
  </si>
  <si>
    <t>B.3</t>
  </si>
  <si>
    <t>A.1.3--A.5.2</t>
  </si>
  <si>
    <t>Chain of Thought</t>
  </si>
  <si>
    <t>A.4.1</t>
  </si>
  <si>
    <t>B.4</t>
  </si>
  <si>
    <t>A.1.3--A.5.4</t>
  </si>
  <si>
    <t>In-context Learning</t>
  </si>
  <si>
    <t>A.4.2</t>
  </si>
  <si>
    <t>Non-Functional Issues</t>
  </si>
  <si>
    <t>B.5</t>
  </si>
  <si>
    <t>A.1.3--A.5.5</t>
  </si>
  <si>
    <t>Retrieval Augmented Generation</t>
  </si>
  <si>
    <t>A.4.3</t>
  </si>
  <si>
    <t>Promotion</t>
  </si>
  <si>
    <t>B.6</t>
  </si>
  <si>
    <t>A.1.3--A.5.6</t>
  </si>
  <si>
    <t>Zero-shot Prompting</t>
  </si>
  <si>
    <t>A.4.4</t>
  </si>
  <si>
    <t>Suggestions</t>
  </si>
  <si>
    <t>B.7</t>
  </si>
  <si>
    <t>Tree of Thoughts</t>
  </si>
  <si>
    <t>A.4.5</t>
  </si>
  <si>
    <t>A.1.4*</t>
  </si>
  <si>
    <t>Text Genergtion</t>
  </si>
  <si>
    <t>A.5.1</t>
  </si>
  <si>
    <t>A.1.4--A.4.3</t>
  </si>
  <si>
    <t>Image Genergtio</t>
  </si>
  <si>
    <t>A.5.2</t>
  </si>
  <si>
    <t>A.1.4--A.5.1</t>
  </si>
  <si>
    <t>Audio API</t>
  </si>
  <si>
    <t>A.5.3</t>
  </si>
  <si>
    <t>A.1.4--A.5.1*</t>
  </si>
  <si>
    <t>Assistants API</t>
  </si>
  <si>
    <t>A.5.4</t>
  </si>
  <si>
    <t>A.1.4--A.5.2</t>
  </si>
  <si>
    <t>Embeddings</t>
  </si>
  <si>
    <t>A.5.5</t>
  </si>
  <si>
    <t>A.1.4--A.5.3</t>
  </si>
  <si>
    <t>Fine-tuning</t>
  </si>
  <si>
    <t>A.5.6</t>
  </si>
  <si>
    <t>A.1.4--A.5.4</t>
  </si>
  <si>
    <t>tsiot</t>
  </si>
  <si>
    <t>A.5.7</t>
  </si>
  <si>
    <t>A.1.4--A.5.5</t>
  </si>
  <si>
    <t>Function Calling</t>
  </si>
  <si>
    <t>A.5.8</t>
  </si>
  <si>
    <t>A.1.4--A.5.6</t>
  </si>
  <si>
    <t>Charge</t>
  </si>
  <si>
    <t>A.6.1</t>
  </si>
  <si>
    <t>A.1.4--A.5.6*</t>
  </si>
  <si>
    <t>Rate limitation</t>
  </si>
  <si>
    <t>A.6.2</t>
  </si>
  <si>
    <t>A.1.4--A.5.7</t>
  </si>
  <si>
    <t>Token imitatiol</t>
  </si>
  <si>
    <t>A.6.3</t>
  </si>
  <si>
    <t>A.1.4--A.5.8</t>
  </si>
  <si>
    <t>Security</t>
  </si>
  <si>
    <t>A.6.4</t>
  </si>
  <si>
    <t>A.1.4--A.5.8*</t>
  </si>
  <si>
    <t>Privacy</t>
  </si>
  <si>
    <t>A.6.5</t>
  </si>
  <si>
    <t>A.1.4--A.6.3</t>
  </si>
  <si>
    <t>Regulations</t>
  </si>
  <si>
    <t>A.6.6</t>
  </si>
  <si>
    <t>A.1.4--A.6.6</t>
  </si>
  <si>
    <t>Version Problem</t>
  </si>
  <si>
    <t>A.6.7</t>
  </si>
  <si>
    <t>Technical Issues</t>
  </si>
  <si>
    <t>B.1.1</t>
  </si>
  <si>
    <t>A.2.1*</t>
  </si>
  <si>
    <t>Ordinary Problems</t>
  </si>
  <si>
    <t>B.1.2</t>
  </si>
  <si>
    <t>A.2.1--A.5.1</t>
  </si>
  <si>
    <t>Functionality Failure</t>
  </si>
  <si>
    <t>B.4.1</t>
  </si>
  <si>
    <t>A.2.1--A.5.3</t>
  </si>
  <si>
    <t>Performance</t>
  </si>
  <si>
    <t>B.4.2</t>
  </si>
  <si>
    <t>A.2.1--A.5.6</t>
  </si>
  <si>
    <t>Compatibility</t>
  </si>
  <si>
    <t>B.4.3</t>
  </si>
  <si>
    <t>A.2.1--A.5.7</t>
  </si>
  <si>
    <t>Cost Issues</t>
  </si>
  <si>
    <t>B.5.1</t>
  </si>
  <si>
    <t>Data Protection</t>
  </si>
  <si>
    <t>B.5.2</t>
  </si>
  <si>
    <t>A.2.2*</t>
  </si>
  <si>
    <t>Documentation Concerns</t>
  </si>
  <si>
    <t>B.5.3</t>
  </si>
  <si>
    <t>A.2.2--A.5.1</t>
  </si>
  <si>
    <t>Rule Constraints</t>
  </si>
  <si>
    <t>B.5.4</t>
  </si>
  <si>
    <t>A.2.2--A.5.1*</t>
  </si>
  <si>
    <t>A.2.2--A.5.2</t>
  </si>
  <si>
    <t>A.2.2--A.5.3</t>
  </si>
  <si>
    <t>A.2.2--A.5.4</t>
  </si>
  <si>
    <t>A.2.2--A.5.5</t>
  </si>
  <si>
    <t>A.2.2--A.5.6</t>
  </si>
  <si>
    <t>A.2.2--A.5.7</t>
  </si>
  <si>
    <t>A.2.2--A.5.8</t>
  </si>
  <si>
    <t>A.2.3*</t>
  </si>
  <si>
    <t>A.2.3--A.5.1</t>
  </si>
  <si>
    <t>A.2.3--A.5.1*</t>
  </si>
  <si>
    <t>A.2.3--A.5.2</t>
  </si>
  <si>
    <t>A.2.3--A.5.2*</t>
  </si>
  <si>
    <t>A.2.3--A.5.3</t>
  </si>
  <si>
    <t>A.2.3--A.5.3*</t>
  </si>
  <si>
    <t>A.2.3--A.5.4</t>
  </si>
  <si>
    <t>A.2.3--A.5.4*</t>
  </si>
  <si>
    <t>A.2.3--A.5.5</t>
  </si>
  <si>
    <t>A.2.3--A.5.6</t>
  </si>
  <si>
    <t>A.2.3--A.5.7</t>
  </si>
  <si>
    <t>A.2.3--A.5.7*</t>
  </si>
  <si>
    <t>A.2.3--A.5.8</t>
  </si>
  <si>
    <t>A.2.4*</t>
  </si>
  <si>
    <t>A.2.4--A.5.2</t>
  </si>
  <si>
    <t>A.3.1*</t>
  </si>
  <si>
    <t>A.3.1--A.5.4</t>
  </si>
  <si>
    <t>A.3.1--A.5.8</t>
  </si>
  <si>
    <t>A.3.2*</t>
  </si>
  <si>
    <t>A.3.2--A.5.1</t>
  </si>
  <si>
    <t>A.3.2--A.5.2</t>
  </si>
  <si>
    <t>A.3.2--A.5.3</t>
  </si>
  <si>
    <t>A.3.2--A.5.4</t>
  </si>
  <si>
    <t>A.3.2--A.5.4*</t>
  </si>
  <si>
    <t>A.3.2--A.5.5</t>
  </si>
  <si>
    <t>A.3.2--A.5.5*</t>
  </si>
  <si>
    <t>A.3.2--A.5.6</t>
  </si>
  <si>
    <t>A.3.2--A.5.6*</t>
  </si>
  <si>
    <t>A.3.2--A.5.7</t>
  </si>
  <si>
    <t>A.3.2--A.5.8</t>
  </si>
  <si>
    <t>A.3.2--B.1.7</t>
  </si>
  <si>
    <t>A.4.3--A.5.4</t>
  </si>
  <si>
    <t>A.4.3--A.5.6*</t>
  </si>
  <si>
    <t>A.5.3--A.7</t>
  </si>
  <si>
    <t>A.5.4--A.5.6</t>
  </si>
  <si>
    <t>A.6.1*</t>
  </si>
  <si>
    <t>A.5.6--A.6.1</t>
  </si>
  <si>
    <t>A.6.1--A.5.8</t>
  </si>
  <si>
    <t>A.6.1--A.7</t>
  </si>
  <si>
    <t>A.6.2*</t>
  </si>
  <si>
    <t>A.6.2--A.5.2</t>
  </si>
  <si>
    <t>A.6.2--A.5.3</t>
  </si>
  <si>
    <t>A.6.2--A.5.4*</t>
  </si>
  <si>
    <t>A.6.2--A.5.6</t>
  </si>
  <si>
    <t>A.6.2--A.6.3</t>
  </si>
  <si>
    <t>A.6.3*</t>
  </si>
  <si>
    <t>A.6.3--A.5.6</t>
  </si>
  <si>
    <t>A.6.5*</t>
  </si>
  <si>
    <t>A.6.6*</t>
  </si>
  <si>
    <t>A.6.6--A.5.2</t>
  </si>
  <si>
    <t>A.6.6--A.5.6</t>
  </si>
  <si>
    <t>A.6.7--A.5.8</t>
  </si>
  <si>
    <t>A.7*</t>
  </si>
  <si>
    <t>B.1.1*</t>
  </si>
  <si>
    <t>B.1.2*</t>
  </si>
  <si>
    <t>B.2*</t>
  </si>
  <si>
    <t>B.2.1--A.5.5</t>
  </si>
  <si>
    <t>B.2--B.4.2*</t>
  </si>
  <si>
    <t>B.4.1*</t>
  </si>
  <si>
    <t>B.4.1--B.4.1</t>
  </si>
  <si>
    <t>B.4.1--B.4.1*</t>
  </si>
  <si>
    <t>B.5.1*</t>
  </si>
  <si>
    <t>B.6*</t>
  </si>
  <si>
    <t>B.6.1</t>
  </si>
  <si>
    <t>B.6.3</t>
  </si>
  <si>
    <t>B.7*</t>
  </si>
  <si>
    <t>All Questions</t>
  </si>
  <si>
    <t>Without Accepted Answer</t>
  </si>
  <si>
    <t>With Accepted Answer</t>
  </si>
  <si>
    <t>回复数</t>
  </si>
  <si>
    <t>最新日期</t>
  </si>
  <si>
    <t>浏览数</t>
  </si>
  <si>
    <t>2021</t>
  </si>
  <si>
    <t>2022</t>
  </si>
  <si>
    <t>2023</t>
  </si>
  <si>
    <t>2024</t>
  </si>
  <si>
    <t>Topic</t>
  </si>
  <si>
    <t>平均回复时间/秒</t>
  </si>
  <si>
    <t>Chatgpt</t>
  </si>
  <si>
    <t>Average View</t>
  </si>
  <si>
    <t>Average Reply</t>
  </si>
  <si>
    <t>Tags/n</t>
  </si>
  <si>
    <t>11~15</t>
  </si>
  <si>
    <t>16~30</t>
  </si>
  <si>
    <t>31~100</t>
  </si>
  <si>
    <t>&gt;100</t>
  </si>
  <si>
    <t>6~10</t>
  </si>
  <si>
    <t>11~30</t>
  </si>
  <si>
    <t>posts read</t>
  </si>
  <si>
    <t>11~12</t>
  </si>
  <si>
    <t>13~15</t>
  </si>
  <si>
    <t>16~20</t>
  </si>
  <si>
    <t>21~30</t>
  </si>
  <si>
    <t>31~50</t>
  </si>
  <si>
    <t>51~100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</si>
</sst>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quot;m"/>
    <numFmt numFmtId="177" formatCode="0.0_ "/>
    <numFmt numFmtId="178" formatCode="yyyy&quot;-&quot;m"/>
  </numFmts>
  <fonts count="26">
    <font>
      <sz val="11"/>
      <color theme="1"/>
      <name val="等线"/>
      <charset val="134"/>
      <scheme val="minor"/>
    </font>
    <font>
      <b/>
      <sz val="11"/>
      <color theme="1"/>
      <name val="Microsoft YaHei"/>
      <charset val="134"/>
    </font>
    <font>
      <b/>
      <sz val="10"/>
      <color theme="1"/>
      <name val="Microsoft YaHei"/>
      <charset val="134"/>
    </font>
    <font>
      <sz val="10"/>
      <color theme="1"/>
      <name val="Microsoft YaHei"/>
      <charset val="134"/>
    </font>
    <font>
      <b/>
      <sz val="11"/>
      <color rgb="FF000000"/>
      <name val="Microsoft YaHei"/>
      <charset val="134"/>
    </font>
    <font>
      <sz val="11"/>
      <color theme="1"/>
      <name val="Microsoft YaHei"/>
      <charset val="134"/>
    </font>
    <font>
      <sz val="12"/>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rgb="FFD9D9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medium">
        <color rgb="FF595959"/>
      </left>
      <right style="medium">
        <color theme="0"/>
      </right>
      <top style="medium">
        <color rgb="FF595959"/>
      </top>
      <bottom/>
      <diagonal/>
    </border>
    <border>
      <left style="medium">
        <color theme="0"/>
      </left>
      <right style="medium">
        <color rgb="FF595959"/>
      </right>
      <top style="medium">
        <color rgb="FF595959"/>
      </top>
      <bottom/>
      <diagonal/>
    </border>
    <border>
      <left style="medium">
        <color rgb="FF5A5A5A"/>
      </left>
      <right style="thin">
        <color rgb="FFEBEBEB"/>
      </right>
      <top/>
      <bottom style="thin">
        <color rgb="FFEBEBEB"/>
      </bottom>
      <diagonal/>
    </border>
    <border>
      <left style="thin">
        <color rgb="FFEBEBEB"/>
      </left>
      <right style="medium">
        <color rgb="FF5A5A5A"/>
      </right>
      <top/>
      <bottom style="thin">
        <color rgb="FFEBEBEB"/>
      </bottom>
      <diagonal/>
    </border>
    <border>
      <left style="medium">
        <color rgb="FF5A5A5A"/>
      </left>
      <right style="thin">
        <color rgb="FFEBEBEB"/>
      </right>
      <top style="thin">
        <color rgb="FFEBEBEB"/>
      </top>
      <bottom style="thin">
        <color rgb="FFEBEBEB"/>
      </bottom>
      <diagonal/>
    </border>
    <border>
      <left style="thin">
        <color rgb="FFEBEBEB"/>
      </left>
      <right style="medium">
        <color rgb="FF5A5A5A"/>
      </right>
      <top style="thin">
        <color rgb="FFEBEBEB"/>
      </top>
      <bottom style="thin">
        <color rgb="FFEBEBEB"/>
      </bottom>
      <diagonal/>
    </border>
    <border>
      <left style="medium">
        <color rgb="FF5A5A5A"/>
      </left>
      <right style="thin">
        <color rgb="FFEBEBEB"/>
      </right>
      <top style="thin">
        <color rgb="FFEBEBEB"/>
      </top>
      <bottom style="medium">
        <color rgb="FF5A5A5A"/>
      </bottom>
      <diagonal/>
    </border>
    <border>
      <left style="thin">
        <color rgb="FFEBEBEB"/>
      </left>
      <right style="medium">
        <color rgb="FF5A5A5A"/>
      </right>
      <top style="thin">
        <color rgb="FFEBEBEB"/>
      </top>
      <bottom style="medium">
        <color rgb="FF5A5A5A"/>
      </bottom>
      <diagonal/>
    </border>
    <border>
      <left style="medium">
        <color theme="0"/>
      </left>
      <right style="medium">
        <color theme="0"/>
      </right>
      <top style="medium">
        <color rgb="FF595959"/>
      </top>
      <bottom/>
      <diagonal/>
    </border>
    <border>
      <left style="thin">
        <color rgb="FFEBEBEB"/>
      </left>
      <right style="thin">
        <color rgb="FFEBEBEB"/>
      </right>
      <top/>
      <bottom style="thin">
        <color rgb="FFEBEBEB"/>
      </bottom>
      <diagonal/>
    </border>
    <border>
      <left style="thin">
        <color rgb="FFEBEBEB"/>
      </left>
      <right style="thin">
        <color rgb="FFEBEBEB"/>
      </right>
      <top style="thin">
        <color rgb="FFEBEBEB"/>
      </top>
      <bottom style="thin">
        <color rgb="FFEBEBEB"/>
      </bottom>
      <diagonal/>
    </border>
    <border>
      <left style="thin">
        <color rgb="FFEBEBEB"/>
      </left>
      <right style="thin">
        <color rgb="FFEBEBEB"/>
      </right>
      <top style="thin">
        <color rgb="FFEBEBEB"/>
      </top>
      <bottom style="medium">
        <color rgb="FF5A5A5A"/>
      </bottom>
      <diagonal/>
    </border>
    <border>
      <left style="medium">
        <color rgb="FF5A5A5A"/>
      </left>
      <right style="thin">
        <color rgb="FFEBEBEB"/>
      </right>
      <top/>
      <bottom/>
      <diagonal/>
    </border>
    <border>
      <left style="thin">
        <color rgb="FFEBEBEB"/>
      </left>
      <right style="thin">
        <color rgb="FFEBEBEB"/>
      </right>
      <top/>
      <bottom/>
      <diagonal/>
    </border>
    <border>
      <left style="thin">
        <color rgb="FFEBEBEB"/>
      </left>
      <right style="medium">
        <color rgb="FF5A5A5A"/>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3" borderId="16"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17" applyNumberFormat="0" applyFill="0" applyAlignment="0" applyProtection="0">
      <alignment vertical="center"/>
    </xf>
    <xf numFmtId="0" fontId="13" fillId="0" borderId="17" applyNumberFormat="0" applyFill="0" applyAlignment="0" applyProtection="0">
      <alignment vertical="center"/>
    </xf>
    <xf numFmtId="0" fontId="14" fillId="0" borderId="18" applyNumberFormat="0" applyFill="0" applyAlignment="0" applyProtection="0">
      <alignment vertical="center"/>
    </xf>
    <xf numFmtId="0" fontId="14" fillId="0" borderId="0" applyNumberFormat="0" applyFill="0" applyBorder="0" applyAlignment="0" applyProtection="0">
      <alignment vertical="center"/>
    </xf>
    <xf numFmtId="0" fontId="15" fillId="4" borderId="19" applyNumberFormat="0" applyAlignment="0" applyProtection="0">
      <alignment vertical="center"/>
    </xf>
    <xf numFmtId="0" fontId="16" fillId="5" borderId="20" applyNumberFormat="0" applyAlignment="0" applyProtection="0">
      <alignment vertical="center"/>
    </xf>
    <xf numFmtId="0" fontId="17" fillId="5" borderId="19" applyNumberFormat="0" applyAlignment="0" applyProtection="0">
      <alignment vertical="center"/>
    </xf>
    <xf numFmtId="0" fontId="18" fillId="6" borderId="21" applyNumberFormat="0" applyAlignment="0" applyProtection="0">
      <alignment vertical="center"/>
    </xf>
    <xf numFmtId="0" fontId="19" fillId="0" borderId="22" applyNumberFormat="0" applyFill="0" applyAlignment="0" applyProtection="0">
      <alignment vertical="center"/>
    </xf>
    <xf numFmtId="0" fontId="20" fillId="0" borderId="23"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85">
    <xf numFmtId="0" fontId="0" fillId="0" borderId="0" xfId="0">
      <alignment vertical="center"/>
    </xf>
    <xf numFmtId="0" fontId="0" fillId="0" borderId="0" xfId="0" applyFill="1" applyAlignment="1">
      <alignment vertical="center"/>
    </xf>
    <xf numFmtId="0" fontId="1" fillId="0" borderId="0" xfId="0" applyFont="1" applyFill="1" applyAlignment="1">
      <alignment horizontal="center" vertical="center" wrapText="1"/>
    </xf>
    <xf numFmtId="0" fontId="2" fillId="0" borderId="0" xfId="0" applyFont="1" applyFill="1" applyAlignment="1">
      <alignment horizontal="center" vertical="center" wrapText="1"/>
    </xf>
    <xf numFmtId="0" fontId="3" fillId="0" borderId="0" xfId="0" applyFont="1" applyFill="1" applyAlignment="1">
      <alignment horizontal="center" vertic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3" fillId="0" borderId="5" xfId="0" applyFont="1" applyFill="1" applyBorder="1" applyAlignment="1">
      <alignment horizontal="center" vertical="center" wrapText="1"/>
    </xf>
    <xf numFmtId="0" fontId="3" fillId="0" borderId="6"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0" fillId="0" borderId="0" xfId="0" applyNumberFormat="1">
      <alignment vertical="center"/>
    </xf>
    <xf numFmtId="0" fontId="4" fillId="2" borderId="1" xfId="0" applyNumberFormat="1" applyFont="1" applyFill="1" applyBorder="1" applyAlignment="1">
      <alignment horizontal="center" vertical="center" wrapText="1"/>
    </xf>
    <xf numFmtId="0" fontId="3" fillId="0" borderId="3" xfId="0" applyNumberFormat="1" applyFont="1" applyFill="1" applyBorder="1" applyAlignment="1">
      <alignment horizontal="center" vertical="center" wrapText="1"/>
    </xf>
    <xf numFmtId="0" fontId="3" fillId="0" borderId="5" xfId="0" applyNumberFormat="1" applyFont="1" applyFill="1" applyBorder="1" applyAlignment="1">
      <alignment horizontal="center" vertical="center" wrapText="1"/>
    </xf>
    <xf numFmtId="49" fontId="3" fillId="0" borderId="5" xfId="0" applyNumberFormat="1" applyFont="1" applyFill="1" applyBorder="1" applyAlignment="1">
      <alignment horizontal="center" vertical="center" wrapText="1"/>
    </xf>
    <xf numFmtId="0" fontId="3" fillId="0" borderId="7" xfId="0" applyNumberFormat="1" applyFont="1" applyFill="1" applyBorder="1" applyAlignment="1">
      <alignment horizontal="center" vertical="center" wrapText="1"/>
    </xf>
    <xf numFmtId="176" fontId="4" fillId="2" borderId="1" xfId="0" applyNumberFormat="1" applyFont="1" applyFill="1" applyBorder="1" applyAlignment="1">
      <alignment horizontal="center" vertical="center" wrapText="1"/>
    </xf>
    <xf numFmtId="176" fontId="3" fillId="0" borderId="3" xfId="0" applyNumberFormat="1" applyFont="1" applyFill="1" applyBorder="1" applyAlignment="1">
      <alignment horizontal="center" vertical="center" wrapText="1"/>
    </xf>
    <xf numFmtId="176" fontId="3" fillId="0" borderId="5" xfId="0" applyNumberFormat="1" applyFont="1" applyFill="1" applyBorder="1" applyAlignment="1">
      <alignment horizontal="center" vertical="center" wrapText="1"/>
    </xf>
    <xf numFmtId="176" fontId="3" fillId="0" borderId="7" xfId="0" applyNumberFormat="1" applyFont="1" applyFill="1" applyBorder="1" applyAlignment="1">
      <alignment horizontal="center" vertical="center" wrapText="1"/>
    </xf>
    <xf numFmtId="0" fontId="4" fillId="2" borderId="9" xfId="0" applyFont="1" applyFill="1" applyBorder="1" applyAlignment="1">
      <alignment horizontal="center" vertical="center" wrapText="1"/>
    </xf>
    <xf numFmtId="0" fontId="3" fillId="0" borderId="10" xfId="0" applyFont="1" applyFill="1" applyBorder="1" applyAlignment="1">
      <alignment horizontal="center" vertical="center" wrapText="1"/>
    </xf>
    <xf numFmtId="0" fontId="3" fillId="0" borderId="11" xfId="0" applyFont="1" applyFill="1" applyBorder="1" applyAlignment="1">
      <alignment horizontal="center" vertical="center" wrapText="1"/>
    </xf>
    <xf numFmtId="0" fontId="3" fillId="0" borderId="12" xfId="0" applyFont="1" applyFill="1" applyBorder="1" applyAlignment="1">
      <alignment horizontal="center" vertical="center" wrapText="1"/>
    </xf>
    <xf numFmtId="177" fontId="0" fillId="0" borderId="0" xfId="0" applyNumberFormat="1">
      <alignment vertical="center"/>
    </xf>
    <xf numFmtId="177" fontId="4" fillId="2" borderId="2" xfId="0" applyNumberFormat="1" applyFont="1" applyFill="1" applyBorder="1" applyAlignment="1">
      <alignment horizontal="center" vertical="center" wrapText="1"/>
    </xf>
    <xf numFmtId="0" fontId="5" fillId="0" borderId="3" xfId="0" applyFont="1" applyFill="1" applyBorder="1" applyAlignment="1">
      <alignment horizontal="center" vertical="center" wrapText="1"/>
    </xf>
    <xf numFmtId="177" fontId="5" fillId="0" borderId="4" xfId="0" applyNumberFormat="1" applyFont="1" applyFill="1" applyBorder="1" applyAlignment="1">
      <alignment horizontal="center" vertical="center" wrapText="1"/>
    </xf>
    <xf numFmtId="0" fontId="5" fillId="0" borderId="5" xfId="0" applyFont="1" applyFill="1" applyBorder="1" applyAlignment="1">
      <alignment horizontal="center" vertical="center" wrapText="1"/>
    </xf>
    <xf numFmtId="177" fontId="5" fillId="0" borderId="6" xfId="0" applyNumberFormat="1" applyFont="1" applyFill="1" applyBorder="1" applyAlignment="1">
      <alignment horizontal="center" vertical="center" wrapText="1"/>
    </xf>
    <xf numFmtId="0" fontId="5" fillId="0" borderId="7" xfId="0" applyFont="1" applyFill="1" applyBorder="1" applyAlignment="1">
      <alignment horizontal="center" vertical="center" wrapText="1"/>
    </xf>
    <xf numFmtId="177" fontId="5" fillId="0" borderId="8" xfId="0" applyNumberFormat="1" applyFont="1" applyFill="1" applyBorder="1" applyAlignment="1">
      <alignment horizontal="center" vertical="center" wrapText="1"/>
    </xf>
    <xf numFmtId="0" fontId="6" fillId="0" borderId="0" xfId="0" applyFont="1" applyFill="1" applyBorder="1" applyAlignment="1">
      <alignment vertical="center"/>
    </xf>
    <xf numFmtId="0" fontId="3" fillId="0" borderId="13" xfId="0" applyFont="1" applyFill="1" applyBorder="1" applyAlignment="1">
      <alignment horizontal="center" vertical="center" wrapText="1"/>
    </xf>
    <xf numFmtId="0" fontId="3" fillId="0" borderId="14" xfId="0" applyFont="1" applyFill="1" applyBorder="1" applyAlignment="1">
      <alignment horizontal="center" vertical="center" wrapText="1"/>
    </xf>
    <xf numFmtId="0" fontId="4" fillId="2" borderId="9" xfId="0" applyNumberFormat="1" applyFont="1" applyFill="1" applyBorder="1" applyAlignment="1">
      <alignment horizontal="center" vertical="center" wrapText="1"/>
    </xf>
    <xf numFmtId="15" fontId="3" fillId="0" borderId="10" xfId="0" applyNumberFormat="1" applyFont="1" applyFill="1" applyBorder="1" applyAlignment="1">
      <alignment horizontal="center" vertical="center" wrapText="1"/>
    </xf>
    <xf numFmtId="0" fontId="3" fillId="0" borderId="10" xfId="0" applyNumberFormat="1" applyFont="1" applyFill="1" applyBorder="1" applyAlignment="1">
      <alignment horizontal="center" vertical="center" wrapText="1"/>
    </xf>
    <xf numFmtId="15" fontId="3" fillId="0" borderId="11" xfId="0" applyNumberFormat="1" applyFont="1" applyFill="1" applyBorder="1" applyAlignment="1">
      <alignment horizontal="center" vertical="center" wrapText="1"/>
    </xf>
    <xf numFmtId="0" fontId="3" fillId="0" borderId="11" xfId="0" applyNumberFormat="1" applyFont="1" applyFill="1" applyBorder="1" applyAlignment="1">
      <alignment horizontal="center" vertical="center" wrapText="1"/>
    </xf>
    <xf numFmtId="0" fontId="3" fillId="0" borderId="15" xfId="0" applyFont="1" applyFill="1" applyBorder="1" applyAlignment="1">
      <alignment horizontal="center" vertical="center" wrapText="1"/>
    </xf>
    <xf numFmtId="0" fontId="3" fillId="0" borderId="12" xfId="0" applyNumberFormat="1" applyFont="1" applyFill="1" applyBorder="1" applyAlignment="1">
      <alignment horizontal="center" vertical="center" wrapText="1"/>
    </xf>
    <xf numFmtId="15" fontId="3" fillId="0" borderId="12" xfId="0" applyNumberFormat="1" applyFont="1" applyFill="1" applyBorder="1" applyAlignment="1">
      <alignment horizontal="center" vertical="center" wrapText="1"/>
    </xf>
    <xf numFmtId="176" fontId="0" fillId="0" borderId="0" xfId="0" applyNumberFormat="1" applyFill="1" applyAlignment="1">
      <alignment vertical="center"/>
    </xf>
    <xf numFmtId="176" fontId="1" fillId="0" borderId="0" xfId="0" applyNumberFormat="1" applyFont="1" applyFill="1" applyBorder="1" applyAlignment="1">
      <alignment horizontal="center" vertical="center" wrapText="1"/>
    </xf>
    <xf numFmtId="0" fontId="1" fillId="0" borderId="0" xfId="0" applyFont="1" applyFill="1" applyBorder="1" applyAlignment="1">
      <alignment horizontal="center" vertical="center" wrapText="1"/>
    </xf>
    <xf numFmtId="0" fontId="3" fillId="0" borderId="0" xfId="0" applyNumberFormat="1" applyFont="1" applyFill="1" applyAlignment="1">
      <alignment horizontal="center" vertical="center" wrapText="1"/>
    </xf>
    <xf numFmtId="176" fontId="3" fillId="0" borderId="0" xfId="0" applyNumberFormat="1" applyFont="1" applyFill="1" applyAlignment="1">
      <alignment horizontal="center" vertical="center" wrapText="1"/>
    </xf>
    <xf numFmtId="0" fontId="0" fillId="0" borderId="0" xfId="0" applyFont="1" applyFill="1" applyBorder="1" applyAlignment="1"/>
    <xf numFmtId="0" fontId="0" fillId="0" borderId="0" xfId="0" applyFont="1" applyFill="1" applyAlignment="1"/>
    <xf numFmtId="10" fontId="4" fillId="2" borderId="2" xfId="0" applyNumberFormat="1"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10" xfId="0" applyFont="1" applyFill="1" applyBorder="1" applyAlignment="1">
      <alignment horizontal="center" vertical="center" wrapText="1"/>
    </xf>
    <xf numFmtId="0" fontId="3" fillId="0" borderId="10" xfId="0" applyNumberFormat="1" applyFont="1" applyFill="1" applyBorder="1" applyAlignment="1">
      <alignment horizontal="center" vertical="center" wrapText="1"/>
    </xf>
    <xf numFmtId="10" fontId="3" fillId="0" borderId="4" xfId="0" applyNumberFormat="1" applyFont="1" applyFill="1" applyBorder="1" applyAlignment="1">
      <alignment horizontal="center" vertical="center" wrapText="1"/>
    </xf>
    <xf numFmtId="0" fontId="3" fillId="0" borderId="5" xfId="0" applyFont="1" applyFill="1" applyBorder="1" applyAlignment="1">
      <alignment horizontal="center" vertical="center" wrapText="1"/>
    </xf>
    <xf numFmtId="0" fontId="3" fillId="0" borderId="11" xfId="0" applyFont="1" applyFill="1" applyBorder="1" applyAlignment="1">
      <alignment horizontal="center" vertical="center" wrapText="1"/>
    </xf>
    <xf numFmtId="0" fontId="3" fillId="0" borderId="11" xfId="0" applyNumberFormat="1" applyFont="1" applyFill="1" applyBorder="1" applyAlignment="1">
      <alignment horizontal="center" vertical="center" wrapText="1"/>
    </xf>
    <xf numFmtId="10" fontId="3" fillId="0" borderId="6" xfId="0" applyNumberFormat="1" applyFont="1" applyFill="1" applyBorder="1" applyAlignment="1">
      <alignment horizontal="center" vertical="center" wrapText="1"/>
    </xf>
    <xf numFmtId="0" fontId="3" fillId="0" borderId="7" xfId="0" applyFont="1" applyFill="1" applyBorder="1" applyAlignment="1">
      <alignment horizontal="center" vertical="center" wrapText="1"/>
    </xf>
    <xf numFmtId="0" fontId="3" fillId="0" borderId="12" xfId="0" applyFont="1" applyFill="1" applyBorder="1" applyAlignment="1">
      <alignment horizontal="center" vertical="center" wrapText="1"/>
    </xf>
    <xf numFmtId="0" fontId="3" fillId="0" borderId="12" xfId="0" applyNumberFormat="1" applyFont="1" applyFill="1" applyBorder="1" applyAlignment="1">
      <alignment horizontal="center" vertical="center" wrapText="1"/>
    </xf>
    <xf numFmtId="10" fontId="3" fillId="0" borderId="8" xfId="0" applyNumberFormat="1" applyFont="1" applyFill="1" applyBorder="1" applyAlignment="1">
      <alignment horizontal="center" vertical="center" wrapText="1"/>
    </xf>
    <xf numFmtId="0" fontId="3" fillId="0" borderId="4" xfId="0" applyFont="1" applyFill="1" applyBorder="1" applyAlignment="1">
      <alignment horizontal="center" vertical="center" wrapText="1"/>
    </xf>
    <xf numFmtId="0" fontId="3" fillId="0" borderId="6" xfId="0" applyFont="1" applyFill="1" applyBorder="1" applyAlignment="1">
      <alignment horizontal="center" vertical="center" wrapText="1"/>
    </xf>
    <xf numFmtId="0" fontId="3" fillId="0" borderId="5" xfId="0" applyFont="1" applyFill="1" applyBorder="1" applyAlignment="1">
      <alignment horizontal="center" vertical="center" wrapText="1"/>
    </xf>
    <xf numFmtId="0" fontId="3" fillId="0" borderId="11" xfId="0" applyFont="1" applyFill="1" applyBorder="1" applyAlignment="1">
      <alignment horizontal="center" vertical="center" wrapText="1"/>
    </xf>
    <xf numFmtId="0" fontId="3" fillId="0" borderId="6"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3" fillId="0" borderId="12"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3" fillId="0" borderId="5" xfId="0" applyNumberFormat="1" applyFont="1" applyFill="1" applyBorder="1" applyAlignment="1">
      <alignment horizontal="center" vertical="center" wrapText="1"/>
    </xf>
    <xf numFmtId="10" fontId="0" fillId="0" borderId="0" xfId="0" applyNumberFormat="1">
      <alignment vertical="center"/>
    </xf>
    <xf numFmtId="0" fontId="3" fillId="0" borderId="8" xfId="0" applyFont="1" applyFill="1" applyBorder="1" applyAlignment="1">
      <alignment horizontal="center" vertical="center" wrapText="1"/>
    </xf>
    <xf numFmtId="10" fontId="3" fillId="0" borderId="4" xfId="0" applyNumberFormat="1" applyFont="1" applyFill="1" applyBorder="1" applyAlignment="1">
      <alignment horizontal="center" vertical="center" wrapText="1"/>
    </xf>
    <xf numFmtId="10" fontId="3" fillId="0" borderId="6" xfId="0" applyNumberFormat="1" applyFont="1" applyFill="1" applyBorder="1" applyAlignment="1">
      <alignment horizontal="center" vertical="center" wrapText="1"/>
    </xf>
    <xf numFmtId="10" fontId="3" fillId="0" borderId="8" xfId="0" applyNumberFormat="1" applyFont="1" applyFill="1" applyBorder="1" applyAlignment="1">
      <alignment horizontal="center" vertical="center" wrapText="1"/>
    </xf>
    <xf numFmtId="0" fontId="0" fillId="0" borderId="0" xfId="0" applyFont="1" applyFill="1" applyBorder="1" applyAlignment="1">
      <alignment vertical="center"/>
    </xf>
    <xf numFmtId="0" fontId="1" fillId="0" borderId="0" xfId="0" applyFont="1" applyAlignment="1">
      <alignment horizontal="center" vertical="center" wrapText="1"/>
    </xf>
    <xf numFmtId="178" fontId="1" fillId="0" borderId="0" xfId="0" applyNumberFormat="1" applyFont="1" applyAlignment="1">
      <alignment horizontal="center" vertical="center" wrapText="1"/>
    </xf>
    <xf numFmtId="17" fontId="2" fillId="0" borderId="0" xfId="0" applyNumberFormat="1" applyFont="1" applyAlignment="1">
      <alignment horizontal="center" vertical="center" wrapText="1"/>
    </xf>
    <xf numFmtId="0" fontId="3" fillId="0" borderId="0" xfId="0" applyFont="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4">
    <dxf>
      <font>
        <b val="1"/>
        <i val="0"/>
        <u val="none"/>
        <sz val="11"/>
        <color rgb="FFFF6238"/>
      </font>
      <fill>
        <patternFill patternType="none"/>
      </fill>
      <border>
        <left style="dashed">
          <color rgb="FFFF6238"/>
        </left>
        <right style="dashed">
          <color rgb="FFFF6238"/>
        </right>
        <top style="dashed">
          <color rgb="FFFF6238"/>
        </top>
        <bottom style="dashed">
          <color rgb="FFFF6238"/>
        </bottom>
        <vertical style="dashed">
          <color rgb="FFFF6238"/>
        </vertical>
        <horizontal/>
      </border>
    </dxf>
    <dxf>
      <fill>
        <patternFill patternType="none"/>
      </fill>
      <border>
        <left style="dashed">
          <color rgb="FFFF6238"/>
        </left>
        <right style="dashed">
          <color rgb="FFFF6238"/>
        </right>
        <top style="dashed">
          <color rgb="FFFF6238"/>
        </top>
        <bottom style="dashed">
          <color rgb="FFFF6238"/>
        </bottom>
        <vertical style="dashed">
          <color rgb="FFFF6238"/>
        </vertical>
        <horizontal style="dashed">
          <color rgb="FFFF6238"/>
        </horizontal>
      </border>
    </dxf>
    <dxf>
      <font>
        <b val="1"/>
        <i val="0"/>
        <u val="none"/>
        <sz val="11"/>
        <color rgb="FF000000"/>
      </font>
      <fill>
        <patternFill patternType="solid">
          <bgColor rgb="FFD9D9D9"/>
        </patternFill>
      </fill>
      <border>
        <left style="medium">
          <color rgb="FF595959"/>
        </left>
        <right style="medium">
          <color rgb="FF595959"/>
        </right>
        <top style="medium">
          <color rgb="FF595959"/>
        </top>
        <bottom/>
        <vertical style="medium">
          <color theme="0"/>
        </vertical>
        <horizontal/>
      </border>
    </dxf>
    <dxf>
      <fill>
        <patternFill patternType="none"/>
      </fill>
      <border>
        <left style="medium">
          <color rgb="FF5A5A5A"/>
        </left>
        <right style="medium">
          <color rgb="FF5A5A5A"/>
        </right>
        <top style="medium">
          <color rgb="FF5A5A5A"/>
        </top>
        <bottom style="medium">
          <color rgb="FF5A5A5A"/>
        </bottom>
        <vertical style="thin">
          <color rgb="FFEBEBEB"/>
        </vertical>
        <horizontal style="thin">
          <color rgb="FFEBEBEB"/>
        </horizontal>
      </border>
    </dxf>
  </dxfs>
  <tableStyles count="2" defaultTableStyle="TableStyleMedium2" defaultPivotStyle="PivotStyleLight16">
    <tableStyle name="橙色中色系标题行表格样式" count="2" xr9:uid="{207B48DA-7484-47A1-BEFC-7B7CB24D6D2D}">
      <tableStyleElement type="wholeTable" dxfId="1"/>
      <tableStyleElement type="headerRow" dxfId="0"/>
    </tableStyle>
    <tableStyle name="黑色浅色系标题行表格样式" count="2" xr9:uid="{1259135C-6455-4E44-AB01-5CDFAAC6EE8F}">
      <tableStyleElement type="wholeTable" dxfId="3"/>
      <tableStyleElement type="headerRow" dxfId="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theme" Target="theme/theme1.xml"/><Relationship Id="rId17" Type="http://schemas.openxmlformats.org/officeDocument/2006/relationships/externalLink" Target="externalLinks/externalLink3.xml"/><Relationship Id="rId16" Type="http://schemas.openxmlformats.org/officeDocument/2006/relationships/externalLink" Target="externalLinks/externalLink2.xml"/><Relationship Id="rId15" Type="http://schemas.openxmlformats.org/officeDocument/2006/relationships/externalLink" Target="externalLinks/externalLink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每月增加的帖子数量 </a:t>
            </a:r>
            <a:endParaRPr lang="en-US" altLang="zh-CN"/>
          </a:p>
        </c:rich>
      </c:tx>
      <c:layout/>
      <c:overlay val="0"/>
      <c:spPr>
        <a:noFill/>
        <a:ln>
          <a:noFill/>
        </a:ln>
        <a:effectLst/>
      </c:spPr>
    </c:title>
    <c:autoTitleDeleted val="0"/>
    <c:plotArea>
      <c:layout/>
      <c:barChart>
        <c:barDir val="col"/>
        <c:grouping val="clustered"/>
        <c:varyColors val="0"/>
        <c:ser>
          <c:idx val="0"/>
          <c:order val="0"/>
          <c:tx>
            <c:strRef>
              <c:f>Sheet1!$B$1:$B$37</c:f>
              <c:strCache>
                <c:ptCount val="1"/>
                <c:pt idx="0">
                  <c:v>帖子数量/个 1 5 80 141 146 163 211 205 136 113 114 100 70 69 128 128 137 140 148 135 164 139 428 738 811 1814 1584 1740 1179 1089 964 1029 1140 3131 1776 979</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Sheet1!$A$2:$A$38</c:f>
              <c:strCache>
                <c:ptCount val="37"/>
                <c:pt idx="0" c:formatCode="yyyy&quot;/&quot;m">
                  <c:v>2021/2</c:v>
                </c:pt>
                <c:pt idx="1" c:formatCode="yyyy&quot;/&quot;m">
                  <c:v>2021/3</c:v>
                </c:pt>
                <c:pt idx="2" c:formatCode="yyyy&quot;/&quot;m">
                  <c:v>2021/4</c:v>
                </c:pt>
                <c:pt idx="3" c:formatCode="yyyy&quot;/&quot;m">
                  <c:v>2021/5</c:v>
                </c:pt>
                <c:pt idx="4" c:formatCode="yyyy&quot;/&quot;m">
                  <c:v>2021/6</c:v>
                </c:pt>
                <c:pt idx="5" c:formatCode="yyyy&quot;/&quot;m">
                  <c:v>2021/7</c:v>
                </c:pt>
                <c:pt idx="6" c:formatCode="yyyy&quot;/&quot;m">
                  <c:v>2021/8</c:v>
                </c:pt>
                <c:pt idx="7" c:formatCode="yyyy&quot;/&quot;m">
                  <c:v>2021/9</c:v>
                </c:pt>
                <c:pt idx="8" c:formatCode="yyyy&quot;/&quot;m">
                  <c:v>2021/10</c:v>
                </c:pt>
                <c:pt idx="9" c:formatCode="yyyy&quot;/&quot;m">
                  <c:v>2021/11</c:v>
                </c:pt>
                <c:pt idx="10" c:formatCode="yyyy&quot;/&quot;m">
                  <c:v>2021/12</c:v>
                </c:pt>
                <c:pt idx="11" c:formatCode="yyyy&quot;/&quot;m">
                  <c:v>2022/1</c:v>
                </c:pt>
                <c:pt idx="12" c:formatCode="yyyy&quot;/&quot;m">
                  <c:v>2022/2</c:v>
                </c:pt>
                <c:pt idx="13" c:formatCode="yyyy&quot;/&quot;m">
                  <c:v>2022/3</c:v>
                </c:pt>
                <c:pt idx="14" c:formatCode="yyyy&quot;/&quot;m">
                  <c:v>2022/4</c:v>
                </c:pt>
                <c:pt idx="15" c:formatCode="yyyy&quot;/&quot;m">
                  <c:v>2022/5</c:v>
                </c:pt>
                <c:pt idx="16" c:formatCode="yyyy&quot;/&quot;m">
                  <c:v>2022/6</c:v>
                </c:pt>
                <c:pt idx="17" c:formatCode="yyyy&quot;/&quot;m">
                  <c:v>2022/7</c:v>
                </c:pt>
                <c:pt idx="18" c:formatCode="yyyy&quot;/&quot;m">
                  <c:v>2022/8</c:v>
                </c:pt>
                <c:pt idx="19" c:formatCode="yyyy&quot;/&quot;m">
                  <c:v>2022/9</c:v>
                </c:pt>
                <c:pt idx="20" c:formatCode="yyyy&quot;/&quot;m">
                  <c:v>2022/10</c:v>
                </c:pt>
                <c:pt idx="21" c:formatCode="yyyy&quot;/&quot;m">
                  <c:v>2022/11</c:v>
                </c:pt>
                <c:pt idx="22" c:formatCode="yyyy&quot;/&quot;m">
                  <c:v>2022/12</c:v>
                </c:pt>
                <c:pt idx="23" c:formatCode="yyyy&quot;/&quot;m">
                  <c:v>2023/1</c:v>
                </c:pt>
                <c:pt idx="24" c:formatCode="yyyy&quot;/&quot;m">
                  <c:v>2023/2</c:v>
                </c:pt>
                <c:pt idx="25" c:formatCode="yyyy&quot;/&quot;m">
                  <c:v>2023/3</c:v>
                </c:pt>
                <c:pt idx="26" c:formatCode="yyyy&quot;/&quot;m">
                  <c:v>2023/4</c:v>
                </c:pt>
                <c:pt idx="27" c:formatCode="yyyy&quot;/&quot;m">
                  <c:v>2023/5</c:v>
                </c:pt>
                <c:pt idx="28" c:formatCode="yyyy&quot;/&quot;m">
                  <c:v>2023/6</c:v>
                </c:pt>
                <c:pt idx="29" c:formatCode="yyyy&quot;/&quot;m">
                  <c:v>2023/7</c:v>
                </c:pt>
                <c:pt idx="30" c:formatCode="yyyy&quot;/&quot;m">
                  <c:v>2023/8</c:v>
                </c:pt>
                <c:pt idx="31" c:formatCode="yyyy&quot;/&quot;m">
                  <c:v>2023/9</c:v>
                </c:pt>
                <c:pt idx="32" c:formatCode="yyyy&quot;/&quot;m">
                  <c:v>2023/10</c:v>
                </c:pt>
                <c:pt idx="33" c:formatCode="yyyy&quot;/&quot;m">
                  <c:v>2023/11</c:v>
                </c:pt>
                <c:pt idx="34" c:formatCode="yyyy&quot;/&quot;m">
                  <c:v>2023/12</c:v>
                </c:pt>
                <c:pt idx="35" c:formatCode="yyyy&quot;/&quot;m">
                  <c:v>2024/1</c:v>
                </c:pt>
                <c:pt idx="36" c:formatCode="yyyy&quot;/&quot;m">
                  <c:v>总计数</c:v>
                </c:pt>
              </c:strCache>
            </c:strRef>
          </c:cat>
          <c:val>
            <c:numRef>
              <c:f>Sheet1!$B$2:$B$37</c:f>
              <c:numCache>
                <c:formatCode>General</c:formatCode>
                <c:ptCount val="36"/>
                <c:pt idx="0">
                  <c:v>1</c:v>
                </c:pt>
                <c:pt idx="1">
                  <c:v>5</c:v>
                </c:pt>
                <c:pt idx="2">
                  <c:v>80</c:v>
                </c:pt>
                <c:pt idx="3">
                  <c:v>141</c:v>
                </c:pt>
                <c:pt idx="4">
                  <c:v>146</c:v>
                </c:pt>
                <c:pt idx="5">
                  <c:v>163</c:v>
                </c:pt>
                <c:pt idx="6">
                  <c:v>211</c:v>
                </c:pt>
                <c:pt idx="7">
                  <c:v>205</c:v>
                </c:pt>
                <c:pt idx="8">
                  <c:v>136</c:v>
                </c:pt>
                <c:pt idx="9">
                  <c:v>113</c:v>
                </c:pt>
                <c:pt idx="10">
                  <c:v>114</c:v>
                </c:pt>
                <c:pt idx="11">
                  <c:v>100</c:v>
                </c:pt>
                <c:pt idx="12">
                  <c:v>70</c:v>
                </c:pt>
                <c:pt idx="13">
                  <c:v>69</c:v>
                </c:pt>
                <c:pt idx="14">
                  <c:v>128</c:v>
                </c:pt>
                <c:pt idx="15">
                  <c:v>128</c:v>
                </c:pt>
                <c:pt idx="16">
                  <c:v>137</c:v>
                </c:pt>
                <c:pt idx="17">
                  <c:v>140</c:v>
                </c:pt>
                <c:pt idx="18">
                  <c:v>148</c:v>
                </c:pt>
                <c:pt idx="19">
                  <c:v>135</c:v>
                </c:pt>
                <c:pt idx="20">
                  <c:v>164</c:v>
                </c:pt>
                <c:pt idx="21">
                  <c:v>139</c:v>
                </c:pt>
                <c:pt idx="22">
                  <c:v>428</c:v>
                </c:pt>
                <c:pt idx="23">
                  <c:v>738</c:v>
                </c:pt>
                <c:pt idx="24">
                  <c:v>811</c:v>
                </c:pt>
                <c:pt idx="25">
                  <c:v>1814</c:v>
                </c:pt>
                <c:pt idx="26">
                  <c:v>1584</c:v>
                </c:pt>
                <c:pt idx="27">
                  <c:v>1740</c:v>
                </c:pt>
                <c:pt idx="28">
                  <c:v>1179</c:v>
                </c:pt>
                <c:pt idx="29">
                  <c:v>1089</c:v>
                </c:pt>
                <c:pt idx="30">
                  <c:v>964</c:v>
                </c:pt>
                <c:pt idx="31">
                  <c:v>1029</c:v>
                </c:pt>
                <c:pt idx="32">
                  <c:v>1140</c:v>
                </c:pt>
                <c:pt idx="33">
                  <c:v>3131</c:v>
                </c:pt>
                <c:pt idx="34">
                  <c:v>1776</c:v>
                </c:pt>
                <c:pt idx="35">
                  <c:v>979</c:v>
                </c:pt>
              </c:numCache>
            </c:numRef>
          </c:val>
        </c:ser>
        <c:dLbls>
          <c:showLegendKey val="0"/>
          <c:showVal val="1"/>
          <c:showCatName val="0"/>
          <c:showSerName val="0"/>
          <c:showPercent val="0"/>
          <c:showBubbleSize val="0"/>
        </c:dLbls>
        <c:gapWidth val="219"/>
        <c:overlap val="-27"/>
        <c:axId val="796209183"/>
        <c:axId val="796208767"/>
      </c:barChart>
      <c:catAx>
        <c:axId val="796209183"/>
        <c:scaling>
          <c:orientation val="minMax"/>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a:t>年月份</a:t>
                </a:r>
                <a:endParaRPr lang="zh-CN" altLang="en-US"/>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96208767"/>
        <c:crosses val="autoZero"/>
        <c:auto val="1"/>
        <c:lblAlgn val="ctr"/>
        <c:lblOffset val="100"/>
        <c:noMultiLvlLbl val="0"/>
      </c:catAx>
      <c:valAx>
        <c:axId val="796208767"/>
        <c:scaling>
          <c:orientation val="minMax"/>
        </c:scaling>
        <c:delete val="0"/>
        <c:axPos val="l"/>
        <c:title>
          <c:tx>
            <c:rich>
              <a:bodyPr rot="-540000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a:t>数量</a:t>
                </a:r>
                <a:r>
                  <a:rPr lang="en-US" altLang="zh-CN"/>
                  <a:t>/</a:t>
                </a:r>
                <a:r>
                  <a:rPr altLang="en-US"/>
                  <a:t>人</a:t>
                </a:r>
                <a:endParaRPr lang="en-US" altLang="zh-CN"/>
              </a:p>
            </c:rich>
          </c:tx>
          <c:layout/>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962091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t>每月的总帖子数量</a:t>
            </a:r>
          </a:p>
        </c:rich>
      </c:tx>
      <c:layout/>
      <c:overlay val="0"/>
      <c:spPr>
        <a:noFill/>
        <a:ln>
          <a:noFill/>
        </a:ln>
        <a:effectLst/>
      </c:spPr>
    </c:title>
    <c:autoTitleDeleted val="0"/>
    <c:plotArea>
      <c:layout/>
      <c:barChart>
        <c:barDir val="col"/>
        <c:grouping val="clustered"/>
        <c:varyColors val="0"/>
        <c:ser>
          <c:idx val="0"/>
          <c:order val="0"/>
          <c:tx>
            <c:strRef>
              <c:f>Sheet1!$C$1</c:f>
              <c:strCache>
                <c:ptCount val="1"/>
                <c:pt idx="0">
                  <c:v>总帖子数量/个</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Sheet1!$A$2:$A$37</c:f>
              <c:numCache>
                <c:formatCode>yyyy"/"m</c:formatCode>
                <c:ptCount val="36"/>
                <c:pt idx="0" c:formatCode="yyyy&quot;/&quot;m">
                  <c:v>44228</c:v>
                </c:pt>
                <c:pt idx="1" c:formatCode="yyyy&quot;/&quot;m">
                  <c:v>44256</c:v>
                </c:pt>
                <c:pt idx="2" c:formatCode="yyyy&quot;/&quot;m">
                  <c:v>44287</c:v>
                </c:pt>
                <c:pt idx="3" c:formatCode="yyyy&quot;/&quot;m">
                  <c:v>44317</c:v>
                </c:pt>
                <c:pt idx="4" c:formatCode="yyyy&quot;/&quot;m">
                  <c:v>44348</c:v>
                </c:pt>
                <c:pt idx="5" c:formatCode="yyyy&quot;/&quot;m">
                  <c:v>44378</c:v>
                </c:pt>
                <c:pt idx="6" c:formatCode="yyyy&quot;/&quot;m">
                  <c:v>44409</c:v>
                </c:pt>
                <c:pt idx="7" c:formatCode="yyyy&quot;/&quot;m">
                  <c:v>44440</c:v>
                </c:pt>
                <c:pt idx="8" c:formatCode="yyyy&quot;/&quot;m">
                  <c:v>44470</c:v>
                </c:pt>
                <c:pt idx="9" c:formatCode="yyyy&quot;/&quot;m">
                  <c:v>44501</c:v>
                </c:pt>
                <c:pt idx="10" c:formatCode="yyyy&quot;/&quot;m">
                  <c:v>44531</c:v>
                </c:pt>
                <c:pt idx="11" c:formatCode="yyyy&quot;/&quot;m">
                  <c:v>44562</c:v>
                </c:pt>
                <c:pt idx="12" c:formatCode="yyyy&quot;/&quot;m">
                  <c:v>44593</c:v>
                </c:pt>
                <c:pt idx="13" c:formatCode="yyyy&quot;/&quot;m">
                  <c:v>44621</c:v>
                </c:pt>
                <c:pt idx="14" c:formatCode="yyyy&quot;/&quot;m">
                  <c:v>44652</c:v>
                </c:pt>
                <c:pt idx="15" c:formatCode="yyyy&quot;/&quot;m">
                  <c:v>44682</c:v>
                </c:pt>
                <c:pt idx="16" c:formatCode="yyyy&quot;/&quot;m">
                  <c:v>44713</c:v>
                </c:pt>
                <c:pt idx="17" c:formatCode="yyyy&quot;/&quot;m">
                  <c:v>44743</c:v>
                </c:pt>
                <c:pt idx="18" c:formatCode="yyyy&quot;/&quot;m">
                  <c:v>44774</c:v>
                </c:pt>
                <c:pt idx="19" c:formatCode="yyyy&quot;/&quot;m">
                  <c:v>44805</c:v>
                </c:pt>
                <c:pt idx="20" c:formatCode="yyyy&quot;/&quot;m">
                  <c:v>44835</c:v>
                </c:pt>
                <c:pt idx="21" c:formatCode="yyyy&quot;/&quot;m">
                  <c:v>44866</c:v>
                </c:pt>
                <c:pt idx="22" c:formatCode="yyyy&quot;/&quot;m">
                  <c:v>44896</c:v>
                </c:pt>
                <c:pt idx="23" c:formatCode="yyyy&quot;/&quot;m">
                  <c:v>44927</c:v>
                </c:pt>
                <c:pt idx="24" c:formatCode="yyyy&quot;/&quot;m">
                  <c:v>44958</c:v>
                </c:pt>
                <c:pt idx="25" c:formatCode="yyyy&quot;/&quot;m">
                  <c:v>44986</c:v>
                </c:pt>
                <c:pt idx="26" c:formatCode="yyyy&quot;/&quot;m">
                  <c:v>45017</c:v>
                </c:pt>
                <c:pt idx="27" c:formatCode="yyyy&quot;/&quot;m">
                  <c:v>45047</c:v>
                </c:pt>
                <c:pt idx="28" c:formatCode="yyyy&quot;/&quot;m">
                  <c:v>45078</c:v>
                </c:pt>
                <c:pt idx="29" c:formatCode="yyyy&quot;/&quot;m">
                  <c:v>45108</c:v>
                </c:pt>
                <c:pt idx="30" c:formatCode="yyyy&quot;/&quot;m">
                  <c:v>45139</c:v>
                </c:pt>
                <c:pt idx="31" c:formatCode="yyyy&quot;/&quot;m">
                  <c:v>45170</c:v>
                </c:pt>
                <c:pt idx="32" c:formatCode="yyyy&quot;/&quot;m">
                  <c:v>45200</c:v>
                </c:pt>
                <c:pt idx="33" c:formatCode="yyyy&quot;/&quot;m">
                  <c:v>45231</c:v>
                </c:pt>
                <c:pt idx="34" c:formatCode="yyyy&quot;/&quot;m">
                  <c:v>45261</c:v>
                </c:pt>
                <c:pt idx="35" c:formatCode="yyyy&quot;/&quot;m">
                  <c:v>45292</c:v>
                </c:pt>
              </c:numCache>
            </c:numRef>
          </c:cat>
          <c:val>
            <c:numRef>
              <c:f>Sheet1!$C$2:$C$37</c:f>
              <c:numCache>
                <c:formatCode>General</c:formatCode>
                <c:ptCount val="36"/>
                <c:pt idx="0">
                  <c:v>1</c:v>
                </c:pt>
                <c:pt idx="1">
                  <c:v>6</c:v>
                </c:pt>
                <c:pt idx="2">
                  <c:v>86</c:v>
                </c:pt>
                <c:pt idx="3">
                  <c:v>227</c:v>
                </c:pt>
                <c:pt idx="4">
                  <c:v>373</c:v>
                </c:pt>
                <c:pt idx="5">
                  <c:v>536</c:v>
                </c:pt>
                <c:pt idx="6">
                  <c:v>747</c:v>
                </c:pt>
                <c:pt idx="7">
                  <c:v>952</c:v>
                </c:pt>
                <c:pt idx="8">
                  <c:v>1088</c:v>
                </c:pt>
                <c:pt idx="9">
                  <c:v>1201</c:v>
                </c:pt>
                <c:pt idx="10">
                  <c:v>1315</c:v>
                </c:pt>
                <c:pt idx="11">
                  <c:v>1415</c:v>
                </c:pt>
                <c:pt idx="12">
                  <c:v>1485</c:v>
                </c:pt>
                <c:pt idx="13">
                  <c:v>1554</c:v>
                </c:pt>
                <c:pt idx="14">
                  <c:v>1682</c:v>
                </c:pt>
                <c:pt idx="15">
                  <c:v>1810</c:v>
                </c:pt>
                <c:pt idx="16">
                  <c:v>1947</c:v>
                </c:pt>
                <c:pt idx="17">
                  <c:v>2087</c:v>
                </c:pt>
                <c:pt idx="18">
                  <c:v>2235</c:v>
                </c:pt>
                <c:pt idx="19">
                  <c:v>2370</c:v>
                </c:pt>
                <c:pt idx="20">
                  <c:v>2534</c:v>
                </c:pt>
                <c:pt idx="21">
                  <c:v>2673</c:v>
                </c:pt>
                <c:pt idx="22">
                  <c:v>3101</c:v>
                </c:pt>
                <c:pt idx="23">
                  <c:v>3839</c:v>
                </c:pt>
                <c:pt idx="24">
                  <c:v>4650</c:v>
                </c:pt>
                <c:pt idx="25">
                  <c:v>6464</c:v>
                </c:pt>
                <c:pt idx="26">
                  <c:v>8048</c:v>
                </c:pt>
                <c:pt idx="27">
                  <c:v>9788</c:v>
                </c:pt>
                <c:pt idx="28">
                  <c:v>10967</c:v>
                </c:pt>
                <c:pt idx="29">
                  <c:v>12056</c:v>
                </c:pt>
                <c:pt idx="30">
                  <c:v>13020</c:v>
                </c:pt>
                <c:pt idx="31">
                  <c:v>14049</c:v>
                </c:pt>
                <c:pt idx="32">
                  <c:v>15189</c:v>
                </c:pt>
                <c:pt idx="33">
                  <c:v>18320</c:v>
                </c:pt>
                <c:pt idx="34">
                  <c:v>20096</c:v>
                </c:pt>
                <c:pt idx="35">
                  <c:v>21075</c:v>
                </c:pt>
              </c:numCache>
            </c:numRef>
          </c:val>
        </c:ser>
        <c:dLbls>
          <c:showLegendKey val="0"/>
          <c:showVal val="1"/>
          <c:showCatName val="0"/>
          <c:showSerName val="0"/>
          <c:showPercent val="0"/>
          <c:showBubbleSize val="0"/>
        </c:dLbls>
        <c:gapWidth val="246"/>
        <c:overlap val="-28"/>
        <c:axId val="715781550"/>
        <c:axId val="45199383"/>
      </c:barChart>
      <c:dateAx>
        <c:axId val="715781550"/>
        <c:scaling>
          <c:orientation val="minMax"/>
        </c:scaling>
        <c:delete val="0"/>
        <c:axPos val="b"/>
        <c:title>
          <c:tx>
            <c:rich>
              <a:bodyPr rot="0" spcFirstLastPara="0"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t>年月份</a:t>
                </a:r>
              </a:p>
            </c:rich>
          </c:tx>
          <c:layout/>
          <c:overlay val="0"/>
          <c:spPr>
            <a:noFill/>
            <a:ln>
              <a:noFill/>
            </a:ln>
            <a:effectLst/>
          </c:spPr>
        </c:title>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5199383"/>
        <c:crosses val="autoZero"/>
        <c:auto val="1"/>
        <c:lblOffset val="100"/>
        <c:baseTimeUnit val="months"/>
      </c:dateAx>
      <c:valAx>
        <c:axId val="45199383"/>
        <c:scaling>
          <c:orientation val="minMax"/>
        </c:scaling>
        <c:delete val="0"/>
        <c:axPos val="l"/>
        <c:title>
          <c:tx>
            <c:rich>
              <a:bodyPr rot="-5400000" spcFirstLastPara="0"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t>数量</a:t>
                </a:r>
                <a:r>
                  <a:rPr lang="en-US" altLang="zh-CN"/>
                  <a:t>/</a:t>
                </a:r>
                <a:r>
                  <a:rPr altLang="en-US"/>
                  <a:t>个</a:t>
                </a:r>
                <a:endParaRPr lang="en-US" altLang="zh-CN"/>
              </a:p>
            </c:rich>
          </c:tx>
          <c:layout/>
          <c:overlay val="0"/>
          <c:spPr>
            <a:noFill/>
            <a:ln>
              <a:noFill/>
            </a:ln>
            <a:effectLst/>
          </c:spPr>
        </c:title>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1578155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每月份注册的用户数量</a:t>
            </a:r>
            <a:endParaRPr lang="zh-CN" altLang="en-US"/>
          </a:p>
        </c:rich>
      </c:tx>
      <c:layout>
        <c:manualLayout>
          <c:xMode val="edge"/>
          <c:yMode val="edge"/>
          <c:x val="0.363239074550129"/>
          <c:y val="0.0202020202020202"/>
        </c:manualLayout>
      </c:layout>
      <c:overlay val="0"/>
      <c:spPr>
        <a:noFill/>
        <a:ln>
          <a:noFill/>
        </a:ln>
        <a:effectLst/>
      </c:spPr>
    </c:title>
    <c:autoTitleDeleted val="0"/>
    <c:plotArea>
      <c:layout/>
      <c:barChart>
        <c:barDir val="col"/>
        <c:grouping val="clustered"/>
        <c:varyColors val="0"/>
        <c:ser>
          <c:idx val="0"/>
          <c:order val="0"/>
          <c:tx>
            <c:strRef>
              <c:f>Sheet2!$B$1</c:f>
              <c:strCache>
                <c:ptCount val="1"/>
                <c:pt idx="0">
                  <c:v>每月增加的数量/个</c:v>
                </c:pt>
              </c:strCache>
            </c:strRef>
          </c:tx>
          <c:spPr>
            <a:solidFill>
              <a:schemeClr val="accent1"/>
            </a:solidFill>
            <a:ln>
              <a:noFill/>
            </a:ln>
            <a:effectLst/>
          </c:spPr>
          <c:invertIfNegative val="0"/>
          <c:dLbls>
            <c:dLbl>
              <c:idx val="25"/>
              <c:layout>
                <c:manualLayout>
                  <c:x val="-0.0284951024042743"/>
                  <c:y val="-0.0217560164317882"/>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Sheet2!$A$2:$A$37</c:f>
              <c:numCache>
                <c:formatCode>mmm\-yy</c:formatCode>
                <c:ptCount val="36"/>
                <c:pt idx="0" c:formatCode="mmm\-yy">
                  <c:v>44228</c:v>
                </c:pt>
                <c:pt idx="1" c:formatCode="mmm\-yy">
                  <c:v>44256</c:v>
                </c:pt>
                <c:pt idx="2" c:formatCode="mmm\-yy">
                  <c:v>44287</c:v>
                </c:pt>
                <c:pt idx="3" c:formatCode="mmm\-yy">
                  <c:v>44317</c:v>
                </c:pt>
                <c:pt idx="4" c:formatCode="mmm\-yy">
                  <c:v>44348</c:v>
                </c:pt>
                <c:pt idx="5" c:formatCode="mmm\-yy">
                  <c:v>44378</c:v>
                </c:pt>
                <c:pt idx="6" c:formatCode="mmm\-yy">
                  <c:v>44409</c:v>
                </c:pt>
                <c:pt idx="7" c:formatCode="mmm\-yy">
                  <c:v>44440</c:v>
                </c:pt>
                <c:pt idx="8" c:formatCode="mmm\-yy">
                  <c:v>44470</c:v>
                </c:pt>
                <c:pt idx="9" c:formatCode="mmm\-yy">
                  <c:v>44501</c:v>
                </c:pt>
                <c:pt idx="10" c:formatCode="mmm\-yy">
                  <c:v>44531</c:v>
                </c:pt>
                <c:pt idx="11" c:formatCode="mmm\-yy">
                  <c:v>44562</c:v>
                </c:pt>
                <c:pt idx="12" c:formatCode="mmm\-yy">
                  <c:v>44593</c:v>
                </c:pt>
                <c:pt idx="13" c:formatCode="mmm\-yy">
                  <c:v>44621</c:v>
                </c:pt>
                <c:pt idx="14" c:formatCode="mmm\-yy">
                  <c:v>44652</c:v>
                </c:pt>
                <c:pt idx="15" c:formatCode="mmm\-yy">
                  <c:v>44682</c:v>
                </c:pt>
                <c:pt idx="16" c:formatCode="mmm\-yy">
                  <c:v>44713</c:v>
                </c:pt>
                <c:pt idx="17" c:formatCode="mmm\-yy">
                  <c:v>44743</c:v>
                </c:pt>
                <c:pt idx="18" c:formatCode="mmm\-yy">
                  <c:v>44774</c:v>
                </c:pt>
                <c:pt idx="19" c:formatCode="mmm\-yy">
                  <c:v>44805</c:v>
                </c:pt>
                <c:pt idx="20" c:formatCode="mmm\-yy">
                  <c:v>44835</c:v>
                </c:pt>
                <c:pt idx="21" c:formatCode="mmm\-yy">
                  <c:v>44866</c:v>
                </c:pt>
                <c:pt idx="22" c:formatCode="mmm\-yy">
                  <c:v>44896</c:v>
                </c:pt>
                <c:pt idx="23" c:formatCode="mmm\-yy">
                  <c:v>44927</c:v>
                </c:pt>
                <c:pt idx="24" c:formatCode="mmm\-yy">
                  <c:v>44958</c:v>
                </c:pt>
                <c:pt idx="25" c:formatCode="mmm\-yy">
                  <c:v>44986</c:v>
                </c:pt>
                <c:pt idx="26" c:formatCode="mmm\-yy">
                  <c:v>45017</c:v>
                </c:pt>
                <c:pt idx="27" c:formatCode="mmm\-yy">
                  <c:v>45047</c:v>
                </c:pt>
                <c:pt idx="28" c:formatCode="mmm\-yy">
                  <c:v>45078</c:v>
                </c:pt>
                <c:pt idx="29" c:formatCode="mmm\-yy">
                  <c:v>45108</c:v>
                </c:pt>
                <c:pt idx="30" c:formatCode="mmm\-yy">
                  <c:v>45139</c:v>
                </c:pt>
                <c:pt idx="31" c:formatCode="mmm\-yy">
                  <c:v>45170</c:v>
                </c:pt>
                <c:pt idx="32" c:formatCode="mmm\-yy">
                  <c:v>45200</c:v>
                </c:pt>
                <c:pt idx="33" c:formatCode="mmm\-yy">
                  <c:v>45231</c:v>
                </c:pt>
                <c:pt idx="34" c:formatCode="mmm\-yy">
                  <c:v>45261</c:v>
                </c:pt>
                <c:pt idx="35" c:formatCode="mmm\-yy">
                  <c:v>45292</c:v>
                </c:pt>
              </c:numCache>
            </c:numRef>
          </c:cat>
          <c:val>
            <c:numRef>
              <c:f>Sheet2!$B$2:$B$37</c:f>
              <c:numCache>
                <c:formatCode>General</c:formatCode>
                <c:ptCount val="36"/>
                <c:pt idx="0">
                  <c:v>4</c:v>
                </c:pt>
                <c:pt idx="1">
                  <c:v>25</c:v>
                </c:pt>
                <c:pt idx="2">
                  <c:v>623</c:v>
                </c:pt>
                <c:pt idx="3">
                  <c:v>570</c:v>
                </c:pt>
                <c:pt idx="4">
                  <c:v>433</c:v>
                </c:pt>
                <c:pt idx="5">
                  <c:v>454</c:v>
                </c:pt>
                <c:pt idx="6">
                  <c:v>491</c:v>
                </c:pt>
                <c:pt idx="7">
                  <c:v>509</c:v>
                </c:pt>
                <c:pt idx="8">
                  <c:v>266</c:v>
                </c:pt>
                <c:pt idx="9">
                  <c:v>228</c:v>
                </c:pt>
                <c:pt idx="10">
                  <c:v>265</c:v>
                </c:pt>
                <c:pt idx="11">
                  <c:v>309</c:v>
                </c:pt>
                <c:pt idx="12">
                  <c:v>437</c:v>
                </c:pt>
                <c:pt idx="13">
                  <c:v>467</c:v>
                </c:pt>
                <c:pt idx="14">
                  <c:v>784</c:v>
                </c:pt>
                <c:pt idx="15">
                  <c:v>509</c:v>
                </c:pt>
                <c:pt idx="16">
                  <c:v>282</c:v>
                </c:pt>
                <c:pt idx="17">
                  <c:v>450</c:v>
                </c:pt>
                <c:pt idx="18">
                  <c:v>523</c:v>
                </c:pt>
                <c:pt idx="19">
                  <c:v>429</c:v>
                </c:pt>
                <c:pt idx="20">
                  <c:v>550</c:v>
                </c:pt>
                <c:pt idx="21">
                  <c:v>614</c:v>
                </c:pt>
                <c:pt idx="22">
                  <c:v>4008</c:v>
                </c:pt>
                <c:pt idx="23">
                  <c:v>14933</c:v>
                </c:pt>
                <c:pt idx="24">
                  <c:v>28685</c:v>
                </c:pt>
                <c:pt idx="25">
                  <c:v>47123</c:v>
                </c:pt>
                <c:pt idx="26">
                  <c:v>47067</c:v>
                </c:pt>
                <c:pt idx="27">
                  <c:v>51609</c:v>
                </c:pt>
                <c:pt idx="28">
                  <c:v>35068</c:v>
                </c:pt>
                <c:pt idx="29">
                  <c:v>25223</c:v>
                </c:pt>
                <c:pt idx="30">
                  <c:v>28288</c:v>
                </c:pt>
                <c:pt idx="31">
                  <c:v>57179</c:v>
                </c:pt>
                <c:pt idx="32">
                  <c:v>52760</c:v>
                </c:pt>
                <c:pt idx="33">
                  <c:v>61750</c:v>
                </c:pt>
                <c:pt idx="34">
                  <c:v>33094</c:v>
                </c:pt>
                <c:pt idx="35">
                  <c:v>20703</c:v>
                </c:pt>
              </c:numCache>
            </c:numRef>
          </c:val>
        </c:ser>
        <c:dLbls>
          <c:showLegendKey val="0"/>
          <c:showVal val="1"/>
          <c:showCatName val="0"/>
          <c:showSerName val="0"/>
          <c:showPercent val="0"/>
          <c:showBubbleSize val="0"/>
        </c:dLbls>
        <c:gapWidth val="219"/>
        <c:overlap val="-27"/>
        <c:axId val="1582998175"/>
        <c:axId val="1582998591"/>
      </c:barChart>
      <c:dateAx>
        <c:axId val="1582998175"/>
        <c:scaling>
          <c:orientation val="minMax"/>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a:t>年月份</a:t>
                </a:r>
                <a:endParaRPr lang="zh-CN" altLang="en-US"/>
              </a:p>
            </c:rich>
          </c:tx>
          <c:layout/>
          <c:overlay val="0"/>
          <c:spPr>
            <a:noFill/>
            <a:ln>
              <a:noFill/>
            </a:ln>
            <a:effectLst/>
          </c:spPr>
        </c:title>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82998591"/>
        <c:crosses val="autoZero"/>
        <c:auto val="1"/>
        <c:lblOffset val="100"/>
        <c:baseTimeUnit val="months"/>
      </c:dateAx>
      <c:valAx>
        <c:axId val="1582998591"/>
        <c:scaling>
          <c:orientation val="minMax"/>
        </c:scaling>
        <c:delete val="0"/>
        <c:axPos val="l"/>
        <c:title>
          <c:tx>
            <c:rich>
              <a:bodyPr rot="-540000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a:t>注册人数</a:t>
                </a:r>
                <a:r>
                  <a:rPr lang="en-US" altLang="zh-CN"/>
                  <a:t>/</a:t>
                </a:r>
                <a:r>
                  <a:rPr altLang="en-US"/>
                  <a:t>人</a:t>
                </a:r>
                <a:endParaRPr lang="en-US" altLang="zh-CN"/>
              </a:p>
            </c:rich>
          </c:tx>
          <c:layout/>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82998175"/>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t>每月用户总数量</a:t>
            </a:r>
          </a:p>
        </c:rich>
      </c:tx>
      <c:layout>
        <c:manualLayout>
          <c:xMode val="edge"/>
          <c:yMode val="edge"/>
          <c:x val="0.43902734091459"/>
          <c:y val="0.00969461948618517"/>
        </c:manualLayout>
      </c:layout>
      <c:overlay val="0"/>
      <c:spPr>
        <a:noFill/>
        <a:ln>
          <a:noFill/>
        </a:ln>
        <a:effectLst/>
      </c:spPr>
    </c:title>
    <c:autoTitleDeleted val="0"/>
    <c:plotArea>
      <c:layout/>
      <c:barChart>
        <c:barDir val="col"/>
        <c:grouping val="clustered"/>
        <c:varyColors val="0"/>
        <c:ser>
          <c:idx val="0"/>
          <c:order val="0"/>
          <c:tx>
            <c:strRef>
              <c:f>Sheet2!$C$1</c:f>
              <c:strCache>
                <c:ptCount val="1"/>
                <c:pt idx="0">
                  <c:v>每月总数量/个</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Sheet2!$A$2:$A$37</c:f>
              <c:numCache>
                <c:formatCode>mmm\-yy</c:formatCode>
                <c:ptCount val="36"/>
                <c:pt idx="0" c:formatCode="mmm\-yy">
                  <c:v>44228</c:v>
                </c:pt>
                <c:pt idx="1" c:formatCode="mmm\-yy">
                  <c:v>44256</c:v>
                </c:pt>
                <c:pt idx="2" c:formatCode="mmm\-yy">
                  <c:v>44287</c:v>
                </c:pt>
                <c:pt idx="3" c:formatCode="mmm\-yy">
                  <c:v>44317</c:v>
                </c:pt>
                <c:pt idx="4" c:formatCode="mmm\-yy">
                  <c:v>44348</c:v>
                </c:pt>
                <c:pt idx="5" c:formatCode="mmm\-yy">
                  <c:v>44378</c:v>
                </c:pt>
                <c:pt idx="6" c:formatCode="mmm\-yy">
                  <c:v>44409</c:v>
                </c:pt>
                <c:pt idx="7" c:formatCode="mmm\-yy">
                  <c:v>44440</c:v>
                </c:pt>
                <c:pt idx="8" c:formatCode="mmm\-yy">
                  <c:v>44470</c:v>
                </c:pt>
                <c:pt idx="9" c:formatCode="mmm\-yy">
                  <c:v>44501</c:v>
                </c:pt>
                <c:pt idx="10" c:formatCode="mmm\-yy">
                  <c:v>44531</c:v>
                </c:pt>
                <c:pt idx="11" c:formatCode="mmm\-yy">
                  <c:v>44562</c:v>
                </c:pt>
                <c:pt idx="12" c:formatCode="mmm\-yy">
                  <c:v>44593</c:v>
                </c:pt>
                <c:pt idx="13" c:formatCode="mmm\-yy">
                  <c:v>44621</c:v>
                </c:pt>
                <c:pt idx="14" c:formatCode="mmm\-yy">
                  <c:v>44652</c:v>
                </c:pt>
                <c:pt idx="15" c:formatCode="mmm\-yy">
                  <c:v>44682</c:v>
                </c:pt>
                <c:pt idx="16" c:formatCode="mmm\-yy">
                  <c:v>44713</c:v>
                </c:pt>
                <c:pt idx="17" c:formatCode="mmm\-yy">
                  <c:v>44743</c:v>
                </c:pt>
                <c:pt idx="18" c:formatCode="mmm\-yy">
                  <c:v>44774</c:v>
                </c:pt>
                <c:pt idx="19" c:formatCode="mmm\-yy">
                  <c:v>44805</c:v>
                </c:pt>
                <c:pt idx="20" c:formatCode="mmm\-yy">
                  <c:v>44835</c:v>
                </c:pt>
                <c:pt idx="21" c:formatCode="mmm\-yy">
                  <c:v>44866</c:v>
                </c:pt>
                <c:pt idx="22" c:formatCode="mmm\-yy">
                  <c:v>44896</c:v>
                </c:pt>
                <c:pt idx="23" c:formatCode="mmm\-yy">
                  <c:v>44927</c:v>
                </c:pt>
                <c:pt idx="24" c:formatCode="mmm\-yy">
                  <c:v>44958</c:v>
                </c:pt>
                <c:pt idx="25" c:formatCode="mmm\-yy">
                  <c:v>44986</c:v>
                </c:pt>
                <c:pt idx="26" c:formatCode="mmm\-yy">
                  <c:v>45017</c:v>
                </c:pt>
                <c:pt idx="27" c:formatCode="mmm\-yy">
                  <c:v>45047</c:v>
                </c:pt>
                <c:pt idx="28" c:formatCode="mmm\-yy">
                  <c:v>45078</c:v>
                </c:pt>
                <c:pt idx="29" c:formatCode="mmm\-yy">
                  <c:v>45108</c:v>
                </c:pt>
                <c:pt idx="30" c:formatCode="mmm\-yy">
                  <c:v>45139</c:v>
                </c:pt>
                <c:pt idx="31" c:formatCode="mmm\-yy">
                  <c:v>45170</c:v>
                </c:pt>
                <c:pt idx="32" c:formatCode="mmm\-yy">
                  <c:v>45200</c:v>
                </c:pt>
                <c:pt idx="33" c:formatCode="mmm\-yy">
                  <c:v>45231</c:v>
                </c:pt>
                <c:pt idx="34" c:formatCode="mmm\-yy">
                  <c:v>45261</c:v>
                </c:pt>
                <c:pt idx="35" c:formatCode="mmm\-yy">
                  <c:v>45292</c:v>
                </c:pt>
              </c:numCache>
            </c:numRef>
          </c:cat>
          <c:val>
            <c:numRef>
              <c:f>Sheet2!$C$2:$C$37</c:f>
              <c:numCache>
                <c:formatCode>General</c:formatCode>
                <c:ptCount val="36"/>
                <c:pt idx="0">
                  <c:v>4</c:v>
                </c:pt>
                <c:pt idx="1">
                  <c:v>29</c:v>
                </c:pt>
                <c:pt idx="2">
                  <c:v>652</c:v>
                </c:pt>
                <c:pt idx="3">
                  <c:v>1222</c:v>
                </c:pt>
                <c:pt idx="4">
                  <c:v>1655</c:v>
                </c:pt>
                <c:pt idx="5">
                  <c:v>2109</c:v>
                </c:pt>
                <c:pt idx="6">
                  <c:v>2600</c:v>
                </c:pt>
                <c:pt idx="7">
                  <c:v>3109</c:v>
                </c:pt>
                <c:pt idx="8">
                  <c:v>3375</c:v>
                </c:pt>
                <c:pt idx="9">
                  <c:v>3603</c:v>
                </c:pt>
                <c:pt idx="10">
                  <c:v>3868</c:v>
                </c:pt>
                <c:pt idx="11">
                  <c:v>4177</c:v>
                </c:pt>
                <c:pt idx="12">
                  <c:v>4614</c:v>
                </c:pt>
                <c:pt idx="13">
                  <c:v>5081</c:v>
                </c:pt>
                <c:pt idx="14">
                  <c:v>5865</c:v>
                </c:pt>
                <c:pt idx="15">
                  <c:v>6374</c:v>
                </c:pt>
                <c:pt idx="16">
                  <c:v>6656</c:v>
                </c:pt>
                <c:pt idx="17">
                  <c:v>7106</c:v>
                </c:pt>
                <c:pt idx="18">
                  <c:v>7629</c:v>
                </c:pt>
                <c:pt idx="19">
                  <c:v>8058</c:v>
                </c:pt>
                <c:pt idx="20">
                  <c:v>8608</c:v>
                </c:pt>
                <c:pt idx="21">
                  <c:v>9222</c:v>
                </c:pt>
                <c:pt idx="22">
                  <c:v>13230</c:v>
                </c:pt>
                <c:pt idx="23">
                  <c:v>28163</c:v>
                </c:pt>
                <c:pt idx="24">
                  <c:v>56848</c:v>
                </c:pt>
                <c:pt idx="25">
                  <c:v>103971</c:v>
                </c:pt>
                <c:pt idx="26">
                  <c:v>151038</c:v>
                </c:pt>
                <c:pt idx="27">
                  <c:v>202647</c:v>
                </c:pt>
                <c:pt idx="28">
                  <c:v>237715</c:v>
                </c:pt>
                <c:pt idx="29">
                  <c:v>262938</c:v>
                </c:pt>
                <c:pt idx="30">
                  <c:v>291226</c:v>
                </c:pt>
                <c:pt idx="31">
                  <c:v>348405</c:v>
                </c:pt>
                <c:pt idx="32">
                  <c:v>401165</c:v>
                </c:pt>
                <c:pt idx="33">
                  <c:v>462915</c:v>
                </c:pt>
                <c:pt idx="34">
                  <c:v>496009</c:v>
                </c:pt>
                <c:pt idx="35">
                  <c:v>516712</c:v>
                </c:pt>
              </c:numCache>
            </c:numRef>
          </c:val>
        </c:ser>
        <c:dLbls>
          <c:showLegendKey val="0"/>
          <c:showVal val="1"/>
          <c:showCatName val="0"/>
          <c:showSerName val="0"/>
          <c:showPercent val="0"/>
          <c:showBubbleSize val="0"/>
        </c:dLbls>
        <c:gapWidth val="246"/>
        <c:overlap val="-28"/>
        <c:axId val="161687804"/>
        <c:axId val="929150877"/>
      </c:barChart>
      <c:dateAx>
        <c:axId val="161687804"/>
        <c:scaling>
          <c:orientation val="minMax"/>
        </c:scaling>
        <c:delete val="0"/>
        <c:axPos val="b"/>
        <c:title>
          <c:tx>
            <c:rich>
              <a:bodyPr rot="0" spcFirstLastPara="0"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t>年月份</a:t>
                </a:r>
              </a:p>
            </c:rich>
          </c:tx>
          <c:layout/>
          <c:overlay val="0"/>
          <c:spPr>
            <a:noFill/>
            <a:ln>
              <a:noFill/>
            </a:ln>
            <a:effectLst/>
          </c:spPr>
        </c:title>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929150877"/>
        <c:crosses val="autoZero"/>
        <c:auto val="1"/>
        <c:lblOffset val="100"/>
        <c:baseTimeUnit val="months"/>
      </c:dateAx>
      <c:valAx>
        <c:axId val="929150877"/>
        <c:scaling>
          <c:orientation val="minMax"/>
        </c:scaling>
        <c:delete val="0"/>
        <c:axPos val="l"/>
        <c:title>
          <c:tx>
            <c:rich>
              <a:bodyPr rot="-5400000" spcFirstLastPara="0"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t>数量</a:t>
                </a:r>
                <a:r>
                  <a:rPr lang="en-US" altLang="zh-CN"/>
                  <a:t>/</a:t>
                </a:r>
                <a:r>
                  <a:rPr altLang="en-US"/>
                  <a:t>人</a:t>
                </a:r>
                <a:endParaRPr lang="en-US" altLang="zh-CN"/>
              </a:p>
            </c:rich>
          </c:tx>
          <c:layout/>
          <c:overlay val="0"/>
          <c:spPr>
            <a:noFill/>
            <a:ln>
              <a:noFill/>
            </a:ln>
            <a:effectLst/>
          </c:spPr>
        </c:title>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616878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t>各策略帖子所占百分比</a:t>
            </a:r>
          </a:p>
        </c:rich>
      </c:tx>
      <c:layout/>
      <c:overlay val="0"/>
      <c:spPr>
        <a:noFill/>
        <a:ln>
          <a:noFill/>
        </a:ln>
        <a:effectLst/>
      </c:spPr>
    </c:title>
    <c:autoTitleDeleted val="0"/>
    <c:plotArea>
      <c:layout>
        <c:manualLayout>
          <c:layoutTarget val="inner"/>
          <c:xMode val="edge"/>
          <c:yMode val="edge"/>
          <c:x val="0.302843581938411"/>
          <c:y val="0.11963796980696"/>
          <c:w val="0.842257529973682"/>
          <c:h val="0.749026977872082"/>
        </c:manualLayout>
      </c:layout>
      <c:doughnutChart>
        <c:varyColors val="1"/>
        <c:ser>
          <c:idx val="0"/>
          <c:order val="0"/>
          <c:tx>
            <c:strRef>
              <c:f>Sheet3!$B$1:$B$14</c:f>
              <c:strCache>
                <c:ptCount val="1"/>
                <c:pt idx="0">
                  <c:v>数量/个 33 33 46 61 191 248 258 269 1638 1827 2553 3868 10050</c:v>
                </c:pt>
              </c:strCache>
            </c:strRef>
          </c:tx>
          <c:spPr/>
          <c:explosion val="0"/>
          <c:dPt>
            <c:idx val="0"/>
            <c:bubble3D val="0"/>
            <c:spPr>
              <a:solidFill>
                <a:schemeClr val="accent1"/>
              </a:solidFill>
              <a:ln>
                <a:solidFill>
                  <a:schemeClr val="bg1"/>
                </a:solidFill>
              </a:ln>
              <a:effectLst/>
            </c:spPr>
          </c:dPt>
          <c:dPt>
            <c:idx val="1"/>
            <c:bubble3D val="0"/>
            <c:spPr>
              <a:solidFill>
                <a:schemeClr val="accent2"/>
              </a:solidFill>
              <a:ln>
                <a:solidFill>
                  <a:schemeClr val="bg1"/>
                </a:solidFill>
              </a:ln>
              <a:effectLst/>
            </c:spPr>
          </c:dPt>
          <c:dPt>
            <c:idx val="2"/>
            <c:bubble3D val="0"/>
            <c:spPr>
              <a:solidFill>
                <a:schemeClr val="accent3"/>
              </a:solidFill>
              <a:ln>
                <a:solidFill>
                  <a:schemeClr val="bg1"/>
                </a:solidFill>
              </a:ln>
              <a:effectLst/>
            </c:spPr>
          </c:dPt>
          <c:dPt>
            <c:idx val="3"/>
            <c:bubble3D val="0"/>
            <c:spPr>
              <a:solidFill>
                <a:schemeClr val="accent4"/>
              </a:solidFill>
              <a:ln>
                <a:solidFill>
                  <a:schemeClr val="bg1"/>
                </a:solidFill>
              </a:ln>
              <a:effectLst/>
            </c:spPr>
          </c:dPt>
          <c:dPt>
            <c:idx val="4"/>
            <c:bubble3D val="0"/>
            <c:spPr>
              <a:solidFill>
                <a:schemeClr val="accent5"/>
              </a:solidFill>
              <a:ln>
                <a:solidFill>
                  <a:schemeClr val="bg1"/>
                </a:solidFill>
              </a:ln>
              <a:effectLst/>
            </c:spPr>
          </c:dPt>
          <c:dPt>
            <c:idx val="5"/>
            <c:bubble3D val="0"/>
            <c:spPr>
              <a:solidFill>
                <a:schemeClr val="accent6"/>
              </a:solidFill>
              <a:ln>
                <a:solidFill>
                  <a:schemeClr val="bg1"/>
                </a:solidFill>
              </a:ln>
              <a:effectLst/>
            </c:spPr>
          </c:dPt>
          <c:dPt>
            <c:idx val="6"/>
            <c:bubble3D val="0"/>
            <c:spPr>
              <a:solidFill>
                <a:schemeClr val="accent1">
                  <a:lumMod val="60000"/>
                </a:schemeClr>
              </a:solidFill>
              <a:ln>
                <a:solidFill>
                  <a:schemeClr val="bg1"/>
                </a:solidFill>
              </a:ln>
              <a:effectLst/>
            </c:spPr>
          </c:dPt>
          <c:dPt>
            <c:idx val="7"/>
            <c:bubble3D val="0"/>
            <c:spPr>
              <a:solidFill>
                <a:schemeClr val="accent2">
                  <a:lumMod val="60000"/>
                </a:schemeClr>
              </a:solidFill>
              <a:ln>
                <a:solidFill>
                  <a:schemeClr val="bg1"/>
                </a:solidFill>
              </a:ln>
              <a:effectLst/>
            </c:spPr>
          </c:dPt>
          <c:dPt>
            <c:idx val="8"/>
            <c:bubble3D val="0"/>
            <c:spPr>
              <a:solidFill>
                <a:schemeClr val="accent3">
                  <a:lumMod val="60000"/>
                </a:schemeClr>
              </a:solidFill>
              <a:ln>
                <a:solidFill>
                  <a:schemeClr val="bg1"/>
                </a:solidFill>
              </a:ln>
              <a:effectLst/>
            </c:spPr>
          </c:dPt>
          <c:dPt>
            <c:idx val="9"/>
            <c:bubble3D val="0"/>
            <c:spPr>
              <a:solidFill>
                <a:schemeClr val="accent4">
                  <a:lumMod val="60000"/>
                </a:schemeClr>
              </a:solidFill>
              <a:ln>
                <a:solidFill>
                  <a:schemeClr val="bg1"/>
                </a:solidFill>
              </a:ln>
              <a:effectLst/>
            </c:spPr>
          </c:dPt>
          <c:dPt>
            <c:idx val="10"/>
            <c:bubble3D val="0"/>
            <c:spPr>
              <a:solidFill>
                <a:schemeClr val="accent5">
                  <a:lumMod val="60000"/>
                </a:schemeClr>
              </a:solidFill>
              <a:ln>
                <a:solidFill>
                  <a:schemeClr val="bg1"/>
                </a:solidFill>
              </a:ln>
              <a:effectLst/>
            </c:spPr>
          </c:dPt>
          <c:dPt>
            <c:idx val="11"/>
            <c:bubble3D val="0"/>
            <c:spPr>
              <a:solidFill>
                <a:schemeClr val="accent6">
                  <a:lumMod val="60000"/>
                </a:schemeClr>
              </a:solidFill>
              <a:ln>
                <a:solidFill>
                  <a:schemeClr val="bg1"/>
                </a:solidFill>
              </a:ln>
              <a:effectLst/>
            </c:spPr>
          </c:dPt>
          <c:dPt>
            <c:idx val="12"/>
            <c:bubble3D val="0"/>
            <c:spPr>
              <a:solidFill>
                <a:schemeClr val="accent1">
                  <a:lumMod val="80000"/>
                  <a:lumOff val="20000"/>
                </a:schemeClr>
              </a:solidFill>
              <a:ln>
                <a:solidFill>
                  <a:schemeClr val="bg1"/>
                </a:solidFill>
              </a:ln>
              <a:effectLst/>
            </c:spPr>
          </c:dPt>
          <c:dLbls>
            <c:dLbl>
              <c:idx val="0"/>
              <c:delete val="1"/>
            </c:dLbl>
            <c:dLbl>
              <c:idx val="1"/>
              <c:delete val="1"/>
            </c:dLbl>
            <c:dLbl>
              <c:idx val="2"/>
              <c:delete val="1"/>
            </c:dLbl>
            <c:dLbl>
              <c:idx val="3"/>
              <c:delete val="1"/>
            </c:dLbl>
            <c:dLbl>
              <c:idx val="4"/>
              <c:delete val="1"/>
            </c:dLbl>
            <c:dLbl>
              <c:idx val="5"/>
              <c:delete val="1"/>
            </c:dLbl>
            <c:dLbl>
              <c:idx val="6"/>
              <c:delete val="1"/>
            </c:dLbl>
            <c:dLbl>
              <c:idx val="7"/>
              <c:delete val="1"/>
            </c:dLbl>
            <c:dLbl>
              <c:idx val="8"/>
              <c:layout>
                <c:manualLayout>
                  <c:x val="0.136937892039933"/>
                  <c:y val="-0.125534188034188"/>
                </c:manualLayout>
              </c:layout>
              <c:showLegendKey val="1"/>
              <c:showVal val="0"/>
              <c:showCatName val="1"/>
              <c:showSerName val="0"/>
              <c:showPercent val="1"/>
              <c:showBubbleSize val="0"/>
              <c:separator>
</c:separator>
              <c:extLst>
                <c:ext xmlns:c15="http://schemas.microsoft.com/office/drawing/2012/chart" uri="{CE6537A1-D6FC-4f65-9D91-7224C49458BB}">
                  <c15:layout/>
                </c:ext>
              </c:extLst>
            </c:dLbl>
            <c:dLbl>
              <c:idx val="9"/>
              <c:layout>
                <c:manualLayout>
                  <c:x val="0.125452778514003"/>
                  <c:y val="-0.0587606837606838"/>
                </c:manualLayout>
              </c:layout>
              <c:showLegendKey val="1"/>
              <c:showVal val="0"/>
              <c:showCatName val="1"/>
              <c:showSerName val="0"/>
              <c:showPercent val="1"/>
              <c:showBubbleSize val="0"/>
              <c:separator>
</c:separator>
              <c:extLst>
                <c:ext xmlns:c15="http://schemas.microsoft.com/office/drawing/2012/chart" uri="{CE6537A1-D6FC-4f65-9D91-7224C49458BB}">
                  <c15:layout/>
                </c:ext>
              </c:extLst>
            </c:dLbl>
            <c:dLbl>
              <c:idx val="10"/>
              <c:layout>
                <c:manualLayout>
                  <c:x val="0.116618075801749"/>
                  <c:y val="0"/>
                </c:manualLayout>
              </c:layout>
              <c:showLegendKey val="1"/>
              <c:showVal val="0"/>
              <c:showCatName val="1"/>
              <c:showSerName val="0"/>
              <c:showPercent val="1"/>
              <c:showBubbleSize val="0"/>
              <c:separator>
</c:separator>
              <c:extLst>
                <c:ext xmlns:c15="http://schemas.microsoft.com/office/drawing/2012/chart" uri="{CE6537A1-D6FC-4f65-9D91-7224C49458BB}">
                  <c15:layout/>
                </c:ext>
              </c:extLst>
            </c:dLbl>
            <c:dLbl>
              <c:idx val="11"/>
              <c:layout>
                <c:manualLayout>
                  <c:x val="0.178460994787525"/>
                  <c:y val="-0.0347222222222222"/>
                </c:manualLayout>
              </c:layout>
              <c:showLegendKey val="1"/>
              <c:showVal val="0"/>
              <c:showCatName val="1"/>
              <c:showSerName val="0"/>
              <c:showPercent val="1"/>
              <c:showBubbleSize val="0"/>
              <c:separator>
</c:separator>
              <c:extLst>
                <c:ext xmlns:c15="http://schemas.microsoft.com/office/drawing/2012/chart" uri="{CE6537A1-D6FC-4f65-9D91-7224C49458BB}">
                  <c15:layout/>
                </c:ext>
              </c:extLst>
            </c:dLbl>
            <c:dLbl>
              <c:idx val="12"/>
              <c:layout>
                <c:manualLayout>
                  <c:x val="-0.149306475837088"/>
                  <c:y val="0.0347222222222222"/>
                </c:manualLayout>
              </c:layout>
              <c:showLegendKey val="1"/>
              <c:showVal val="0"/>
              <c:showCatName val="1"/>
              <c:showSerName val="0"/>
              <c:showPercent val="1"/>
              <c:showBubbleSize val="0"/>
              <c:separator>
</c:separator>
              <c:extLst>
                <c:ext xmlns:c15="http://schemas.microsoft.com/office/drawing/2012/chart" uri="{CE6537A1-D6FC-4f65-9D91-7224C49458BB}">
                  <c15:layout/>
                </c:ext>
              </c:extLst>
            </c:dLbl>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showLegendKey val="1"/>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Sheet3!$A$2:$A$15</c:f>
              <c:strCache>
                <c:ptCount val="14"/>
                <c:pt idx="0">
                  <c:v>Announcements</c:v>
                </c:pt>
                <c:pt idx="1">
                  <c:v>Deprecations</c:v>
                </c:pt>
                <c:pt idx="2">
                  <c:v>Forum feedback</c:v>
                </c:pt>
                <c:pt idx="3">
                  <c:v>Plugin store</c:v>
                </c:pt>
                <c:pt idx="4">
                  <c:v>Feedback</c:v>
                </c:pt>
                <c:pt idx="5">
                  <c:v>GPT builders</c:v>
                </c:pt>
                <c:pt idx="6">
                  <c:v>Documentation</c:v>
                </c:pt>
                <c:pt idx="7">
                  <c:v>Bugs</c:v>
                </c:pt>
                <c:pt idx="8">
                  <c:v>Plugins / Actions builders</c:v>
                </c:pt>
                <c:pt idx="9">
                  <c:v>Prompting</c:v>
                </c:pt>
                <c:pt idx="10">
                  <c:v>Community</c:v>
                </c:pt>
                <c:pt idx="11">
                  <c:v>ChatGPT</c:v>
                </c:pt>
                <c:pt idx="12">
                  <c:v>API</c:v>
                </c:pt>
                <c:pt idx="13">
                  <c:v>总计数</c:v>
                </c:pt>
              </c:strCache>
            </c:strRef>
          </c:cat>
          <c:val>
            <c:numRef>
              <c:f>Sheet3!$B$2:$B$14</c:f>
              <c:numCache>
                <c:formatCode>General</c:formatCode>
                <c:ptCount val="13"/>
                <c:pt idx="0">
                  <c:v>33</c:v>
                </c:pt>
                <c:pt idx="1">
                  <c:v>33</c:v>
                </c:pt>
                <c:pt idx="2">
                  <c:v>46</c:v>
                </c:pt>
                <c:pt idx="3">
                  <c:v>61</c:v>
                </c:pt>
                <c:pt idx="4">
                  <c:v>191</c:v>
                </c:pt>
                <c:pt idx="5">
                  <c:v>248</c:v>
                </c:pt>
                <c:pt idx="6">
                  <c:v>258</c:v>
                </c:pt>
                <c:pt idx="7">
                  <c:v>269</c:v>
                </c:pt>
                <c:pt idx="8">
                  <c:v>1638</c:v>
                </c:pt>
                <c:pt idx="9">
                  <c:v>1827</c:v>
                </c:pt>
                <c:pt idx="10">
                  <c:v>2553</c:v>
                </c:pt>
                <c:pt idx="11">
                  <c:v>3868</c:v>
                </c:pt>
                <c:pt idx="12">
                  <c:v>10050</c:v>
                </c:pt>
              </c:numCache>
            </c:numRef>
          </c:val>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l"/>
      <c:layout>
        <c:manualLayout>
          <c:xMode val="edge"/>
          <c:yMode val="edge"/>
          <c:x val="0.0106016432547045"/>
          <c:y val="0.148237179487179"/>
          <c:w val="0.188885943987985"/>
          <c:h val="0.646367521367521"/>
        </c:manualLayout>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rPr altLang="en-US"/>
              <a:t>三级类别所占比例</a:t>
            </a:r>
            <a:endParaRPr lang="en-US" altLang="zh-CN"/>
          </a:p>
        </c:rich>
      </c:tx>
      <c:layout>
        <c:manualLayout>
          <c:xMode val="edge"/>
          <c:yMode val="edge"/>
          <c:x val="0.466193782070631"/>
          <c:y val="0.0176565008025682"/>
        </c:manualLayout>
      </c:layout>
      <c:overlay val="0"/>
      <c:spPr>
        <a:noFill/>
        <a:ln>
          <a:noFill/>
        </a:ln>
        <a:effectLst/>
      </c:spPr>
    </c:title>
    <c:autoTitleDeleted val="0"/>
    <c:plotArea>
      <c:layout/>
      <c:pieChart>
        <c:varyColors val="1"/>
        <c:ser>
          <c:idx val="0"/>
          <c:order val="0"/>
          <c:tx>
            <c:strRef>
              <c:f>Sheet5!$H$1</c:f>
              <c:strCache>
                <c:ptCount val="1"/>
                <c:pt idx="0">
                  <c:v>数量/个</c:v>
                </c:pt>
              </c:strCache>
            </c:strRef>
          </c:tx>
          <c:spPr/>
          <c:explosion val="0"/>
          <c:dPt>
            <c:idx val="0"/>
            <c:bubble3D val="0"/>
            <c:spPr>
              <a:solidFill>
                <a:schemeClr val="accent1"/>
              </a:solidFill>
              <a:ln>
                <a:solidFill>
                  <a:schemeClr val="bg1"/>
                </a:solidFill>
              </a:ln>
              <a:effectLst/>
            </c:spPr>
          </c:dPt>
          <c:dPt>
            <c:idx val="1"/>
            <c:bubble3D val="0"/>
            <c:spPr>
              <a:solidFill>
                <a:schemeClr val="accent2"/>
              </a:solidFill>
              <a:ln>
                <a:solidFill>
                  <a:schemeClr val="bg1"/>
                </a:solidFill>
              </a:ln>
              <a:effectLst/>
            </c:spPr>
          </c:dPt>
          <c:dPt>
            <c:idx val="2"/>
            <c:bubble3D val="0"/>
            <c:spPr>
              <a:solidFill>
                <a:schemeClr val="accent3"/>
              </a:solidFill>
              <a:ln>
                <a:solidFill>
                  <a:schemeClr val="bg1"/>
                </a:solidFill>
              </a:ln>
              <a:effectLst/>
            </c:spPr>
          </c:dPt>
          <c:dPt>
            <c:idx val="3"/>
            <c:bubble3D val="0"/>
            <c:spPr>
              <a:solidFill>
                <a:schemeClr val="accent4"/>
              </a:solidFill>
              <a:ln>
                <a:solidFill>
                  <a:schemeClr val="bg1"/>
                </a:solidFill>
              </a:ln>
              <a:effectLst/>
            </c:spPr>
          </c:dPt>
          <c:dPt>
            <c:idx val="4"/>
            <c:bubble3D val="0"/>
            <c:spPr>
              <a:solidFill>
                <a:schemeClr val="accent5"/>
              </a:solidFill>
              <a:ln>
                <a:solidFill>
                  <a:schemeClr val="bg1"/>
                </a:solidFill>
              </a:ln>
              <a:effectLst/>
            </c:spPr>
          </c:dPt>
          <c:dPt>
            <c:idx val="5"/>
            <c:bubble3D val="0"/>
            <c:spPr>
              <a:solidFill>
                <a:schemeClr val="accent6"/>
              </a:solidFill>
              <a:ln>
                <a:solidFill>
                  <a:schemeClr val="bg1"/>
                </a:solidFill>
              </a:ln>
              <a:effectLst/>
            </c:spPr>
          </c:dPt>
          <c:dPt>
            <c:idx val="6"/>
            <c:bubble3D val="0"/>
            <c:spPr>
              <a:solidFill>
                <a:schemeClr val="accent1">
                  <a:lumMod val="60000"/>
                </a:schemeClr>
              </a:solidFill>
              <a:ln>
                <a:solidFill>
                  <a:schemeClr val="bg1"/>
                </a:solidFill>
              </a:ln>
              <a:effectLst/>
            </c:spPr>
          </c:dPt>
          <c:dPt>
            <c:idx val="7"/>
            <c:bubble3D val="0"/>
            <c:spPr>
              <a:solidFill>
                <a:schemeClr val="accent2">
                  <a:lumMod val="60000"/>
                </a:schemeClr>
              </a:solidFill>
              <a:ln>
                <a:solidFill>
                  <a:schemeClr val="bg1"/>
                </a:solidFill>
              </a:ln>
              <a:effectLst/>
            </c:spPr>
          </c:dPt>
          <c:dPt>
            <c:idx val="8"/>
            <c:bubble3D val="0"/>
            <c:spPr>
              <a:solidFill>
                <a:schemeClr val="accent3">
                  <a:lumMod val="60000"/>
                </a:schemeClr>
              </a:solidFill>
              <a:ln>
                <a:solidFill>
                  <a:schemeClr val="bg1"/>
                </a:solidFill>
              </a:ln>
              <a:effectLst/>
            </c:spPr>
          </c:dPt>
          <c:dPt>
            <c:idx val="9"/>
            <c:bubble3D val="0"/>
            <c:spPr>
              <a:solidFill>
                <a:schemeClr val="accent4">
                  <a:lumMod val="60000"/>
                </a:schemeClr>
              </a:solidFill>
              <a:ln>
                <a:solidFill>
                  <a:schemeClr val="bg1"/>
                </a:solidFill>
              </a:ln>
              <a:effectLst/>
            </c:spPr>
          </c:dPt>
          <c:dPt>
            <c:idx val="10"/>
            <c:bubble3D val="0"/>
            <c:spPr>
              <a:solidFill>
                <a:schemeClr val="accent5">
                  <a:lumMod val="60000"/>
                </a:schemeClr>
              </a:solidFill>
              <a:ln>
                <a:solidFill>
                  <a:schemeClr val="bg1"/>
                </a:solidFill>
              </a:ln>
              <a:effectLst/>
            </c:spPr>
          </c:dPt>
          <c:dPt>
            <c:idx val="11"/>
            <c:bubble3D val="0"/>
            <c:spPr>
              <a:solidFill>
                <a:schemeClr val="accent6">
                  <a:lumMod val="60000"/>
                </a:schemeClr>
              </a:solidFill>
              <a:ln>
                <a:solidFill>
                  <a:schemeClr val="bg1"/>
                </a:solidFill>
              </a:ln>
              <a:effectLst/>
            </c:spPr>
          </c:dPt>
          <c:dPt>
            <c:idx val="12"/>
            <c:bubble3D val="0"/>
            <c:spPr>
              <a:solidFill>
                <a:schemeClr val="accent1">
                  <a:lumMod val="80000"/>
                  <a:lumOff val="20000"/>
                </a:schemeClr>
              </a:solidFill>
              <a:ln>
                <a:solidFill>
                  <a:schemeClr val="bg1"/>
                </a:solidFill>
              </a:ln>
              <a:effectLst/>
            </c:spPr>
          </c:dPt>
          <c:dPt>
            <c:idx val="13"/>
            <c:bubble3D val="0"/>
            <c:spPr>
              <a:solidFill>
                <a:schemeClr val="accent2">
                  <a:lumMod val="80000"/>
                  <a:lumOff val="20000"/>
                </a:schemeClr>
              </a:solidFill>
              <a:ln>
                <a:solidFill>
                  <a:schemeClr val="bg1"/>
                </a:solidFill>
              </a:ln>
              <a:effectLst/>
            </c:spPr>
          </c:dPt>
          <c:dLbls>
            <c:dLbl>
              <c:idx val="8"/>
              <c:layout>
                <c:manualLayout>
                  <c:x val="-0.0319322619157447"/>
                  <c:y val="-0.0112672036140758"/>
                </c:manualLayout>
              </c:layout>
              <c:dLblPos val="bestFit"/>
              <c:showLegendKey val="0"/>
              <c:showVal val="0"/>
              <c:showCatName val="1"/>
              <c:showSerName val="0"/>
              <c:showPercent val="1"/>
              <c:showBubbleSize val="0"/>
              <c:separator>
</c:separator>
              <c:extLst>
                <c:ext xmlns:c15="http://schemas.microsoft.com/office/drawing/2012/chart" uri="{CE6537A1-D6FC-4f65-9D91-7224C49458BB}">
                  <c15:layout/>
                </c:ext>
              </c:extLst>
            </c:dLbl>
            <c:dLbl>
              <c:idx val="9"/>
              <c:layout/>
              <c:dLblPos val="bestFit"/>
              <c:showLegendKey val="0"/>
              <c:showVal val="0"/>
              <c:showCatName val="0"/>
              <c:showSerName val="0"/>
              <c:showPercent val="0"/>
              <c:showBubbleSize val="0"/>
              <c:extLst>
                <c:ext xmlns:c15="http://schemas.microsoft.com/office/drawing/2012/chart" uri="{CE6537A1-D6FC-4f65-9D91-7224C49458BB}"/>
              </c:extLst>
            </c:dLbl>
            <c:dLbl>
              <c:idx val="10"/>
              <c:layout/>
              <c:dLblPos val="bestFit"/>
              <c:showLegendKey val="0"/>
              <c:showVal val="0"/>
              <c:showCatName val="0"/>
              <c:showSerName val="0"/>
              <c:showPercent val="0"/>
              <c:showBubbleSize val="0"/>
              <c:extLst>
                <c:ext xmlns:c15="http://schemas.microsoft.com/office/drawing/2012/chart" uri="{CE6537A1-D6FC-4f65-9D91-7224C49458BB}"/>
              </c:extLst>
            </c:dLbl>
            <c:dLbl>
              <c:idx val="11"/>
              <c:layout>
                <c:manualLayout>
                  <c:x val="0.0207750599524213"/>
                  <c:y val="0.137716340187079"/>
                </c:manualLayout>
              </c:layout>
              <c:dLblPos val="bestFit"/>
              <c:showLegendKey val="0"/>
              <c:showVal val="1"/>
              <c:showCatName val="1"/>
              <c:showSerName val="0"/>
              <c:showPercent val="0"/>
              <c:showBubbleSize val="0"/>
              <c:separator>
</c:separator>
              <c:extLst>
                <c:ext xmlns:c15="http://schemas.microsoft.com/office/drawing/2012/chart" uri="{CE6537A1-D6FC-4f65-9D91-7224C49458BB}">
                  <c15:layout/>
                </c:ext>
              </c:extLst>
            </c:dLbl>
            <c:dLbl>
              <c:idx val="12"/>
              <c:layout>
                <c:manualLayout>
                  <c:x val="8.07070925986605e-5"/>
                  <c:y val="0.000222663010159898"/>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0679506600303"/>
                      <c:h val="0.0769886363636364"/>
                    </c:manualLayout>
                  </c15:layout>
                </c:ext>
              </c:extLst>
            </c:dLbl>
            <c:dLbl>
              <c:idx val="13"/>
              <c:layout>
                <c:manualLayout>
                  <c:x val="0.0737311904124026"/>
                  <c:y val="0.0414293670268518"/>
                </c:manualLayout>
              </c:layout>
              <c:dLblPos val="bestFit"/>
              <c:showLegendKey val="0"/>
              <c:showVal val="0"/>
              <c:showCatName val="1"/>
              <c:showSerName val="0"/>
              <c:showPercent val="1"/>
              <c:showBubbleSize val="0"/>
              <c:extLst>
                <c:ext xmlns:c15="http://schemas.microsoft.com/office/drawing/2012/chart" uri="{CE6537A1-D6FC-4f65-9D91-7224C49458BB}">
                  <c15:layout/>
                </c:ext>
              </c:extLst>
            </c:dLbl>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bestFit"/>
            <c:showLegendKey val="0"/>
            <c:showVal val="0"/>
            <c:showCatName val="1"/>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Sheet5!$F$2:$F$15</c:f>
              <c:strCache>
                <c:ptCount val="14"/>
                <c:pt idx="0">
                  <c:v>General Questions</c:v>
                </c:pt>
                <c:pt idx="1">
                  <c:v>API Usage Issues</c:v>
                </c:pt>
                <c:pt idx="2">
                  <c:v>Defects in API</c:v>
                </c:pt>
                <c:pt idx="3">
                  <c:v>Prompt Engineering</c:v>
                </c:pt>
                <c:pt idx="4">
                  <c:v>Capabilities</c:v>
                </c:pt>
                <c:pt idx="5">
                  <c:v>Non-functional Requirements</c:v>
                </c:pt>
                <c:pt idx="6">
                  <c:v>Feature Requests</c:v>
                </c:pt>
                <c:pt idx="7">
                  <c:v>Development</c:v>
                </c:pt>
                <c:pt idx="8">
                  <c:v>Testing</c:v>
                </c:pt>
                <c:pt idx="9">
                  <c:v>Release</c:v>
                </c:pt>
                <c:pt idx="10">
                  <c:v>Bug</c:v>
                </c:pt>
                <c:pt idx="11">
                  <c:v>Non-Functional Issues</c:v>
                </c:pt>
                <c:pt idx="12">
                  <c:v>Promotion</c:v>
                </c:pt>
                <c:pt idx="13">
                  <c:v>Suggestions</c:v>
                </c:pt>
              </c:strCache>
            </c:strRef>
          </c:cat>
          <c:val>
            <c:numRef>
              <c:f>Sheet5!$H$2:$H$15</c:f>
              <c:numCache>
                <c:formatCode>General</c:formatCode>
                <c:ptCount val="14"/>
                <c:pt idx="0">
                  <c:v>445</c:v>
                </c:pt>
                <c:pt idx="1">
                  <c:v>506</c:v>
                </c:pt>
                <c:pt idx="2">
                  <c:v>212</c:v>
                </c:pt>
                <c:pt idx="3">
                  <c:v>95</c:v>
                </c:pt>
                <c:pt idx="4">
                  <c:v>493</c:v>
                </c:pt>
                <c:pt idx="5">
                  <c:v>249</c:v>
                </c:pt>
                <c:pt idx="6">
                  <c:v>39</c:v>
                </c:pt>
                <c:pt idx="7">
                  <c:v>99</c:v>
                </c:pt>
                <c:pt idx="8">
                  <c:v>11</c:v>
                </c:pt>
                <c:pt idx="9">
                  <c:v>3</c:v>
                </c:pt>
                <c:pt idx="10">
                  <c:v>16</c:v>
                </c:pt>
                <c:pt idx="11">
                  <c:v>29</c:v>
                </c:pt>
                <c:pt idx="12">
                  <c:v>43</c:v>
                </c:pt>
                <c:pt idx="13">
                  <c:v>13</c:v>
                </c:pt>
              </c:numCache>
            </c:numRef>
          </c:val>
        </c:ser>
        <c:dLbls>
          <c:showLegendKey val="0"/>
          <c:showVal val="1"/>
          <c:showCatName val="0"/>
          <c:showSerName val="0"/>
          <c:showPercent val="0"/>
          <c:showBubbleSize val="0"/>
          <c:showLeaderLines val="1"/>
        </c:dLbls>
        <c:firstSliceAng val="0"/>
      </c:pieChart>
      <c:spPr>
        <a:noFill/>
        <a:ln>
          <a:noFill/>
        </a:ln>
        <a:effectLst/>
      </c:spPr>
    </c:plotArea>
    <c:legend>
      <c:legendPos val="l"/>
      <c:layout>
        <c:manualLayout>
          <c:xMode val="edge"/>
          <c:yMode val="edge"/>
          <c:x val="0.00805396154233364"/>
          <c:y val="0.301379310344828"/>
          <c:w val="0.287929125138427"/>
          <c:h val="0.454022988505747"/>
        </c:manualLayout>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t>各叶子类别的数量</a:t>
            </a:r>
          </a:p>
        </c:rich>
      </c:tx>
      <c:layout>
        <c:manualLayout>
          <c:xMode val="edge"/>
          <c:yMode val="edge"/>
          <c:x val="0.478080761954465"/>
          <c:y val="0.00842330959491538"/>
        </c:manualLayout>
      </c:layout>
      <c:overlay val="0"/>
      <c:spPr>
        <a:noFill/>
        <a:ln>
          <a:noFill/>
        </a:ln>
        <a:effectLst/>
      </c:spPr>
    </c:title>
    <c:autoTitleDeleted val="0"/>
    <c:plotArea>
      <c:layout>
        <c:manualLayout>
          <c:layoutTarget val="inner"/>
          <c:xMode val="edge"/>
          <c:yMode val="edge"/>
          <c:x val="0.115320845896878"/>
          <c:y val="0.0560532965770733"/>
          <c:w val="0.869022555499168"/>
          <c:h val="0.744498047323685"/>
        </c:manualLayout>
      </c:layout>
      <c:barChart>
        <c:barDir val="col"/>
        <c:grouping val="clustered"/>
        <c:varyColors val="0"/>
        <c:ser>
          <c:idx val="0"/>
          <c:order val="0"/>
          <c:tx>
            <c:strRef>
              <c:f>Sheet4!$H$1</c:f>
              <c:strCache>
                <c:ptCount val="1"/>
                <c:pt idx="0">
                  <c:v>数量/个</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Sheet4!$F$2:$F$40</c:f>
              <c:strCache>
                <c:ptCount val="39"/>
                <c:pt idx="0">
                  <c:v>Token Number Calculation</c:v>
                </c:pt>
                <c:pt idx="1">
                  <c:v>Content Fitering</c:v>
                </c:pt>
                <c:pt idx="2">
                  <c:v>Conceptiona  Question</c:v>
                </c:pt>
                <c:pt idx="3">
                  <c:v>Professional Guidance</c:v>
                </c:pt>
                <c:pt idx="4">
                  <c:v>Parameter Setting</c:v>
                </c:pt>
                <c:pt idx="5">
                  <c:v>API Usage Assistance</c:v>
                </c:pt>
                <c:pt idx="6">
                  <c:v>Errors in API Calling</c:v>
                </c:pt>
                <c:pt idx="7">
                  <c:v>Prompt Optimization</c:v>
                </c:pt>
                <c:pt idx="8">
                  <c:v>Bug</c:v>
                </c:pt>
                <c:pt idx="9">
                  <c:v>Unsatisfactory Output</c:v>
                </c:pt>
                <c:pt idx="10">
                  <c:v>Chain of Thought</c:v>
                </c:pt>
                <c:pt idx="11">
                  <c:v>In-context Learning</c:v>
                </c:pt>
                <c:pt idx="12">
                  <c:v>Retrieval Augmented Generation</c:v>
                </c:pt>
                <c:pt idx="13">
                  <c:v>Zero-shot Prompting</c:v>
                </c:pt>
                <c:pt idx="14">
                  <c:v>Tree of Thoughts</c:v>
                </c:pt>
                <c:pt idx="15">
                  <c:v>Text Genergtion</c:v>
                </c:pt>
                <c:pt idx="16">
                  <c:v>Image Genergtio</c:v>
                </c:pt>
                <c:pt idx="17">
                  <c:v>Audio API</c:v>
                </c:pt>
                <c:pt idx="18">
                  <c:v>Assistants API</c:v>
                </c:pt>
                <c:pt idx="19">
                  <c:v>Embeddings</c:v>
                </c:pt>
                <c:pt idx="20">
                  <c:v>Fine-tuning</c:v>
                </c:pt>
                <c:pt idx="21">
                  <c:v>tsiot</c:v>
                </c:pt>
                <c:pt idx="22">
                  <c:v>Function Calling</c:v>
                </c:pt>
                <c:pt idx="23">
                  <c:v>Charge</c:v>
                </c:pt>
                <c:pt idx="24">
                  <c:v>Rate limitation</c:v>
                </c:pt>
                <c:pt idx="25">
                  <c:v>Token imitatiol</c:v>
                </c:pt>
                <c:pt idx="26">
                  <c:v>Security</c:v>
                </c:pt>
                <c:pt idx="27">
                  <c:v>Privacy</c:v>
                </c:pt>
                <c:pt idx="28">
                  <c:v>Regulations</c:v>
                </c:pt>
                <c:pt idx="29">
                  <c:v>Version Problem</c:v>
                </c:pt>
                <c:pt idx="30">
                  <c:v>Technical Issues</c:v>
                </c:pt>
                <c:pt idx="31">
                  <c:v>Ordinary Problems</c:v>
                </c:pt>
                <c:pt idx="32">
                  <c:v>Functionality Failure</c:v>
                </c:pt>
                <c:pt idx="33">
                  <c:v>Performance</c:v>
                </c:pt>
                <c:pt idx="34">
                  <c:v>Compatibility</c:v>
                </c:pt>
                <c:pt idx="35">
                  <c:v>Cost Issues</c:v>
                </c:pt>
                <c:pt idx="36">
                  <c:v>Data Protection</c:v>
                </c:pt>
                <c:pt idx="37">
                  <c:v>Documentation Concerns</c:v>
                </c:pt>
                <c:pt idx="38">
                  <c:v>Rule Constraints</c:v>
                </c:pt>
              </c:strCache>
            </c:strRef>
          </c:cat>
          <c:val>
            <c:numRef>
              <c:f>Sheet4!$H$2:$H$40</c:f>
              <c:numCache>
                <c:formatCode>General</c:formatCode>
                <c:ptCount val="39"/>
                <c:pt idx="0">
                  <c:v>16</c:v>
                </c:pt>
                <c:pt idx="1">
                  <c:v>10</c:v>
                </c:pt>
                <c:pt idx="2">
                  <c:v>86</c:v>
                </c:pt>
                <c:pt idx="3">
                  <c:v>333</c:v>
                </c:pt>
                <c:pt idx="4">
                  <c:v>20</c:v>
                </c:pt>
                <c:pt idx="5">
                  <c:v>69</c:v>
                </c:pt>
                <c:pt idx="6">
                  <c:v>374</c:v>
                </c:pt>
                <c:pt idx="7">
                  <c:v>43</c:v>
                </c:pt>
                <c:pt idx="8">
                  <c:v>74</c:v>
                </c:pt>
                <c:pt idx="9">
                  <c:v>138</c:v>
                </c:pt>
                <c:pt idx="10">
                  <c:v>85</c:v>
                </c:pt>
                <c:pt idx="11">
                  <c:v>5</c:v>
                </c:pt>
                <c:pt idx="12">
                  <c:v>3</c:v>
                </c:pt>
                <c:pt idx="13">
                  <c:v>0</c:v>
                </c:pt>
                <c:pt idx="14">
                  <c:v>2</c:v>
                </c:pt>
                <c:pt idx="15">
                  <c:v>127</c:v>
                </c:pt>
                <c:pt idx="16">
                  <c:v>54</c:v>
                </c:pt>
                <c:pt idx="17">
                  <c:v>29</c:v>
                </c:pt>
                <c:pt idx="18">
                  <c:v>71</c:v>
                </c:pt>
                <c:pt idx="19">
                  <c:v>35</c:v>
                </c:pt>
                <c:pt idx="20">
                  <c:v>134</c:v>
                </c:pt>
                <c:pt idx="21">
                  <c:v>16</c:v>
                </c:pt>
                <c:pt idx="22">
                  <c:v>27</c:v>
                </c:pt>
                <c:pt idx="23">
                  <c:v>62</c:v>
                </c:pt>
                <c:pt idx="24">
                  <c:v>67</c:v>
                </c:pt>
                <c:pt idx="25">
                  <c:v>40</c:v>
                </c:pt>
                <c:pt idx="26">
                  <c:v>12</c:v>
                </c:pt>
                <c:pt idx="27">
                  <c:v>11</c:v>
                </c:pt>
                <c:pt idx="28">
                  <c:v>46</c:v>
                </c:pt>
                <c:pt idx="29">
                  <c:v>11</c:v>
                </c:pt>
                <c:pt idx="30">
                  <c:v>55</c:v>
                </c:pt>
                <c:pt idx="31">
                  <c:v>44</c:v>
                </c:pt>
                <c:pt idx="32">
                  <c:v>9</c:v>
                </c:pt>
                <c:pt idx="33">
                  <c:v>6</c:v>
                </c:pt>
                <c:pt idx="34">
                  <c:v>1</c:v>
                </c:pt>
                <c:pt idx="35">
                  <c:v>7</c:v>
                </c:pt>
                <c:pt idx="36">
                  <c:v>5</c:v>
                </c:pt>
                <c:pt idx="37">
                  <c:v>5</c:v>
                </c:pt>
                <c:pt idx="38">
                  <c:v>12</c:v>
                </c:pt>
              </c:numCache>
            </c:numRef>
          </c:val>
        </c:ser>
        <c:dLbls>
          <c:showLegendKey val="0"/>
          <c:showVal val="1"/>
          <c:showCatName val="0"/>
          <c:showSerName val="0"/>
          <c:showPercent val="0"/>
          <c:showBubbleSize val="0"/>
        </c:dLbls>
        <c:gapWidth val="246"/>
        <c:overlap val="-28"/>
        <c:axId val="558644388"/>
        <c:axId val="262795577"/>
      </c:barChart>
      <c:catAx>
        <c:axId val="558644388"/>
        <c:scaling>
          <c:orientation val="minMax"/>
        </c:scaling>
        <c:delete val="0"/>
        <c:axPos val="b"/>
        <c:title>
          <c:tx>
            <c:rich>
              <a:bodyPr rot="0" spcFirstLastPara="0"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t>叶子类别</a:t>
                </a:r>
              </a:p>
            </c:rich>
          </c:tx>
          <c:layout/>
          <c:overlay val="0"/>
          <c:spPr>
            <a:noFill/>
            <a:ln>
              <a:noFill/>
            </a:ln>
            <a:effectLst/>
          </c:sp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62795577"/>
        <c:crosses val="autoZero"/>
        <c:auto val="1"/>
        <c:lblAlgn val="ctr"/>
        <c:lblOffset val="100"/>
        <c:noMultiLvlLbl val="0"/>
      </c:catAx>
      <c:valAx>
        <c:axId val="262795577"/>
        <c:scaling>
          <c:orientation val="minMax"/>
        </c:scaling>
        <c:delete val="0"/>
        <c:axPos val="l"/>
        <c:title>
          <c:tx>
            <c:rich>
              <a:bodyPr rot="-5400000" spcFirstLastPara="0"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rPr altLang="en-US"/>
                  <a:t>数量</a:t>
                </a:r>
                <a:r>
                  <a:rPr lang="en-US" altLang="zh-CN"/>
                  <a:t>/</a:t>
                </a:r>
                <a:r>
                  <a:rPr altLang="en-US"/>
                  <a:t>个</a:t>
                </a:r>
                <a:endParaRPr lang="en-US" altLang="zh-CN"/>
              </a:p>
            </c:rich>
          </c:tx>
          <c:layout>
            <c:manualLayout>
              <c:xMode val="edge"/>
              <c:yMode val="edge"/>
              <c:x val="0.0143518820536238"/>
              <c:y val="0.415552492533885"/>
            </c:manualLayout>
          </c:layout>
          <c:overlay val="0"/>
          <c:spPr>
            <a:noFill/>
            <a:ln>
              <a:noFill/>
            </a:ln>
            <a:effectLst/>
          </c:spPr>
        </c:title>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586443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externalData r:id="rId1">
    <c:autoUpdate val="0"/>
  </c:externalData>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rPr altLang="en-US"/>
              <a:t>每月新增加各</a:t>
            </a:r>
            <a:r>
              <a:rPr lang="en-US" altLang="zh-CN"/>
              <a:t>categories</a:t>
            </a:r>
            <a:r>
              <a:rPr altLang="en-US"/>
              <a:t>的帖子数量</a:t>
            </a:r>
            <a:endParaRPr lang="en-US" altLang="zh-CN"/>
          </a:p>
        </c:rich>
      </c:tx>
      <c:layout/>
      <c:overlay val="0"/>
      <c:spPr>
        <a:noFill/>
        <a:ln>
          <a:noFill/>
        </a:ln>
        <a:effectLst/>
      </c:spPr>
    </c:title>
    <c:autoTitleDeleted val="0"/>
    <c:plotArea>
      <c:layout/>
      <c:lineChart>
        <c:grouping val="standard"/>
        <c:varyColors val="0"/>
        <c:ser>
          <c:idx val="0"/>
          <c:order val="0"/>
          <c:tx>
            <c:strRef>
              <c:f>[1]Sheet2!$B$1</c:f>
              <c:strCache>
                <c:ptCount val="1"/>
                <c:pt idx="0">
                  <c:v>Announcements</c:v>
                </c:pt>
              </c:strCache>
            </c:strRef>
          </c:tx>
          <c:spPr>
            <a:ln w="28575" cap="rnd">
              <a:solidFill>
                <a:schemeClr val="accent1"/>
              </a:solidFill>
              <a:round/>
            </a:ln>
            <a:effectLst/>
          </c:spPr>
          <c:marker>
            <c:symbol val="none"/>
          </c:marker>
          <c:dLbls>
            <c:delete val="1"/>
          </c:dLbls>
          <c:cat>
            <c:numRef>
              <c:f>Sheet7!$A$2:$A$16</c:f>
              <c:numCache>
                <c:formatCode>General</c:formatCode>
                <c:ptCount val="15"/>
                <c:pt idx="0">
                  <c:v>2021</c:v>
                </c:pt>
                <c:pt idx="1">
                  <c:v>2022</c:v>
                </c:pt>
                <c:pt idx="2" c:formatCode="yyyy&quot;/&quot;m">
                  <c:v>44927</c:v>
                </c:pt>
                <c:pt idx="3" c:formatCode="yyyy&quot;/&quot;m">
                  <c:v>44958</c:v>
                </c:pt>
                <c:pt idx="4" c:formatCode="yyyy&quot;/&quot;m">
                  <c:v>44986</c:v>
                </c:pt>
                <c:pt idx="5" c:formatCode="yyyy&quot;/&quot;m">
                  <c:v>45017</c:v>
                </c:pt>
                <c:pt idx="6" c:formatCode="yyyy&quot;/&quot;m">
                  <c:v>45047</c:v>
                </c:pt>
                <c:pt idx="7" c:formatCode="yyyy&quot;/&quot;m">
                  <c:v>45078</c:v>
                </c:pt>
                <c:pt idx="8" c:formatCode="yyyy&quot;/&quot;m">
                  <c:v>45108</c:v>
                </c:pt>
                <c:pt idx="9" c:formatCode="yyyy&quot;/&quot;m">
                  <c:v>45139</c:v>
                </c:pt>
                <c:pt idx="10" c:formatCode="yyyy&quot;/&quot;m">
                  <c:v>45170</c:v>
                </c:pt>
                <c:pt idx="11" c:formatCode="yyyy&quot;/&quot;m">
                  <c:v>45200</c:v>
                </c:pt>
                <c:pt idx="12" c:formatCode="yyyy&quot;/&quot;m">
                  <c:v>45231</c:v>
                </c:pt>
                <c:pt idx="13" c:formatCode="yyyy&quot;/&quot;m">
                  <c:v>45261</c:v>
                </c:pt>
                <c:pt idx="14" c:formatCode="yyyy&quot;/&quot;m">
                  <c:v>45292</c:v>
                </c:pt>
              </c:numCache>
            </c:numRef>
          </c:cat>
          <c:val>
            <c:numRef>
              <c:f>[1]Sheet2!$B$2:$B$16</c:f>
              <c:numCache>
                <c:formatCode>General</c:formatCode>
                <c:ptCount val="15"/>
                <c:pt idx="0">
                  <c:v>8</c:v>
                </c:pt>
                <c:pt idx="1">
                  <c:v>11</c:v>
                </c:pt>
                <c:pt idx="2">
                  <c:v>1</c:v>
                </c:pt>
                <c:pt idx="3">
                  <c:v>4</c:v>
                </c:pt>
                <c:pt idx="4">
                  <c:v>4</c:v>
                </c:pt>
                <c:pt idx="8">
                  <c:v>1</c:v>
                </c:pt>
                <c:pt idx="9">
                  <c:v>1</c:v>
                </c:pt>
                <c:pt idx="12">
                  <c:v>3</c:v>
                </c:pt>
              </c:numCache>
            </c:numRef>
          </c:val>
          <c:smooth val="0"/>
        </c:ser>
        <c:ser>
          <c:idx val="1"/>
          <c:order val="1"/>
          <c:tx>
            <c:strRef>
              <c:f>[1]Sheet2!$C$1</c:f>
              <c:strCache>
                <c:ptCount val="1"/>
                <c:pt idx="0">
                  <c:v>API</c:v>
                </c:pt>
              </c:strCache>
            </c:strRef>
          </c:tx>
          <c:spPr>
            <a:ln w="28575" cap="rnd">
              <a:solidFill>
                <a:schemeClr val="accent2"/>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Sheet7!$A$2:$A$16</c:f>
              <c:numCache>
                <c:formatCode>General</c:formatCode>
                <c:ptCount val="15"/>
                <c:pt idx="0">
                  <c:v>2021</c:v>
                </c:pt>
                <c:pt idx="1">
                  <c:v>2022</c:v>
                </c:pt>
                <c:pt idx="2" c:formatCode="yyyy&quot;/&quot;m">
                  <c:v>44927</c:v>
                </c:pt>
                <c:pt idx="3" c:formatCode="yyyy&quot;/&quot;m">
                  <c:v>44958</c:v>
                </c:pt>
                <c:pt idx="4" c:formatCode="yyyy&quot;/&quot;m">
                  <c:v>44986</c:v>
                </c:pt>
                <c:pt idx="5" c:formatCode="yyyy&quot;/&quot;m">
                  <c:v>45017</c:v>
                </c:pt>
                <c:pt idx="6" c:formatCode="yyyy&quot;/&quot;m">
                  <c:v>45047</c:v>
                </c:pt>
                <c:pt idx="7" c:formatCode="yyyy&quot;/&quot;m">
                  <c:v>45078</c:v>
                </c:pt>
                <c:pt idx="8" c:formatCode="yyyy&quot;/&quot;m">
                  <c:v>45108</c:v>
                </c:pt>
                <c:pt idx="9" c:formatCode="yyyy&quot;/&quot;m">
                  <c:v>45139</c:v>
                </c:pt>
                <c:pt idx="10" c:formatCode="yyyy&quot;/&quot;m">
                  <c:v>45170</c:v>
                </c:pt>
                <c:pt idx="11" c:formatCode="yyyy&quot;/&quot;m">
                  <c:v>45200</c:v>
                </c:pt>
                <c:pt idx="12" c:formatCode="yyyy&quot;/&quot;m">
                  <c:v>45231</c:v>
                </c:pt>
                <c:pt idx="13" c:formatCode="yyyy&quot;/&quot;m">
                  <c:v>45261</c:v>
                </c:pt>
                <c:pt idx="14" c:formatCode="yyyy&quot;/&quot;m">
                  <c:v>45292</c:v>
                </c:pt>
              </c:numCache>
            </c:numRef>
          </c:cat>
          <c:val>
            <c:numRef>
              <c:f>[1]Sheet2!$C$2:$C$16</c:f>
              <c:numCache>
                <c:formatCode>General</c:formatCode>
                <c:ptCount val="15"/>
                <c:pt idx="0">
                  <c:v>639</c:v>
                </c:pt>
                <c:pt idx="1">
                  <c:v>1062</c:v>
                </c:pt>
                <c:pt idx="2">
                  <c:v>456</c:v>
                </c:pt>
                <c:pt idx="3">
                  <c:v>379</c:v>
                </c:pt>
                <c:pt idx="4">
                  <c:v>899</c:v>
                </c:pt>
                <c:pt idx="5">
                  <c:v>639</c:v>
                </c:pt>
                <c:pt idx="6">
                  <c:v>585</c:v>
                </c:pt>
                <c:pt idx="7">
                  <c:v>555</c:v>
                </c:pt>
                <c:pt idx="8">
                  <c:v>482</c:v>
                </c:pt>
                <c:pt idx="9">
                  <c:v>484</c:v>
                </c:pt>
                <c:pt idx="10">
                  <c:v>578</c:v>
                </c:pt>
                <c:pt idx="11">
                  <c:v>568</c:v>
                </c:pt>
                <c:pt idx="12">
                  <c:v>1475</c:v>
                </c:pt>
                <c:pt idx="13">
                  <c:v>841</c:v>
                </c:pt>
                <c:pt idx="14">
                  <c:v>408</c:v>
                </c:pt>
              </c:numCache>
            </c:numRef>
          </c:val>
          <c:smooth val="0"/>
        </c:ser>
        <c:ser>
          <c:idx val="2"/>
          <c:order val="2"/>
          <c:tx>
            <c:strRef>
              <c:f>[1]Sheet2!$D$1</c:f>
              <c:strCache>
                <c:ptCount val="1"/>
                <c:pt idx="0">
                  <c:v>Bugs</c:v>
                </c:pt>
              </c:strCache>
            </c:strRef>
          </c:tx>
          <c:spPr>
            <a:ln w="28575" cap="rnd">
              <a:solidFill>
                <a:schemeClr val="accent3"/>
              </a:solidFill>
              <a:round/>
            </a:ln>
            <a:effectLst/>
          </c:spPr>
          <c:marker>
            <c:symbol val="none"/>
          </c:marker>
          <c:dLbls>
            <c:delete val="1"/>
          </c:dLbls>
          <c:cat>
            <c:numRef>
              <c:f>Sheet7!$A$2:$A$16</c:f>
              <c:numCache>
                <c:formatCode>General</c:formatCode>
                <c:ptCount val="15"/>
                <c:pt idx="0">
                  <c:v>2021</c:v>
                </c:pt>
                <c:pt idx="1">
                  <c:v>2022</c:v>
                </c:pt>
                <c:pt idx="2" c:formatCode="yyyy&quot;/&quot;m">
                  <c:v>44927</c:v>
                </c:pt>
                <c:pt idx="3" c:formatCode="yyyy&quot;/&quot;m">
                  <c:v>44958</c:v>
                </c:pt>
                <c:pt idx="4" c:formatCode="yyyy&quot;/&quot;m">
                  <c:v>44986</c:v>
                </c:pt>
                <c:pt idx="5" c:formatCode="yyyy&quot;/&quot;m">
                  <c:v>45017</c:v>
                </c:pt>
                <c:pt idx="6" c:formatCode="yyyy&quot;/&quot;m">
                  <c:v>45047</c:v>
                </c:pt>
                <c:pt idx="7" c:formatCode="yyyy&quot;/&quot;m">
                  <c:v>45078</c:v>
                </c:pt>
                <c:pt idx="8" c:formatCode="yyyy&quot;/&quot;m">
                  <c:v>45108</c:v>
                </c:pt>
                <c:pt idx="9" c:formatCode="yyyy&quot;/&quot;m">
                  <c:v>45139</c:v>
                </c:pt>
                <c:pt idx="10" c:formatCode="yyyy&quot;/&quot;m">
                  <c:v>45170</c:v>
                </c:pt>
                <c:pt idx="11" c:formatCode="yyyy&quot;/&quot;m">
                  <c:v>45200</c:v>
                </c:pt>
                <c:pt idx="12" c:formatCode="yyyy&quot;/&quot;m">
                  <c:v>45231</c:v>
                </c:pt>
                <c:pt idx="13" c:formatCode="yyyy&quot;/&quot;m">
                  <c:v>45261</c:v>
                </c:pt>
                <c:pt idx="14" c:formatCode="yyyy&quot;/&quot;m">
                  <c:v>45292</c:v>
                </c:pt>
              </c:numCache>
            </c:numRef>
          </c:cat>
          <c:val>
            <c:numRef>
              <c:f>[1]Sheet2!$D$2:$D$16</c:f>
              <c:numCache>
                <c:formatCode>General</c:formatCode>
                <c:ptCount val="15"/>
                <c:pt idx="8">
                  <c:v>5</c:v>
                </c:pt>
                <c:pt idx="9">
                  <c:v>3</c:v>
                </c:pt>
                <c:pt idx="10">
                  <c:v>6</c:v>
                </c:pt>
                <c:pt idx="11">
                  <c:v>17</c:v>
                </c:pt>
                <c:pt idx="12">
                  <c:v>105</c:v>
                </c:pt>
                <c:pt idx="13">
                  <c:v>92</c:v>
                </c:pt>
                <c:pt idx="14">
                  <c:v>41</c:v>
                </c:pt>
              </c:numCache>
            </c:numRef>
          </c:val>
          <c:smooth val="0"/>
        </c:ser>
        <c:ser>
          <c:idx val="3"/>
          <c:order val="3"/>
          <c:tx>
            <c:strRef>
              <c:f>[1]Sheet2!$E$1</c:f>
              <c:strCache>
                <c:ptCount val="1"/>
                <c:pt idx="0">
                  <c:v>ChatGPT</c:v>
                </c:pt>
              </c:strCache>
            </c:strRef>
          </c:tx>
          <c:spPr>
            <a:ln w="28575" cap="rnd">
              <a:solidFill>
                <a:schemeClr val="accent4"/>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Sheet7!$A$2:$A$16</c:f>
              <c:numCache>
                <c:formatCode>General</c:formatCode>
                <c:ptCount val="15"/>
                <c:pt idx="0">
                  <c:v>2021</c:v>
                </c:pt>
                <c:pt idx="1">
                  <c:v>2022</c:v>
                </c:pt>
                <c:pt idx="2" c:formatCode="yyyy&quot;/&quot;m">
                  <c:v>44927</c:v>
                </c:pt>
                <c:pt idx="3" c:formatCode="yyyy&quot;/&quot;m">
                  <c:v>44958</c:v>
                </c:pt>
                <c:pt idx="4" c:formatCode="yyyy&quot;/&quot;m">
                  <c:v>44986</c:v>
                </c:pt>
                <c:pt idx="5" c:formatCode="yyyy&quot;/&quot;m">
                  <c:v>45017</c:v>
                </c:pt>
                <c:pt idx="6" c:formatCode="yyyy&quot;/&quot;m">
                  <c:v>45047</c:v>
                </c:pt>
                <c:pt idx="7" c:formatCode="yyyy&quot;/&quot;m">
                  <c:v>45078</c:v>
                </c:pt>
                <c:pt idx="8" c:formatCode="yyyy&quot;/&quot;m">
                  <c:v>45108</c:v>
                </c:pt>
                <c:pt idx="9" c:formatCode="yyyy&quot;/&quot;m">
                  <c:v>45139</c:v>
                </c:pt>
                <c:pt idx="10" c:formatCode="yyyy&quot;/&quot;m">
                  <c:v>45170</c:v>
                </c:pt>
                <c:pt idx="11" c:formatCode="yyyy&quot;/&quot;m">
                  <c:v>45200</c:v>
                </c:pt>
                <c:pt idx="12" c:formatCode="yyyy&quot;/&quot;m">
                  <c:v>45231</c:v>
                </c:pt>
                <c:pt idx="13" c:formatCode="yyyy&quot;/&quot;m">
                  <c:v>45261</c:v>
                </c:pt>
                <c:pt idx="14" c:formatCode="yyyy&quot;/&quot;m">
                  <c:v>45292</c:v>
                </c:pt>
              </c:numCache>
            </c:numRef>
          </c:cat>
          <c:val>
            <c:numRef>
              <c:f>[1]Sheet2!$E$2:$E$16</c:f>
              <c:numCache>
                <c:formatCode>General</c:formatCode>
                <c:ptCount val="15"/>
                <c:pt idx="0">
                  <c:v>1</c:v>
                </c:pt>
                <c:pt idx="1">
                  <c:v>11</c:v>
                </c:pt>
                <c:pt idx="2">
                  <c:v>100</c:v>
                </c:pt>
                <c:pt idx="3">
                  <c:v>251</c:v>
                </c:pt>
                <c:pt idx="4">
                  <c:v>591</c:v>
                </c:pt>
                <c:pt idx="5">
                  <c:v>434</c:v>
                </c:pt>
                <c:pt idx="6">
                  <c:v>469</c:v>
                </c:pt>
                <c:pt idx="7">
                  <c:v>173</c:v>
                </c:pt>
                <c:pt idx="8">
                  <c:v>233</c:v>
                </c:pt>
                <c:pt idx="9">
                  <c:v>173</c:v>
                </c:pt>
                <c:pt idx="10">
                  <c:v>185</c:v>
                </c:pt>
                <c:pt idx="11">
                  <c:v>257</c:v>
                </c:pt>
                <c:pt idx="12">
                  <c:v>612</c:v>
                </c:pt>
                <c:pt idx="13">
                  <c:v>232</c:v>
                </c:pt>
                <c:pt idx="14">
                  <c:v>146</c:v>
                </c:pt>
              </c:numCache>
            </c:numRef>
          </c:val>
          <c:smooth val="0"/>
        </c:ser>
        <c:ser>
          <c:idx val="4"/>
          <c:order val="4"/>
          <c:tx>
            <c:strRef>
              <c:f>[1]Sheet2!$F$1</c:f>
              <c:strCache>
                <c:ptCount val="1"/>
                <c:pt idx="0">
                  <c:v>Community</c:v>
                </c:pt>
              </c:strCache>
            </c:strRef>
          </c:tx>
          <c:spPr>
            <a:ln w="28575" cap="rnd">
              <a:solidFill>
                <a:schemeClr val="accent5"/>
              </a:solidFill>
              <a:round/>
            </a:ln>
            <a:effectLst/>
          </c:spPr>
          <c:marker>
            <c:symbol val="none"/>
          </c:marker>
          <c:dLbls>
            <c:delete val="1"/>
          </c:dLbls>
          <c:cat>
            <c:numRef>
              <c:f>Sheet7!$A$2:$A$16</c:f>
              <c:numCache>
                <c:formatCode>General</c:formatCode>
                <c:ptCount val="15"/>
                <c:pt idx="0">
                  <c:v>2021</c:v>
                </c:pt>
                <c:pt idx="1">
                  <c:v>2022</c:v>
                </c:pt>
                <c:pt idx="2" c:formatCode="yyyy&quot;/&quot;m">
                  <c:v>44927</c:v>
                </c:pt>
                <c:pt idx="3" c:formatCode="yyyy&quot;/&quot;m">
                  <c:v>44958</c:v>
                </c:pt>
                <c:pt idx="4" c:formatCode="yyyy&quot;/&quot;m">
                  <c:v>44986</c:v>
                </c:pt>
                <c:pt idx="5" c:formatCode="yyyy&quot;/&quot;m">
                  <c:v>45017</c:v>
                </c:pt>
                <c:pt idx="6" c:formatCode="yyyy&quot;/&quot;m">
                  <c:v>45047</c:v>
                </c:pt>
                <c:pt idx="7" c:formatCode="yyyy&quot;/&quot;m">
                  <c:v>45078</c:v>
                </c:pt>
                <c:pt idx="8" c:formatCode="yyyy&quot;/&quot;m">
                  <c:v>45108</c:v>
                </c:pt>
                <c:pt idx="9" c:formatCode="yyyy&quot;/&quot;m">
                  <c:v>45139</c:v>
                </c:pt>
                <c:pt idx="10" c:formatCode="yyyy&quot;/&quot;m">
                  <c:v>45170</c:v>
                </c:pt>
                <c:pt idx="11" c:formatCode="yyyy&quot;/&quot;m">
                  <c:v>45200</c:v>
                </c:pt>
                <c:pt idx="12" c:formatCode="yyyy&quot;/&quot;m">
                  <c:v>45231</c:v>
                </c:pt>
                <c:pt idx="13" c:formatCode="yyyy&quot;/&quot;m">
                  <c:v>45261</c:v>
                </c:pt>
                <c:pt idx="14" c:formatCode="yyyy&quot;/&quot;m">
                  <c:v>45292</c:v>
                </c:pt>
              </c:numCache>
            </c:numRef>
          </c:cat>
          <c:val>
            <c:numRef>
              <c:f>[1]Sheet2!$F$2:$F$16</c:f>
              <c:numCache>
                <c:formatCode>General</c:formatCode>
                <c:ptCount val="15"/>
                <c:pt idx="0">
                  <c:v>354</c:v>
                </c:pt>
                <c:pt idx="1">
                  <c:v>320</c:v>
                </c:pt>
                <c:pt idx="2">
                  <c:v>81</c:v>
                </c:pt>
                <c:pt idx="3">
                  <c:v>110</c:v>
                </c:pt>
                <c:pt idx="4">
                  <c:v>199</c:v>
                </c:pt>
                <c:pt idx="5">
                  <c:v>192</c:v>
                </c:pt>
                <c:pt idx="6">
                  <c:v>180</c:v>
                </c:pt>
                <c:pt idx="7">
                  <c:v>147</c:v>
                </c:pt>
                <c:pt idx="8">
                  <c:v>130</c:v>
                </c:pt>
                <c:pt idx="9">
                  <c:v>101</c:v>
                </c:pt>
                <c:pt idx="10">
                  <c:v>116</c:v>
                </c:pt>
                <c:pt idx="11">
                  <c:v>101</c:v>
                </c:pt>
                <c:pt idx="12">
                  <c:v>276</c:v>
                </c:pt>
                <c:pt idx="13">
                  <c:v>165</c:v>
                </c:pt>
                <c:pt idx="14">
                  <c:v>81</c:v>
                </c:pt>
              </c:numCache>
            </c:numRef>
          </c:val>
          <c:smooth val="0"/>
        </c:ser>
        <c:ser>
          <c:idx val="5"/>
          <c:order val="5"/>
          <c:tx>
            <c:strRef>
              <c:f>[1]Sheet2!$G$1</c:f>
              <c:strCache>
                <c:ptCount val="1"/>
                <c:pt idx="0">
                  <c:v>Deprecations</c:v>
                </c:pt>
              </c:strCache>
            </c:strRef>
          </c:tx>
          <c:spPr>
            <a:ln w="28575" cap="rnd">
              <a:solidFill>
                <a:schemeClr val="accent6"/>
              </a:solidFill>
              <a:round/>
            </a:ln>
            <a:effectLst/>
          </c:spPr>
          <c:marker>
            <c:symbol val="none"/>
          </c:marker>
          <c:dLbls>
            <c:delete val="1"/>
          </c:dLbls>
          <c:cat>
            <c:numRef>
              <c:f>Sheet7!$A$2:$A$16</c:f>
              <c:numCache>
                <c:formatCode>General</c:formatCode>
                <c:ptCount val="15"/>
                <c:pt idx="0">
                  <c:v>2021</c:v>
                </c:pt>
                <c:pt idx="1">
                  <c:v>2022</c:v>
                </c:pt>
                <c:pt idx="2" c:formatCode="yyyy&quot;/&quot;m">
                  <c:v>44927</c:v>
                </c:pt>
                <c:pt idx="3" c:formatCode="yyyy&quot;/&quot;m">
                  <c:v>44958</c:v>
                </c:pt>
                <c:pt idx="4" c:formatCode="yyyy&quot;/&quot;m">
                  <c:v>44986</c:v>
                </c:pt>
                <c:pt idx="5" c:formatCode="yyyy&quot;/&quot;m">
                  <c:v>45017</c:v>
                </c:pt>
                <c:pt idx="6" c:formatCode="yyyy&quot;/&quot;m">
                  <c:v>45047</c:v>
                </c:pt>
                <c:pt idx="7" c:formatCode="yyyy&quot;/&quot;m">
                  <c:v>45078</c:v>
                </c:pt>
                <c:pt idx="8" c:formatCode="yyyy&quot;/&quot;m">
                  <c:v>45108</c:v>
                </c:pt>
                <c:pt idx="9" c:formatCode="yyyy&quot;/&quot;m">
                  <c:v>45139</c:v>
                </c:pt>
                <c:pt idx="10" c:formatCode="yyyy&quot;/&quot;m">
                  <c:v>45170</c:v>
                </c:pt>
                <c:pt idx="11" c:formatCode="yyyy&quot;/&quot;m">
                  <c:v>45200</c:v>
                </c:pt>
                <c:pt idx="12" c:formatCode="yyyy&quot;/&quot;m">
                  <c:v>45231</c:v>
                </c:pt>
                <c:pt idx="13" c:formatCode="yyyy&quot;/&quot;m">
                  <c:v>45261</c:v>
                </c:pt>
                <c:pt idx="14" c:formatCode="yyyy&quot;/&quot;m">
                  <c:v>45292</c:v>
                </c:pt>
              </c:numCache>
            </c:numRef>
          </c:cat>
          <c:val>
            <c:numRef>
              <c:f>[1]Sheet2!$G$2:$G$16</c:f>
              <c:numCache>
                <c:formatCode>General</c:formatCode>
                <c:ptCount val="15"/>
                <c:pt idx="8">
                  <c:v>7</c:v>
                </c:pt>
                <c:pt idx="9">
                  <c:v>3</c:v>
                </c:pt>
                <c:pt idx="10">
                  <c:v>3</c:v>
                </c:pt>
                <c:pt idx="11">
                  <c:v>2</c:v>
                </c:pt>
                <c:pt idx="12">
                  <c:v>4</c:v>
                </c:pt>
                <c:pt idx="13">
                  <c:v>8</c:v>
                </c:pt>
                <c:pt idx="14">
                  <c:v>6</c:v>
                </c:pt>
              </c:numCache>
            </c:numRef>
          </c:val>
          <c:smooth val="0"/>
        </c:ser>
        <c:ser>
          <c:idx val="6"/>
          <c:order val="6"/>
          <c:tx>
            <c:strRef>
              <c:f>[1]Sheet2!$H$1</c:f>
              <c:strCache>
                <c:ptCount val="1"/>
                <c:pt idx="0">
                  <c:v>Documentation</c:v>
                </c:pt>
              </c:strCache>
            </c:strRef>
          </c:tx>
          <c:spPr>
            <a:ln w="28575" cap="rnd">
              <a:solidFill>
                <a:schemeClr val="accent1">
                  <a:lumMod val="60000"/>
                </a:schemeClr>
              </a:solidFill>
              <a:round/>
            </a:ln>
            <a:effectLst/>
          </c:spPr>
          <c:marker>
            <c:symbol val="none"/>
          </c:marker>
          <c:dLbls>
            <c:delete val="1"/>
          </c:dLbls>
          <c:cat>
            <c:numRef>
              <c:f>Sheet7!$A$2:$A$16</c:f>
              <c:numCache>
                <c:formatCode>General</c:formatCode>
                <c:ptCount val="15"/>
                <c:pt idx="0">
                  <c:v>2021</c:v>
                </c:pt>
                <c:pt idx="1">
                  <c:v>2022</c:v>
                </c:pt>
                <c:pt idx="2" c:formatCode="yyyy&quot;/&quot;m">
                  <c:v>44927</c:v>
                </c:pt>
                <c:pt idx="3" c:formatCode="yyyy&quot;/&quot;m">
                  <c:v>44958</c:v>
                </c:pt>
                <c:pt idx="4" c:formatCode="yyyy&quot;/&quot;m">
                  <c:v>44986</c:v>
                </c:pt>
                <c:pt idx="5" c:formatCode="yyyy&quot;/&quot;m">
                  <c:v>45017</c:v>
                </c:pt>
                <c:pt idx="6" c:formatCode="yyyy&quot;/&quot;m">
                  <c:v>45047</c:v>
                </c:pt>
                <c:pt idx="7" c:formatCode="yyyy&quot;/&quot;m">
                  <c:v>45078</c:v>
                </c:pt>
                <c:pt idx="8" c:formatCode="yyyy&quot;/&quot;m">
                  <c:v>45108</c:v>
                </c:pt>
                <c:pt idx="9" c:formatCode="yyyy&quot;/&quot;m">
                  <c:v>45139</c:v>
                </c:pt>
                <c:pt idx="10" c:formatCode="yyyy&quot;/&quot;m">
                  <c:v>45170</c:v>
                </c:pt>
                <c:pt idx="11" c:formatCode="yyyy&quot;/&quot;m">
                  <c:v>45200</c:v>
                </c:pt>
                <c:pt idx="12" c:formatCode="yyyy&quot;/&quot;m">
                  <c:v>45231</c:v>
                </c:pt>
                <c:pt idx="13" c:formatCode="yyyy&quot;/&quot;m">
                  <c:v>45261</c:v>
                </c:pt>
                <c:pt idx="14" c:formatCode="yyyy&quot;/&quot;m">
                  <c:v>45292</c:v>
                </c:pt>
              </c:numCache>
            </c:numRef>
          </c:cat>
          <c:val>
            <c:numRef>
              <c:f>[1]Sheet2!$H$2:$H$16</c:f>
              <c:numCache>
                <c:formatCode>General</c:formatCode>
                <c:ptCount val="15"/>
                <c:pt idx="0">
                  <c:v>17</c:v>
                </c:pt>
                <c:pt idx="1">
                  <c:v>49</c:v>
                </c:pt>
                <c:pt idx="2">
                  <c:v>8</c:v>
                </c:pt>
                <c:pt idx="3">
                  <c:v>11</c:v>
                </c:pt>
                <c:pt idx="4">
                  <c:v>13</c:v>
                </c:pt>
                <c:pt idx="5">
                  <c:v>5</c:v>
                </c:pt>
                <c:pt idx="6">
                  <c:v>14</c:v>
                </c:pt>
                <c:pt idx="7">
                  <c:v>11</c:v>
                </c:pt>
                <c:pt idx="8">
                  <c:v>6</c:v>
                </c:pt>
                <c:pt idx="9">
                  <c:v>12</c:v>
                </c:pt>
                <c:pt idx="10">
                  <c:v>6</c:v>
                </c:pt>
                <c:pt idx="11">
                  <c:v>12</c:v>
                </c:pt>
                <c:pt idx="12">
                  <c:v>68</c:v>
                </c:pt>
                <c:pt idx="13">
                  <c:v>22</c:v>
                </c:pt>
                <c:pt idx="14">
                  <c:v>4</c:v>
                </c:pt>
              </c:numCache>
            </c:numRef>
          </c:val>
          <c:smooth val="0"/>
        </c:ser>
        <c:ser>
          <c:idx val="7"/>
          <c:order val="7"/>
          <c:tx>
            <c:strRef>
              <c:f>[1]Sheet2!$I$1</c:f>
              <c:strCache>
                <c:ptCount val="1"/>
                <c:pt idx="0">
                  <c:v>Feedback</c:v>
                </c:pt>
              </c:strCache>
            </c:strRef>
          </c:tx>
          <c:spPr>
            <a:ln w="28575" cap="rnd">
              <a:solidFill>
                <a:schemeClr val="accent2">
                  <a:lumMod val="60000"/>
                </a:schemeClr>
              </a:solidFill>
              <a:round/>
            </a:ln>
            <a:effectLst/>
          </c:spPr>
          <c:marker>
            <c:symbol val="none"/>
          </c:marker>
          <c:dLbls>
            <c:delete val="1"/>
          </c:dLbls>
          <c:cat>
            <c:numRef>
              <c:f>Sheet7!$A$2:$A$16</c:f>
              <c:numCache>
                <c:formatCode>General</c:formatCode>
                <c:ptCount val="15"/>
                <c:pt idx="0">
                  <c:v>2021</c:v>
                </c:pt>
                <c:pt idx="1">
                  <c:v>2022</c:v>
                </c:pt>
                <c:pt idx="2" c:formatCode="yyyy&quot;/&quot;m">
                  <c:v>44927</c:v>
                </c:pt>
                <c:pt idx="3" c:formatCode="yyyy&quot;/&quot;m">
                  <c:v>44958</c:v>
                </c:pt>
                <c:pt idx="4" c:formatCode="yyyy&quot;/&quot;m">
                  <c:v>44986</c:v>
                </c:pt>
                <c:pt idx="5" c:formatCode="yyyy&quot;/&quot;m">
                  <c:v>45017</c:v>
                </c:pt>
                <c:pt idx="6" c:formatCode="yyyy&quot;/&quot;m">
                  <c:v>45047</c:v>
                </c:pt>
                <c:pt idx="7" c:formatCode="yyyy&quot;/&quot;m">
                  <c:v>45078</c:v>
                </c:pt>
                <c:pt idx="8" c:formatCode="yyyy&quot;/&quot;m">
                  <c:v>45108</c:v>
                </c:pt>
                <c:pt idx="9" c:formatCode="yyyy&quot;/&quot;m">
                  <c:v>45139</c:v>
                </c:pt>
                <c:pt idx="10" c:formatCode="yyyy&quot;/&quot;m">
                  <c:v>45170</c:v>
                </c:pt>
                <c:pt idx="11" c:formatCode="yyyy&quot;/&quot;m">
                  <c:v>45200</c:v>
                </c:pt>
                <c:pt idx="12" c:formatCode="yyyy&quot;/&quot;m">
                  <c:v>45231</c:v>
                </c:pt>
                <c:pt idx="13" c:formatCode="yyyy&quot;/&quot;m">
                  <c:v>45261</c:v>
                </c:pt>
                <c:pt idx="14" c:formatCode="yyyy&quot;/&quot;m">
                  <c:v>45292</c:v>
                </c:pt>
              </c:numCache>
            </c:numRef>
          </c:cat>
          <c:val>
            <c:numRef>
              <c:f>[1]Sheet2!$I$2:$I$16</c:f>
              <c:numCache>
                <c:formatCode>General</c:formatCode>
                <c:ptCount val="15"/>
                <c:pt idx="8">
                  <c:v>7</c:v>
                </c:pt>
                <c:pt idx="9">
                  <c:v>10</c:v>
                </c:pt>
                <c:pt idx="10">
                  <c:v>15</c:v>
                </c:pt>
                <c:pt idx="11">
                  <c:v>13</c:v>
                </c:pt>
                <c:pt idx="12">
                  <c:v>79</c:v>
                </c:pt>
                <c:pt idx="13">
                  <c:v>48</c:v>
                </c:pt>
                <c:pt idx="14">
                  <c:v>19</c:v>
                </c:pt>
              </c:numCache>
            </c:numRef>
          </c:val>
          <c:smooth val="0"/>
        </c:ser>
        <c:ser>
          <c:idx val="8"/>
          <c:order val="8"/>
          <c:tx>
            <c:strRef>
              <c:f>[1]Sheet2!$J$1</c:f>
              <c:strCache>
                <c:ptCount val="1"/>
                <c:pt idx="0">
                  <c:v>Forum feedback</c:v>
                </c:pt>
              </c:strCache>
            </c:strRef>
          </c:tx>
          <c:spPr>
            <a:ln w="28575" cap="rnd">
              <a:solidFill>
                <a:schemeClr val="accent3">
                  <a:lumMod val="60000"/>
                </a:schemeClr>
              </a:solidFill>
              <a:round/>
            </a:ln>
            <a:effectLst/>
          </c:spPr>
          <c:marker>
            <c:symbol val="none"/>
          </c:marker>
          <c:dLbls>
            <c:delete val="1"/>
          </c:dLbls>
          <c:cat>
            <c:numRef>
              <c:f>Sheet7!$A$2:$A$16</c:f>
              <c:numCache>
                <c:formatCode>General</c:formatCode>
                <c:ptCount val="15"/>
                <c:pt idx="0">
                  <c:v>2021</c:v>
                </c:pt>
                <c:pt idx="1">
                  <c:v>2022</c:v>
                </c:pt>
                <c:pt idx="2" c:formatCode="yyyy&quot;/&quot;m">
                  <c:v>44927</c:v>
                </c:pt>
                <c:pt idx="3" c:formatCode="yyyy&quot;/&quot;m">
                  <c:v>44958</c:v>
                </c:pt>
                <c:pt idx="4" c:formatCode="yyyy&quot;/&quot;m">
                  <c:v>44986</c:v>
                </c:pt>
                <c:pt idx="5" c:formatCode="yyyy&quot;/&quot;m">
                  <c:v>45017</c:v>
                </c:pt>
                <c:pt idx="6" c:formatCode="yyyy&quot;/&quot;m">
                  <c:v>45047</c:v>
                </c:pt>
                <c:pt idx="7" c:formatCode="yyyy&quot;/&quot;m">
                  <c:v>45078</c:v>
                </c:pt>
                <c:pt idx="8" c:formatCode="yyyy&quot;/&quot;m">
                  <c:v>45108</c:v>
                </c:pt>
                <c:pt idx="9" c:formatCode="yyyy&quot;/&quot;m">
                  <c:v>45139</c:v>
                </c:pt>
                <c:pt idx="10" c:formatCode="yyyy&quot;/&quot;m">
                  <c:v>45170</c:v>
                </c:pt>
                <c:pt idx="11" c:formatCode="yyyy&quot;/&quot;m">
                  <c:v>45200</c:v>
                </c:pt>
                <c:pt idx="12" c:formatCode="yyyy&quot;/&quot;m">
                  <c:v>45231</c:v>
                </c:pt>
                <c:pt idx="13" c:formatCode="yyyy&quot;/&quot;m">
                  <c:v>45261</c:v>
                </c:pt>
                <c:pt idx="14" c:formatCode="yyyy&quot;/&quot;m">
                  <c:v>45292</c:v>
                </c:pt>
              </c:numCache>
            </c:numRef>
          </c:cat>
          <c:val>
            <c:numRef>
              <c:f>[1]Sheet2!$J$2:$J$16</c:f>
              <c:numCache>
                <c:formatCode>General</c:formatCode>
                <c:ptCount val="15"/>
                <c:pt idx="6">
                  <c:v>2</c:v>
                </c:pt>
                <c:pt idx="7">
                  <c:v>2</c:v>
                </c:pt>
                <c:pt idx="8">
                  <c:v>3</c:v>
                </c:pt>
                <c:pt idx="9">
                  <c:v>1</c:v>
                </c:pt>
                <c:pt idx="10">
                  <c:v>6</c:v>
                </c:pt>
                <c:pt idx="11">
                  <c:v>3</c:v>
                </c:pt>
                <c:pt idx="12">
                  <c:v>12</c:v>
                </c:pt>
                <c:pt idx="13">
                  <c:v>11</c:v>
                </c:pt>
                <c:pt idx="14">
                  <c:v>6</c:v>
                </c:pt>
              </c:numCache>
            </c:numRef>
          </c:val>
          <c:smooth val="0"/>
        </c:ser>
        <c:ser>
          <c:idx val="9"/>
          <c:order val="9"/>
          <c:tx>
            <c:strRef>
              <c:f>[1]Sheet2!$K$1</c:f>
              <c:strCache>
                <c:ptCount val="1"/>
                <c:pt idx="0">
                  <c:v>GPT builders</c:v>
                </c:pt>
              </c:strCache>
            </c:strRef>
          </c:tx>
          <c:spPr>
            <a:ln w="28575" cap="rnd">
              <a:solidFill>
                <a:schemeClr val="accent4">
                  <a:lumMod val="60000"/>
                </a:schemeClr>
              </a:solidFill>
              <a:round/>
            </a:ln>
            <a:effectLst/>
          </c:spPr>
          <c:marker>
            <c:symbol val="none"/>
          </c:marker>
          <c:dLbls>
            <c:delete val="1"/>
          </c:dLbls>
          <c:cat>
            <c:numRef>
              <c:f>Sheet7!$A$2:$A$16</c:f>
              <c:numCache>
                <c:formatCode>General</c:formatCode>
                <c:ptCount val="15"/>
                <c:pt idx="0">
                  <c:v>2021</c:v>
                </c:pt>
                <c:pt idx="1">
                  <c:v>2022</c:v>
                </c:pt>
                <c:pt idx="2" c:formatCode="yyyy&quot;/&quot;m">
                  <c:v>44927</c:v>
                </c:pt>
                <c:pt idx="3" c:formatCode="yyyy&quot;/&quot;m">
                  <c:v>44958</c:v>
                </c:pt>
                <c:pt idx="4" c:formatCode="yyyy&quot;/&quot;m">
                  <c:v>44986</c:v>
                </c:pt>
                <c:pt idx="5" c:formatCode="yyyy&quot;/&quot;m">
                  <c:v>45017</c:v>
                </c:pt>
                <c:pt idx="6" c:formatCode="yyyy&quot;/&quot;m">
                  <c:v>45047</c:v>
                </c:pt>
                <c:pt idx="7" c:formatCode="yyyy&quot;/&quot;m">
                  <c:v>45078</c:v>
                </c:pt>
                <c:pt idx="8" c:formatCode="yyyy&quot;/&quot;m">
                  <c:v>45108</c:v>
                </c:pt>
                <c:pt idx="9" c:formatCode="yyyy&quot;/&quot;m">
                  <c:v>45139</c:v>
                </c:pt>
                <c:pt idx="10" c:formatCode="yyyy&quot;/&quot;m">
                  <c:v>45170</c:v>
                </c:pt>
                <c:pt idx="11" c:formatCode="yyyy&quot;/&quot;m">
                  <c:v>45200</c:v>
                </c:pt>
                <c:pt idx="12" c:formatCode="yyyy&quot;/&quot;m">
                  <c:v>45231</c:v>
                </c:pt>
                <c:pt idx="13" c:formatCode="yyyy&quot;/&quot;m">
                  <c:v>45261</c:v>
                </c:pt>
                <c:pt idx="14" c:formatCode="yyyy&quot;/&quot;m">
                  <c:v>45292</c:v>
                </c:pt>
              </c:numCache>
            </c:numRef>
          </c:cat>
          <c:val>
            <c:numRef>
              <c:f>[1]Sheet2!$K$2:$K$16</c:f>
              <c:numCache>
                <c:formatCode>General</c:formatCode>
                <c:ptCount val="15"/>
                <c:pt idx="12">
                  <c:v>3</c:v>
                </c:pt>
                <c:pt idx="13">
                  <c:v>120</c:v>
                </c:pt>
                <c:pt idx="14">
                  <c:v>125</c:v>
                </c:pt>
              </c:numCache>
            </c:numRef>
          </c:val>
          <c:smooth val="0"/>
        </c:ser>
        <c:ser>
          <c:idx val="10"/>
          <c:order val="10"/>
          <c:tx>
            <c:strRef>
              <c:f>[1]Sheet2!$L$1</c:f>
              <c:strCache>
                <c:ptCount val="1"/>
                <c:pt idx="0">
                  <c:v>Plugin store</c:v>
                </c:pt>
              </c:strCache>
            </c:strRef>
          </c:tx>
          <c:spPr>
            <a:ln w="28575" cap="rnd">
              <a:solidFill>
                <a:schemeClr val="accent5">
                  <a:lumMod val="60000"/>
                </a:schemeClr>
              </a:solidFill>
              <a:round/>
            </a:ln>
            <a:effectLst/>
          </c:spPr>
          <c:marker>
            <c:symbol val="none"/>
          </c:marker>
          <c:dLbls>
            <c:delete val="1"/>
          </c:dLbls>
          <c:cat>
            <c:numRef>
              <c:f>Sheet7!$A$2:$A$16</c:f>
              <c:numCache>
                <c:formatCode>General</c:formatCode>
                <c:ptCount val="15"/>
                <c:pt idx="0">
                  <c:v>2021</c:v>
                </c:pt>
                <c:pt idx="1">
                  <c:v>2022</c:v>
                </c:pt>
                <c:pt idx="2" c:formatCode="yyyy&quot;/&quot;m">
                  <c:v>44927</c:v>
                </c:pt>
                <c:pt idx="3" c:formatCode="yyyy&quot;/&quot;m">
                  <c:v>44958</c:v>
                </c:pt>
                <c:pt idx="4" c:formatCode="yyyy&quot;/&quot;m">
                  <c:v>44986</c:v>
                </c:pt>
                <c:pt idx="5" c:formatCode="yyyy&quot;/&quot;m">
                  <c:v>45017</c:v>
                </c:pt>
                <c:pt idx="6" c:formatCode="yyyy&quot;/&quot;m">
                  <c:v>45047</c:v>
                </c:pt>
                <c:pt idx="7" c:formatCode="yyyy&quot;/&quot;m">
                  <c:v>45078</c:v>
                </c:pt>
                <c:pt idx="8" c:formatCode="yyyy&quot;/&quot;m">
                  <c:v>45108</c:v>
                </c:pt>
                <c:pt idx="9" c:formatCode="yyyy&quot;/&quot;m">
                  <c:v>45139</c:v>
                </c:pt>
                <c:pt idx="10" c:formatCode="yyyy&quot;/&quot;m">
                  <c:v>45170</c:v>
                </c:pt>
                <c:pt idx="11" c:formatCode="yyyy&quot;/&quot;m">
                  <c:v>45200</c:v>
                </c:pt>
                <c:pt idx="12" c:formatCode="yyyy&quot;/&quot;m">
                  <c:v>45231</c:v>
                </c:pt>
                <c:pt idx="13" c:formatCode="yyyy&quot;/&quot;m">
                  <c:v>45261</c:v>
                </c:pt>
                <c:pt idx="14" c:formatCode="yyyy&quot;/&quot;m">
                  <c:v>45292</c:v>
                </c:pt>
              </c:numCache>
            </c:numRef>
          </c:cat>
          <c:val>
            <c:numRef>
              <c:f>[1]Sheet2!$L$2:$L$16</c:f>
              <c:numCache>
                <c:formatCode>General</c:formatCode>
                <c:ptCount val="15"/>
                <c:pt idx="6">
                  <c:v>10</c:v>
                </c:pt>
                <c:pt idx="7">
                  <c:v>19</c:v>
                </c:pt>
                <c:pt idx="8">
                  <c:v>5</c:v>
                </c:pt>
                <c:pt idx="9">
                  <c:v>8</c:v>
                </c:pt>
                <c:pt idx="10">
                  <c:v>2</c:v>
                </c:pt>
                <c:pt idx="11">
                  <c:v>2</c:v>
                </c:pt>
                <c:pt idx="12">
                  <c:v>7</c:v>
                </c:pt>
                <c:pt idx="13">
                  <c:v>2</c:v>
                </c:pt>
                <c:pt idx="14">
                  <c:v>6</c:v>
                </c:pt>
              </c:numCache>
            </c:numRef>
          </c:val>
          <c:smooth val="0"/>
        </c:ser>
        <c:ser>
          <c:idx val="11"/>
          <c:order val="11"/>
          <c:tx>
            <c:strRef>
              <c:f>[1]Sheet2!$M$1</c:f>
              <c:strCache>
                <c:ptCount val="1"/>
                <c:pt idx="0">
                  <c:v>Plugins / Actions builders</c:v>
                </c:pt>
              </c:strCache>
            </c:strRef>
          </c:tx>
          <c:spPr>
            <a:ln w="28575" cap="rnd">
              <a:solidFill>
                <a:schemeClr val="accent6">
                  <a:lumMod val="60000"/>
                </a:schemeClr>
              </a:solidFill>
              <a:round/>
            </a:ln>
            <a:effectLst/>
          </c:spPr>
          <c:marker>
            <c:symbol val="none"/>
          </c:marker>
          <c:dLbls>
            <c:delete val="1"/>
          </c:dLbls>
          <c:cat>
            <c:numRef>
              <c:f>Sheet7!$A$2:$A$16</c:f>
              <c:numCache>
                <c:formatCode>General</c:formatCode>
                <c:ptCount val="15"/>
                <c:pt idx="0">
                  <c:v>2021</c:v>
                </c:pt>
                <c:pt idx="1">
                  <c:v>2022</c:v>
                </c:pt>
                <c:pt idx="2" c:formatCode="yyyy&quot;/&quot;m">
                  <c:v>44927</c:v>
                </c:pt>
                <c:pt idx="3" c:formatCode="yyyy&quot;/&quot;m">
                  <c:v>44958</c:v>
                </c:pt>
                <c:pt idx="4" c:formatCode="yyyy&quot;/&quot;m">
                  <c:v>44986</c:v>
                </c:pt>
                <c:pt idx="5" c:formatCode="yyyy&quot;/&quot;m">
                  <c:v>45017</c:v>
                </c:pt>
                <c:pt idx="6" c:formatCode="yyyy&quot;/&quot;m">
                  <c:v>45047</c:v>
                </c:pt>
                <c:pt idx="7" c:formatCode="yyyy&quot;/&quot;m">
                  <c:v>45078</c:v>
                </c:pt>
                <c:pt idx="8" c:formatCode="yyyy&quot;/&quot;m">
                  <c:v>45108</c:v>
                </c:pt>
                <c:pt idx="9" c:formatCode="yyyy&quot;/&quot;m">
                  <c:v>45139</c:v>
                </c:pt>
                <c:pt idx="10" c:formatCode="yyyy&quot;/&quot;m">
                  <c:v>45170</c:v>
                </c:pt>
                <c:pt idx="11" c:formatCode="yyyy&quot;/&quot;m">
                  <c:v>45200</c:v>
                </c:pt>
                <c:pt idx="12" c:formatCode="yyyy&quot;/&quot;m">
                  <c:v>45231</c:v>
                </c:pt>
                <c:pt idx="13" c:formatCode="yyyy&quot;/&quot;m">
                  <c:v>45261</c:v>
                </c:pt>
                <c:pt idx="14" c:formatCode="yyyy&quot;/&quot;m">
                  <c:v>45292</c:v>
                </c:pt>
              </c:numCache>
            </c:numRef>
          </c:cat>
          <c:val>
            <c:numRef>
              <c:f>[1]Sheet2!$M$2:$M$16</c:f>
              <c:numCache>
                <c:formatCode>General</c:formatCode>
                <c:ptCount val="15"/>
                <c:pt idx="4">
                  <c:v>3</c:v>
                </c:pt>
                <c:pt idx="5">
                  <c:v>228</c:v>
                </c:pt>
                <c:pt idx="6">
                  <c:v>371</c:v>
                </c:pt>
                <c:pt idx="7">
                  <c:v>184</c:v>
                </c:pt>
                <c:pt idx="8">
                  <c:v>129</c:v>
                </c:pt>
                <c:pt idx="9">
                  <c:v>81</c:v>
                </c:pt>
                <c:pt idx="10">
                  <c:v>46</c:v>
                </c:pt>
                <c:pt idx="11">
                  <c:v>53</c:v>
                </c:pt>
                <c:pt idx="12">
                  <c:v>338</c:v>
                </c:pt>
                <c:pt idx="13">
                  <c:v>122</c:v>
                </c:pt>
                <c:pt idx="14">
                  <c:v>83</c:v>
                </c:pt>
              </c:numCache>
            </c:numRef>
          </c:val>
          <c:smooth val="0"/>
        </c:ser>
        <c:ser>
          <c:idx val="12"/>
          <c:order val="12"/>
          <c:tx>
            <c:strRef>
              <c:f>[1]Sheet2!$N$1</c:f>
              <c:strCache>
                <c:ptCount val="1"/>
                <c:pt idx="0">
                  <c:v>Prompting</c:v>
                </c:pt>
              </c:strCache>
            </c:strRef>
          </c:tx>
          <c:spPr>
            <a:ln w="28575" cap="rnd">
              <a:solidFill>
                <a:schemeClr val="accent1">
                  <a:lumMod val="80000"/>
                  <a:lumOff val="20000"/>
                </a:schemeClr>
              </a:solidFill>
              <a:round/>
            </a:ln>
            <a:effectLst/>
          </c:spPr>
          <c:marker>
            <c:symbol val="none"/>
          </c:marker>
          <c:dLbls>
            <c:delete val="1"/>
          </c:dLbls>
          <c:cat>
            <c:numRef>
              <c:f>Sheet7!$A$2:$A$16</c:f>
              <c:numCache>
                <c:formatCode>General</c:formatCode>
                <c:ptCount val="15"/>
                <c:pt idx="0">
                  <c:v>2021</c:v>
                </c:pt>
                <c:pt idx="1">
                  <c:v>2022</c:v>
                </c:pt>
                <c:pt idx="2" c:formatCode="yyyy&quot;/&quot;m">
                  <c:v>44927</c:v>
                </c:pt>
                <c:pt idx="3" c:formatCode="yyyy&quot;/&quot;m">
                  <c:v>44958</c:v>
                </c:pt>
                <c:pt idx="4" c:formatCode="yyyy&quot;/&quot;m">
                  <c:v>44986</c:v>
                </c:pt>
                <c:pt idx="5" c:formatCode="yyyy&quot;/&quot;m">
                  <c:v>45017</c:v>
                </c:pt>
                <c:pt idx="6" c:formatCode="yyyy&quot;/&quot;m">
                  <c:v>45047</c:v>
                </c:pt>
                <c:pt idx="7" c:formatCode="yyyy&quot;/&quot;m">
                  <c:v>45078</c:v>
                </c:pt>
                <c:pt idx="8" c:formatCode="yyyy&quot;/&quot;m">
                  <c:v>45108</c:v>
                </c:pt>
                <c:pt idx="9" c:formatCode="yyyy&quot;/&quot;m">
                  <c:v>45139</c:v>
                </c:pt>
                <c:pt idx="10" c:formatCode="yyyy&quot;/&quot;m">
                  <c:v>45170</c:v>
                </c:pt>
                <c:pt idx="11" c:formatCode="yyyy&quot;/&quot;m">
                  <c:v>45200</c:v>
                </c:pt>
                <c:pt idx="12" c:formatCode="yyyy&quot;/&quot;m">
                  <c:v>45231</c:v>
                </c:pt>
                <c:pt idx="13" c:formatCode="yyyy&quot;/&quot;m">
                  <c:v>45261</c:v>
                </c:pt>
                <c:pt idx="14" c:formatCode="yyyy&quot;/&quot;m">
                  <c:v>45292</c:v>
                </c:pt>
              </c:numCache>
            </c:numRef>
          </c:cat>
          <c:val>
            <c:numRef>
              <c:f>[1]Sheet2!$N$2:$N$16</c:f>
              <c:numCache>
                <c:formatCode>General</c:formatCode>
                <c:ptCount val="15"/>
                <c:pt idx="0">
                  <c:v>296</c:v>
                </c:pt>
                <c:pt idx="1">
                  <c:v>333</c:v>
                </c:pt>
                <c:pt idx="2">
                  <c:v>92</c:v>
                </c:pt>
                <c:pt idx="3">
                  <c:v>56</c:v>
                </c:pt>
                <c:pt idx="4">
                  <c:v>105</c:v>
                </c:pt>
                <c:pt idx="5">
                  <c:v>86</c:v>
                </c:pt>
                <c:pt idx="6">
                  <c:v>109</c:v>
                </c:pt>
                <c:pt idx="7">
                  <c:v>88</c:v>
                </c:pt>
                <c:pt idx="8">
                  <c:v>81</c:v>
                </c:pt>
                <c:pt idx="9">
                  <c:v>87</c:v>
                </c:pt>
                <c:pt idx="10">
                  <c:v>66</c:v>
                </c:pt>
                <c:pt idx="11">
                  <c:v>112</c:v>
                </c:pt>
                <c:pt idx="12">
                  <c:v>149</c:v>
                </c:pt>
                <c:pt idx="13">
                  <c:v>113</c:v>
                </c:pt>
                <c:pt idx="14">
                  <c:v>54</c:v>
                </c:pt>
              </c:numCache>
            </c:numRef>
          </c:val>
          <c:smooth val="0"/>
        </c:ser>
        <c:dLbls>
          <c:showLegendKey val="0"/>
          <c:showVal val="0"/>
          <c:showCatName val="0"/>
          <c:showSerName val="0"/>
          <c:showPercent val="0"/>
          <c:showBubbleSize val="0"/>
        </c:dLbls>
        <c:marker val="0"/>
        <c:smooth val="0"/>
        <c:axId val="717319063"/>
        <c:axId val="627505946"/>
      </c:lineChart>
      <c:catAx>
        <c:axId val="71731906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627505946"/>
        <c:crosses val="autoZero"/>
        <c:auto val="1"/>
        <c:lblAlgn val="ctr"/>
        <c:lblOffset val="100"/>
        <c:noMultiLvlLbl val="0"/>
      </c:catAx>
      <c:valAx>
        <c:axId val="627505946"/>
        <c:scaling>
          <c:orientation val="minMax"/>
        </c:scaling>
        <c:delete val="0"/>
        <c:axPos val="l"/>
        <c:majorGridlines>
          <c:spPr>
            <a:ln w="9525" cap="flat" cmpd="sng" algn="ctr">
              <a:solidFill>
                <a:schemeClr val="lt1">
                  <a:lumMod val="90200"/>
                </a:schemeClr>
              </a:solidFill>
              <a:round/>
            </a:ln>
            <a:effectLst/>
          </c:spPr>
        </c:majorGridlines>
        <c:title>
          <c:tx>
            <c:rich>
              <a:bodyPr rot="-5400000" spcFirstLastPara="0"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t>数量</a:t>
                </a:r>
                <a:r>
                  <a:rPr lang="en-US" altLang="zh-CN"/>
                  <a:t>/</a:t>
                </a:r>
                <a:r>
                  <a:rPr altLang="en-US"/>
                  <a:t>个</a:t>
                </a:r>
                <a:endParaRPr lang="en-US" altLang="zh-CN"/>
              </a:p>
            </c:rich>
          </c:tx>
          <c:layout/>
          <c:overlay val="0"/>
          <c:spPr>
            <a:noFill/>
            <a:ln>
              <a:noFill/>
            </a:ln>
            <a:effectLst/>
          </c:spPr>
        </c:title>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17319063"/>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externalData r:id="rId1">
    <c:autoUpdate val="0"/>
  </c:externalData>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t>不同</a:t>
            </a:r>
            <a:r>
              <a:rPr lang="en-US" altLang="zh-CN"/>
              <a:t>categories</a:t>
            </a:r>
            <a:r>
              <a:t>每月总的帖子数量</a:t>
            </a:r>
          </a:p>
        </c:rich>
      </c:tx>
      <c:layout/>
      <c:overlay val="0"/>
      <c:spPr>
        <a:noFill/>
        <a:ln>
          <a:noFill/>
        </a:ln>
        <a:effectLst/>
      </c:spPr>
    </c:title>
    <c:autoTitleDeleted val="0"/>
    <c:plotArea>
      <c:layout/>
      <c:lineChart>
        <c:grouping val="standard"/>
        <c:varyColors val="0"/>
        <c:ser>
          <c:idx val="0"/>
          <c:order val="0"/>
          <c:tx>
            <c:strRef>
              <c:f>[1]Sheet2!$B$48</c:f>
              <c:strCache>
                <c:ptCount val="1"/>
                <c:pt idx="0">
                  <c:v>Announcements</c:v>
                </c:pt>
              </c:strCache>
            </c:strRef>
          </c:tx>
          <c:spPr>
            <a:ln w="28575" cap="rnd">
              <a:solidFill>
                <a:schemeClr val="accent1"/>
              </a:solidFill>
              <a:round/>
            </a:ln>
            <a:effectLst/>
          </c:spPr>
          <c:marker>
            <c:symbol val="none"/>
          </c:marker>
          <c:dLbls>
            <c:delete val="1"/>
          </c:dLbls>
          <c:cat>
            <c:numRef>
              <c:f>[1]Sheet2!$A$49:$A$63</c:f>
              <c:numCache>
                <c:formatCode>General</c:formatCode>
                <c:ptCount val="15"/>
                <c:pt idx="0">
                  <c:v>2021</c:v>
                </c:pt>
                <c:pt idx="1">
                  <c:v>2022</c:v>
                </c:pt>
                <c:pt idx="2">
                  <c:v>44927</c:v>
                </c:pt>
                <c:pt idx="3">
                  <c:v>44958</c:v>
                </c:pt>
                <c:pt idx="4">
                  <c:v>44986</c:v>
                </c:pt>
                <c:pt idx="5">
                  <c:v>45017</c:v>
                </c:pt>
                <c:pt idx="6">
                  <c:v>45047</c:v>
                </c:pt>
                <c:pt idx="7">
                  <c:v>45078</c:v>
                </c:pt>
                <c:pt idx="8">
                  <c:v>45108</c:v>
                </c:pt>
                <c:pt idx="9">
                  <c:v>45139</c:v>
                </c:pt>
                <c:pt idx="10">
                  <c:v>45170</c:v>
                </c:pt>
                <c:pt idx="11">
                  <c:v>45200</c:v>
                </c:pt>
                <c:pt idx="12">
                  <c:v>45231</c:v>
                </c:pt>
                <c:pt idx="13">
                  <c:v>45261</c:v>
                </c:pt>
                <c:pt idx="14">
                  <c:v>45292</c:v>
                </c:pt>
              </c:numCache>
            </c:numRef>
          </c:cat>
          <c:val>
            <c:numRef>
              <c:f>[1]Sheet2!$B$49:$B$63</c:f>
              <c:numCache>
                <c:formatCode>General</c:formatCode>
                <c:ptCount val="15"/>
                <c:pt idx="0">
                  <c:v>8</c:v>
                </c:pt>
                <c:pt idx="1">
                  <c:v>19</c:v>
                </c:pt>
                <c:pt idx="2">
                  <c:v>20</c:v>
                </c:pt>
                <c:pt idx="3">
                  <c:v>24</c:v>
                </c:pt>
                <c:pt idx="4">
                  <c:v>28</c:v>
                </c:pt>
                <c:pt idx="5">
                  <c:v>28</c:v>
                </c:pt>
                <c:pt idx="6">
                  <c:v>28</c:v>
                </c:pt>
                <c:pt idx="7">
                  <c:v>28</c:v>
                </c:pt>
                <c:pt idx="8">
                  <c:v>29</c:v>
                </c:pt>
                <c:pt idx="9">
                  <c:v>30</c:v>
                </c:pt>
                <c:pt idx="10">
                  <c:v>30</c:v>
                </c:pt>
                <c:pt idx="11">
                  <c:v>30</c:v>
                </c:pt>
                <c:pt idx="12">
                  <c:v>33</c:v>
                </c:pt>
                <c:pt idx="13">
                  <c:v>33</c:v>
                </c:pt>
                <c:pt idx="14">
                  <c:v>33</c:v>
                </c:pt>
              </c:numCache>
            </c:numRef>
          </c:val>
          <c:smooth val="0"/>
        </c:ser>
        <c:ser>
          <c:idx val="1"/>
          <c:order val="1"/>
          <c:tx>
            <c:strRef>
              <c:f>[1]Sheet2!$C$48</c:f>
              <c:strCache>
                <c:ptCount val="1"/>
                <c:pt idx="0">
                  <c:v>API</c:v>
                </c:pt>
              </c:strCache>
            </c:strRef>
          </c:tx>
          <c:spPr>
            <a:ln w="28575" cap="rnd">
              <a:solidFill>
                <a:schemeClr val="accent2"/>
              </a:solidFill>
              <a:round/>
            </a:ln>
            <a:effectLst/>
          </c:spPr>
          <c:marker>
            <c:symbol val="none"/>
          </c:marker>
          <c:dLbls>
            <c:dLbl>
              <c:idx val="10"/>
              <c:layout>
                <c:manualLayout>
                  <c:x val="0.000728862973760933"/>
                  <c:y val="0"/>
                </c:manualLayout>
              </c:layout>
              <c:dLblPos val="t"/>
              <c:showLegendKey val="0"/>
              <c:showVal val="1"/>
              <c:showCatName val="0"/>
              <c:showSerName val="0"/>
              <c:showPercent val="0"/>
              <c:showBubbleSize val="0"/>
              <c:separator>
</c:separator>
              <c:extLst>
                <c:ext xmlns:c15="http://schemas.microsoft.com/office/drawing/2012/chart" uri="{CE6537A1-D6FC-4f65-9D91-7224C49458BB}">
                  <c15:layout/>
                </c:ext>
              </c:extLst>
            </c:dLbl>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t"/>
            <c:showLegendKey val="0"/>
            <c:showVal val="1"/>
            <c:showCatName val="0"/>
            <c:showSerName val="0"/>
            <c:showPercent val="0"/>
            <c:showBubbleSize val="0"/>
            <c:separator>
</c:separator>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[1]Sheet2!$A$49:$A$63</c:f>
              <c:numCache>
                <c:formatCode>General</c:formatCode>
                <c:ptCount val="15"/>
                <c:pt idx="0">
                  <c:v>2021</c:v>
                </c:pt>
                <c:pt idx="1">
                  <c:v>2022</c:v>
                </c:pt>
                <c:pt idx="2">
                  <c:v>44927</c:v>
                </c:pt>
                <c:pt idx="3">
                  <c:v>44958</c:v>
                </c:pt>
                <c:pt idx="4">
                  <c:v>44986</c:v>
                </c:pt>
                <c:pt idx="5">
                  <c:v>45017</c:v>
                </c:pt>
                <c:pt idx="6">
                  <c:v>45047</c:v>
                </c:pt>
                <c:pt idx="7">
                  <c:v>45078</c:v>
                </c:pt>
                <c:pt idx="8">
                  <c:v>45108</c:v>
                </c:pt>
                <c:pt idx="9">
                  <c:v>45139</c:v>
                </c:pt>
                <c:pt idx="10">
                  <c:v>45170</c:v>
                </c:pt>
                <c:pt idx="11">
                  <c:v>45200</c:v>
                </c:pt>
                <c:pt idx="12">
                  <c:v>45231</c:v>
                </c:pt>
                <c:pt idx="13">
                  <c:v>45261</c:v>
                </c:pt>
                <c:pt idx="14">
                  <c:v>45292</c:v>
                </c:pt>
              </c:numCache>
            </c:numRef>
          </c:cat>
          <c:val>
            <c:numRef>
              <c:f>[1]Sheet2!$C$49:$C$63</c:f>
              <c:numCache>
                <c:formatCode>General</c:formatCode>
                <c:ptCount val="15"/>
                <c:pt idx="0">
                  <c:v>639</c:v>
                </c:pt>
                <c:pt idx="1">
                  <c:v>1701</c:v>
                </c:pt>
                <c:pt idx="2">
                  <c:v>2157</c:v>
                </c:pt>
                <c:pt idx="3">
                  <c:v>2536</c:v>
                </c:pt>
                <c:pt idx="4">
                  <c:v>3435</c:v>
                </c:pt>
                <c:pt idx="5">
                  <c:v>4074</c:v>
                </c:pt>
                <c:pt idx="6">
                  <c:v>4659</c:v>
                </c:pt>
                <c:pt idx="7">
                  <c:v>5214</c:v>
                </c:pt>
                <c:pt idx="8">
                  <c:v>5696</c:v>
                </c:pt>
                <c:pt idx="9">
                  <c:v>6180</c:v>
                </c:pt>
                <c:pt idx="10">
                  <c:v>6758</c:v>
                </c:pt>
                <c:pt idx="11">
                  <c:v>7326</c:v>
                </c:pt>
                <c:pt idx="12">
                  <c:v>8801</c:v>
                </c:pt>
                <c:pt idx="13">
                  <c:v>9642</c:v>
                </c:pt>
                <c:pt idx="14">
                  <c:v>10050</c:v>
                </c:pt>
              </c:numCache>
            </c:numRef>
          </c:val>
          <c:smooth val="0"/>
        </c:ser>
        <c:ser>
          <c:idx val="2"/>
          <c:order val="2"/>
          <c:tx>
            <c:strRef>
              <c:f>[1]Sheet2!$D$48</c:f>
              <c:strCache>
                <c:ptCount val="1"/>
                <c:pt idx="0">
                  <c:v>Bugs</c:v>
                </c:pt>
              </c:strCache>
            </c:strRef>
          </c:tx>
          <c:spPr>
            <a:ln w="28575" cap="rnd">
              <a:solidFill>
                <a:schemeClr val="accent3"/>
              </a:solidFill>
              <a:round/>
            </a:ln>
            <a:effectLst/>
          </c:spPr>
          <c:marker>
            <c:symbol val="none"/>
          </c:marker>
          <c:dLbls>
            <c:delete val="1"/>
          </c:dLbls>
          <c:cat>
            <c:numRef>
              <c:f>[1]Sheet2!$A$49:$A$63</c:f>
              <c:numCache>
                <c:formatCode>General</c:formatCode>
                <c:ptCount val="15"/>
                <c:pt idx="0">
                  <c:v>2021</c:v>
                </c:pt>
                <c:pt idx="1">
                  <c:v>2022</c:v>
                </c:pt>
                <c:pt idx="2">
                  <c:v>44927</c:v>
                </c:pt>
                <c:pt idx="3">
                  <c:v>44958</c:v>
                </c:pt>
                <c:pt idx="4">
                  <c:v>44986</c:v>
                </c:pt>
                <c:pt idx="5">
                  <c:v>45017</c:v>
                </c:pt>
                <c:pt idx="6">
                  <c:v>45047</c:v>
                </c:pt>
                <c:pt idx="7">
                  <c:v>45078</c:v>
                </c:pt>
                <c:pt idx="8">
                  <c:v>45108</c:v>
                </c:pt>
                <c:pt idx="9">
                  <c:v>45139</c:v>
                </c:pt>
                <c:pt idx="10">
                  <c:v>45170</c:v>
                </c:pt>
                <c:pt idx="11">
                  <c:v>45200</c:v>
                </c:pt>
                <c:pt idx="12">
                  <c:v>45231</c:v>
                </c:pt>
                <c:pt idx="13">
                  <c:v>45261</c:v>
                </c:pt>
                <c:pt idx="14">
                  <c:v>45292</c:v>
                </c:pt>
              </c:numCache>
            </c:numRef>
          </c:cat>
          <c:val>
            <c:numRef>
              <c:f>[1]Sheet2!$D$49:$D$63</c:f>
              <c:numCache>
                <c:formatCode>General</c:formatCode>
                <c:ptCount val="15"/>
                <c:pt idx="0">
                  <c:v>0</c:v>
                </c:pt>
                <c:pt idx="1">
                  <c:v>0</c:v>
                </c:pt>
                <c:pt idx="2">
                  <c:v>0</c:v>
                </c:pt>
                <c:pt idx="3">
                  <c:v>0</c:v>
                </c:pt>
                <c:pt idx="4">
                  <c:v>0</c:v>
                </c:pt>
                <c:pt idx="5">
                  <c:v>0</c:v>
                </c:pt>
                <c:pt idx="6">
                  <c:v>0</c:v>
                </c:pt>
                <c:pt idx="7">
                  <c:v>0</c:v>
                </c:pt>
                <c:pt idx="8">
                  <c:v>5</c:v>
                </c:pt>
                <c:pt idx="9">
                  <c:v>8</c:v>
                </c:pt>
                <c:pt idx="10">
                  <c:v>14</c:v>
                </c:pt>
                <c:pt idx="11">
                  <c:v>31</c:v>
                </c:pt>
                <c:pt idx="12">
                  <c:v>136</c:v>
                </c:pt>
                <c:pt idx="13">
                  <c:v>228</c:v>
                </c:pt>
                <c:pt idx="14">
                  <c:v>269</c:v>
                </c:pt>
              </c:numCache>
            </c:numRef>
          </c:val>
          <c:smooth val="0"/>
        </c:ser>
        <c:ser>
          <c:idx val="3"/>
          <c:order val="3"/>
          <c:tx>
            <c:strRef>
              <c:f>[1]Sheet2!$E$48</c:f>
              <c:strCache>
                <c:ptCount val="1"/>
                <c:pt idx="0">
                  <c:v>ChatGPT</c:v>
                </c:pt>
              </c:strCache>
            </c:strRef>
          </c:tx>
          <c:spPr>
            <a:ln w="28575" cap="rnd">
              <a:solidFill>
                <a:schemeClr val="accent4"/>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[1]Sheet2!$A$49:$A$63</c:f>
              <c:numCache>
                <c:formatCode>General</c:formatCode>
                <c:ptCount val="15"/>
                <c:pt idx="0">
                  <c:v>2021</c:v>
                </c:pt>
                <c:pt idx="1">
                  <c:v>2022</c:v>
                </c:pt>
                <c:pt idx="2">
                  <c:v>44927</c:v>
                </c:pt>
                <c:pt idx="3">
                  <c:v>44958</c:v>
                </c:pt>
                <c:pt idx="4">
                  <c:v>44986</c:v>
                </c:pt>
                <c:pt idx="5">
                  <c:v>45017</c:v>
                </c:pt>
                <c:pt idx="6">
                  <c:v>45047</c:v>
                </c:pt>
                <c:pt idx="7">
                  <c:v>45078</c:v>
                </c:pt>
                <c:pt idx="8">
                  <c:v>45108</c:v>
                </c:pt>
                <c:pt idx="9">
                  <c:v>45139</c:v>
                </c:pt>
                <c:pt idx="10">
                  <c:v>45170</c:v>
                </c:pt>
                <c:pt idx="11">
                  <c:v>45200</c:v>
                </c:pt>
                <c:pt idx="12">
                  <c:v>45231</c:v>
                </c:pt>
                <c:pt idx="13">
                  <c:v>45261</c:v>
                </c:pt>
                <c:pt idx="14">
                  <c:v>45292</c:v>
                </c:pt>
              </c:numCache>
            </c:numRef>
          </c:cat>
          <c:val>
            <c:numRef>
              <c:f>[1]Sheet2!$E$49:$E$63</c:f>
              <c:numCache>
                <c:formatCode>General</c:formatCode>
                <c:ptCount val="15"/>
                <c:pt idx="0">
                  <c:v>1</c:v>
                </c:pt>
                <c:pt idx="1">
                  <c:v>12</c:v>
                </c:pt>
                <c:pt idx="2">
                  <c:v>112</c:v>
                </c:pt>
                <c:pt idx="3">
                  <c:v>363</c:v>
                </c:pt>
                <c:pt idx="4">
                  <c:v>954</c:v>
                </c:pt>
                <c:pt idx="5">
                  <c:v>1388</c:v>
                </c:pt>
                <c:pt idx="6">
                  <c:v>1857</c:v>
                </c:pt>
                <c:pt idx="7">
                  <c:v>2030</c:v>
                </c:pt>
                <c:pt idx="8">
                  <c:v>2263</c:v>
                </c:pt>
                <c:pt idx="9">
                  <c:v>2436</c:v>
                </c:pt>
                <c:pt idx="10">
                  <c:v>2621</c:v>
                </c:pt>
                <c:pt idx="11">
                  <c:v>2878</c:v>
                </c:pt>
                <c:pt idx="12">
                  <c:v>3490</c:v>
                </c:pt>
                <c:pt idx="13">
                  <c:v>3722</c:v>
                </c:pt>
                <c:pt idx="14">
                  <c:v>3868</c:v>
                </c:pt>
              </c:numCache>
            </c:numRef>
          </c:val>
          <c:smooth val="0"/>
        </c:ser>
        <c:ser>
          <c:idx val="4"/>
          <c:order val="4"/>
          <c:tx>
            <c:strRef>
              <c:f>[1]Sheet2!$F$48</c:f>
              <c:strCache>
                <c:ptCount val="1"/>
                <c:pt idx="0">
                  <c:v>Community</c:v>
                </c:pt>
              </c:strCache>
            </c:strRef>
          </c:tx>
          <c:spPr>
            <a:ln w="28575" cap="rnd">
              <a:solidFill>
                <a:schemeClr val="accent5"/>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[1]Sheet2!$A$49:$A$63</c:f>
              <c:numCache>
                <c:formatCode>General</c:formatCode>
                <c:ptCount val="15"/>
                <c:pt idx="0">
                  <c:v>2021</c:v>
                </c:pt>
                <c:pt idx="1">
                  <c:v>2022</c:v>
                </c:pt>
                <c:pt idx="2">
                  <c:v>44927</c:v>
                </c:pt>
                <c:pt idx="3">
                  <c:v>44958</c:v>
                </c:pt>
                <c:pt idx="4">
                  <c:v>44986</c:v>
                </c:pt>
                <c:pt idx="5">
                  <c:v>45017</c:v>
                </c:pt>
                <c:pt idx="6">
                  <c:v>45047</c:v>
                </c:pt>
                <c:pt idx="7">
                  <c:v>45078</c:v>
                </c:pt>
                <c:pt idx="8">
                  <c:v>45108</c:v>
                </c:pt>
                <c:pt idx="9">
                  <c:v>45139</c:v>
                </c:pt>
                <c:pt idx="10">
                  <c:v>45170</c:v>
                </c:pt>
                <c:pt idx="11">
                  <c:v>45200</c:v>
                </c:pt>
                <c:pt idx="12">
                  <c:v>45231</c:v>
                </c:pt>
                <c:pt idx="13">
                  <c:v>45261</c:v>
                </c:pt>
                <c:pt idx="14">
                  <c:v>45292</c:v>
                </c:pt>
              </c:numCache>
            </c:numRef>
          </c:cat>
          <c:val>
            <c:numRef>
              <c:f>[1]Sheet2!$F$49:$F$63</c:f>
              <c:numCache>
                <c:formatCode>General</c:formatCode>
                <c:ptCount val="15"/>
                <c:pt idx="0">
                  <c:v>354</c:v>
                </c:pt>
                <c:pt idx="1">
                  <c:v>674</c:v>
                </c:pt>
                <c:pt idx="2">
                  <c:v>755</c:v>
                </c:pt>
                <c:pt idx="3">
                  <c:v>865</c:v>
                </c:pt>
                <c:pt idx="4">
                  <c:v>1064</c:v>
                </c:pt>
                <c:pt idx="5">
                  <c:v>1256</c:v>
                </c:pt>
                <c:pt idx="6">
                  <c:v>1436</c:v>
                </c:pt>
                <c:pt idx="7">
                  <c:v>1583</c:v>
                </c:pt>
                <c:pt idx="8">
                  <c:v>1713</c:v>
                </c:pt>
                <c:pt idx="9">
                  <c:v>1814</c:v>
                </c:pt>
                <c:pt idx="10">
                  <c:v>1930</c:v>
                </c:pt>
                <c:pt idx="11">
                  <c:v>2031</c:v>
                </c:pt>
                <c:pt idx="12">
                  <c:v>2307</c:v>
                </c:pt>
                <c:pt idx="13">
                  <c:v>2472</c:v>
                </c:pt>
                <c:pt idx="14">
                  <c:v>2553</c:v>
                </c:pt>
              </c:numCache>
            </c:numRef>
          </c:val>
          <c:smooth val="0"/>
        </c:ser>
        <c:ser>
          <c:idx val="5"/>
          <c:order val="5"/>
          <c:tx>
            <c:strRef>
              <c:f>[1]Sheet2!$G$48</c:f>
              <c:strCache>
                <c:ptCount val="1"/>
                <c:pt idx="0">
                  <c:v>Deprecations</c:v>
                </c:pt>
              </c:strCache>
            </c:strRef>
          </c:tx>
          <c:spPr>
            <a:ln w="28575" cap="rnd">
              <a:solidFill>
                <a:schemeClr val="accent6"/>
              </a:solidFill>
              <a:round/>
            </a:ln>
            <a:effectLst/>
          </c:spPr>
          <c:marker>
            <c:symbol val="none"/>
          </c:marker>
          <c:dLbls>
            <c:delete val="1"/>
          </c:dLbls>
          <c:cat>
            <c:numRef>
              <c:f>[1]Sheet2!$A$49:$A$63</c:f>
              <c:numCache>
                <c:formatCode>General</c:formatCode>
                <c:ptCount val="15"/>
                <c:pt idx="0">
                  <c:v>2021</c:v>
                </c:pt>
                <c:pt idx="1">
                  <c:v>2022</c:v>
                </c:pt>
                <c:pt idx="2">
                  <c:v>44927</c:v>
                </c:pt>
                <c:pt idx="3">
                  <c:v>44958</c:v>
                </c:pt>
                <c:pt idx="4">
                  <c:v>44986</c:v>
                </c:pt>
                <c:pt idx="5">
                  <c:v>45017</c:v>
                </c:pt>
                <c:pt idx="6">
                  <c:v>45047</c:v>
                </c:pt>
                <c:pt idx="7">
                  <c:v>45078</c:v>
                </c:pt>
                <c:pt idx="8">
                  <c:v>45108</c:v>
                </c:pt>
                <c:pt idx="9">
                  <c:v>45139</c:v>
                </c:pt>
                <c:pt idx="10">
                  <c:v>45170</c:v>
                </c:pt>
                <c:pt idx="11">
                  <c:v>45200</c:v>
                </c:pt>
                <c:pt idx="12">
                  <c:v>45231</c:v>
                </c:pt>
                <c:pt idx="13">
                  <c:v>45261</c:v>
                </c:pt>
                <c:pt idx="14">
                  <c:v>45292</c:v>
                </c:pt>
              </c:numCache>
            </c:numRef>
          </c:cat>
          <c:val>
            <c:numRef>
              <c:f>[1]Sheet2!$G$49:$G$63</c:f>
              <c:numCache>
                <c:formatCode>General</c:formatCode>
                <c:ptCount val="15"/>
                <c:pt idx="0">
                  <c:v>0</c:v>
                </c:pt>
                <c:pt idx="1">
                  <c:v>0</c:v>
                </c:pt>
                <c:pt idx="2">
                  <c:v>0</c:v>
                </c:pt>
                <c:pt idx="3">
                  <c:v>0</c:v>
                </c:pt>
                <c:pt idx="4">
                  <c:v>0</c:v>
                </c:pt>
                <c:pt idx="5">
                  <c:v>0</c:v>
                </c:pt>
                <c:pt idx="6">
                  <c:v>0</c:v>
                </c:pt>
                <c:pt idx="7">
                  <c:v>0</c:v>
                </c:pt>
                <c:pt idx="8">
                  <c:v>7</c:v>
                </c:pt>
                <c:pt idx="9">
                  <c:v>10</c:v>
                </c:pt>
                <c:pt idx="10">
                  <c:v>13</c:v>
                </c:pt>
                <c:pt idx="11">
                  <c:v>15</c:v>
                </c:pt>
                <c:pt idx="12">
                  <c:v>19</c:v>
                </c:pt>
                <c:pt idx="13">
                  <c:v>27</c:v>
                </c:pt>
                <c:pt idx="14">
                  <c:v>33</c:v>
                </c:pt>
              </c:numCache>
            </c:numRef>
          </c:val>
          <c:smooth val="0"/>
        </c:ser>
        <c:ser>
          <c:idx val="6"/>
          <c:order val="6"/>
          <c:tx>
            <c:strRef>
              <c:f>[1]Sheet2!$H$48</c:f>
              <c:strCache>
                <c:ptCount val="1"/>
                <c:pt idx="0">
                  <c:v>Documentation</c:v>
                </c:pt>
              </c:strCache>
            </c:strRef>
          </c:tx>
          <c:spPr>
            <a:ln w="28575" cap="rnd">
              <a:solidFill>
                <a:schemeClr val="accent1">
                  <a:lumMod val="60000"/>
                </a:schemeClr>
              </a:solidFill>
              <a:round/>
            </a:ln>
            <a:effectLst/>
          </c:spPr>
          <c:marker>
            <c:symbol val="none"/>
          </c:marker>
          <c:dLbls>
            <c:delete val="1"/>
          </c:dLbls>
          <c:cat>
            <c:numRef>
              <c:f>[1]Sheet2!$A$49:$A$63</c:f>
              <c:numCache>
                <c:formatCode>General</c:formatCode>
                <c:ptCount val="15"/>
                <c:pt idx="0">
                  <c:v>2021</c:v>
                </c:pt>
                <c:pt idx="1">
                  <c:v>2022</c:v>
                </c:pt>
                <c:pt idx="2">
                  <c:v>44927</c:v>
                </c:pt>
                <c:pt idx="3">
                  <c:v>44958</c:v>
                </c:pt>
                <c:pt idx="4">
                  <c:v>44986</c:v>
                </c:pt>
                <c:pt idx="5">
                  <c:v>45017</c:v>
                </c:pt>
                <c:pt idx="6">
                  <c:v>45047</c:v>
                </c:pt>
                <c:pt idx="7">
                  <c:v>45078</c:v>
                </c:pt>
                <c:pt idx="8">
                  <c:v>45108</c:v>
                </c:pt>
                <c:pt idx="9">
                  <c:v>45139</c:v>
                </c:pt>
                <c:pt idx="10">
                  <c:v>45170</c:v>
                </c:pt>
                <c:pt idx="11">
                  <c:v>45200</c:v>
                </c:pt>
                <c:pt idx="12">
                  <c:v>45231</c:v>
                </c:pt>
                <c:pt idx="13">
                  <c:v>45261</c:v>
                </c:pt>
                <c:pt idx="14">
                  <c:v>45292</c:v>
                </c:pt>
              </c:numCache>
            </c:numRef>
          </c:cat>
          <c:val>
            <c:numRef>
              <c:f>[1]Sheet2!$H$49:$H$63</c:f>
              <c:numCache>
                <c:formatCode>General</c:formatCode>
                <c:ptCount val="15"/>
                <c:pt idx="0">
                  <c:v>17</c:v>
                </c:pt>
                <c:pt idx="1">
                  <c:v>66</c:v>
                </c:pt>
                <c:pt idx="2">
                  <c:v>74</c:v>
                </c:pt>
                <c:pt idx="3">
                  <c:v>85</c:v>
                </c:pt>
                <c:pt idx="4">
                  <c:v>98</c:v>
                </c:pt>
                <c:pt idx="5">
                  <c:v>103</c:v>
                </c:pt>
                <c:pt idx="6">
                  <c:v>117</c:v>
                </c:pt>
                <c:pt idx="7">
                  <c:v>128</c:v>
                </c:pt>
                <c:pt idx="8">
                  <c:v>134</c:v>
                </c:pt>
                <c:pt idx="9">
                  <c:v>146</c:v>
                </c:pt>
                <c:pt idx="10">
                  <c:v>152</c:v>
                </c:pt>
                <c:pt idx="11">
                  <c:v>164</c:v>
                </c:pt>
                <c:pt idx="12">
                  <c:v>232</c:v>
                </c:pt>
                <c:pt idx="13">
                  <c:v>254</c:v>
                </c:pt>
                <c:pt idx="14">
                  <c:v>258</c:v>
                </c:pt>
              </c:numCache>
            </c:numRef>
          </c:val>
          <c:smooth val="0"/>
        </c:ser>
        <c:ser>
          <c:idx val="7"/>
          <c:order val="7"/>
          <c:tx>
            <c:strRef>
              <c:f>[1]Sheet2!$I$48</c:f>
              <c:strCache>
                <c:ptCount val="1"/>
                <c:pt idx="0">
                  <c:v>Feedback</c:v>
                </c:pt>
              </c:strCache>
            </c:strRef>
          </c:tx>
          <c:spPr>
            <a:ln w="28575" cap="rnd">
              <a:solidFill>
                <a:schemeClr val="accent2">
                  <a:lumMod val="60000"/>
                </a:schemeClr>
              </a:solidFill>
              <a:round/>
            </a:ln>
            <a:effectLst/>
          </c:spPr>
          <c:marker>
            <c:symbol val="none"/>
          </c:marker>
          <c:dLbls>
            <c:delete val="1"/>
          </c:dLbls>
          <c:cat>
            <c:numRef>
              <c:f>[1]Sheet2!$A$49:$A$63</c:f>
              <c:numCache>
                <c:formatCode>General</c:formatCode>
                <c:ptCount val="15"/>
                <c:pt idx="0">
                  <c:v>2021</c:v>
                </c:pt>
                <c:pt idx="1">
                  <c:v>2022</c:v>
                </c:pt>
                <c:pt idx="2">
                  <c:v>44927</c:v>
                </c:pt>
                <c:pt idx="3">
                  <c:v>44958</c:v>
                </c:pt>
                <c:pt idx="4">
                  <c:v>44986</c:v>
                </c:pt>
                <c:pt idx="5">
                  <c:v>45017</c:v>
                </c:pt>
                <c:pt idx="6">
                  <c:v>45047</c:v>
                </c:pt>
                <c:pt idx="7">
                  <c:v>45078</c:v>
                </c:pt>
                <c:pt idx="8">
                  <c:v>45108</c:v>
                </c:pt>
                <c:pt idx="9">
                  <c:v>45139</c:v>
                </c:pt>
                <c:pt idx="10">
                  <c:v>45170</c:v>
                </c:pt>
                <c:pt idx="11">
                  <c:v>45200</c:v>
                </c:pt>
                <c:pt idx="12">
                  <c:v>45231</c:v>
                </c:pt>
                <c:pt idx="13">
                  <c:v>45261</c:v>
                </c:pt>
                <c:pt idx="14">
                  <c:v>45292</c:v>
                </c:pt>
              </c:numCache>
            </c:numRef>
          </c:cat>
          <c:val>
            <c:numRef>
              <c:f>[1]Sheet2!$I$49:$I$63</c:f>
              <c:numCache>
                <c:formatCode>General</c:formatCode>
                <c:ptCount val="15"/>
                <c:pt idx="0">
                  <c:v>0</c:v>
                </c:pt>
                <c:pt idx="1">
                  <c:v>0</c:v>
                </c:pt>
                <c:pt idx="2">
                  <c:v>0</c:v>
                </c:pt>
                <c:pt idx="3">
                  <c:v>0</c:v>
                </c:pt>
                <c:pt idx="4">
                  <c:v>0</c:v>
                </c:pt>
                <c:pt idx="5">
                  <c:v>0</c:v>
                </c:pt>
                <c:pt idx="6">
                  <c:v>0</c:v>
                </c:pt>
                <c:pt idx="7">
                  <c:v>0</c:v>
                </c:pt>
                <c:pt idx="8">
                  <c:v>7</c:v>
                </c:pt>
                <c:pt idx="9">
                  <c:v>17</c:v>
                </c:pt>
                <c:pt idx="10">
                  <c:v>32</c:v>
                </c:pt>
                <c:pt idx="11">
                  <c:v>45</c:v>
                </c:pt>
                <c:pt idx="12">
                  <c:v>124</c:v>
                </c:pt>
                <c:pt idx="13">
                  <c:v>172</c:v>
                </c:pt>
                <c:pt idx="14">
                  <c:v>191</c:v>
                </c:pt>
              </c:numCache>
            </c:numRef>
          </c:val>
          <c:smooth val="0"/>
        </c:ser>
        <c:ser>
          <c:idx val="8"/>
          <c:order val="8"/>
          <c:tx>
            <c:strRef>
              <c:f>[1]Sheet2!$J$48</c:f>
              <c:strCache>
                <c:ptCount val="1"/>
                <c:pt idx="0">
                  <c:v>Forum feedback</c:v>
                </c:pt>
              </c:strCache>
            </c:strRef>
          </c:tx>
          <c:spPr>
            <a:ln w="28575" cap="rnd">
              <a:solidFill>
                <a:schemeClr val="accent3">
                  <a:lumMod val="60000"/>
                </a:schemeClr>
              </a:solidFill>
              <a:round/>
            </a:ln>
            <a:effectLst/>
          </c:spPr>
          <c:marker>
            <c:symbol val="none"/>
          </c:marker>
          <c:dLbls>
            <c:delete val="1"/>
          </c:dLbls>
          <c:cat>
            <c:numRef>
              <c:f>[1]Sheet2!$A$49:$A$63</c:f>
              <c:numCache>
                <c:formatCode>General</c:formatCode>
                <c:ptCount val="15"/>
                <c:pt idx="0">
                  <c:v>2021</c:v>
                </c:pt>
                <c:pt idx="1">
                  <c:v>2022</c:v>
                </c:pt>
                <c:pt idx="2">
                  <c:v>44927</c:v>
                </c:pt>
                <c:pt idx="3">
                  <c:v>44958</c:v>
                </c:pt>
                <c:pt idx="4">
                  <c:v>44986</c:v>
                </c:pt>
                <c:pt idx="5">
                  <c:v>45017</c:v>
                </c:pt>
                <c:pt idx="6">
                  <c:v>45047</c:v>
                </c:pt>
                <c:pt idx="7">
                  <c:v>45078</c:v>
                </c:pt>
                <c:pt idx="8">
                  <c:v>45108</c:v>
                </c:pt>
                <c:pt idx="9">
                  <c:v>45139</c:v>
                </c:pt>
                <c:pt idx="10">
                  <c:v>45170</c:v>
                </c:pt>
                <c:pt idx="11">
                  <c:v>45200</c:v>
                </c:pt>
                <c:pt idx="12">
                  <c:v>45231</c:v>
                </c:pt>
                <c:pt idx="13">
                  <c:v>45261</c:v>
                </c:pt>
                <c:pt idx="14">
                  <c:v>45292</c:v>
                </c:pt>
              </c:numCache>
            </c:numRef>
          </c:cat>
          <c:val>
            <c:numRef>
              <c:f>[1]Sheet2!$J$49:$J$63</c:f>
              <c:numCache>
                <c:formatCode>General</c:formatCode>
                <c:ptCount val="15"/>
                <c:pt idx="0">
                  <c:v>0</c:v>
                </c:pt>
                <c:pt idx="1">
                  <c:v>0</c:v>
                </c:pt>
                <c:pt idx="2">
                  <c:v>0</c:v>
                </c:pt>
                <c:pt idx="3">
                  <c:v>0</c:v>
                </c:pt>
                <c:pt idx="4">
                  <c:v>0</c:v>
                </c:pt>
                <c:pt idx="5">
                  <c:v>0</c:v>
                </c:pt>
                <c:pt idx="6">
                  <c:v>2</c:v>
                </c:pt>
                <c:pt idx="7">
                  <c:v>4</c:v>
                </c:pt>
                <c:pt idx="8">
                  <c:v>7</c:v>
                </c:pt>
                <c:pt idx="9">
                  <c:v>8</c:v>
                </c:pt>
                <c:pt idx="10">
                  <c:v>14</c:v>
                </c:pt>
                <c:pt idx="11">
                  <c:v>17</c:v>
                </c:pt>
                <c:pt idx="12">
                  <c:v>29</c:v>
                </c:pt>
                <c:pt idx="13">
                  <c:v>40</c:v>
                </c:pt>
                <c:pt idx="14">
                  <c:v>46</c:v>
                </c:pt>
              </c:numCache>
            </c:numRef>
          </c:val>
          <c:smooth val="0"/>
        </c:ser>
        <c:ser>
          <c:idx val="9"/>
          <c:order val="9"/>
          <c:tx>
            <c:strRef>
              <c:f>[1]Sheet2!$K$48</c:f>
              <c:strCache>
                <c:ptCount val="1"/>
                <c:pt idx="0">
                  <c:v>GPT builders</c:v>
                </c:pt>
              </c:strCache>
            </c:strRef>
          </c:tx>
          <c:spPr>
            <a:ln w="28575" cap="rnd">
              <a:solidFill>
                <a:schemeClr val="accent4">
                  <a:lumMod val="60000"/>
                </a:schemeClr>
              </a:solidFill>
              <a:round/>
            </a:ln>
            <a:effectLst/>
          </c:spPr>
          <c:marker>
            <c:symbol val="none"/>
          </c:marker>
          <c:dLbls>
            <c:delete val="1"/>
          </c:dLbls>
          <c:cat>
            <c:numRef>
              <c:f>[1]Sheet2!$A$49:$A$63</c:f>
              <c:numCache>
                <c:formatCode>General</c:formatCode>
                <c:ptCount val="15"/>
                <c:pt idx="0">
                  <c:v>2021</c:v>
                </c:pt>
                <c:pt idx="1">
                  <c:v>2022</c:v>
                </c:pt>
                <c:pt idx="2">
                  <c:v>44927</c:v>
                </c:pt>
                <c:pt idx="3">
                  <c:v>44958</c:v>
                </c:pt>
                <c:pt idx="4">
                  <c:v>44986</c:v>
                </c:pt>
                <c:pt idx="5">
                  <c:v>45017</c:v>
                </c:pt>
                <c:pt idx="6">
                  <c:v>45047</c:v>
                </c:pt>
                <c:pt idx="7">
                  <c:v>45078</c:v>
                </c:pt>
                <c:pt idx="8">
                  <c:v>45108</c:v>
                </c:pt>
                <c:pt idx="9">
                  <c:v>45139</c:v>
                </c:pt>
                <c:pt idx="10">
                  <c:v>45170</c:v>
                </c:pt>
                <c:pt idx="11">
                  <c:v>45200</c:v>
                </c:pt>
                <c:pt idx="12">
                  <c:v>45231</c:v>
                </c:pt>
                <c:pt idx="13">
                  <c:v>45261</c:v>
                </c:pt>
                <c:pt idx="14">
                  <c:v>45292</c:v>
                </c:pt>
              </c:numCache>
            </c:numRef>
          </c:cat>
          <c:val>
            <c:numRef>
              <c:f>[1]Sheet2!$K$49:$K$63</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3</c:v>
                </c:pt>
                <c:pt idx="13">
                  <c:v>123</c:v>
                </c:pt>
                <c:pt idx="14">
                  <c:v>248</c:v>
                </c:pt>
              </c:numCache>
            </c:numRef>
          </c:val>
          <c:smooth val="0"/>
        </c:ser>
        <c:ser>
          <c:idx val="10"/>
          <c:order val="10"/>
          <c:tx>
            <c:strRef>
              <c:f>[1]Sheet2!$L$48</c:f>
              <c:strCache>
                <c:ptCount val="1"/>
                <c:pt idx="0">
                  <c:v>Plugin store</c:v>
                </c:pt>
              </c:strCache>
            </c:strRef>
          </c:tx>
          <c:spPr>
            <a:ln w="28575" cap="rnd">
              <a:solidFill>
                <a:schemeClr val="accent5">
                  <a:lumMod val="60000"/>
                </a:schemeClr>
              </a:solidFill>
              <a:round/>
            </a:ln>
            <a:effectLst/>
          </c:spPr>
          <c:marker>
            <c:symbol val="none"/>
          </c:marker>
          <c:dLbls>
            <c:delete val="1"/>
          </c:dLbls>
          <c:cat>
            <c:numRef>
              <c:f>[1]Sheet2!$A$49:$A$63</c:f>
              <c:numCache>
                <c:formatCode>General</c:formatCode>
                <c:ptCount val="15"/>
                <c:pt idx="0">
                  <c:v>2021</c:v>
                </c:pt>
                <c:pt idx="1">
                  <c:v>2022</c:v>
                </c:pt>
                <c:pt idx="2">
                  <c:v>44927</c:v>
                </c:pt>
                <c:pt idx="3">
                  <c:v>44958</c:v>
                </c:pt>
                <c:pt idx="4">
                  <c:v>44986</c:v>
                </c:pt>
                <c:pt idx="5">
                  <c:v>45017</c:v>
                </c:pt>
                <c:pt idx="6">
                  <c:v>45047</c:v>
                </c:pt>
                <c:pt idx="7">
                  <c:v>45078</c:v>
                </c:pt>
                <c:pt idx="8">
                  <c:v>45108</c:v>
                </c:pt>
                <c:pt idx="9">
                  <c:v>45139</c:v>
                </c:pt>
                <c:pt idx="10">
                  <c:v>45170</c:v>
                </c:pt>
                <c:pt idx="11">
                  <c:v>45200</c:v>
                </c:pt>
                <c:pt idx="12">
                  <c:v>45231</c:v>
                </c:pt>
                <c:pt idx="13">
                  <c:v>45261</c:v>
                </c:pt>
                <c:pt idx="14">
                  <c:v>45292</c:v>
                </c:pt>
              </c:numCache>
            </c:numRef>
          </c:cat>
          <c:val>
            <c:numRef>
              <c:f>[1]Sheet2!$L$49:$L$63</c:f>
              <c:numCache>
                <c:formatCode>General</c:formatCode>
                <c:ptCount val="15"/>
                <c:pt idx="0">
                  <c:v>0</c:v>
                </c:pt>
                <c:pt idx="1">
                  <c:v>0</c:v>
                </c:pt>
                <c:pt idx="2">
                  <c:v>0</c:v>
                </c:pt>
                <c:pt idx="3">
                  <c:v>0</c:v>
                </c:pt>
                <c:pt idx="4">
                  <c:v>0</c:v>
                </c:pt>
                <c:pt idx="5">
                  <c:v>0</c:v>
                </c:pt>
                <c:pt idx="6">
                  <c:v>10</c:v>
                </c:pt>
                <c:pt idx="7">
                  <c:v>29</c:v>
                </c:pt>
                <c:pt idx="8">
                  <c:v>34</c:v>
                </c:pt>
                <c:pt idx="9">
                  <c:v>42</c:v>
                </c:pt>
                <c:pt idx="10">
                  <c:v>44</c:v>
                </c:pt>
                <c:pt idx="11">
                  <c:v>46</c:v>
                </c:pt>
                <c:pt idx="12">
                  <c:v>53</c:v>
                </c:pt>
                <c:pt idx="13">
                  <c:v>55</c:v>
                </c:pt>
                <c:pt idx="14">
                  <c:v>61</c:v>
                </c:pt>
              </c:numCache>
            </c:numRef>
          </c:val>
          <c:smooth val="0"/>
        </c:ser>
        <c:ser>
          <c:idx val="11"/>
          <c:order val="11"/>
          <c:tx>
            <c:strRef>
              <c:f>[1]Sheet2!$M$48</c:f>
              <c:strCache>
                <c:ptCount val="1"/>
                <c:pt idx="0">
                  <c:v>Plugins / Actions builders</c:v>
                </c:pt>
              </c:strCache>
            </c:strRef>
          </c:tx>
          <c:spPr>
            <a:ln w="28575" cap="rnd">
              <a:solidFill>
                <a:schemeClr val="accent6">
                  <a:lumMod val="60000"/>
                </a:schemeClr>
              </a:solidFill>
              <a:round/>
            </a:ln>
            <a:effectLst/>
          </c:spPr>
          <c:marker>
            <c:symbol val="none"/>
          </c:marker>
          <c:dLbls>
            <c:delete val="1"/>
          </c:dLbls>
          <c:cat>
            <c:numRef>
              <c:f>[1]Sheet2!$A$49:$A$63</c:f>
              <c:numCache>
                <c:formatCode>General</c:formatCode>
                <c:ptCount val="15"/>
                <c:pt idx="0">
                  <c:v>2021</c:v>
                </c:pt>
                <c:pt idx="1">
                  <c:v>2022</c:v>
                </c:pt>
                <c:pt idx="2">
                  <c:v>44927</c:v>
                </c:pt>
                <c:pt idx="3">
                  <c:v>44958</c:v>
                </c:pt>
                <c:pt idx="4">
                  <c:v>44986</c:v>
                </c:pt>
                <c:pt idx="5">
                  <c:v>45017</c:v>
                </c:pt>
                <c:pt idx="6">
                  <c:v>45047</c:v>
                </c:pt>
                <c:pt idx="7">
                  <c:v>45078</c:v>
                </c:pt>
                <c:pt idx="8">
                  <c:v>45108</c:v>
                </c:pt>
                <c:pt idx="9">
                  <c:v>45139</c:v>
                </c:pt>
                <c:pt idx="10">
                  <c:v>45170</c:v>
                </c:pt>
                <c:pt idx="11">
                  <c:v>45200</c:v>
                </c:pt>
                <c:pt idx="12">
                  <c:v>45231</c:v>
                </c:pt>
                <c:pt idx="13">
                  <c:v>45261</c:v>
                </c:pt>
                <c:pt idx="14">
                  <c:v>45292</c:v>
                </c:pt>
              </c:numCache>
            </c:numRef>
          </c:cat>
          <c:val>
            <c:numRef>
              <c:f>[1]Sheet2!$M$49:$M$63</c:f>
              <c:numCache>
                <c:formatCode>General</c:formatCode>
                <c:ptCount val="15"/>
                <c:pt idx="0">
                  <c:v>0</c:v>
                </c:pt>
                <c:pt idx="1">
                  <c:v>0</c:v>
                </c:pt>
                <c:pt idx="2">
                  <c:v>0</c:v>
                </c:pt>
                <c:pt idx="3">
                  <c:v>0</c:v>
                </c:pt>
                <c:pt idx="4">
                  <c:v>3</c:v>
                </c:pt>
                <c:pt idx="5">
                  <c:v>231</c:v>
                </c:pt>
                <c:pt idx="6">
                  <c:v>602</c:v>
                </c:pt>
                <c:pt idx="7">
                  <c:v>786</c:v>
                </c:pt>
                <c:pt idx="8">
                  <c:v>915</c:v>
                </c:pt>
                <c:pt idx="9">
                  <c:v>996</c:v>
                </c:pt>
                <c:pt idx="10">
                  <c:v>1042</c:v>
                </c:pt>
                <c:pt idx="11">
                  <c:v>1095</c:v>
                </c:pt>
                <c:pt idx="12">
                  <c:v>1433</c:v>
                </c:pt>
                <c:pt idx="13">
                  <c:v>1555</c:v>
                </c:pt>
                <c:pt idx="14">
                  <c:v>1638</c:v>
                </c:pt>
              </c:numCache>
            </c:numRef>
          </c:val>
          <c:smooth val="0"/>
        </c:ser>
        <c:ser>
          <c:idx val="12"/>
          <c:order val="12"/>
          <c:tx>
            <c:strRef>
              <c:f>[1]Sheet2!$N$48</c:f>
              <c:strCache>
                <c:ptCount val="1"/>
                <c:pt idx="0">
                  <c:v>Prompting</c:v>
                </c:pt>
              </c:strCache>
            </c:strRef>
          </c:tx>
          <c:spPr>
            <a:ln w="28575" cap="rnd">
              <a:solidFill>
                <a:schemeClr val="accent1">
                  <a:lumMod val="80000"/>
                  <a:lumOff val="20000"/>
                </a:schemeClr>
              </a:solidFill>
              <a:round/>
            </a:ln>
            <a:effectLst/>
          </c:spPr>
          <c:marker>
            <c:symbol val="none"/>
          </c:marker>
          <c:dLbls>
            <c:delete val="1"/>
          </c:dLbls>
          <c:cat>
            <c:numRef>
              <c:f>[1]Sheet2!$A$49:$A$63</c:f>
              <c:numCache>
                <c:formatCode>General</c:formatCode>
                <c:ptCount val="15"/>
                <c:pt idx="0">
                  <c:v>2021</c:v>
                </c:pt>
                <c:pt idx="1">
                  <c:v>2022</c:v>
                </c:pt>
                <c:pt idx="2">
                  <c:v>44927</c:v>
                </c:pt>
                <c:pt idx="3">
                  <c:v>44958</c:v>
                </c:pt>
                <c:pt idx="4">
                  <c:v>44986</c:v>
                </c:pt>
                <c:pt idx="5">
                  <c:v>45017</c:v>
                </c:pt>
                <c:pt idx="6">
                  <c:v>45047</c:v>
                </c:pt>
                <c:pt idx="7">
                  <c:v>45078</c:v>
                </c:pt>
                <c:pt idx="8">
                  <c:v>45108</c:v>
                </c:pt>
                <c:pt idx="9">
                  <c:v>45139</c:v>
                </c:pt>
                <c:pt idx="10">
                  <c:v>45170</c:v>
                </c:pt>
                <c:pt idx="11">
                  <c:v>45200</c:v>
                </c:pt>
                <c:pt idx="12">
                  <c:v>45231</c:v>
                </c:pt>
                <c:pt idx="13">
                  <c:v>45261</c:v>
                </c:pt>
                <c:pt idx="14">
                  <c:v>45292</c:v>
                </c:pt>
              </c:numCache>
            </c:numRef>
          </c:cat>
          <c:val>
            <c:numRef>
              <c:f>[1]Sheet2!$N$49:$N$63</c:f>
              <c:numCache>
                <c:formatCode>General</c:formatCode>
                <c:ptCount val="15"/>
                <c:pt idx="0">
                  <c:v>296</c:v>
                </c:pt>
                <c:pt idx="1">
                  <c:v>629</c:v>
                </c:pt>
                <c:pt idx="2">
                  <c:v>721</c:v>
                </c:pt>
                <c:pt idx="3">
                  <c:v>777</c:v>
                </c:pt>
                <c:pt idx="4">
                  <c:v>882</c:v>
                </c:pt>
                <c:pt idx="5">
                  <c:v>968</c:v>
                </c:pt>
                <c:pt idx="6">
                  <c:v>1077</c:v>
                </c:pt>
                <c:pt idx="7">
                  <c:v>1165</c:v>
                </c:pt>
                <c:pt idx="8">
                  <c:v>1246</c:v>
                </c:pt>
                <c:pt idx="9">
                  <c:v>1333</c:v>
                </c:pt>
                <c:pt idx="10">
                  <c:v>1399</c:v>
                </c:pt>
                <c:pt idx="11">
                  <c:v>1511</c:v>
                </c:pt>
                <c:pt idx="12">
                  <c:v>1660</c:v>
                </c:pt>
                <c:pt idx="13">
                  <c:v>1773</c:v>
                </c:pt>
                <c:pt idx="14">
                  <c:v>1827</c:v>
                </c:pt>
              </c:numCache>
            </c:numRef>
          </c:val>
          <c:smooth val="0"/>
        </c:ser>
        <c:dLbls>
          <c:showLegendKey val="0"/>
          <c:showVal val="0"/>
          <c:showCatName val="0"/>
          <c:showSerName val="0"/>
          <c:showPercent val="0"/>
          <c:showBubbleSize val="0"/>
        </c:dLbls>
        <c:marker val="0"/>
        <c:smooth val="0"/>
        <c:axId val="352547143"/>
        <c:axId val="708549196"/>
      </c:lineChart>
      <c:catAx>
        <c:axId val="35254714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08549196"/>
        <c:crosses val="autoZero"/>
        <c:auto val="1"/>
        <c:lblAlgn val="ctr"/>
        <c:lblOffset val="100"/>
        <c:noMultiLvlLbl val="0"/>
      </c:catAx>
      <c:valAx>
        <c:axId val="708549196"/>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52547143"/>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bar"/>
        <c:grouping val="clustered"/>
        <c:varyColors val="0"/>
        <c:ser>
          <c:idx val="2"/>
          <c:order val="0"/>
          <c:tx>
            <c:strRef>
              <c:f>[2]Sheet3!$D$1</c:f>
              <c:strCache>
                <c:ptCount val="1"/>
                <c:pt idx="0">
                  <c:v>With Accepted Answer</c:v>
                </c:pt>
              </c:strCache>
            </c:strRef>
          </c:tx>
          <c:spPr>
            <a:solidFill>
              <a:srgbClr val="F2BA0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ext>
            </c:extLst>
          </c:dLbls>
          <c:cat>
            <c:numRef>
              <c:f>[2]Sheet3!$A$2:$A$5</c:f>
              <c:numCache>
                <c:formatCode>General</c:formatCode>
                <c:ptCount val="4"/>
                <c:pt idx="0">
                  <c:v>2021</c:v>
                </c:pt>
                <c:pt idx="1">
                  <c:v>2022</c:v>
                </c:pt>
                <c:pt idx="2">
                  <c:v>2023</c:v>
                </c:pt>
                <c:pt idx="3">
                  <c:v>2024</c:v>
                </c:pt>
              </c:numCache>
            </c:numRef>
          </c:cat>
          <c:val>
            <c:numRef>
              <c:f>[2]Sheet3!$D$2:$D$5</c:f>
              <c:numCache>
                <c:formatCode>General</c:formatCode>
                <c:ptCount val="4"/>
                <c:pt idx="0">
                  <c:v>1114</c:v>
                </c:pt>
                <c:pt idx="1">
                  <c:v>1364</c:v>
                </c:pt>
                <c:pt idx="2">
                  <c:v>13203</c:v>
                </c:pt>
                <c:pt idx="3">
                  <c:v>759</c:v>
                </c:pt>
              </c:numCache>
            </c:numRef>
          </c:val>
        </c:ser>
        <c:ser>
          <c:idx val="3"/>
          <c:order val="1"/>
          <c:tx>
            <c:strRef>
              <c:f>[2]Sheet3!$C$1</c:f>
              <c:strCache>
                <c:ptCount val="1"/>
                <c:pt idx="0">
                  <c:v>Without Accepted Answer</c:v>
                </c:pt>
              </c:strCache>
            </c:strRef>
          </c:tx>
          <c:spPr>
            <a:solidFill>
              <a:srgbClr val="75BD4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ext>
            </c:extLst>
          </c:dLbls>
          <c:cat>
            <c:numRef>
              <c:f>[2]Sheet3!$A$2:$A$5</c:f>
              <c:numCache>
                <c:formatCode>General</c:formatCode>
                <c:ptCount val="4"/>
                <c:pt idx="0">
                  <c:v>2021</c:v>
                </c:pt>
                <c:pt idx="1">
                  <c:v>2022</c:v>
                </c:pt>
                <c:pt idx="2">
                  <c:v>2023</c:v>
                </c:pt>
                <c:pt idx="3">
                  <c:v>2024</c:v>
                </c:pt>
              </c:numCache>
            </c:numRef>
          </c:cat>
          <c:val>
            <c:numRef>
              <c:f>[2]Sheet3!$C$2:$C$5</c:f>
              <c:numCache>
                <c:formatCode>General</c:formatCode>
                <c:ptCount val="4"/>
                <c:pt idx="0">
                  <c:v>201</c:v>
                </c:pt>
                <c:pt idx="1">
                  <c:v>422</c:v>
                </c:pt>
                <c:pt idx="2">
                  <c:v>3792</c:v>
                </c:pt>
                <c:pt idx="3">
                  <c:v>220</c:v>
                </c:pt>
              </c:numCache>
            </c:numRef>
          </c:val>
        </c:ser>
        <c:ser>
          <c:idx val="1"/>
          <c:order val="2"/>
          <c:tx>
            <c:strRef>
              <c:f>[2]Sheet3!$B$1</c:f>
              <c:strCache>
                <c:ptCount val="1"/>
                <c:pt idx="0">
                  <c:v>All Questions</c:v>
                </c:pt>
              </c:strCache>
            </c:strRef>
          </c:tx>
          <c:spPr>
            <a:solidFill>
              <a:srgbClr val="EE822F"/>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ext>
            </c:extLst>
          </c:dLbls>
          <c:cat>
            <c:numRef>
              <c:f>[2]Sheet3!$A$2:$A$5</c:f>
              <c:numCache>
                <c:formatCode>General</c:formatCode>
                <c:ptCount val="4"/>
                <c:pt idx="0">
                  <c:v>2021</c:v>
                </c:pt>
                <c:pt idx="1">
                  <c:v>2022</c:v>
                </c:pt>
                <c:pt idx="2">
                  <c:v>2023</c:v>
                </c:pt>
                <c:pt idx="3">
                  <c:v>2024</c:v>
                </c:pt>
              </c:numCache>
            </c:numRef>
          </c:cat>
          <c:val>
            <c:numRef>
              <c:f>[2]Sheet3!$B$2:$B$5</c:f>
              <c:numCache>
                <c:formatCode>General</c:formatCode>
                <c:ptCount val="4"/>
                <c:pt idx="0">
                  <c:v>1315</c:v>
                </c:pt>
                <c:pt idx="1">
                  <c:v>1786</c:v>
                </c:pt>
                <c:pt idx="2">
                  <c:v>16995</c:v>
                </c:pt>
                <c:pt idx="3">
                  <c:v>979</c:v>
                </c:pt>
              </c:numCache>
            </c:numRef>
          </c:val>
        </c:ser>
        <c:dLbls>
          <c:showLegendKey val="0"/>
          <c:showVal val="1"/>
          <c:showCatName val="0"/>
          <c:showSerName val="0"/>
          <c:showPercent val="0"/>
          <c:showBubbleSize val="0"/>
        </c:dLbls>
        <c:gapWidth val="182"/>
        <c:overlap val="0"/>
        <c:axId val="567036814"/>
        <c:axId val="589126543"/>
      </c:barChart>
      <c:catAx>
        <c:axId val="567036814"/>
        <c:scaling>
          <c:orientation val="minMax"/>
        </c:scaling>
        <c:delete val="0"/>
        <c:axPos val="l"/>
        <c:title>
          <c:tx>
            <c:rich>
              <a:bodyPr rot="-5400000" spcFirstLastPara="1" vertOverflow="ellipsis" vert="horz" wrap="square" anchor="ctr" anchorCtr="1"/>
              <a:lstStyle/>
              <a:p>
                <a:pPr>
                  <a:defRPr lang="zh-CN" sz="1000" b="0" i="0" u="none" strike="noStrike" kern="1200" baseline="0">
                    <a:solidFill>
                      <a:sysClr val="windowText" lastClr="000000">
                        <a:lumMod val="65000"/>
                        <a:lumOff val="35000"/>
                      </a:sysClr>
                    </a:solidFill>
                    <a:latin typeface="Calibri" panose="020F0502020204030204" charset="0"/>
                    <a:ea typeface="宋体" panose="02010600030101010101" pitchFamily="7" charset="-122"/>
                    <a:cs typeface="+mn-ea"/>
                  </a:defRPr>
                </a:pPr>
                <a:r>
                  <a:rPr lang="en-US" altLang="zh-CN"/>
                  <a:t>Year</a:t>
                </a:r>
                <a:endParaRPr lang="zh-CN" altLang="en-US" sz="1000" b="0" i="0" u="none" strike="noStrike" baseline="0">
                  <a:solidFill>
                    <a:srgbClr val="333333">
                      <a:alpha val="100000"/>
                    </a:srgbClr>
                  </a:solidFill>
                  <a:latin typeface="Calibri" panose="020F0502020204030204" charset="0"/>
                  <a:ea typeface="Calibri" panose="020F0502020204030204" charset="0"/>
                  <a:cs typeface="Calibri" panose="020F0502020204030204" charset="0"/>
                </a:endParaRPr>
              </a:p>
            </c:rich>
          </c:tx>
          <c:layout/>
          <c:overlay val="0"/>
          <c:spPr>
            <a:noFill/>
            <a:ln>
              <a:noFill/>
            </a:ln>
            <a:effectLst/>
          </c:spPr>
        </c:title>
        <c:majorTickMark val="none"/>
        <c:minorTickMark val="none"/>
        <c:tickLblPos val="nextTo"/>
        <c:spPr>
          <a:noFill/>
          <a:ln w="9525" cap="flat" cmpd="sng" algn="ctr">
            <a:solidFill>
              <a:sysClr val="windowText" lastClr="000000">
                <a:lumMod val="15000"/>
                <a:lumOff val="85000"/>
              </a:sysClr>
            </a:solidFill>
            <a:prstDash val="solid"/>
            <a:round/>
          </a:ln>
          <a:effectLst/>
        </c:spPr>
        <c:txPr>
          <a:bodyPr rot="-60000000" spcFirstLastPara="1" vertOverflow="ellipsis" vert="horz" wrap="square" anchor="ctr" anchorCtr="1"/>
          <a:lstStyle/>
          <a:p>
            <a:pPr>
              <a:defRPr lang="zh-CN" sz="900" b="0" i="0" u="none" strike="noStrike" kern="1200" baseline="0">
                <a:solidFill>
                  <a:sysClr val="windowText" lastClr="000000">
                    <a:lumMod val="65000"/>
                    <a:lumOff val="35000"/>
                  </a:sysClr>
                </a:solidFill>
                <a:latin typeface="Calibri" panose="020F0502020204030204" charset="0"/>
                <a:ea typeface="宋体" panose="02010600030101010101" pitchFamily="7" charset="-122"/>
                <a:cs typeface="+mn-ea"/>
              </a:defRPr>
            </a:pPr>
          </a:p>
        </c:txPr>
        <c:crossAx val="589126543"/>
        <c:crosses val="autoZero"/>
        <c:auto val="1"/>
        <c:lblAlgn val="ctr"/>
        <c:lblOffset val="100"/>
        <c:noMultiLvlLbl val="0"/>
      </c:catAx>
      <c:valAx>
        <c:axId val="589126543"/>
        <c:scaling>
          <c:orientation val="minMax"/>
        </c:scaling>
        <c:delete val="0"/>
        <c:axPos val="b"/>
        <c:title>
          <c:tx>
            <c:rich>
              <a:bodyPr rot="0" spcFirstLastPara="1" vertOverflow="ellipsis" vert="horz" wrap="square" anchor="ctr" anchorCtr="1"/>
              <a:lstStyle/>
              <a:p>
                <a:pPr>
                  <a:defRPr lang="zh-CN" sz="1000" b="0" i="0" u="none" strike="noStrike" kern="1200" baseline="0">
                    <a:solidFill>
                      <a:sysClr val="windowText" lastClr="000000">
                        <a:lumMod val="65000"/>
                        <a:lumOff val="35000"/>
                      </a:sysClr>
                    </a:solidFill>
                    <a:latin typeface="Calibri" panose="020F0502020204030204" charset="0"/>
                    <a:ea typeface="宋体" panose="02010600030101010101" pitchFamily="7" charset="-122"/>
                    <a:cs typeface="+mn-ea"/>
                  </a:defRPr>
                </a:pPr>
                <a:r>
                  <a:rPr lang="en-US" altLang="zh-CN"/>
                  <a:t>Question Posts</a:t>
                </a:r>
                <a:endParaRPr lang="en-US" altLang="zh-CN" sz="1000" b="0" i="0" u="none" strike="noStrike" baseline="0">
                  <a:solidFill>
                    <a:srgbClr val="333333">
                      <a:alpha val="100000"/>
                    </a:srgbClr>
                  </a:solidFill>
                  <a:latin typeface="Calibri" panose="020F0502020204030204" charset="0"/>
                  <a:ea typeface="Calibri" panose="020F0502020204030204" charset="0"/>
                  <a:cs typeface="Calibri" panose="020F0502020204030204" charset="0"/>
                </a:endParaRPr>
              </a:p>
            </c:rich>
          </c:tx>
          <c:layout>
            <c:manualLayout>
              <c:xMode val="edge"/>
              <c:yMode val="edge"/>
              <c:x val="0.391843997651893"/>
              <c:y val="0.939072236325871"/>
            </c:manualLayout>
          </c:layout>
          <c:overlay val="0"/>
          <c:spPr>
            <a:noFill/>
            <a:ln>
              <a:noFill/>
            </a:ln>
            <a:effectLst/>
          </c:spPr>
        </c:title>
        <c:numFmt formatCode="General" sourceLinked="1"/>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900" b="0" i="0" u="none" strike="noStrike" kern="1200" baseline="0">
                <a:solidFill>
                  <a:sysClr val="windowText" lastClr="000000">
                    <a:lumMod val="65000"/>
                    <a:lumOff val="35000"/>
                  </a:sysClr>
                </a:solidFill>
                <a:latin typeface="Calibri" panose="020F0502020204030204" charset="0"/>
                <a:ea typeface="宋体" panose="02010600030101010101" pitchFamily="7" charset="-122"/>
                <a:cs typeface="+mn-ea"/>
              </a:defRPr>
            </a:pPr>
          </a:p>
        </c:txPr>
        <c:crossAx val="567036814"/>
        <c:crosses val="autoZero"/>
        <c:crossBetween val="between"/>
      </c:valAx>
      <c:spPr>
        <a:noFill/>
        <a:ln>
          <a:noFill/>
        </a:ln>
        <a:effectLst/>
      </c:spPr>
    </c:plotArea>
    <c:legend>
      <c:legendPos val="r"/>
      <c:layout/>
      <c:overlay val="0"/>
      <c:txPr>
        <a:bodyPr rot="0" spcFirstLastPara="1" vertOverflow="ellipsis" vert="horz" wrap="square" anchor="ctr" anchorCtr="1"/>
        <a:lstStyle/>
        <a:p>
          <a:pPr>
            <a:defRPr lang="zh-CN" sz="900" b="0" i="0" u="none" strike="noStrike" kern="1200" baseline="0">
              <a:solidFill>
                <a:sysClr val="windowText" lastClr="000000">
                  <a:lumMod val="65000"/>
                  <a:lumOff val="35000"/>
                </a:sysClr>
              </a:solidFill>
              <a:latin typeface="Calibri" panose="020F0502020204030204" charset="0"/>
              <a:ea typeface="宋体" panose="02010600030101010101" pitchFamily="7" charset="-122"/>
              <a:cs typeface="+mn-ea"/>
            </a:defRPr>
          </a:pPr>
        </a:p>
      </c:txPr>
    </c:legend>
    <c:plotVisOnly val="1"/>
    <c:dispBlanksAs val="gap"/>
    <c:showDLblsOverMax val="0"/>
  </c:chart>
  <c:spPr>
    <a:solidFill>
      <a:sysClr val="window" lastClr="FFFFFF"/>
    </a:solidFill>
    <a:ln w="9525" cap="flat" cmpd="sng" algn="ctr">
      <a:solidFill>
        <a:sysClr val="windowText" lastClr="000000">
          <a:lumMod val="15000"/>
          <a:lumOff val="85000"/>
        </a:sysClr>
      </a:solidFill>
      <a:prstDash val="solid"/>
      <a:round/>
    </a:ln>
    <a:effectLst/>
  </c:spPr>
  <c:txPr>
    <a:bodyPr wrap="square"/>
    <a:lstStyle/>
    <a:p>
      <a:pPr>
        <a:defRPr lang="zh-CN"/>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t>不同叶子类别首条信息回复时间</a:t>
            </a:r>
          </a:p>
        </c:rich>
      </c:tx>
      <c:layout>
        <c:manualLayout>
          <c:xMode val="edge"/>
          <c:yMode val="edge"/>
          <c:x val="0.388282828282828"/>
          <c:y val="0.0118471714878073"/>
        </c:manualLayout>
      </c:layout>
      <c:overlay val="0"/>
      <c:spPr>
        <a:noFill/>
        <a:ln>
          <a:noFill/>
        </a:ln>
        <a:effectLst/>
      </c:spPr>
    </c:title>
    <c:autoTitleDeleted val="0"/>
    <c:plotArea>
      <c:layout/>
      <c:barChart>
        <c:barDir val="bar"/>
        <c:grouping val="clustered"/>
        <c:varyColors val="0"/>
        <c:ser>
          <c:idx val="0"/>
          <c:order val="0"/>
          <c:tx>
            <c:strRef>
              <c:f>Sheet9!$B$1</c:f>
              <c:strCache>
                <c:ptCount val="1"/>
                <c:pt idx="0">
                  <c:v>平均回复时间/秒</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Sheet9!$A$2:$A$13</c:f>
              <c:strCache>
                <c:ptCount val="12"/>
                <c:pt idx="0">
                  <c:v>Announcements</c:v>
                </c:pt>
                <c:pt idx="1">
                  <c:v>Plugin store</c:v>
                </c:pt>
                <c:pt idx="2">
                  <c:v>Deprecations</c:v>
                </c:pt>
                <c:pt idx="3">
                  <c:v>Prompting</c:v>
                </c:pt>
                <c:pt idx="4">
                  <c:v>Documentation</c:v>
                </c:pt>
                <c:pt idx="5">
                  <c:v>API</c:v>
                </c:pt>
                <c:pt idx="6">
                  <c:v>Community</c:v>
                </c:pt>
                <c:pt idx="7">
                  <c:v>Plugins / Actions builders</c:v>
                </c:pt>
                <c:pt idx="8">
                  <c:v>Feedback</c:v>
                </c:pt>
                <c:pt idx="9">
                  <c:v>Forum feedback</c:v>
                </c:pt>
                <c:pt idx="10">
                  <c:v>Bugs</c:v>
                </c:pt>
                <c:pt idx="11">
                  <c:v>GPT builders</c:v>
                </c:pt>
              </c:strCache>
            </c:strRef>
          </c:cat>
          <c:val>
            <c:numRef>
              <c:f>Sheet9!$B$2:$B$13</c:f>
              <c:numCache>
                <c:formatCode>0.0_ </c:formatCode>
                <c:ptCount val="12"/>
                <c:pt idx="0">
                  <c:v>320.3</c:v>
                </c:pt>
                <c:pt idx="1">
                  <c:v>150</c:v>
                </c:pt>
                <c:pt idx="2">
                  <c:v>126</c:v>
                </c:pt>
                <c:pt idx="3">
                  <c:v>121</c:v>
                </c:pt>
                <c:pt idx="4">
                  <c:v>96</c:v>
                </c:pt>
                <c:pt idx="5">
                  <c:v>91.7</c:v>
                </c:pt>
                <c:pt idx="6">
                  <c:v>81.4</c:v>
                </c:pt>
                <c:pt idx="7">
                  <c:v>53.3</c:v>
                </c:pt>
                <c:pt idx="8">
                  <c:v>17.4</c:v>
                </c:pt>
                <c:pt idx="9">
                  <c:v>14.1</c:v>
                </c:pt>
                <c:pt idx="10">
                  <c:v>13.8</c:v>
                </c:pt>
                <c:pt idx="11">
                  <c:v>4.6</c:v>
                </c:pt>
              </c:numCache>
            </c:numRef>
          </c:val>
        </c:ser>
        <c:dLbls>
          <c:showLegendKey val="0"/>
          <c:showVal val="1"/>
          <c:showCatName val="0"/>
          <c:showSerName val="0"/>
          <c:showPercent val="0"/>
          <c:showBubbleSize val="0"/>
        </c:dLbls>
        <c:gapWidth val="140"/>
        <c:overlap val="-40"/>
        <c:axId val="139403563"/>
        <c:axId val="882261789"/>
      </c:barChart>
      <c:dateAx>
        <c:axId val="139403563"/>
        <c:scaling>
          <c:orientation val="minMax"/>
        </c:scaling>
        <c:delete val="0"/>
        <c:axPos val="l"/>
        <c:title>
          <c:tx>
            <c:rich>
              <a:bodyPr rot="-5400000" spcFirstLastPara="0" vertOverflow="ellipsis" vert="horz" wrap="square" anchor="ctr" anchorCtr="1" forceAA="0"/>
              <a:lstStyle/>
              <a:p>
                <a:pPr>
                  <a:defRPr lang="zh-CN" sz="1000" b="0" i="0" u="none" strike="noStrike" kern="1200" baseline="0">
                    <a:solidFill>
                      <a:schemeClr val="tx1">
                        <a:lumMod val="65000"/>
                        <a:lumOff val="35000"/>
                      </a:schemeClr>
                    </a:solidFill>
                    <a:latin typeface="+mn-lt"/>
                    <a:ea typeface="+mn-ea"/>
                    <a:cs typeface="+mn-cs"/>
                  </a:defRPr>
                </a:pPr>
                <a:r>
                  <a:rPr lang="en-US" altLang="zh-CN"/>
                  <a:t>Topic</a:t>
                </a:r>
              </a:p>
            </c:rich>
          </c:tx>
          <c:layout/>
          <c:overlay val="0"/>
          <c:spPr>
            <a:noFill/>
            <a:ln>
              <a:noFill/>
            </a:ln>
            <a:effectLst/>
          </c:sp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t" anchorCtr="0" forceAA="0"/>
          <a:lstStyle/>
          <a:p>
            <a:pPr>
              <a:defRPr lang="zh-CN" sz="900" b="0" i="0" u="none" strike="noStrike" kern="1200" baseline="0">
                <a:solidFill>
                  <a:schemeClr val="tx1">
                    <a:lumMod val="65000"/>
                    <a:lumOff val="35000"/>
                  </a:schemeClr>
                </a:solidFill>
                <a:latin typeface="+mn-lt"/>
                <a:ea typeface="+mn-ea"/>
                <a:cs typeface="+mn-cs"/>
              </a:defRPr>
            </a:pPr>
          </a:p>
        </c:txPr>
        <c:crossAx val="882261789"/>
        <c:crosses val="autoZero"/>
        <c:auto val="1"/>
        <c:lblAlgn val="ctr"/>
        <c:lblOffset val="100"/>
        <c:baseTimeUnit val="days"/>
      </c:dateAx>
      <c:valAx>
        <c:axId val="882261789"/>
        <c:scaling>
          <c:orientation val="minMax"/>
        </c:scaling>
        <c:delete val="0"/>
        <c:axPos val="b"/>
        <c:title>
          <c:tx>
            <c:rich>
              <a:bodyPr rot="0" spcFirstLastPara="0"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rPr altLang="en-US"/>
                  <a:t>平均回复时间</a:t>
                </a:r>
                <a:r>
                  <a:rPr lang="en-US" altLang="zh-CN"/>
                  <a:t>/</a:t>
                </a:r>
                <a:r>
                  <a:rPr altLang="en-US"/>
                  <a:t>秒</a:t>
                </a:r>
                <a:endParaRPr lang="en-US" altLang="zh-CN"/>
              </a:p>
            </c:rich>
          </c:tx>
          <c:layout/>
          <c:overlay val="0"/>
          <c:spPr>
            <a:noFill/>
            <a:ln>
              <a:noFill/>
            </a:ln>
            <a:effectLst/>
          </c:spPr>
        </c:title>
        <c:numFmt formatCode="0.0_ "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3940356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rot="0" vert="horz"/>
    <a:lstStyle/>
    <a:p>
      <a:pPr>
        <a:defRPr lang="zh-CN"/>
      </a:pP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t>Tags每月增加的数量</a:t>
            </a:r>
            <a:endParaRPr lang="en-US" altLang="zh-CN"/>
          </a:p>
        </c:rich>
      </c:tx>
      <c:layout/>
      <c:overlay val="0"/>
      <c:spPr>
        <a:noFill/>
        <a:ln>
          <a:noFill/>
        </a:ln>
        <a:effectLst/>
      </c:spPr>
    </c:title>
    <c:autoTitleDeleted val="0"/>
    <c:plotArea>
      <c:layout/>
      <c:barChart>
        <c:barDir val="col"/>
        <c:grouping val="clustered"/>
        <c:varyColors val="0"/>
        <c:ser>
          <c:idx val="0"/>
          <c:order val="0"/>
          <c:tx>
            <c:strRef>
              <c:f>Sheet11!$B$1</c:f>
              <c:strCache>
                <c:ptCount val="1"/>
                <c:pt idx="0">
                  <c:v>Tags/n</c:v>
                </c:pt>
              </c:strCache>
            </c:strRef>
          </c:tx>
          <c:spPr>
            <a:solidFill>
              <a:schemeClr val="accent1"/>
            </a:solidFill>
            <a:ln>
              <a:solidFill>
                <a:schemeClr val="bg1"/>
              </a:solid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Sheet11!$A$2:$A$37</c:f>
              <c:numCache>
                <c:formatCode>yyyy"/"m</c:formatCode>
                <c:ptCount val="36"/>
                <c:pt idx="0" c:formatCode="yyyy&quot;/&quot;m">
                  <c:v>44228</c:v>
                </c:pt>
                <c:pt idx="1" c:formatCode="yyyy&quot;/&quot;m">
                  <c:v>44256</c:v>
                </c:pt>
                <c:pt idx="2" c:formatCode="yyyy&quot;/&quot;m">
                  <c:v>44287</c:v>
                </c:pt>
                <c:pt idx="3" c:formatCode="yyyy&quot;/&quot;m">
                  <c:v>44317</c:v>
                </c:pt>
                <c:pt idx="4" c:formatCode="yyyy&quot;/&quot;m">
                  <c:v>44348</c:v>
                </c:pt>
                <c:pt idx="5" c:formatCode="yyyy&quot;/&quot;m">
                  <c:v>44378</c:v>
                </c:pt>
                <c:pt idx="6" c:formatCode="yyyy&quot;/&quot;m">
                  <c:v>44409</c:v>
                </c:pt>
                <c:pt idx="7" c:formatCode="yyyy&quot;/&quot;m">
                  <c:v>44440</c:v>
                </c:pt>
                <c:pt idx="8" c:formatCode="yyyy&quot;/&quot;m">
                  <c:v>44470</c:v>
                </c:pt>
                <c:pt idx="9" c:formatCode="yyyy&quot;/&quot;m">
                  <c:v>44501</c:v>
                </c:pt>
                <c:pt idx="10" c:formatCode="yyyy&quot;/&quot;m">
                  <c:v>44531</c:v>
                </c:pt>
                <c:pt idx="11" c:formatCode="yyyy&quot;/&quot;m">
                  <c:v>44562</c:v>
                </c:pt>
                <c:pt idx="12" c:formatCode="yyyy&quot;/&quot;m">
                  <c:v>44593</c:v>
                </c:pt>
                <c:pt idx="13" c:formatCode="yyyy&quot;/&quot;m">
                  <c:v>44621</c:v>
                </c:pt>
                <c:pt idx="14" c:formatCode="yyyy&quot;/&quot;m">
                  <c:v>44652</c:v>
                </c:pt>
                <c:pt idx="15" c:formatCode="yyyy&quot;/&quot;m">
                  <c:v>44682</c:v>
                </c:pt>
                <c:pt idx="16" c:formatCode="yyyy&quot;/&quot;m">
                  <c:v>44713</c:v>
                </c:pt>
                <c:pt idx="17" c:formatCode="yyyy&quot;/&quot;m">
                  <c:v>44743</c:v>
                </c:pt>
                <c:pt idx="18" c:formatCode="yyyy&quot;/&quot;m">
                  <c:v>44774</c:v>
                </c:pt>
                <c:pt idx="19" c:formatCode="yyyy&quot;/&quot;m">
                  <c:v>44805</c:v>
                </c:pt>
                <c:pt idx="20" c:formatCode="yyyy&quot;/&quot;m">
                  <c:v>44835</c:v>
                </c:pt>
                <c:pt idx="21" c:formatCode="yyyy&quot;/&quot;m">
                  <c:v>44866</c:v>
                </c:pt>
                <c:pt idx="22" c:formatCode="yyyy&quot;/&quot;m">
                  <c:v>44896</c:v>
                </c:pt>
                <c:pt idx="23" c:formatCode="yyyy&quot;/&quot;m">
                  <c:v>44927</c:v>
                </c:pt>
                <c:pt idx="24" c:formatCode="yyyy&quot;/&quot;m">
                  <c:v>44958</c:v>
                </c:pt>
                <c:pt idx="25" c:formatCode="yyyy&quot;/&quot;m">
                  <c:v>44986</c:v>
                </c:pt>
                <c:pt idx="26" c:formatCode="yyyy&quot;/&quot;m">
                  <c:v>45017</c:v>
                </c:pt>
                <c:pt idx="27" c:formatCode="yyyy&quot;/&quot;m">
                  <c:v>45047</c:v>
                </c:pt>
                <c:pt idx="28" c:formatCode="yyyy&quot;/&quot;m">
                  <c:v>45078</c:v>
                </c:pt>
                <c:pt idx="29" c:formatCode="yyyy&quot;/&quot;m">
                  <c:v>45108</c:v>
                </c:pt>
                <c:pt idx="30" c:formatCode="yyyy&quot;/&quot;m">
                  <c:v>45139</c:v>
                </c:pt>
                <c:pt idx="31" c:formatCode="yyyy&quot;/&quot;m">
                  <c:v>45170</c:v>
                </c:pt>
                <c:pt idx="32" c:formatCode="yyyy&quot;/&quot;m">
                  <c:v>45200</c:v>
                </c:pt>
                <c:pt idx="33" c:formatCode="yyyy&quot;/&quot;m">
                  <c:v>45231</c:v>
                </c:pt>
                <c:pt idx="34" c:formatCode="yyyy&quot;/&quot;m">
                  <c:v>45261</c:v>
                </c:pt>
                <c:pt idx="35" c:formatCode="yyyy&quot;/&quot;m">
                  <c:v>45292</c:v>
                </c:pt>
              </c:numCache>
            </c:numRef>
          </c:cat>
          <c:val>
            <c:numRef>
              <c:f>Sheet11!$B$2:$B$37</c:f>
              <c:numCache>
                <c:formatCode>General</c:formatCode>
                <c:ptCount val="36"/>
                <c:pt idx="0">
                  <c:v>0</c:v>
                </c:pt>
                <c:pt idx="1">
                  <c:v>0</c:v>
                </c:pt>
                <c:pt idx="2">
                  <c:v>1</c:v>
                </c:pt>
                <c:pt idx="3">
                  <c:v>0</c:v>
                </c:pt>
                <c:pt idx="4">
                  <c:v>0</c:v>
                </c:pt>
                <c:pt idx="5">
                  <c:v>0</c:v>
                </c:pt>
                <c:pt idx="6">
                  <c:v>66</c:v>
                </c:pt>
                <c:pt idx="7">
                  <c:v>55</c:v>
                </c:pt>
                <c:pt idx="8">
                  <c:v>20</c:v>
                </c:pt>
                <c:pt idx="9">
                  <c:v>11</c:v>
                </c:pt>
                <c:pt idx="10">
                  <c:v>12</c:v>
                </c:pt>
                <c:pt idx="11">
                  <c:v>1</c:v>
                </c:pt>
                <c:pt idx="12">
                  <c:v>3</c:v>
                </c:pt>
                <c:pt idx="13">
                  <c:v>5</c:v>
                </c:pt>
                <c:pt idx="14">
                  <c:v>9</c:v>
                </c:pt>
                <c:pt idx="15">
                  <c:v>14</c:v>
                </c:pt>
                <c:pt idx="16">
                  <c:v>7</c:v>
                </c:pt>
                <c:pt idx="17">
                  <c:v>22</c:v>
                </c:pt>
                <c:pt idx="18">
                  <c:v>14</c:v>
                </c:pt>
                <c:pt idx="19">
                  <c:v>13</c:v>
                </c:pt>
                <c:pt idx="20">
                  <c:v>17</c:v>
                </c:pt>
                <c:pt idx="21">
                  <c:v>15</c:v>
                </c:pt>
                <c:pt idx="22">
                  <c:v>33</c:v>
                </c:pt>
                <c:pt idx="23">
                  <c:v>27</c:v>
                </c:pt>
                <c:pt idx="24">
                  <c:v>21</c:v>
                </c:pt>
                <c:pt idx="25">
                  <c:v>74</c:v>
                </c:pt>
                <c:pt idx="26">
                  <c:v>61</c:v>
                </c:pt>
                <c:pt idx="27">
                  <c:v>1319</c:v>
                </c:pt>
                <c:pt idx="28">
                  <c:v>953</c:v>
                </c:pt>
                <c:pt idx="29">
                  <c:v>917</c:v>
                </c:pt>
                <c:pt idx="30">
                  <c:v>805</c:v>
                </c:pt>
                <c:pt idx="31">
                  <c:v>823</c:v>
                </c:pt>
                <c:pt idx="32">
                  <c:v>940</c:v>
                </c:pt>
                <c:pt idx="33">
                  <c:v>2582</c:v>
                </c:pt>
                <c:pt idx="34">
                  <c:v>1417</c:v>
                </c:pt>
                <c:pt idx="35">
                  <c:v>770</c:v>
                </c:pt>
              </c:numCache>
            </c:numRef>
          </c:val>
        </c:ser>
        <c:dLbls>
          <c:showLegendKey val="0"/>
          <c:showVal val="1"/>
          <c:showCatName val="0"/>
          <c:showSerName val="0"/>
          <c:showPercent val="0"/>
          <c:showBubbleSize val="0"/>
        </c:dLbls>
        <c:gapWidth val="100"/>
        <c:overlap val="0"/>
        <c:axId val="971942670"/>
        <c:axId val="592813683"/>
      </c:barChart>
      <c:dateAx>
        <c:axId val="971942670"/>
        <c:scaling>
          <c:orientation val="minMax"/>
        </c:scaling>
        <c:delete val="0"/>
        <c:axPos val="b"/>
        <c:title>
          <c:tx>
            <c:rich>
              <a:bodyPr rot="0" spcFirstLastPara="0"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rPr altLang="en-US"/>
                  <a:t>年月份</a:t>
                </a:r>
                <a:endParaRPr lang="en-US" altLang="zh-CN"/>
              </a:p>
            </c:rich>
          </c:tx>
          <c:layout/>
          <c:overlay val="0"/>
          <c:spPr>
            <a:noFill/>
            <a:ln>
              <a:noFill/>
            </a:ln>
            <a:effectLst/>
          </c:spPr>
        </c:title>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92813683"/>
        <c:crosses val="autoZero"/>
        <c:auto val="1"/>
        <c:lblOffset val="100"/>
        <c:baseTimeUnit val="months"/>
      </c:dateAx>
      <c:valAx>
        <c:axId val="592813683"/>
        <c:scaling>
          <c:orientation val="minMax"/>
        </c:scaling>
        <c:delete val="0"/>
        <c:axPos val="l"/>
        <c:title>
          <c:tx>
            <c:rich>
              <a:bodyPr rot="-5400000" spcFirstLastPara="0"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t>数量</a:t>
                </a:r>
                <a:r>
                  <a:rPr lang="en-US" altLang="zh-CN"/>
                  <a:t>/</a:t>
                </a:r>
                <a:r>
                  <a:rPr altLang="en-US"/>
                  <a:t>个</a:t>
                </a:r>
                <a:endParaRPr lang="en-US" altLang="zh-CN"/>
              </a:p>
            </c:rich>
          </c:tx>
          <c:layout/>
          <c:overlay val="0"/>
          <c:spPr>
            <a:noFill/>
            <a:ln>
              <a:noFill/>
            </a:ln>
            <a:effectLst/>
          </c:spPr>
        </c:title>
        <c:numFmt formatCode="General" sourceLinked="1"/>
        <c:majorTickMark val="out"/>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97194267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t>各回复数所占比例</a:t>
            </a:r>
          </a:p>
        </c:rich>
      </c:tx>
      <c:layout/>
      <c:overlay val="0"/>
      <c:spPr>
        <a:noFill/>
        <a:ln>
          <a:noFill/>
        </a:ln>
        <a:effectLst/>
      </c:spPr>
    </c:title>
    <c:autoTitleDeleted val="0"/>
    <c:plotArea>
      <c:layout/>
      <c:pieChart>
        <c:varyColors val="1"/>
        <c:ser>
          <c:idx val="0"/>
          <c:order val="0"/>
          <c:tx>
            <c:strRef>
              <c:f>Sheet12!$B$1</c:f>
              <c:strCache>
                <c:ptCount val="1"/>
                <c:pt idx="0">
                  <c:v>数量/个</c:v>
                </c:pt>
              </c:strCache>
            </c:strRef>
          </c:tx>
          <c:spPr/>
          <c:explosion val="0"/>
          <c:dPt>
            <c:idx val="0"/>
            <c:bubble3D val="0"/>
            <c:spPr>
              <a:solidFill>
                <a:schemeClr val="accent1"/>
              </a:solidFill>
              <a:ln>
                <a:solidFill>
                  <a:schemeClr val="bg1"/>
                </a:solidFill>
              </a:ln>
              <a:effectLst/>
            </c:spPr>
          </c:dPt>
          <c:dPt>
            <c:idx val="1"/>
            <c:bubble3D val="0"/>
            <c:spPr>
              <a:solidFill>
                <a:schemeClr val="accent2"/>
              </a:solidFill>
              <a:ln>
                <a:solidFill>
                  <a:schemeClr val="bg1"/>
                </a:solidFill>
              </a:ln>
              <a:effectLst/>
            </c:spPr>
          </c:dPt>
          <c:dPt>
            <c:idx val="2"/>
            <c:bubble3D val="0"/>
            <c:spPr>
              <a:solidFill>
                <a:schemeClr val="accent3"/>
              </a:solidFill>
              <a:ln>
                <a:solidFill>
                  <a:schemeClr val="bg1"/>
                </a:solidFill>
              </a:ln>
              <a:effectLst/>
            </c:spPr>
          </c:dPt>
          <c:dPt>
            <c:idx val="3"/>
            <c:bubble3D val="0"/>
            <c:spPr>
              <a:solidFill>
                <a:schemeClr val="accent4"/>
              </a:solidFill>
              <a:ln>
                <a:solidFill>
                  <a:schemeClr val="bg1"/>
                </a:solidFill>
              </a:ln>
              <a:effectLst/>
            </c:spPr>
          </c:dPt>
          <c:dPt>
            <c:idx val="4"/>
            <c:bubble3D val="0"/>
            <c:spPr>
              <a:solidFill>
                <a:schemeClr val="accent5"/>
              </a:solidFill>
              <a:ln>
                <a:solidFill>
                  <a:schemeClr val="bg1"/>
                </a:solidFill>
              </a:ln>
              <a:effectLst/>
            </c:spPr>
          </c:dPt>
          <c:dPt>
            <c:idx val="5"/>
            <c:bubble3D val="0"/>
            <c:spPr>
              <a:solidFill>
                <a:schemeClr val="accent6"/>
              </a:solidFill>
              <a:ln>
                <a:solidFill>
                  <a:schemeClr val="bg1"/>
                </a:solidFill>
              </a:ln>
              <a:effectLst/>
            </c:spPr>
          </c:dPt>
          <c:dPt>
            <c:idx val="6"/>
            <c:bubble3D val="0"/>
            <c:spPr>
              <a:solidFill>
                <a:schemeClr val="accent1">
                  <a:lumMod val="60000"/>
                </a:schemeClr>
              </a:solidFill>
              <a:ln>
                <a:solidFill>
                  <a:schemeClr val="bg1"/>
                </a:solidFill>
              </a:ln>
              <a:effectLst/>
            </c:spPr>
          </c:dPt>
          <c:dPt>
            <c:idx val="7"/>
            <c:bubble3D val="0"/>
            <c:spPr>
              <a:solidFill>
                <a:schemeClr val="accent2">
                  <a:lumMod val="60000"/>
                </a:schemeClr>
              </a:solidFill>
              <a:ln>
                <a:solidFill>
                  <a:schemeClr val="bg1"/>
                </a:solidFill>
              </a:ln>
              <a:effectLst/>
            </c:spPr>
          </c:dPt>
          <c:dPt>
            <c:idx val="8"/>
            <c:bubble3D val="0"/>
            <c:spPr>
              <a:solidFill>
                <a:schemeClr val="accent3">
                  <a:lumMod val="60000"/>
                </a:schemeClr>
              </a:solidFill>
              <a:ln>
                <a:solidFill>
                  <a:schemeClr val="bg1"/>
                </a:solidFill>
              </a:ln>
              <a:effectLst/>
            </c:spPr>
          </c:dPt>
          <c:dPt>
            <c:idx val="9"/>
            <c:bubble3D val="0"/>
            <c:spPr>
              <a:solidFill>
                <a:schemeClr val="accent4">
                  <a:lumMod val="60000"/>
                </a:schemeClr>
              </a:solidFill>
              <a:ln>
                <a:solidFill>
                  <a:schemeClr val="bg1"/>
                </a:solidFill>
              </a:ln>
              <a:effectLst/>
            </c:spPr>
          </c:dPt>
          <c:dPt>
            <c:idx val="10"/>
            <c:bubble3D val="0"/>
            <c:spPr>
              <a:solidFill>
                <a:schemeClr val="accent5">
                  <a:lumMod val="60000"/>
                </a:schemeClr>
              </a:solidFill>
              <a:ln>
                <a:solidFill>
                  <a:schemeClr val="bg1"/>
                </a:solidFill>
              </a:ln>
              <a:effectLst/>
            </c:spPr>
          </c:dPt>
          <c:dPt>
            <c:idx val="11"/>
            <c:bubble3D val="0"/>
            <c:spPr>
              <a:solidFill>
                <a:schemeClr val="accent6">
                  <a:lumMod val="60000"/>
                </a:schemeClr>
              </a:solidFill>
              <a:ln>
                <a:solidFill>
                  <a:schemeClr val="bg1"/>
                </a:solidFill>
              </a:ln>
              <a:effectLst/>
            </c:spPr>
          </c:dPt>
          <c:dPt>
            <c:idx val="12"/>
            <c:bubble3D val="0"/>
            <c:spPr>
              <a:solidFill>
                <a:schemeClr val="accent1">
                  <a:lumMod val="80000"/>
                  <a:lumOff val="20000"/>
                </a:schemeClr>
              </a:solidFill>
              <a:ln>
                <a:solidFill>
                  <a:schemeClr val="bg1"/>
                </a:solidFill>
              </a:ln>
              <a:effectLst/>
            </c:spPr>
          </c:dPt>
          <c:dPt>
            <c:idx val="13"/>
            <c:bubble3D val="0"/>
            <c:spPr>
              <a:solidFill>
                <a:schemeClr val="accent2">
                  <a:lumMod val="80000"/>
                  <a:lumOff val="20000"/>
                </a:schemeClr>
              </a:solidFill>
              <a:ln>
                <a:solidFill>
                  <a:schemeClr val="bg1"/>
                </a:solidFill>
              </a:ln>
              <a:effectLst/>
            </c:spPr>
          </c:dPt>
          <c:dPt>
            <c:idx val="14"/>
            <c:bubble3D val="0"/>
            <c:spPr>
              <a:solidFill>
                <a:schemeClr val="accent3">
                  <a:lumMod val="80000"/>
                  <a:lumOff val="20000"/>
                </a:schemeClr>
              </a:solidFill>
              <a:ln>
                <a:solidFill>
                  <a:schemeClr val="bg1"/>
                </a:solidFill>
              </a:ln>
              <a:effectLst/>
            </c:spPr>
          </c:dPt>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bestFit"/>
            <c:showLegendKey val="0"/>
            <c:showVal val="0"/>
            <c:showCatName val="0"/>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Sheet12!$A$2:$A$16</c:f>
              <c:strCache>
                <c:ptCount val="15"/>
                <c:pt idx="0">
                  <c:v>0</c:v>
                </c:pt>
                <c:pt idx="1">
                  <c:v>1</c:v>
                </c:pt>
                <c:pt idx="2">
                  <c:v>2</c:v>
                </c:pt>
                <c:pt idx="3">
                  <c:v>3</c:v>
                </c:pt>
                <c:pt idx="4">
                  <c:v>4</c:v>
                </c:pt>
                <c:pt idx="5">
                  <c:v>5</c:v>
                </c:pt>
                <c:pt idx="6">
                  <c:v>6</c:v>
                </c:pt>
                <c:pt idx="7">
                  <c:v>7</c:v>
                </c:pt>
                <c:pt idx="8">
                  <c:v>8</c:v>
                </c:pt>
                <c:pt idx="9">
                  <c:v>9</c:v>
                </c:pt>
                <c:pt idx="10">
                  <c:v>10</c:v>
                </c:pt>
                <c:pt idx="11" c:formatCode="@">
                  <c:v>11~15</c:v>
                </c:pt>
                <c:pt idx="12">
                  <c:v>16~30</c:v>
                </c:pt>
                <c:pt idx="13">
                  <c:v>31~100</c:v>
                </c:pt>
                <c:pt idx="14">
                  <c:v>&gt;100</c:v>
                </c:pt>
              </c:strCache>
            </c:strRef>
          </c:cat>
          <c:val>
            <c:numRef>
              <c:f>Sheet12!$B$2:$B$16</c:f>
              <c:numCache>
                <c:formatCode>General</c:formatCode>
                <c:ptCount val="15"/>
                <c:pt idx="0">
                  <c:v>4635</c:v>
                </c:pt>
                <c:pt idx="1">
                  <c:v>3781</c:v>
                </c:pt>
                <c:pt idx="2">
                  <c:v>2923</c:v>
                </c:pt>
                <c:pt idx="3">
                  <c:v>2174</c:v>
                </c:pt>
                <c:pt idx="4">
                  <c:v>1543</c:v>
                </c:pt>
                <c:pt idx="5">
                  <c:v>1176</c:v>
                </c:pt>
                <c:pt idx="6">
                  <c:v>884</c:v>
                </c:pt>
                <c:pt idx="7">
                  <c:v>612</c:v>
                </c:pt>
                <c:pt idx="8">
                  <c:v>529</c:v>
                </c:pt>
                <c:pt idx="9">
                  <c:v>402</c:v>
                </c:pt>
                <c:pt idx="10">
                  <c:v>323</c:v>
                </c:pt>
                <c:pt idx="11">
                  <c:v>933</c:v>
                </c:pt>
                <c:pt idx="12">
                  <c:v>765</c:v>
                </c:pt>
                <c:pt idx="13">
                  <c:v>351</c:v>
                </c:pt>
                <c:pt idx="14">
                  <c:v>44</c:v>
                </c:pt>
              </c:numCache>
            </c:numRef>
          </c:val>
        </c:ser>
        <c:dLbls>
          <c:showLegendKey val="0"/>
          <c:showVal val="0"/>
          <c:showCatName val="0"/>
          <c:showSerName val="0"/>
          <c:showPercent val="1"/>
          <c:showBubbleSize val="0"/>
          <c:showLeaderLines val="1"/>
        </c:dLbls>
        <c:firstSliceAng val="0"/>
      </c:pieChart>
      <c:spPr>
        <a:noFill/>
        <a:ln>
          <a:noFill/>
        </a:ln>
        <a:effectLst/>
      </c:spPr>
    </c:plotArea>
    <c:legend>
      <c:legendPos val="l"/>
      <c:layout>
        <c:manualLayout>
          <c:xMode val="edge"/>
          <c:yMode val="edge"/>
          <c:x val="0.0388565084651679"/>
          <c:y val="0.160919540229885"/>
          <c:w val="0.157276343787584"/>
          <c:h val="0.742959770114943"/>
        </c:manualLayout>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t>不同数量</a:t>
            </a:r>
            <a:r>
              <a:rPr lang="en-US" altLang="zh-CN"/>
              <a:t>topics viewed</a:t>
            </a:r>
            <a:r>
              <a:rPr altLang="en-US"/>
              <a:t>的用户所占比例</a:t>
            </a:r>
            <a:endParaRPr altLang="en-US"/>
          </a:p>
        </c:rich>
      </c:tx>
      <c:layout/>
      <c:overlay val="0"/>
      <c:spPr>
        <a:noFill/>
        <a:ln>
          <a:noFill/>
        </a:ln>
        <a:effectLst/>
      </c:spPr>
    </c:title>
    <c:autoTitleDeleted val="0"/>
    <c:plotArea>
      <c:layout/>
      <c:pieChart>
        <c:varyColors val="1"/>
        <c:ser>
          <c:idx val="0"/>
          <c:order val="0"/>
          <c:tx>
            <c:strRef>
              <c:f>[3]Sheet1!$F$1</c:f>
              <c:strCache>
                <c:ptCount val="1"/>
                <c:pt idx="0">
                  <c:v>数量/个</c:v>
                </c:pt>
              </c:strCache>
            </c:strRef>
          </c:tx>
          <c:spPr/>
          <c:explosion val="0"/>
          <c:dPt>
            <c:idx val="0"/>
            <c:bubble3D val="0"/>
            <c:spPr>
              <a:solidFill>
                <a:schemeClr val="accent1"/>
              </a:solidFill>
              <a:ln>
                <a:solidFill>
                  <a:schemeClr val="bg1"/>
                </a:solidFill>
              </a:ln>
              <a:effectLst/>
            </c:spPr>
          </c:dPt>
          <c:dPt>
            <c:idx val="1"/>
            <c:bubble3D val="0"/>
            <c:spPr>
              <a:solidFill>
                <a:schemeClr val="accent2"/>
              </a:solidFill>
              <a:ln>
                <a:solidFill>
                  <a:schemeClr val="bg1"/>
                </a:solidFill>
              </a:ln>
              <a:effectLst/>
            </c:spPr>
          </c:dPt>
          <c:dPt>
            <c:idx val="2"/>
            <c:bubble3D val="0"/>
            <c:spPr>
              <a:solidFill>
                <a:schemeClr val="accent3"/>
              </a:solidFill>
              <a:ln>
                <a:solidFill>
                  <a:schemeClr val="bg1"/>
                </a:solidFill>
              </a:ln>
              <a:effectLst/>
            </c:spPr>
          </c:dPt>
          <c:dPt>
            <c:idx val="3"/>
            <c:bubble3D val="0"/>
            <c:spPr>
              <a:solidFill>
                <a:schemeClr val="accent4"/>
              </a:solidFill>
              <a:ln>
                <a:solidFill>
                  <a:schemeClr val="bg1"/>
                </a:solidFill>
              </a:ln>
              <a:effectLst/>
            </c:spPr>
          </c:dPt>
          <c:dPt>
            <c:idx val="4"/>
            <c:bubble3D val="0"/>
            <c:spPr>
              <a:solidFill>
                <a:schemeClr val="accent5"/>
              </a:solidFill>
              <a:ln>
                <a:solidFill>
                  <a:schemeClr val="bg1"/>
                </a:solidFill>
              </a:ln>
              <a:effectLst/>
            </c:spPr>
          </c:dPt>
          <c:dPt>
            <c:idx val="5"/>
            <c:bubble3D val="0"/>
            <c:spPr>
              <a:solidFill>
                <a:schemeClr val="accent6"/>
              </a:solidFill>
              <a:ln>
                <a:solidFill>
                  <a:schemeClr val="bg1"/>
                </a:solidFill>
              </a:ln>
              <a:effectLst/>
            </c:spPr>
          </c:dPt>
          <c:dPt>
            <c:idx val="6"/>
            <c:bubble3D val="0"/>
            <c:spPr>
              <a:solidFill>
                <a:schemeClr val="accent1">
                  <a:lumMod val="60000"/>
                </a:schemeClr>
              </a:solidFill>
              <a:ln>
                <a:solidFill>
                  <a:schemeClr val="bg1"/>
                </a:solidFill>
              </a:ln>
              <a:effectLst/>
            </c:spPr>
          </c:dPt>
          <c:dPt>
            <c:idx val="7"/>
            <c:bubble3D val="0"/>
            <c:spPr>
              <a:solidFill>
                <a:schemeClr val="accent2">
                  <a:lumMod val="60000"/>
                </a:schemeClr>
              </a:solidFill>
              <a:ln>
                <a:solidFill>
                  <a:schemeClr val="bg1"/>
                </a:solidFill>
              </a:ln>
              <a:effectLst/>
            </c:spPr>
          </c:dPt>
          <c:dPt>
            <c:idx val="8"/>
            <c:bubble3D val="0"/>
            <c:spPr>
              <a:solidFill>
                <a:schemeClr val="accent3">
                  <a:lumMod val="60000"/>
                </a:schemeClr>
              </a:solidFill>
              <a:ln>
                <a:solidFill>
                  <a:schemeClr val="bg1"/>
                </a:solidFill>
              </a:ln>
              <a:effectLst/>
            </c:spPr>
          </c:dPt>
          <c:dPt>
            <c:idx val="9"/>
            <c:bubble3D val="0"/>
            <c:spPr>
              <a:solidFill>
                <a:schemeClr val="accent4">
                  <a:lumMod val="60000"/>
                </a:schemeClr>
              </a:solidFill>
              <a:ln>
                <a:solidFill>
                  <a:schemeClr val="bg1"/>
                </a:solidFill>
              </a:ln>
              <a:effectLst/>
            </c:spPr>
          </c:dPt>
          <c:dLbls>
            <c:dLbl>
              <c:idx val="8"/>
              <c:layout>
                <c:manualLayout>
                  <c:x val="0.0298263540804629"/>
                  <c:y val="0.00793360791439756"/>
                </c:manualLayout>
              </c:layout>
              <c:dLblPos val="bestFit"/>
              <c:showLegendKey val="0"/>
              <c:showVal val="0"/>
              <c:showCatName val="1"/>
              <c:showSerName val="0"/>
              <c:showPercent val="1"/>
              <c:showBubbleSize val="0"/>
              <c:separator>
</c:separator>
              <c:extLst>
                <c:ext xmlns:c15="http://schemas.microsoft.com/office/drawing/2012/chart" uri="{CE6537A1-D6FC-4f65-9D91-7224C49458BB}">
                  <c15:layout/>
                </c:ext>
              </c:extLst>
            </c:dLbl>
            <c:dLbl>
              <c:idx val="9"/>
              <c:delete val="1"/>
            </c:dLbl>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bestFit"/>
            <c:showLegendKey val="0"/>
            <c:showVal val="0"/>
            <c:showCatName val="1"/>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[3]Sheet1!$E$2:$E$11</c:f>
              <c:strCache>
                <c:ptCount val="10"/>
                <c:pt idx="0">
                  <c:v>0</c:v>
                </c:pt>
                <c:pt idx="1">
                  <c:v>1</c:v>
                </c:pt>
                <c:pt idx="2">
                  <c:v>2</c:v>
                </c:pt>
                <c:pt idx="3">
                  <c:v>3</c:v>
                </c:pt>
                <c:pt idx="4">
                  <c:v>4</c:v>
                </c:pt>
                <c:pt idx="5">
                  <c:v>5</c:v>
                </c:pt>
                <c:pt idx="6">
                  <c:v>6~10</c:v>
                </c:pt>
                <c:pt idx="7">
                  <c:v>11~30</c:v>
                </c:pt>
                <c:pt idx="8">
                  <c:v>31~100</c:v>
                </c:pt>
                <c:pt idx="9">
                  <c:v>&gt;100</c:v>
                </c:pt>
              </c:strCache>
            </c:strRef>
          </c:cat>
          <c:val>
            <c:numRef>
              <c:f>[3]Sheet1!$F$2:$F$11</c:f>
              <c:numCache>
                <c:formatCode>General</c:formatCode>
                <c:ptCount val="10"/>
                <c:pt idx="0">
                  <c:v>119632</c:v>
                </c:pt>
                <c:pt idx="1">
                  <c:v>244664</c:v>
                </c:pt>
                <c:pt idx="2">
                  <c:v>70129</c:v>
                </c:pt>
                <c:pt idx="3">
                  <c:v>23775</c:v>
                </c:pt>
                <c:pt idx="4">
                  <c:v>12471</c:v>
                </c:pt>
                <c:pt idx="5">
                  <c:v>7873</c:v>
                </c:pt>
                <c:pt idx="6">
                  <c:v>17684</c:v>
                </c:pt>
                <c:pt idx="7">
                  <c:v>14645</c:v>
                </c:pt>
                <c:pt idx="8">
                  <c:v>4836</c:v>
                </c:pt>
                <c:pt idx="9">
                  <c:v>1003</c:v>
                </c:pt>
              </c:numCache>
            </c:numRef>
          </c:val>
        </c:ser>
        <c:dLbls>
          <c:showLegendKey val="0"/>
          <c:showVal val="1"/>
          <c:showCatName val="0"/>
          <c:showSerName val="0"/>
          <c:showPercent val="0"/>
          <c:showBubbleSize val="0"/>
          <c:showLeaderLines val="1"/>
        </c:dLbls>
        <c:firstSliceAng val="0"/>
      </c:pieChart>
      <c:spPr>
        <a:noFill/>
        <a:ln>
          <a:noFill/>
        </a:ln>
        <a:effectLst/>
      </c:spPr>
    </c:plotArea>
    <c:legend>
      <c:legendPos val="l"/>
      <c:layout>
        <c:manualLayout>
          <c:xMode val="edge"/>
          <c:yMode val="edge"/>
          <c:x val="0.0454589418705871"/>
          <c:y val="0.159600614439324"/>
          <c:w val="0.150884998549183"/>
          <c:h val="0.600921658986175"/>
        </c:manualLayout>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t>不同数量</a:t>
            </a:r>
            <a:r>
              <a:rPr lang="en-US" altLang="zh-CN"/>
              <a:t>posts read</a:t>
            </a:r>
            <a:r>
              <a:t>的用户所占比例</a:t>
            </a:r>
          </a:p>
        </c:rich>
      </c:tx>
      <c:layout/>
      <c:overlay val="0"/>
      <c:spPr>
        <a:noFill/>
        <a:ln>
          <a:noFill/>
        </a:ln>
        <a:effectLst/>
      </c:spPr>
    </c:title>
    <c:autoTitleDeleted val="0"/>
    <c:plotArea>
      <c:layout/>
      <c:pieChart>
        <c:varyColors val="1"/>
        <c:ser>
          <c:idx val="0"/>
          <c:order val="0"/>
          <c:tx>
            <c:strRef>
              <c:f>[3]Sheet2!$E$1</c:f>
              <c:strCache>
                <c:ptCount val="1"/>
                <c:pt idx="0">
                  <c:v>数量/个</c:v>
                </c:pt>
              </c:strCache>
            </c:strRef>
          </c:tx>
          <c:spPr/>
          <c:explosion val="0"/>
          <c:dPt>
            <c:idx val="0"/>
            <c:bubble3D val="0"/>
            <c:spPr>
              <a:solidFill>
                <a:schemeClr val="accent1"/>
              </a:solidFill>
              <a:ln>
                <a:solidFill>
                  <a:schemeClr val="bg1"/>
                </a:solidFill>
              </a:ln>
              <a:effectLst/>
            </c:spPr>
          </c:dPt>
          <c:dPt>
            <c:idx val="1"/>
            <c:bubble3D val="0"/>
            <c:spPr>
              <a:solidFill>
                <a:schemeClr val="accent2"/>
              </a:solidFill>
              <a:ln>
                <a:solidFill>
                  <a:schemeClr val="bg1"/>
                </a:solidFill>
              </a:ln>
              <a:effectLst/>
            </c:spPr>
          </c:dPt>
          <c:dPt>
            <c:idx val="2"/>
            <c:bubble3D val="0"/>
            <c:spPr>
              <a:solidFill>
                <a:schemeClr val="accent3"/>
              </a:solidFill>
              <a:ln>
                <a:solidFill>
                  <a:schemeClr val="bg1"/>
                </a:solidFill>
              </a:ln>
              <a:effectLst/>
            </c:spPr>
          </c:dPt>
          <c:dPt>
            <c:idx val="3"/>
            <c:bubble3D val="0"/>
            <c:spPr>
              <a:solidFill>
                <a:schemeClr val="accent4"/>
              </a:solidFill>
              <a:ln>
                <a:solidFill>
                  <a:schemeClr val="bg1"/>
                </a:solidFill>
              </a:ln>
              <a:effectLst/>
            </c:spPr>
          </c:dPt>
          <c:dPt>
            <c:idx val="4"/>
            <c:bubble3D val="0"/>
            <c:spPr>
              <a:solidFill>
                <a:schemeClr val="accent5"/>
              </a:solidFill>
              <a:ln>
                <a:solidFill>
                  <a:schemeClr val="bg1"/>
                </a:solidFill>
              </a:ln>
              <a:effectLst/>
            </c:spPr>
          </c:dPt>
          <c:dPt>
            <c:idx val="5"/>
            <c:bubble3D val="0"/>
            <c:spPr>
              <a:solidFill>
                <a:schemeClr val="accent6"/>
              </a:solidFill>
              <a:ln>
                <a:solidFill>
                  <a:schemeClr val="bg1"/>
                </a:solidFill>
              </a:ln>
              <a:effectLst/>
            </c:spPr>
          </c:dPt>
          <c:dPt>
            <c:idx val="6"/>
            <c:bubble3D val="0"/>
            <c:spPr>
              <a:solidFill>
                <a:schemeClr val="accent1">
                  <a:lumMod val="60000"/>
                </a:schemeClr>
              </a:solidFill>
              <a:ln>
                <a:solidFill>
                  <a:schemeClr val="bg1"/>
                </a:solidFill>
              </a:ln>
              <a:effectLst/>
            </c:spPr>
          </c:dPt>
          <c:dPt>
            <c:idx val="7"/>
            <c:bubble3D val="0"/>
            <c:spPr>
              <a:solidFill>
                <a:schemeClr val="accent2">
                  <a:lumMod val="60000"/>
                </a:schemeClr>
              </a:solidFill>
              <a:ln>
                <a:solidFill>
                  <a:schemeClr val="bg1"/>
                </a:solidFill>
              </a:ln>
              <a:effectLst/>
            </c:spPr>
          </c:dPt>
          <c:dPt>
            <c:idx val="8"/>
            <c:bubble3D val="0"/>
            <c:spPr>
              <a:solidFill>
                <a:schemeClr val="accent3">
                  <a:lumMod val="60000"/>
                </a:schemeClr>
              </a:solidFill>
              <a:ln>
                <a:solidFill>
                  <a:schemeClr val="bg1"/>
                </a:solidFill>
              </a:ln>
              <a:effectLst/>
            </c:spPr>
          </c:dPt>
          <c:dPt>
            <c:idx val="9"/>
            <c:bubble3D val="0"/>
            <c:spPr>
              <a:solidFill>
                <a:schemeClr val="accent4">
                  <a:lumMod val="60000"/>
                </a:schemeClr>
              </a:solidFill>
              <a:ln>
                <a:solidFill>
                  <a:schemeClr val="bg1"/>
                </a:solidFill>
              </a:ln>
              <a:effectLst/>
            </c:spPr>
          </c:dPt>
          <c:dPt>
            <c:idx val="10"/>
            <c:bubble3D val="0"/>
            <c:spPr>
              <a:solidFill>
                <a:schemeClr val="accent5">
                  <a:lumMod val="60000"/>
                </a:schemeClr>
              </a:solidFill>
              <a:ln>
                <a:solidFill>
                  <a:schemeClr val="bg1"/>
                </a:solidFill>
              </a:ln>
              <a:effectLst/>
            </c:spPr>
          </c:dPt>
          <c:dPt>
            <c:idx val="11"/>
            <c:bubble3D val="0"/>
            <c:spPr>
              <a:solidFill>
                <a:schemeClr val="accent6">
                  <a:lumMod val="60000"/>
                </a:schemeClr>
              </a:solidFill>
              <a:ln>
                <a:solidFill>
                  <a:schemeClr val="bg1"/>
                </a:solidFill>
              </a:ln>
              <a:effectLst/>
            </c:spPr>
          </c:dPt>
          <c:dPt>
            <c:idx val="12"/>
            <c:bubble3D val="0"/>
            <c:spPr>
              <a:solidFill>
                <a:schemeClr val="accent1">
                  <a:lumMod val="80000"/>
                  <a:lumOff val="20000"/>
                </a:schemeClr>
              </a:solidFill>
              <a:ln>
                <a:solidFill>
                  <a:schemeClr val="bg1"/>
                </a:solidFill>
              </a:ln>
              <a:effectLst/>
            </c:spPr>
          </c:dPt>
          <c:dPt>
            <c:idx val="13"/>
            <c:bubble3D val="0"/>
            <c:spPr>
              <a:solidFill>
                <a:schemeClr val="accent2">
                  <a:lumMod val="80000"/>
                  <a:lumOff val="20000"/>
                </a:schemeClr>
              </a:solidFill>
              <a:ln>
                <a:solidFill>
                  <a:schemeClr val="bg1"/>
                </a:solidFill>
              </a:ln>
              <a:effectLst/>
            </c:spPr>
          </c:dPt>
          <c:dPt>
            <c:idx val="14"/>
            <c:bubble3D val="0"/>
            <c:spPr>
              <a:solidFill>
                <a:schemeClr val="accent3">
                  <a:lumMod val="80000"/>
                  <a:lumOff val="20000"/>
                </a:schemeClr>
              </a:solidFill>
              <a:ln>
                <a:solidFill>
                  <a:schemeClr val="bg1"/>
                </a:solidFill>
              </a:ln>
              <a:effectLst/>
            </c:spPr>
          </c:dPt>
          <c:dPt>
            <c:idx val="15"/>
            <c:bubble3D val="0"/>
            <c:spPr>
              <a:solidFill>
                <a:schemeClr val="accent4">
                  <a:lumMod val="80000"/>
                  <a:lumOff val="20000"/>
                </a:schemeClr>
              </a:solidFill>
              <a:ln>
                <a:solidFill>
                  <a:schemeClr val="bg1"/>
                </a:solidFill>
              </a:ln>
              <a:effectLst/>
            </c:spPr>
          </c:dPt>
          <c:dPt>
            <c:idx val="16"/>
            <c:bubble3D val="0"/>
            <c:spPr>
              <a:solidFill>
                <a:schemeClr val="accent5">
                  <a:lumMod val="80000"/>
                  <a:lumOff val="20000"/>
                </a:schemeClr>
              </a:solidFill>
              <a:ln>
                <a:solidFill>
                  <a:schemeClr val="bg1"/>
                </a:solidFill>
              </a:ln>
              <a:effectLst/>
            </c:spPr>
          </c:dPt>
          <c:dPt>
            <c:idx val="17"/>
            <c:bubble3D val="0"/>
            <c:spPr>
              <a:solidFill>
                <a:schemeClr val="accent6">
                  <a:lumMod val="80000"/>
                  <a:lumOff val="20000"/>
                </a:schemeClr>
              </a:solidFill>
              <a:ln>
                <a:solidFill>
                  <a:schemeClr val="bg1"/>
                </a:solidFill>
              </a:ln>
              <a:effectLst/>
            </c:spPr>
          </c:dPt>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bestFit"/>
            <c:showLegendKey val="0"/>
            <c:showVal val="0"/>
            <c:showCatName val="1"/>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[3]Sheet2!$D$2:$D$19</c:f>
              <c:strCache>
                <c:ptCount val="18"/>
                <c:pt idx="0">
                  <c:v>0</c:v>
                </c:pt>
                <c:pt idx="1">
                  <c:v>1</c:v>
                </c:pt>
                <c:pt idx="2">
                  <c:v>2</c:v>
                </c:pt>
                <c:pt idx="3">
                  <c:v>3</c:v>
                </c:pt>
                <c:pt idx="4">
                  <c:v>4</c:v>
                </c:pt>
                <c:pt idx="5">
                  <c:v>5</c:v>
                </c:pt>
                <c:pt idx="6">
                  <c:v>6</c:v>
                </c:pt>
                <c:pt idx="7">
                  <c:v>7</c:v>
                </c:pt>
                <c:pt idx="8">
                  <c:v>8</c:v>
                </c:pt>
                <c:pt idx="9">
                  <c:v>9</c:v>
                </c:pt>
                <c:pt idx="10">
                  <c:v>10</c:v>
                </c:pt>
                <c:pt idx="11">
                  <c:v>11~12</c:v>
                </c:pt>
                <c:pt idx="12">
                  <c:v>13~15</c:v>
                </c:pt>
                <c:pt idx="13">
                  <c:v>16~20</c:v>
                </c:pt>
                <c:pt idx="14">
                  <c:v>21~30</c:v>
                </c:pt>
                <c:pt idx="15">
                  <c:v>31~50</c:v>
                </c:pt>
                <c:pt idx="16">
                  <c:v>51~100</c:v>
                </c:pt>
                <c:pt idx="17">
                  <c:v>&gt;100</c:v>
                </c:pt>
              </c:strCache>
            </c:strRef>
          </c:cat>
          <c:val>
            <c:numRef>
              <c:f>[3]Sheet2!$E$2:$E$19</c:f>
              <c:numCache>
                <c:formatCode>General</c:formatCode>
                <c:ptCount val="18"/>
                <c:pt idx="0">
                  <c:v>146963</c:v>
                </c:pt>
                <c:pt idx="1">
                  <c:v>57625</c:v>
                </c:pt>
                <c:pt idx="2">
                  <c:v>47310</c:v>
                </c:pt>
                <c:pt idx="3">
                  <c:v>38863</c:v>
                </c:pt>
                <c:pt idx="4">
                  <c:v>22654</c:v>
                </c:pt>
                <c:pt idx="5">
                  <c:v>21184</c:v>
                </c:pt>
                <c:pt idx="6">
                  <c:v>17691</c:v>
                </c:pt>
                <c:pt idx="7">
                  <c:v>13506</c:v>
                </c:pt>
                <c:pt idx="8">
                  <c:v>11354</c:v>
                </c:pt>
                <c:pt idx="9">
                  <c:v>10006</c:v>
                </c:pt>
                <c:pt idx="10">
                  <c:v>9156</c:v>
                </c:pt>
                <c:pt idx="11">
                  <c:v>14857</c:v>
                </c:pt>
                <c:pt idx="12">
                  <c:v>17230</c:v>
                </c:pt>
                <c:pt idx="13">
                  <c:v>19389</c:v>
                </c:pt>
                <c:pt idx="14">
                  <c:v>20466</c:v>
                </c:pt>
                <c:pt idx="15">
                  <c:v>18156</c:v>
                </c:pt>
                <c:pt idx="16">
                  <c:v>15302</c:v>
                </c:pt>
                <c:pt idx="17">
                  <c:v>15000</c:v>
                </c:pt>
              </c:numCache>
            </c:numRef>
          </c:val>
        </c:ser>
        <c:dLbls>
          <c:showLegendKey val="0"/>
          <c:showVal val="1"/>
          <c:showCatName val="0"/>
          <c:showSerName val="0"/>
          <c:showPercent val="0"/>
          <c:showBubbleSize val="0"/>
          <c:showLeaderLines val="1"/>
        </c:dLbls>
        <c:firstSliceAng val="0"/>
      </c:pieChart>
      <c:spPr>
        <a:noFill/>
        <a:ln>
          <a:noFill/>
        </a:ln>
        <a:effectLst/>
      </c:spPr>
    </c:plotArea>
    <c:legend>
      <c:legendPos val="l"/>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externalData r:id="rId1">
    <c:autoUpdate val="0"/>
  </c:externalData>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08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1008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1008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08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1008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1008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495300</xdr:colOff>
      <xdr:row>3</xdr:row>
      <xdr:rowOff>41274</xdr:rowOff>
    </xdr:from>
    <xdr:to>
      <xdr:col>15</xdr:col>
      <xdr:colOff>107950</xdr:colOff>
      <xdr:row>26</xdr:row>
      <xdr:rowOff>101600</xdr:rowOff>
    </xdr:to>
    <xdr:graphicFrame>
      <xdr:nvGraphicFramePr>
        <xdr:cNvPr id="2" name="图表 1"/>
        <xdr:cNvGraphicFramePr/>
      </xdr:nvGraphicFramePr>
      <xdr:xfrm>
        <a:off x="9772650" y="745490"/>
        <a:ext cx="7842250" cy="546481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463550</xdr:colOff>
      <xdr:row>27</xdr:row>
      <xdr:rowOff>31750</xdr:rowOff>
    </xdr:from>
    <xdr:to>
      <xdr:col>16</xdr:col>
      <xdr:colOff>132080</xdr:colOff>
      <xdr:row>52</xdr:row>
      <xdr:rowOff>36830</xdr:rowOff>
    </xdr:to>
    <xdr:graphicFrame>
      <xdr:nvGraphicFramePr>
        <xdr:cNvPr id="3" name="图表 2"/>
        <xdr:cNvGraphicFramePr/>
      </xdr:nvGraphicFramePr>
      <xdr:xfrm>
        <a:off x="9740900" y="6375400"/>
        <a:ext cx="8583930" cy="507873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4</xdr:col>
      <xdr:colOff>114300</xdr:colOff>
      <xdr:row>2</xdr:row>
      <xdr:rowOff>21590</xdr:rowOff>
    </xdr:from>
    <xdr:to>
      <xdr:col>14</xdr:col>
      <xdr:colOff>666750</xdr:colOff>
      <xdr:row>25</xdr:row>
      <xdr:rowOff>18416</xdr:rowOff>
    </xdr:to>
    <xdr:graphicFrame>
      <xdr:nvGraphicFramePr>
        <xdr:cNvPr id="2" name="图表 1"/>
        <xdr:cNvGraphicFramePr/>
      </xdr:nvGraphicFramePr>
      <xdr:xfrm>
        <a:off x="9793605" y="491490"/>
        <a:ext cx="7410450" cy="540067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641350</xdr:colOff>
      <xdr:row>25</xdr:row>
      <xdr:rowOff>6350</xdr:rowOff>
    </xdr:from>
    <xdr:to>
      <xdr:col>15</xdr:col>
      <xdr:colOff>285115</xdr:colOff>
      <xdr:row>47</xdr:row>
      <xdr:rowOff>24765</xdr:rowOff>
    </xdr:to>
    <xdr:graphicFrame>
      <xdr:nvGraphicFramePr>
        <xdr:cNvPr id="3" name="图表 2"/>
        <xdr:cNvGraphicFramePr/>
      </xdr:nvGraphicFramePr>
      <xdr:xfrm>
        <a:off x="9634855" y="5880100"/>
        <a:ext cx="7873365" cy="461581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3</xdr:col>
      <xdr:colOff>184150</xdr:colOff>
      <xdr:row>2</xdr:row>
      <xdr:rowOff>158750</xdr:rowOff>
    </xdr:from>
    <xdr:to>
      <xdr:col>14</xdr:col>
      <xdr:colOff>107315</xdr:colOff>
      <xdr:row>29</xdr:row>
      <xdr:rowOff>113030</xdr:rowOff>
    </xdr:to>
    <xdr:graphicFrame>
      <xdr:nvGraphicFramePr>
        <xdr:cNvPr id="3" name="图表 2"/>
        <xdr:cNvGraphicFramePr/>
      </xdr:nvGraphicFramePr>
      <xdr:xfrm>
        <a:off x="5734050" y="594360"/>
        <a:ext cx="7187565" cy="527494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5</xdr:col>
      <xdr:colOff>12700</xdr:colOff>
      <xdr:row>19</xdr:row>
      <xdr:rowOff>87630</xdr:rowOff>
    </xdr:from>
    <xdr:to>
      <xdr:col>12</xdr:col>
      <xdr:colOff>52070</xdr:colOff>
      <xdr:row>38</xdr:row>
      <xdr:rowOff>93980</xdr:rowOff>
    </xdr:to>
    <xdr:graphicFrame>
      <xdr:nvGraphicFramePr>
        <xdr:cNvPr id="2" name="图表 1"/>
        <xdr:cNvGraphicFramePr/>
      </xdr:nvGraphicFramePr>
      <xdr:xfrm>
        <a:off x="4765040" y="4551680"/>
        <a:ext cx="5870575" cy="44704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4</xdr:col>
      <xdr:colOff>615950</xdr:colOff>
      <xdr:row>3</xdr:row>
      <xdr:rowOff>31750</xdr:rowOff>
    </xdr:from>
    <xdr:to>
      <xdr:col>19</xdr:col>
      <xdr:colOff>443865</xdr:colOff>
      <xdr:row>38</xdr:row>
      <xdr:rowOff>100965</xdr:rowOff>
    </xdr:to>
    <xdr:graphicFrame>
      <xdr:nvGraphicFramePr>
        <xdr:cNvPr id="3" name="图表 2"/>
        <xdr:cNvGraphicFramePr/>
      </xdr:nvGraphicFramePr>
      <xdr:xfrm>
        <a:off x="4707890" y="736600"/>
        <a:ext cx="9733915" cy="82924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0</xdr:col>
      <xdr:colOff>323850</xdr:colOff>
      <xdr:row>18</xdr:row>
      <xdr:rowOff>0</xdr:rowOff>
    </xdr:from>
    <xdr:to>
      <xdr:col>13</xdr:col>
      <xdr:colOff>323215</xdr:colOff>
      <xdr:row>43</xdr:row>
      <xdr:rowOff>176530</xdr:rowOff>
    </xdr:to>
    <xdr:graphicFrame>
      <xdr:nvGraphicFramePr>
        <xdr:cNvPr id="2" name="图表 1"/>
        <xdr:cNvGraphicFramePr/>
      </xdr:nvGraphicFramePr>
      <xdr:xfrm>
        <a:off x="323850" y="4324350"/>
        <a:ext cx="12929235" cy="462153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431800</xdr:colOff>
      <xdr:row>65</xdr:row>
      <xdr:rowOff>12700</xdr:rowOff>
    </xdr:from>
    <xdr:to>
      <xdr:col>13</xdr:col>
      <xdr:colOff>558800</xdr:colOff>
      <xdr:row>91</xdr:row>
      <xdr:rowOff>132715</xdr:rowOff>
    </xdr:to>
    <xdr:graphicFrame>
      <xdr:nvGraphicFramePr>
        <xdr:cNvPr id="3" name="图表 2"/>
        <xdr:cNvGraphicFramePr/>
      </xdr:nvGraphicFramePr>
      <xdr:xfrm>
        <a:off x="431800" y="13817600"/>
        <a:ext cx="13056870" cy="474281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3</xdr:col>
      <xdr:colOff>267970</xdr:colOff>
      <xdr:row>1</xdr:row>
      <xdr:rowOff>219075</xdr:rowOff>
    </xdr:from>
    <xdr:to>
      <xdr:col>15</xdr:col>
      <xdr:colOff>342900</xdr:colOff>
      <xdr:row>25</xdr:row>
      <xdr:rowOff>121285</xdr:rowOff>
    </xdr:to>
    <xdr:graphicFrame>
      <xdr:nvGraphicFramePr>
        <xdr:cNvPr id="4" name="图表 1"/>
        <xdr:cNvGraphicFramePr/>
      </xdr:nvGraphicFramePr>
      <xdr:xfrm>
        <a:off x="2606675" y="663575"/>
        <a:ext cx="8661400" cy="550608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3</xdr:col>
      <xdr:colOff>152400</xdr:colOff>
      <xdr:row>1</xdr:row>
      <xdr:rowOff>69850</xdr:rowOff>
    </xdr:from>
    <xdr:to>
      <xdr:col>12</xdr:col>
      <xdr:colOff>495300</xdr:colOff>
      <xdr:row>22</xdr:row>
      <xdr:rowOff>43815</xdr:rowOff>
    </xdr:to>
    <xdr:graphicFrame>
      <xdr:nvGraphicFramePr>
        <xdr:cNvPr id="2" name="图表 1"/>
        <xdr:cNvGraphicFramePr/>
      </xdr:nvGraphicFramePr>
      <xdr:xfrm>
        <a:off x="4878070" y="466725"/>
        <a:ext cx="6286500" cy="643191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xdr:from>
      <xdr:col>2</xdr:col>
      <xdr:colOff>457200</xdr:colOff>
      <xdr:row>1</xdr:row>
      <xdr:rowOff>38100</xdr:rowOff>
    </xdr:from>
    <xdr:to>
      <xdr:col>14</xdr:col>
      <xdr:colOff>38100</xdr:colOff>
      <xdr:row>25</xdr:row>
      <xdr:rowOff>12700</xdr:rowOff>
    </xdr:to>
    <xdr:graphicFrame>
      <xdr:nvGraphicFramePr>
        <xdr:cNvPr id="2" name="图表 1"/>
        <xdr:cNvGraphicFramePr/>
      </xdr:nvGraphicFramePr>
      <xdr:xfrm>
        <a:off x="1931670" y="273050"/>
        <a:ext cx="7505700" cy="56134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2</xdr:col>
      <xdr:colOff>584200</xdr:colOff>
      <xdr:row>2</xdr:row>
      <xdr:rowOff>158750</xdr:rowOff>
    </xdr:from>
    <xdr:to>
      <xdr:col>13</xdr:col>
      <xdr:colOff>183515</xdr:colOff>
      <xdr:row>27</xdr:row>
      <xdr:rowOff>133350</xdr:rowOff>
    </xdr:to>
    <xdr:graphicFrame>
      <xdr:nvGraphicFramePr>
        <xdr:cNvPr id="2" name="图表 1"/>
        <xdr:cNvGraphicFramePr/>
      </xdr:nvGraphicFramePr>
      <xdr:xfrm>
        <a:off x="2299970" y="730250"/>
        <a:ext cx="6863715" cy="603885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xdr:from>
      <xdr:col>6</xdr:col>
      <xdr:colOff>209550</xdr:colOff>
      <xdr:row>1</xdr:row>
      <xdr:rowOff>38100</xdr:rowOff>
    </xdr:from>
    <xdr:to>
      <xdr:col>17</xdr:col>
      <xdr:colOff>69215</xdr:colOff>
      <xdr:row>24</xdr:row>
      <xdr:rowOff>82550</xdr:rowOff>
    </xdr:to>
    <xdr:graphicFrame>
      <xdr:nvGraphicFramePr>
        <xdr:cNvPr id="7" name="图表 6"/>
        <xdr:cNvGraphicFramePr/>
      </xdr:nvGraphicFramePr>
      <xdr:xfrm>
        <a:off x="4809490" y="323850"/>
        <a:ext cx="6565265" cy="6616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xdr:from>
      <xdr:col>6</xdr:col>
      <xdr:colOff>36830</xdr:colOff>
      <xdr:row>1</xdr:row>
      <xdr:rowOff>144145</xdr:rowOff>
    </xdr:from>
    <xdr:to>
      <xdr:col>18</xdr:col>
      <xdr:colOff>55245</xdr:colOff>
      <xdr:row>23</xdr:row>
      <xdr:rowOff>10795</xdr:rowOff>
    </xdr:to>
    <xdr:graphicFrame>
      <xdr:nvGraphicFramePr>
        <xdr:cNvPr id="5" name="图表 4"/>
        <xdr:cNvGraphicFramePr/>
      </xdr:nvGraphicFramePr>
      <xdr:xfrm>
        <a:off x="5119370" y="429895"/>
        <a:ext cx="7333615" cy="615315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21851\AppData\Roaming\kingsoft\office6\backup\&#24037;&#20316;&#31807;1"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Wechat&#12290;\WeChat%20Files\wxid_hrenfmrsfce722\FileStorage\File\2024-02\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037;&#20316;&#31807;1"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 val="Sheet2"/>
    </sheetNames>
    <sheetDataSet>
      <sheetData sheetId="0"/>
      <sheetData sheetId="1">
        <row r="1">
          <cell r="B1" t="str">
            <v>Announcements</v>
          </cell>
          <cell r="C1" t="str">
            <v>API</v>
          </cell>
          <cell r="D1" t="str">
            <v>Bugs</v>
          </cell>
          <cell r="E1" t="str">
            <v>ChatGPT</v>
          </cell>
          <cell r="F1" t="str">
            <v>Community</v>
          </cell>
          <cell r="G1" t="str">
            <v>Deprecations</v>
          </cell>
          <cell r="H1" t="str">
            <v>Documentation</v>
          </cell>
          <cell r="I1" t="str">
            <v>Feedback</v>
          </cell>
          <cell r="J1" t="str">
            <v>Forum feedback</v>
          </cell>
          <cell r="K1" t="str">
            <v>GPT builders</v>
          </cell>
          <cell r="L1" t="str">
            <v>Plugin store</v>
          </cell>
          <cell r="M1" t="str">
            <v>Plugins / Actions builders</v>
          </cell>
          <cell r="N1" t="str">
            <v>Prompting</v>
          </cell>
        </row>
        <row r="2">
          <cell r="B2">
            <v>8</v>
          </cell>
          <cell r="C2">
            <v>639</v>
          </cell>
        </row>
        <row r="2">
          <cell r="E2">
            <v>1</v>
          </cell>
          <cell r="F2">
            <v>354</v>
          </cell>
        </row>
        <row r="2">
          <cell r="H2">
            <v>17</v>
          </cell>
        </row>
        <row r="2">
          <cell r="N2">
            <v>296</v>
          </cell>
        </row>
        <row r="3">
          <cell r="B3">
            <v>11</v>
          </cell>
          <cell r="C3">
            <v>1062</v>
          </cell>
        </row>
        <row r="3">
          <cell r="E3">
            <v>11</v>
          </cell>
          <cell r="F3">
            <v>320</v>
          </cell>
        </row>
        <row r="3">
          <cell r="H3">
            <v>49</v>
          </cell>
        </row>
        <row r="3">
          <cell r="N3">
            <v>333</v>
          </cell>
        </row>
        <row r="4">
          <cell r="B4">
            <v>1</v>
          </cell>
          <cell r="C4">
            <v>456</v>
          </cell>
        </row>
        <row r="4">
          <cell r="E4">
            <v>100</v>
          </cell>
          <cell r="F4">
            <v>81</v>
          </cell>
        </row>
        <row r="4">
          <cell r="H4">
            <v>8</v>
          </cell>
        </row>
        <row r="4">
          <cell r="N4">
            <v>92</v>
          </cell>
        </row>
        <row r="5">
          <cell r="B5">
            <v>4</v>
          </cell>
          <cell r="C5">
            <v>379</v>
          </cell>
        </row>
        <row r="5">
          <cell r="E5">
            <v>251</v>
          </cell>
          <cell r="F5">
            <v>110</v>
          </cell>
        </row>
        <row r="5">
          <cell r="H5">
            <v>11</v>
          </cell>
        </row>
        <row r="5">
          <cell r="N5">
            <v>56</v>
          </cell>
        </row>
        <row r="6">
          <cell r="B6">
            <v>4</v>
          </cell>
          <cell r="C6">
            <v>899</v>
          </cell>
        </row>
        <row r="6">
          <cell r="E6">
            <v>591</v>
          </cell>
          <cell r="F6">
            <v>199</v>
          </cell>
        </row>
        <row r="6">
          <cell r="H6">
            <v>13</v>
          </cell>
        </row>
        <row r="6">
          <cell r="M6">
            <v>3</v>
          </cell>
          <cell r="N6">
            <v>105</v>
          </cell>
        </row>
        <row r="7">
          <cell r="C7">
            <v>639</v>
          </cell>
        </row>
        <row r="7">
          <cell r="E7">
            <v>434</v>
          </cell>
          <cell r="F7">
            <v>192</v>
          </cell>
        </row>
        <row r="7">
          <cell r="H7">
            <v>5</v>
          </cell>
        </row>
        <row r="7">
          <cell r="M7">
            <v>228</v>
          </cell>
          <cell r="N7">
            <v>86</v>
          </cell>
        </row>
        <row r="8">
          <cell r="C8">
            <v>585</v>
          </cell>
        </row>
        <row r="8">
          <cell r="E8">
            <v>469</v>
          </cell>
          <cell r="F8">
            <v>180</v>
          </cell>
        </row>
        <row r="8">
          <cell r="H8">
            <v>14</v>
          </cell>
        </row>
        <row r="8">
          <cell r="J8">
            <v>2</v>
          </cell>
        </row>
        <row r="8">
          <cell r="L8">
            <v>10</v>
          </cell>
          <cell r="M8">
            <v>371</v>
          </cell>
          <cell r="N8">
            <v>109</v>
          </cell>
        </row>
        <row r="9">
          <cell r="C9">
            <v>555</v>
          </cell>
        </row>
        <row r="9">
          <cell r="E9">
            <v>173</v>
          </cell>
          <cell r="F9">
            <v>147</v>
          </cell>
        </row>
        <row r="9">
          <cell r="H9">
            <v>11</v>
          </cell>
        </row>
        <row r="9">
          <cell r="J9">
            <v>2</v>
          </cell>
        </row>
        <row r="9">
          <cell r="L9">
            <v>19</v>
          </cell>
          <cell r="M9">
            <v>184</v>
          </cell>
          <cell r="N9">
            <v>88</v>
          </cell>
        </row>
        <row r="10">
          <cell r="B10">
            <v>1</v>
          </cell>
          <cell r="C10">
            <v>482</v>
          </cell>
          <cell r="D10">
            <v>5</v>
          </cell>
          <cell r="E10">
            <v>233</v>
          </cell>
          <cell r="F10">
            <v>130</v>
          </cell>
          <cell r="G10">
            <v>7</v>
          </cell>
          <cell r="H10">
            <v>6</v>
          </cell>
          <cell r="I10">
            <v>7</v>
          </cell>
          <cell r="J10">
            <v>3</v>
          </cell>
        </row>
        <row r="10">
          <cell r="L10">
            <v>5</v>
          </cell>
          <cell r="M10">
            <v>129</v>
          </cell>
          <cell r="N10">
            <v>81</v>
          </cell>
        </row>
        <row r="11">
          <cell r="B11">
            <v>1</v>
          </cell>
          <cell r="C11">
            <v>484</v>
          </cell>
          <cell r="D11">
            <v>3</v>
          </cell>
          <cell r="E11">
            <v>173</v>
          </cell>
          <cell r="F11">
            <v>101</v>
          </cell>
          <cell r="G11">
            <v>3</v>
          </cell>
          <cell r="H11">
            <v>12</v>
          </cell>
          <cell r="I11">
            <v>10</v>
          </cell>
          <cell r="J11">
            <v>1</v>
          </cell>
        </row>
        <row r="11">
          <cell r="L11">
            <v>8</v>
          </cell>
          <cell r="M11">
            <v>81</v>
          </cell>
          <cell r="N11">
            <v>87</v>
          </cell>
        </row>
        <row r="12">
          <cell r="C12">
            <v>578</v>
          </cell>
          <cell r="D12">
            <v>6</v>
          </cell>
          <cell r="E12">
            <v>185</v>
          </cell>
          <cell r="F12">
            <v>116</v>
          </cell>
          <cell r="G12">
            <v>3</v>
          </cell>
          <cell r="H12">
            <v>6</v>
          </cell>
          <cell r="I12">
            <v>15</v>
          </cell>
          <cell r="J12">
            <v>6</v>
          </cell>
        </row>
        <row r="12">
          <cell r="L12">
            <v>2</v>
          </cell>
          <cell r="M12">
            <v>46</v>
          </cell>
          <cell r="N12">
            <v>66</v>
          </cell>
        </row>
        <row r="13">
          <cell r="C13">
            <v>568</v>
          </cell>
          <cell r="D13">
            <v>17</v>
          </cell>
          <cell r="E13">
            <v>257</v>
          </cell>
          <cell r="F13">
            <v>101</v>
          </cell>
          <cell r="G13">
            <v>2</v>
          </cell>
          <cell r="H13">
            <v>12</v>
          </cell>
          <cell r="I13">
            <v>13</v>
          </cell>
          <cell r="J13">
            <v>3</v>
          </cell>
        </row>
        <row r="13">
          <cell r="L13">
            <v>2</v>
          </cell>
          <cell r="M13">
            <v>53</v>
          </cell>
          <cell r="N13">
            <v>112</v>
          </cell>
        </row>
        <row r="14">
          <cell r="B14">
            <v>3</v>
          </cell>
          <cell r="C14">
            <v>1475</v>
          </cell>
          <cell r="D14">
            <v>105</v>
          </cell>
          <cell r="E14">
            <v>612</v>
          </cell>
          <cell r="F14">
            <v>276</v>
          </cell>
          <cell r="G14">
            <v>4</v>
          </cell>
          <cell r="H14">
            <v>68</v>
          </cell>
          <cell r="I14">
            <v>79</v>
          </cell>
          <cell r="J14">
            <v>12</v>
          </cell>
          <cell r="K14">
            <v>3</v>
          </cell>
          <cell r="L14">
            <v>7</v>
          </cell>
          <cell r="M14">
            <v>338</v>
          </cell>
          <cell r="N14">
            <v>149</v>
          </cell>
        </row>
        <row r="15">
          <cell r="C15">
            <v>841</v>
          </cell>
          <cell r="D15">
            <v>92</v>
          </cell>
          <cell r="E15">
            <v>232</v>
          </cell>
          <cell r="F15">
            <v>165</v>
          </cell>
          <cell r="G15">
            <v>8</v>
          </cell>
          <cell r="H15">
            <v>22</v>
          </cell>
          <cell r="I15">
            <v>48</v>
          </cell>
          <cell r="J15">
            <v>11</v>
          </cell>
          <cell r="K15">
            <v>120</v>
          </cell>
          <cell r="L15">
            <v>2</v>
          </cell>
          <cell r="M15">
            <v>122</v>
          </cell>
          <cell r="N15">
            <v>113</v>
          </cell>
        </row>
        <row r="16">
          <cell r="C16">
            <v>408</v>
          </cell>
          <cell r="D16">
            <v>41</v>
          </cell>
          <cell r="E16">
            <v>146</v>
          </cell>
          <cell r="F16">
            <v>81</v>
          </cell>
          <cell r="G16">
            <v>6</v>
          </cell>
          <cell r="H16">
            <v>4</v>
          </cell>
          <cell r="I16">
            <v>19</v>
          </cell>
          <cell r="J16">
            <v>6</v>
          </cell>
          <cell r="K16">
            <v>125</v>
          </cell>
          <cell r="L16">
            <v>6</v>
          </cell>
          <cell r="M16">
            <v>83</v>
          </cell>
          <cell r="N16">
            <v>54</v>
          </cell>
        </row>
        <row r="48">
          <cell r="B48" t="str">
            <v>Announcements</v>
          </cell>
          <cell r="C48" t="str">
            <v>API</v>
          </cell>
          <cell r="D48" t="str">
            <v>Bugs</v>
          </cell>
          <cell r="E48" t="str">
            <v>ChatGPT</v>
          </cell>
          <cell r="F48" t="str">
            <v>Community</v>
          </cell>
          <cell r="G48" t="str">
            <v>Deprecations</v>
          </cell>
          <cell r="H48" t="str">
            <v>Documentation</v>
          </cell>
          <cell r="I48" t="str">
            <v>Feedback</v>
          </cell>
          <cell r="J48" t="str">
            <v>Forum feedback</v>
          </cell>
          <cell r="K48" t="str">
            <v>GPT builders</v>
          </cell>
          <cell r="L48" t="str">
            <v>Plugin store</v>
          </cell>
          <cell r="M48" t="str">
            <v>Plugins / Actions builders</v>
          </cell>
          <cell r="N48" t="str">
            <v>Prompting</v>
          </cell>
        </row>
        <row r="49">
          <cell r="A49">
            <v>2021</v>
          </cell>
          <cell r="B49">
            <v>8</v>
          </cell>
          <cell r="C49">
            <v>639</v>
          </cell>
          <cell r="D49">
            <v>0</v>
          </cell>
          <cell r="E49">
            <v>1</v>
          </cell>
          <cell r="F49">
            <v>354</v>
          </cell>
          <cell r="G49">
            <v>0</v>
          </cell>
          <cell r="H49">
            <v>17</v>
          </cell>
          <cell r="I49">
            <v>0</v>
          </cell>
          <cell r="J49">
            <v>0</v>
          </cell>
          <cell r="K49">
            <v>0</v>
          </cell>
          <cell r="L49">
            <v>0</v>
          </cell>
          <cell r="M49">
            <v>0</v>
          </cell>
          <cell r="N49">
            <v>296</v>
          </cell>
        </row>
        <row r="50">
          <cell r="A50">
            <v>2022</v>
          </cell>
          <cell r="B50">
            <v>19</v>
          </cell>
          <cell r="C50">
            <v>1701</v>
          </cell>
          <cell r="D50">
            <v>0</v>
          </cell>
          <cell r="E50">
            <v>12</v>
          </cell>
          <cell r="F50">
            <v>674</v>
          </cell>
          <cell r="G50">
            <v>0</v>
          </cell>
          <cell r="H50">
            <v>66</v>
          </cell>
          <cell r="I50">
            <v>0</v>
          </cell>
          <cell r="J50">
            <v>0</v>
          </cell>
          <cell r="K50">
            <v>0</v>
          </cell>
          <cell r="L50">
            <v>0</v>
          </cell>
          <cell r="M50">
            <v>0</v>
          </cell>
          <cell r="N50">
            <v>629</v>
          </cell>
        </row>
        <row r="51">
          <cell r="A51">
            <v>44927</v>
          </cell>
          <cell r="B51">
            <v>20</v>
          </cell>
          <cell r="C51">
            <v>2157</v>
          </cell>
          <cell r="D51">
            <v>0</v>
          </cell>
          <cell r="E51">
            <v>112</v>
          </cell>
          <cell r="F51">
            <v>755</v>
          </cell>
          <cell r="G51">
            <v>0</v>
          </cell>
          <cell r="H51">
            <v>74</v>
          </cell>
          <cell r="I51">
            <v>0</v>
          </cell>
          <cell r="J51">
            <v>0</v>
          </cell>
          <cell r="K51">
            <v>0</v>
          </cell>
          <cell r="L51">
            <v>0</v>
          </cell>
          <cell r="M51">
            <v>0</v>
          </cell>
          <cell r="N51">
            <v>721</v>
          </cell>
        </row>
        <row r="52">
          <cell r="A52">
            <v>44958</v>
          </cell>
          <cell r="B52">
            <v>24</v>
          </cell>
          <cell r="C52">
            <v>2536</v>
          </cell>
          <cell r="D52">
            <v>0</v>
          </cell>
          <cell r="E52">
            <v>363</v>
          </cell>
          <cell r="F52">
            <v>865</v>
          </cell>
          <cell r="G52">
            <v>0</v>
          </cell>
          <cell r="H52">
            <v>85</v>
          </cell>
          <cell r="I52">
            <v>0</v>
          </cell>
          <cell r="J52">
            <v>0</v>
          </cell>
          <cell r="K52">
            <v>0</v>
          </cell>
          <cell r="L52">
            <v>0</v>
          </cell>
          <cell r="M52">
            <v>0</v>
          </cell>
          <cell r="N52">
            <v>777</v>
          </cell>
        </row>
        <row r="53">
          <cell r="A53">
            <v>44986</v>
          </cell>
          <cell r="B53">
            <v>28</v>
          </cell>
          <cell r="C53">
            <v>3435</v>
          </cell>
          <cell r="D53">
            <v>0</v>
          </cell>
          <cell r="E53">
            <v>954</v>
          </cell>
          <cell r="F53">
            <v>1064</v>
          </cell>
          <cell r="G53">
            <v>0</v>
          </cell>
          <cell r="H53">
            <v>98</v>
          </cell>
          <cell r="I53">
            <v>0</v>
          </cell>
          <cell r="J53">
            <v>0</v>
          </cell>
          <cell r="K53">
            <v>0</v>
          </cell>
          <cell r="L53">
            <v>0</v>
          </cell>
          <cell r="M53">
            <v>3</v>
          </cell>
          <cell r="N53">
            <v>882</v>
          </cell>
        </row>
        <row r="54">
          <cell r="A54">
            <v>45017</v>
          </cell>
          <cell r="B54">
            <v>28</v>
          </cell>
          <cell r="C54">
            <v>4074</v>
          </cell>
          <cell r="D54">
            <v>0</v>
          </cell>
          <cell r="E54">
            <v>1388</v>
          </cell>
          <cell r="F54">
            <v>1256</v>
          </cell>
          <cell r="G54">
            <v>0</v>
          </cell>
          <cell r="H54">
            <v>103</v>
          </cell>
          <cell r="I54">
            <v>0</v>
          </cell>
          <cell r="J54">
            <v>0</v>
          </cell>
          <cell r="K54">
            <v>0</v>
          </cell>
          <cell r="L54">
            <v>0</v>
          </cell>
          <cell r="M54">
            <v>231</v>
          </cell>
          <cell r="N54">
            <v>968</v>
          </cell>
        </row>
        <row r="55">
          <cell r="A55">
            <v>45047</v>
          </cell>
          <cell r="B55">
            <v>28</v>
          </cell>
          <cell r="C55">
            <v>4659</v>
          </cell>
          <cell r="D55">
            <v>0</v>
          </cell>
          <cell r="E55">
            <v>1857</v>
          </cell>
          <cell r="F55">
            <v>1436</v>
          </cell>
          <cell r="G55">
            <v>0</v>
          </cell>
          <cell r="H55">
            <v>117</v>
          </cell>
          <cell r="I55">
            <v>0</v>
          </cell>
          <cell r="J55">
            <v>2</v>
          </cell>
          <cell r="K55">
            <v>0</v>
          </cell>
          <cell r="L55">
            <v>10</v>
          </cell>
          <cell r="M55">
            <v>602</v>
          </cell>
          <cell r="N55">
            <v>1077</v>
          </cell>
        </row>
        <row r="56">
          <cell r="A56">
            <v>45078</v>
          </cell>
          <cell r="B56">
            <v>28</v>
          </cell>
          <cell r="C56">
            <v>5214</v>
          </cell>
          <cell r="D56">
            <v>0</v>
          </cell>
          <cell r="E56">
            <v>2030</v>
          </cell>
          <cell r="F56">
            <v>1583</v>
          </cell>
          <cell r="G56">
            <v>0</v>
          </cell>
          <cell r="H56">
            <v>128</v>
          </cell>
          <cell r="I56">
            <v>0</v>
          </cell>
          <cell r="J56">
            <v>4</v>
          </cell>
          <cell r="K56">
            <v>0</v>
          </cell>
          <cell r="L56">
            <v>29</v>
          </cell>
          <cell r="M56">
            <v>786</v>
          </cell>
          <cell r="N56">
            <v>1165</v>
          </cell>
        </row>
        <row r="57">
          <cell r="A57">
            <v>45108</v>
          </cell>
          <cell r="B57">
            <v>29</v>
          </cell>
          <cell r="C57">
            <v>5696</v>
          </cell>
          <cell r="D57">
            <v>5</v>
          </cell>
          <cell r="E57">
            <v>2263</v>
          </cell>
          <cell r="F57">
            <v>1713</v>
          </cell>
          <cell r="G57">
            <v>7</v>
          </cell>
          <cell r="H57">
            <v>134</v>
          </cell>
          <cell r="I57">
            <v>7</v>
          </cell>
          <cell r="J57">
            <v>7</v>
          </cell>
          <cell r="K57">
            <v>0</v>
          </cell>
          <cell r="L57">
            <v>34</v>
          </cell>
          <cell r="M57">
            <v>915</v>
          </cell>
          <cell r="N57">
            <v>1246</v>
          </cell>
        </row>
        <row r="58">
          <cell r="A58">
            <v>45139</v>
          </cell>
          <cell r="B58">
            <v>30</v>
          </cell>
          <cell r="C58">
            <v>6180</v>
          </cell>
          <cell r="D58">
            <v>8</v>
          </cell>
          <cell r="E58">
            <v>2436</v>
          </cell>
          <cell r="F58">
            <v>1814</v>
          </cell>
          <cell r="G58">
            <v>10</v>
          </cell>
          <cell r="H58">
            <v>146</v>
          </cell>
          <cell r="I58">
            <v>17</v>
          </cell>
          <cell r="J58">
            <v>8</v>
          </cell>
          <cell r="K58">
            <v>0</v>
          </cell>
          <cell r="L58">
            <v>42</v>
          </cell>
          <cell r="M58">
            <v>996</v>
          </cell>
          <cell r="N58">
            <v>1333</v>
          </cell>
        </row>
        <row r="59">
          <cell r="A59">
            <v>45170</v>
          </cell>
          <cell r="B59">
            <v>30</v>
          </cell>
          <cell r="C59">
            <v>6758</v>
          </cell>
          <cell r="D59">
            <v>14</v>
          </cell>
          <cell r="E59">
            <v>2621</v>
          </cell>
          <cell r="F59">
            <v>1930</v>
          </cell>
          <cell r="G59">
            <v>13</v>
          </cell>
          <cell r="H59">
            <v>152</v>
          </cell>
          <cell r="I59">
            <v>32</v>
          </cell>
          <cell r="J59">
            <v>14</v>
          </cell>
          <cell r="K59">
            <v>0</v>
          </cell>
          <cell r="L59">
            <v>44</v>
          </cell>
          <cell r="M59">
            <v>1042</v>
          </cell>
          <cell r="N59">
            <v>1399</v>
          </cell>
        </row>
        <row r="60">
          <cell r="A60">
            <v>45200</v>
          </cell>
          <cell r="B60">
            <v>30</v>
          </cell>
          <cell r="C60">
            <v>7326</v>
          </cell>
          <cell r="D60">
            <v>31</v>
          </cell>
          <cell r="E60">
            <v>2878</v>
          </cell>
          <cell r="F60">
            <v>2031</v>
          </cell>
          <cell r="G60">
            <v>15</v>
          </cell>
          <cell r="H60">
            <v>164</v>
          </cell>
          <cell r="I60">
            <v>45</v>
          </cell>
          <cell r="J60">
            <v>17</v>
          </cell>
          <cell r="K60">
            <v>0</v>
          </cell>
          <cell r="L60">
            <v>46</v>
          </cell>
          <cell r="M60">
            <v>1095</v>
          </cell>
          <cell r="N60">
            <v>1511</v>
          </cell>
        </row>
        <row r="61">
          <cell r="A61">
            <v>45231</v>
          </cell>
          <cell r="B61">
            <v>33</v>
          </cell>
          <cell r="C61">
            <v>8801</v>
          </cell>
          <cell r="D61">
            <v>136</v>
          </cell>
          <cell r="E61">
            <v>3490</v>
          </cell>
          <cell r="F61">
            <v>2307</v>
          </cell>
          <cell r="G61">
            <v>19</v>
          </cell>
          <cell r="H61">
            <v>232</v>
          </cell>
          <cell r="I61">
            <v>124</v>
          </cell>
          <cell r="J61">
            <v>29</v>
          </cell>
          <cell r="K61">
            <v>3</v>
          </cell>
          <cell r="L61">
            <v>53</v>
          </cell>
          <cell r="M61">
            <v>1433</v>
          </cell>
          <cell r="N61">
            <v>1660</v>
          </cell>
        </row>
        <row r="62">
          <cell r="A62">
            <v>45261</v>
          </cell>
          <cell r="B62">
            <v>33</v>
          </cell>
          <cell r="C62">
            <v>9642</v>
          </cell>
          <cell r="D62">
            <v>228</v>
          </cell>
          <cell r="E62">
            <v>3722</v>
          </cell>
          <cell r="F62">
            <v>2472</v>
          </cell>
          <cell r="G62">
            <v>27</v>
          </cell>
          <cell r="H62">
            <v>254</v>
          </cell>
          <cell r="I62">
            <v>172</v>
          </cell>
          <cell r="J62">
            <v>40</v>
          </cell>
          <cell r="K62">
            <v>123</v>
          </cell>
          <cell r="L62">
            <v>55</v>
          </cell>
          <cell r="M62">
            <v>1555</v>
          </cell>
          <cell r="N62">
            <v>1773</v>
          </cell>
        </row>
        <row r="63">
          <cell r="A63">
            <v>45292</v>
          </cell>
          <cell r="B63">
            <v>33</v>
          </cell>
          <cell r="C63">
            <v>10050</v>
          </cell>
          <cell r="D63">
            <v>269</v>
          </cell>
          <cell r="E63">
            <v>3868</v>
          </cell>
          <cell r="F63">
            <v>2553</v>
          </cell>
          <cell r="G63">
            <v>33</v>
          </cell>
          <cell r="H63">
            <v>258</v>
          </cell>
          <cell r="I63">
            <v>191</v>
          </cell>
          <cell r="J63">
            <v>46</v>
          </cell>
          <cell r="K63">
            <v>248</v>
          </cell>
          <cell r="L63">
            <v>61</v>
          </cell>
          <cell r="M63">
            <v>1638</v>
          </cell>
          <cell r="N63">
            <v>1827</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heet1"/>
      <sheetName val="Sheet3"/>
      <sheetName val="Sheet2"/>
    </sheetNames>
    <sheetDataSet>
      <sheetData sheetId="0">
        <row r="1">
          <cell r="D1" t="str">
            <v>创始日期</v>
          </cell>
        </row>
        <row r="2">
          <cell r="D2" t="str">
            <v>2023</v>
          </cell>
        </row>
        <row r="3">
          <cell r="D3" t="str">
            <v>2023</v>
          </cell>
        </row>
        <row r="4">
          <cell r="D4" t="str">
            <v>2023</v>
          </cell>
        </row>
        <row r="5">
          <cell r="D5" t="str">
            <v>2023</v>
          </cell>
        </row>
        <row r="6">
          <cell r="D6" t="str">
            <v>2022</v>
          </cell>
        </row>
        <row r="7">
          <cell r="D7" t="str">
            <v>2023</v>
          </cell>
        </row>
        <row r="8">
          <cell r="D8" t="str">
            <v>2023</v>
          </cell>
        </row>
        <row r="9">
          <cell r="D9" t="str">
            <v>2023</v>
          </cell>
        </row>
        <row r="10">
          <cell r="D10" t="str">
            <v>2021</v>
          </cell>
        </row>
        <row r="11">
          <cell r="D11" t="str">
            <v>2021</v>
          </cell>
        </row>
        <row r="12">
          <cell r="D12" t="str">
            <v>2023</v>
          </cell>
        </row>
        <row r="13">
          <cell r="D13" t="str">
            <v>2021</v>
          </cell>
        </row>
        <row r="14">
          <cell r="D14" t="str">
            <v>2021</v>
          </cell>
        </row>
        <row r="15">
          <cell r="D15" t="str">
            <v>2022</v>
          </cell>
        </row>
        <row r="16">
          <cell r="D16" t="str">
            <v>2022</v>
          </cell>
        </row>
        <row r="17">
          <cell r="D17" t="str">
            <v>2022</v>
          </cell>
        </row>
        <row r="18">
          <cell r="D18" t="str">
            <v>2023</v>
          </cell>
        </row>
        <row r="19">
          <cell r="D19" t="str">
            <v>2022</v>
          </cell>
        </row>
        <row r="20">
          <cell r="D20" t="str">
            <v>2022</v>
          </cell>
        </row>
        <row r="21">
          <cell r="D21" t="str">
            <v>2021</v>
          </cell>
        </row>
        <row r="22">
          <cell r="D22" t="str">
            <v>2023</v>
          </cell>
        </row>
        <row r="23">
          <cell r="D23" t="str">
            <v>2023</v>
          </cell>
        </row>
        <row r="24">
          <cell r="D24" t="str">
            <v>2022</v>
          </cell>
        </row>
        <row r="25">
          <cell r="D25" t="str">
            <v>2022</v>
          </cell>
        </row>
        <row r="26">
          <cell r="D26" t="str">
            <v>2021</v>
          </cell>
        </row>
        <row r="27">
          <cell r="D27" t="str">
            <v>2022</v>
          </cell>
        </row>
        <row r="28">
          <cell r="D28" t="str">
            <v>2023</v>
          </cell>
        </row>
        <row r="29">
          <cell r="D29" t="str">
            <v>2022</v>
          </cell>
        </row>
        <row r="30">
          <cell r="D30" t="str">
            <v>2022</v>
          </cell>
        </row>
        <row r="31">
          <cell r="D31" t="str">
            <v>2023</v>
          </cell>
        </row>
        <row r="32">
          <cell r="D32" t="str">
            <v>2021</v>
          </cell>
        </row>
        <row r="33">
          <cell r="D33" t="str">
            <v>2021</v>
          </cell>
        </row>
        <row r="34">
          <cell r="D34" t="str">
            <v>2023</v>
          </cell>
        </row>
        <row r="35">
          <cell r="D35" t="str">
            <v>2021</v>
          </cell>
        </row>
        <row r="36">
          <cell r="D36" t="str">
            <v>2021</v>
          </cell>
        </row>
        <row r="37">
          <cell r="D37" t="str">
            <v>2023</v>
          </cell>
        </row>
        <row r="38">
          <cell r="D38" t="str">
            <v>2023</v>
          </cell>
        </row>
        <row r="39">
          <cell r="D39" t="str">
            <v>2023</v>
          </cell>
        </row>
        <row r="40">
          <cell r="D40" t="str">
            <v>2022</v>
          </cell>
        </row>
        <row r="41">
          <cell r="D41" t="str">
            <v>2023</v>
          </cell>
        </row>
        <row r="42">
          <cell r="D42" t="str">
            <v>2023</v>
          </cell>
        </row>
        <row r="43">
          <cell r="D43" t="str">
            <v>2023</v>
          </cell>
        </row>
        <row r="44">
          <cell r="D44" t="str">
            <v>2023</v>
          </cell>
        </row>
        <row r="45">
          <cell r="D45" t="str">
            <v>2022</v>
          </cell>
        </row>
        <row r="46">
          <cell r="D46" t="str">
            <v>2023</v>
          </cell>
        </row>
        <row r="47">
          <cell r="D47" t="str">
            <v>2023</v>
          </cell>
        </row>
        <row r="48">
          <cell r="D48" t="str">
            <v>2022</v>
          </cell>
        </row>
        <row r="49">
          <cell r="D49" t="str">
            <v>2021</v>
          </cell>
        </row>
        <row r="50">
          <cell r="D50" t="str">
            <v>2023</v>
          </cell>
        </row>
        <row r="51">
          <cell r="D51" t="str">
            <v>2023</v>
          </cell>
        </row>
        <row r="52">
          <cell r="D52" t="str">
            <v>2021</v>
          </cell>
        </row>
        <row r="53">
          <cell r="D53" t="str">
            <v>2023</v>
          </cell>
        </row>
        <row r="54">
          <cell r="D54" t="str">
            <v>2023</v>
          </cell>
        </row>
        <row r="55">
          <cell r="D55" t="str">
            <v>2021</v>
          </cell>
        </row>
        <row r="56">
          <cell r="D56" t="str">
            <v>2022</v>
          </cell>
        </row>
        <row r="57">
          <cell r="D57" t="str">
            <v>2022</v>
          </cell>
        </row>
        <row r="58">
          <cell r="D58" t="str">
            <v>2023</v>
          </cell>
        </row>
        <row r="59">
          <cell r="D59" t="str">
            <v>2021</v>
          </cell>
        </row>
        <row r="60">
          <cell r="D60" t="str">
            <v>2021</v>
          </cell>
        </row>
        <row r="61">
          <cell r="D61" t="str">
            <v>2021</v>
          </cell>
        </row>
        <row r="62">
          <cell r="D62" t="str">
            <v>2021</v>
          </cell>
        </row>
        <row r="63">
          <cell r="D63" t="str">
            <v>2023</v>
          </cell>
        </row>
        <row r="64">
          <cell r="D64" t="str">
            <v>2022</v>
          </cell>
        </row>
        <row r="65">
          <cell r="D65" t="str">
            <v>2021</v>
          </cell>
        </row>
        <row r="66">
          <cell r="D66" t="str">
            <v>2023</v>
          </cell>
        </row>
        <row r="67">
          <cell r="D67" t="str">
            <v>2023</v>
          </cell>
        </row>
        <row r="68">
          <cell r="D68" t="str">
            <v>2022</v>
          </cell>
        </row>
        <row r="69">
          <cell r="D69" t="str">
            <v>2022</v>
          </cell>
        </row>
        <row r="70">
          <cell r="D70" t="str">
            <v>2023</v>
          </cell>
        </row>
        <row r="71">
          <cell r="D71" t="str">
            <v>2023</v>
          </cell>
        </row>
        <row r="72">
          <cell r="D72" t="str">
            <v>2023</v>
          </cell>
        </row>
        <row r="73">
          <cell r="D73" t="str">
            <v>2023</v>
          </cell>
        </row>
        <row r="74">
          <cell r="D74" t="str">
            <v>2023</v>
          </cell>
        </row>
        <row r="75">
          <cell r="D75" t="str">
            <v>2023</v>
          </cell>
        </row>
        <row r="76">
          <cell r="D76" t="str">
            <v>2023</v>
          </cell>
        </row>
        <row r="77">
          <cell r="D77" t="str">
            <v>2023</v>
          </cell>
        </row>
        <row r="78">
          <cell r="D78" t="str">
            <v>2022</v>
          </cell>
        </row>
        <row r="79">
          <cell r="D79" t="str">
            <v>2023</v>
          </cell>
        </row>
        <row r="80">
          <cell r="D80" t="str">
            <v>2022</v>
          </cell>
        </row>
        <row r="81">
          <cell r="D81" t="str">
            <v>2021</v>
          </cell>
        </row>
        <row r="82">
          <cell r="D82" t="str">
            <v>2023</v>
          </cell>
        </row>
        <row r="83">
          <cell r="D83" t="str">
            <v>2023</v>
          </cell>
        </row>
        <row r="84">
          <cell r="D84" t="str">
            <v>2023</v>
          </cell>
        </row>
        <row r="85">
          <cell r="D85" t="str">
            <v>2021</v>
          </cell>
        </row>
        <row r="86">
          <cell r="D86" t="str">
            <v>2023</v>
          </cell>
        </row>
        <row r="87">
          <cell r="D87" t="str">
            <v>2023</v>
          </cell>
        </row>
        <row r="88">
          <cell r="D88" t="str">
            <v>2023</v>
          </cell>
        </row>
        <row r="89">
          <cell r="D89" t="str">
            <v>2021</v>
          </cell>
        </row>
        <row r="90">
          <cell r="D90" t="str">
            <v>2021</v>
          </cell>
        </row>
        <row r="91">
          <cell r="D91" t="str">
            <v>2022</v>
          </cell>
        </row>
        <row r="92">
          <cell r="D92" t="str">
            <v>2023</v>
          </cell>
        </row>
        <row r="93">
          <cell r="D93" t="str">
            <v>2022</v>
          </cell>
        </row>
        <row r="94">
          <cell r="D94" t="str">
            <v>2023</v>
          </cell>
        </row>
        <row r="95">
          <cell r="D95" t="str">
            <v>2023</v>
          </cell>
        </row>
        <row r="96">
          <cell r="D96" t="str">
            <v>2023</v>
          </cell>
        </row>
        <row r="97">
          <cell r="D97" t="str">
            <v>2023</v>
          </cell>
        </row>
        <row r="98">
          <cell r="D98" t="str">
            <v>2023</v>
          </cell>
        </row>
        <row r="99">
          <cell r="D99" t="str">
            <v>2023</v>
          </cell>
        </row>
        <row r="100">
          <cell r="D100" t="str">
            <v>2023</v>
          </cell>
        </row>
        <row r="101">
          <cell r="D101" t="str">
            <v>2023</v>
          </cell>
        </row>
        <row r="102">
          <cell r="D102" t="str">
            <v>2023</v>
          </cell>
        </row>
        <row r="103">
          <cell r="D103" t="str">
            <v>2022</v>
          </cell>
        </row>
        <row r="104">
          <cell r="D104" t="str">
            <v>2023</v>
          </cell>
        </row>
        <row r="105">
          <cell r="D105" t="str">
            <v>2023</v>
          </cell>
        </row>
        <row r="106">
          <cell r="D106" t="str">
            <v>2023</v>
          </cell>
        </row>
        <row r="107">
          <cell r="D107" t="str">
            <v>2023</v>
          </cell>
        </row>
        <row r="108">
          <cell r="D108" t="str">
            <v>2023</v>
          </cell>
        </row>
        <row r="109">
          <cell r="D109" t="str">
            <v>2021</v>
          </cell>
        </row>
        <row r="110">
          <cell r="D110" t="str">
            <v>2023</v>
          </cell>
        </row>
        <row r="111">
          <cell r="D111" t="str">
            <v>2023</v>
          </cell>
        </row>
        <row r="112">
          <cell r="D112" t="str">
            <v>2023</v>
          </cell>
        </row>
        <row r="113">
          <cell r="D113" t="str">
            <v>2023</v>
          </cell>
        </row>
        <row r="114">
          <cell r="D114" t="str">
            <v>2023</v>
          </cell>
        </row>
        <row r="115">
          <cell r="D115" t="str">
            <v>2022</v>
          </cell>
        </row>
        <row r="116">
          <cell r="D116" t="str">
            <v>2023</v>
          </cell>
        </row>
        <row r="117">
          <cell r="D117" t="str">
            <v>2023</v>
          </cell>
        </row>
        <row r="118">
          <cell r="D118" t="str">
            <v>2023</v>
          </cell>
        </row>
        <row r="119">
          <cell r="D119" t="str">
            <v>2022</v>
          </cell>
        </row>
        <row r="120">
          <cell r="D120" t="str">
            <v>2021</v>
          </cell>
        </row>
        <row r="121">
          <cell r="D121" t="str">
            <v>2023</v>
          </cell>
        </row>
        <row r="122">
          <cell r="D122" t="str">
            <v>2023</v>
          </cell>
        </row>
        <row r="123">
          <cell r="D123" t="str">
            <v>2022</v>
          </cell>
        </row>
        <row r="124">
          <cell r="D124" t="str">
            <v>2023</v>
          </cell>
        </row>
        <row r="125">
          <cell r="D125" t="str">
            <v>2023</v>
          </cell>
        </row>
        <row r="126">
          <cell r="D126" t="str">
            <v>2021</v>
          </cell>
        </row>
        <row r="127">
          <cell r="D127" t="str">
            <v>2023</v>
          </cell>
        </row>
        <row r="128">
          <cell r="D128" t="str">
            <v>2023</v>
          </cell>
        </row>
        <row r="129">
          <cell r="D129" t="str">
            <v>2022</v>
          </cell>
        </row>
        <row r="130">
          <cell r="D130" t="str">
            <v>2022</v>
          </cell>
        </row>
        <row r="131">
          <cell r="D131" t="str">
            <v>2023</v>
          </cell>
        </row>
        <row r="132">
          <cell r="D132" t="str">
            <v>2023</v>
          </cell>
        </row>
        <row r="133">
          <cell r="D133" t="str">
            <v>2023</v>
          </cell>
        </row>
        <row r="134">
          <cell r="D134" t="str">
            <v>2023</v>
          </cell>
        </row>
        <row r="135">
          <cell r="D135" t="str">
            <v>2023</v>
          </cell>
        </row>
        <row r="136">
          <cell r="D136" t="str">
            <v>2023</v>
          </cell>
        </row>
        <row r="137">
          <cell r="D137" t="str">
            <v>2023</v>
          </cell>
        </row>
        <row r="138">
          <cell r="D138" t="str">
            <v>2021</v>
          </cell>
        </row>
        <row r="139">
          <cell r="D139" t="str">
            <v>2023</v>
          </cell>
        </row>
        <row r="140">
          <cell r="D140" t="str">
            <v>2023</v>
          </cell>
        </row>
        <row r="141">
          <cell r="D141" t="str">
            <v>2023</v>
          </cell>
        </row>
        <row r="142">
          <cell r="D142" t="str">
            <v>2022</v>
          </cell>
        </row>
        <row r="143">
          <cell r="D143" t="str">
            <v>2023</v>
          </cell>
        </row>
        <row r="144">
          <cell r="D144" t="str">
            <v>2023</v>
          </cell>
        </row>
        <row r="145">
          <cell r="D145" t="str">
            <v>2023</v>
          </cell>
        </row>
        <row r="146">
          <cell r="D146" t="str">
            <v>2023</v>
          </cell>
        </row>
        <row r="147">
          <cell r="D147" t="str">
            <v>2023</v>
          </cell>
        </row>
        <row r="148">
          <cell r="D148" t="str">
            <v>2023</v>
          </cell>
        </row>
        <row r="149">
          <cell r="D149" t="str">
            <v>2023</v>
          </cell>
        </row>
        <row r="150">
          <cell r="D150" t="str">
            <v>2021</v>
          </cell>
        </row>
        <row r="151">
          <cell r="D151" t="str">
            <v>2023</v>
          </cell>
        </row>
        <row r="152">
          <cell r="D152" t="str">
            <v>2023</v>
          </cell>
        </row>
        <row r="153">
          <cell r="D153" t="str">
            <v>2022</v>
          </cell>
        </row>
        <row r="154">
          <cell r="D154" t="str">
            <v>2023</v>
          </cell>
        </row>
        <row r="155">
          <cell r="D155" t="str">
            <v>2023</v>
          </cell>
        </row>
        <row r="156">
          <cell r="D156" t="str">
            <v>2023</v>
          </cell>
        </row>
        <row r="157">
          <cell r="D157" t="str">
            <v>2023</v>
          </cell>
        </row>
        <row r="158">
          <cell r="D158" t="str">
            <v>2023</v>
          </cell>
        </row>
        <row r="159">
          <cell r="D159" t="str">
            <v>2023</v>
          </cell>
        </row>
        <row r="160">
          <cell r="D160" t="str">
            <v>2023</v>
          </cell>
        </row>
        <row r="161">
          <cell r="D161" t="str">
            <v>2023</v>
          </cell>
        </row>
        <row r="162">
          <cell r="D162" t="str">
            <v>2021</v>
          </cell>
        </row>
        <row r="163">
          <cell r="D163" t="str">
            <v>2023</v>
          </cell>
        </row>
        <row r="164">
          <cell r="D164" t="str">
            <v>2022</v>
          </cell>
        </row>
        <row r="165">
          <cell r="D165" t="str">
            <v>2021</v>
          </cell>
        </row>
        <row r="166">
          <cell r="D166" t="str">
            <v>2023</v>
          </cell>
        </row>
        <row r="167">
          <cell r="D167" t="str">
            <v>2023</v>
          </cell>
        </row>
        <row r="168">
          <cell r="D168" t="str">
            <v>2022</v>
          </cell>
        </row>
        <row r="169">
          <cell r="D169" t="str">
            <v>2022</v>
          </cell>
        </row>
        <row r="170">
          <cell r="D170" t="str">
            <v>2023</v>
          </cell>
        </row>
        <row r="171">
          <cell r="D171" t="str">
            <v>2021</v>
          </cell>
        </row>
        <row r="172">
          <cell r="D172" t="str">
            <v>2023</v>
          </cell>
        </row>
        <row r="173">
          <cell r="D173" t="str">
            <v>2023</v>
          </cell>
        </row>
        <row r="174">
          <cell r="D174" t="str">
            <v>2023</v>
          </cell>
        </row>
        <row r="175">
          <cell r="D175" t="str">
            <v>2023</v>
          </cell>
        </row>
        <row r="176">
          <cell r="D176" t="str">
            <v>2023</v>
          </cell>
        </row>
        <row r="177">
          <cell r="D177" t="str">
            <v>2022</v>
          </cell>
        </row>
        <row r="178">
          <cell r="D178" t="str">
            <v>2023</v>
          </cell>
        </row>
        <row r="179">
          <cell r="D179" t="str">
            <v>2023</v>
          </cell>
        </row>
        <row r="180">
          <cell r="D180" t="str">
            <v>2023</v>
          </cell>
        </row>
        <row r="181">
          <cell r="D181" t="str">
            <v>2023</v>
          </cell>
        </row>
        <row r="182">
          <cell r="D182" t="str">
            <v>2022</v>
          </cell>
        </row>
        <row r="183">
          <cell r="D183" t="str">
            <v>2023</v>
          </cell>
        </row>
        <row r="184">
          <cell r="D184" t="str">
            <v>2023</v>
          </cell>
        </row>
        <row r="185">
          <cell r="D185" t="str">
            <v>2022</v>
          </cell>
        </row>
        <row r="186">
          <cell r="D186" t="str">
            <v>2023</v>
          </cell>
        </row>
        <row r="187">
          <cell r="D187" t="str">
            <v>2023</v>
          </cell>
        </row>
        <row r="188">
          <cell r="D188" t="str">
            <v>2022</v>
          </cell>
        </row>
        <row r="189">
          <cell r="D189" t="str">
            <v>2023</v>
          </cell>
        </row>
        <row r="190">
          <cell r="D190" t="str">
            <v>2023</v>
          </cell>
        </row>
        <row r="191">
          <cell r="D191" t="str">
            <v>2022</v>
          </cell>
        </row>
        <row r="192">
          <cell r="D192" t="str">
            <v>2022</v>
          </cell>
        </row>
        <row r="193">
          <cell r="D193" t="str">
            <v>2021</v>
          </cell>
        </row>
        <row r="194">
          <cell r="D194" t="str">
            <v>2022</v>
          </cell>
        </row>
        <row r="195">
          <cell r="D195" t="str">
            <v>2023</v>
          </cell>
        </row>
        <row r="196">
          <cell r="D196" t="str">
            <v>2023</v>
          </cell>
        </row>
        <row r="197">
          <cell r="D197" t="str">
            <v>2022</v>
          </cell>
        </row>
        <row r="198">
          <cell r="D198" t="str">
            <v>2023</v>
          </cell>
        </row>
        <row r="199">
          <cell r="D199" t="str">
            <v>2022</v>
          </cell>
        </row>
        <row r="200">
          <cell r="D200" t="str">
            <v>2023</v>
          </cell>
        </row>
        <row r="201">
          <cell r="D201" t="str">
            <v>2023</v>
          </cell>
        </row>
        <row r="202">
          <cell r="D202" t="str">
            <v>2023</v>
          </cell>
        </row>
        <row r="203">
          <cell r="D203" t="str">
            <v>2021</v>
          </cell>
        </row>
        <row r="204">
          <cell r="D204" t="str">
            <v>2023</v>
          </cell>
        </row>
        <row r="205">
          <cell r="D205" t="str">
            <v>2023</v>
          </cell>
        </row>
        <row r="206">
          <cell r="D206" t="str">
            <v>2023</v>
          </cell>
        </row>
        <row r="207">
          <cell r="D207" t="str">
            <v>2023</v>
          </cell>
        </row>
        <row r="208">
          <cell r="D208" t="str">
            <v>2023</v>
          </cell>
        </row>
        <row r="209">
          <cell r="D209" t="str">
            <v>2023</v>
          </cell>
        </row>
        <row r="210">
          <cell r="D210" t="str">
            <v>2022</v>
          </cell>
        </row>
        <row r="211">
          <cell r="D211" t="str">
            <v>2023</v>
          </cell>
        </row>
        <row r="212">
          <cell r="D212" t="str">
            <v>2022</v>
          </cell>
        </row>
        <row r="213">
          <cell r="D213" t="str">
            <v>2023</v>
          </cell>
        </row>
        <row r="214">
          <cell r="D214" t="str">
            <v>2023</v>
          </cell>
        </row>
        <row r="215">
          <cell r="D215" t="str">
            <v>2023</v>
          </cell>
        </row>
        <row r="216">
          <cell r="D216" t="str">
            <v>2023</v>
          </cell>
        </row>
        <row r="217">
          <cell r="D217" t="str">
            <v>2023</v>
          </cell>
        </row>
        <row r="218">
          <cell r="D218" t="str">
            <v>2023</v>
          </cell>
        </row>
        <row r="219">
          <cell r="D219" t="str">
            <v>2021</v>
          </cell>
        </row>
        <row r="220">
          <cell r="D220" t="str">
            <v>2023</v>
          </cell>
        </row>
        <row r="221">
          <cell r="D221" t="str">
            <v>2023</v>
          </cell>
        </row>
        <row r="222">
          <cell r="D222" t="str">
            <v>2023</v>
          </cell>
        </row>
        <row r="223">
          <cell r="D223" t="str">
            <v>2023</v>
          </cell>
        </row>
        <row r="224">
          <cell r="D224" t="str">
            <v>2023</v>
          </cell>
        </row>
        <row r="225">
          <cell r="D225" t="str">
            <v>2023</v>
          </cell>
        </row>
        <row r="226">
          <cell r="D226" t="str">
            <v>2022</v>
          </cell>
        </row>
        <row r="227">
          <cell r="D227" t="str">
            <v>2023</v>
          </cell>
        </row>
        <row r="228">
          <cell r="D228" t="str">
            <v>2023</v>
          </cell>
        </row>
        <row r="229">
          <cell r="D229" t="str">
            <v>2022</v>
          </cell>
        </row>
        <row r="230">
          <cell r="D230" t="str">
            <v>2023</v>
          </cell>
        </row>
        <row r="231">
          <cell r="D231" t="str">
            <v>2023</v>
          </cell>
        </row>
        <row r="232">
          <cell r="D232" t="str">
            <v>2022</v>
          </cell>
        </row>
        <row r="233">
          <cell r="D233" t="str">
            <v>2023</v>
          </cell>
        </row>
        <row r="234">
          <cell r="D234" t="str">
            <v>2023</v>
          </cell>
        </row>
        <row r="235">
          <cell r="D235" t="str">
            <v>2023</v>
          </cell>
        </row>
        <row r="236">
          <cell r="D236" t="str">
            <v>2023</v>
          </cell>
        </row>
        <row r="237">
          <cell r="D237" t="str">
            <v>2023</v>
          </cell>
        </row>
        <row r="238">
          <cell r="D238" t="str">
            <v>2022</v>
          </cell>
        </row>
        <row r="239">
          <cell r="D239" t="str">
            <v>2023</v>
          </cell>
        </row>
        <row r="240">
          <cell r="D240" t="str">
            <v>2023</v>
          </cell>
        </row>
        <row r="241">
          <cell r="D241" t="str">
            <v>2023</v>
          </cell>
        </row>
        <row r="242">
          <cell r="D242" t="str">
            <v>2023</v>
          </cell>
        </row>
        <row r="243">
          <cell r="D243" t="str">
            <v>2021</v>
          </cell>
        </row>
        <row r="244">
          <cell r="D244" t="str">
            <v>2023</v>
          </cell>
        </row>
        <row r="245">
          <cell r="D245" t="str">
            <v>2022</v>
          </cell>
        </row>
        <row r="246">
          <cell r="D246" t="str">
            <v>2021</v>
          </cell>
        </row>
        <row r="247">
          <cell r="D247" t="str">
            <v>2021</v>
          </cell>
        </row>
        <row r="248">
          <cell r="D248" t="str">
            <v>2023</v>
          </cell>
        </row>
        <row r="249">
          <cell r="D249" t="str">
            <v>2023</v>
          </cell>
        </row>
        <row r="250">
          <cell r="D250" t="str">
            <v>2023</v>
          </cell>
        </row>
        <row r="251">
          <cell r="D251" t="str">
            <v>2022</v>
          </cell>
        </row>
        <row r="252">
          <cell r="D252" t="str">
            <v>2023</v>
          </cell>
        </row>
        <row r="253">
          <cell r="D253" t="str">
            <v>2023</v>
          </cell>
        </row>
        <row r="254">
          <cell r="D254" t="str">
            <v>2022</v>
          </cell>
        </row>
        <row r="255">
          <cell r="D255" t="str">
            <v>2023</v>
          </cell>
        </row>
        <row r="256">
          <cell r="D256" t="str">
            <v>2022</v>
          </cell>
        </row>
        <row r="257">
          <cell r="D257" t="str">
            <v>2023</v>
          </cell>
        </row>
        <row r="258">
          <cell r="D258" t="str">
            <v>2023</v>
          </cell>
        </row>
        <row r="259">
          <cell r="D259" t="str">
            <v>2023</v>
          </cell>
        </row>
        <row r="260">
          <cell r="D260" t="str">
            <v>2023</v>
          </cell>
        </row>
        <row r="261">
          <cell r="D261" t="str">
            <v>2022</v>
          </cell>
        </row>
        <row r="262">
          <cell r="D262" t="str">
            <v>2021</v>
          </cell>
        </row>
        <row r="263">
          <cell r="D263" t="str">
            <v>2023</v>
          </cell>
        </row>
        <row r="264">
          <cell r="D264" t="str">
            <v>2022</v>
          </cell>
        </row>
        <row r="265">
          <cell r="D265" t="str">
            <v>2023</v>
          </cell>
        </row>
        <row r="266">
          <cell r="D266" t="str">
            <v>2023</v>
          </cell>
        </row>
        <row r="267">
          <cell r="D267" t="str">
            <v>2022</v>
          </cell>
        </row>
        <row r="268">
          <cell r="D268" t="str">
            <v>2023</v>
          </cell>
        </row>
        <row r="269">
          <cell r="D269" t="str">
            <v>2023</v>
          </cell>
        </row>
        <row r="270">
          <cell r="D270" t="str">
            <v>2023</v>
          </cell>
        </row>
        <row r="271">
          <cell r="D271" t="str">
            <v>2023</v>
          </cell>
        </row>
        <row r="272">
          <cell r="D272" t="str">
            <v>2023</v>
          </cell>
        </row>
        <row r="273">
          <cell r="D273" t="str">
            <v>2023</v>
          </cell>
        </row>
        <row r="274">
          <cell r="D274" t="str">
            <v>2023</v>
          </cell>
        </row>
        <row r="275">
          <cell r="D275" t="str">
            <v>2021</v>
          </cell>
        </row>
        <row r="276">
          <cell r="D276" t="str">
            <v>2023</v>
          </cell>
        </row>
        <row r="277">
          <cell r="D277" t="str">
            <v>2023</v>
          </cell>
        </row>
        <row r="278">
          <cell r="D278" t="str">
            <v>2023</v>
          </cell>
        </row>
        <row r="279">
          <cell r="D279" t="str">
            <v>2023</v>
          </cell>
        </row>
        <row r="280">
          <cell r="D280" t="str">
            <v>2023</v>
          </cell>
        </row>
        <row r="281">
          <cell r="D281" t="str">
            <v>2023</v>
          </cell>
        </row>
        <row r="282">
          <cell r="D282" t="str">
            <v>2023</v>
          </cell>
        </row>
        <row r="283">
          <cell r="D283" t="str">
            <v>2023</v>
          </cell>
        </row>
        <row r="284">
          <cell r="D284" t="str">
            <v>2023</v>
          </cell>
        </row>
        <row r="285">
          <cell r="D285" t="str">
            <v>2023</v>
          </cell>
        </row>
        <row r="286">
          <cell r="D286" t="str">
            <v>2023</v>
          </cell>
        </row>
        <row r="287">
          <cell r="D287" t="str">
            <v>2021</v>
          </cell>
        </row>
        <row r="288">
          <cell r="D288" t="str">
            <v>2023</v>
          </cell>
        </row>
        <row r="289">
          <cell r="D289" t="str">
            <v>2023</v>
          </cell>
        </row>
        <row r="290">
          <cell r="D290" t="str">
            <v>2023</v>
          </cell>
        </row>
        <row r="291">
          <cell r="D291" t="str">
            <v>2023</v>
          </cell>
        </row>
        <row r="292">
          <cell r="D292" t="str">
            <v>2023</v>
          </cell>
        </row>
        <row r="293">
          <cell r="D293" t="str">
            <v>2023</v>
          </cell>
        </row>
        <row r="294">
          <cell r="D294" t="str">
            <v>2022</v>
          </cell>
        </row>
        <row r="295">
          <cell r="D295" t="str">
            <v>2022</v>
          </cell>
        </row>
        <row r="296">
          <cell r="D296" t="str">
            <v>2023</v>
          </cell>
        </row>
        <row r="297">
          <cell r="D297" t="str">
            <v>2023</v>
          </cell>
        </row>
        <row r="298">
          <cell r="D298" t="str">
            <v>2023</v>
          </cell>
        </row>
        <row r="299">
          <cell r="D299" t="str">
            <v>2023</v>
          </cell>
        </row>
        <row r="300">
          <cell r="D300" t="str">
            <v>2021</v>
          </cell>
        </row>
        <row r="301">
          <cell r="D301" t="str">
            <v>2021</v>
          </cell>
        </row>
        <row r="302">
          <cell r="D302" t="str">
            <v>2023</v>
          </cell>
        </row>
        <row r="303">
          <cell r="D303" t="str">
            <v>2023</v>
          </cell>
        </row>
        <row r="304">
          <cell r="D304" t="str">
            <v>2023</v>
          </cell>
        </row>
        <row r="305">
          <cell r="D305" t="str">
            <v>2022</v>
          </cell>
        </row>
        <row r="306">
          <cell r="D306" t="str">
            <v>2022</v>
          </cell>
        </row>
        <row r="307">
          <cell r="D307" t="str">
            <v>2023</v>
          </cell>
        </row>
        <row r="308">
          <cell r="D308" t="str">
            <v>2023</v>
          </cell>
        </row>
        <row r="309">
          <cell r="D309" t="str">
            <v>2023</v>
          </cell>
        </row>
        <row r="310">
          <cell r="D310" t="str">
            <v>2022</v>
          </cell>
        </row>
        <row r="311">
          <cell r="D311" t="str">
            <v>2023</v>
          </cell>
        </row>
        <row r="312">
          <cell r="D312" t="str">
            <v>2023</v>
          </cell>
        </row>
        <row r="313">
          <cell r="D313" t="str">
            <v>2023</v>
          </cell>
        </row>
        <row r="314">
          <cell r="D314" t="str">
            <v>2022</v>
          </cell>
        </row>
        <row r="315">
          <cell r="D315" t="str">
            <v>2022</v>
          </cell>
        </row>
        <row r="316">
          <cell r="D316" t="str">
            <v>2023</v>
          </cell>
        </row>
        <row r="317">
          <cell r="D317" t="str">
            <v>2022</v>
          </cell>
        </row>
        <row r="318">
          <cell r="D318" t="str">
            <v>2023</v>
          </cell>
        </row>
        <row r="319">
          <cell r="D319" t="str">
            <v>2023</v>
          </cell>
        </row>
        <row r="320">
          <cell r="D320" t="str">
            <v>2023</v>
          </cell>
        </row>
        <row r="321">
          <cell r="D321" t="str">
            <v>2023</v>
          </cell>
        </row>
        <row r="322">
          <cell r="D322" t="str">
            <v>2023</v>
          </cell>
        </row>
        <row r="323">
          <cell r="D323" t="str">
            <v>2023</v>
          </cell>
        </row>
        <row r="324">
          <cell r="D324" t="str">
            <v>2023</v>
          </cell>
        </row>
        <row r="325">
          <cell r="D325" t="str">
            <v>2023</v>
          </cell>
        </row>
        <row r="326">
          <cell r="D326" t="str">
            <v>2023</v>
          </cell>
        </row>
        <row r="327">
          <cell r="D327" t="str">
            <v>2023</v>
          </cell>
        </row>
        <row r="328">
          <cell r="D328" t="str">
            <v>2023</v>
          </cell>
        </row>
        <row r="329">
          <cell r="D329" t="str">
            <v>2023</v>
          </cell>
        </row>
        <row r="330">
          <cell r="D330" t="str">
            <v>2023</v>
          </cell>
        </row>
        <row r="331">
          <cell r="D331" t="str">
            <v>2023</v>
          </cell>
        </row>
        <row r="332">
          <cell r="D332" t="str">
            <v>2023</v>
          </cell>
        </row>
        <row r="333">
          <cell r="D333" t="str">
            <v>2022</v>
          </cell>
        </row>
        <row r="334">
          <cell r="D334" t="str">
            <v>2023</v>
          </cell>
        </row>
        <row r="335">
          <cell r="D335" t="str">
            <v>2023</v>
          </cell>
        </row>
        <row r="336">
          <cell r="D336" t="str">
            <v>2023</v>
          </cell>
        </row>
        <row r="337">
          <cell r="D337" t="str">
            <v>2023</v>
          </cell>
        </row>
        <row r="338">
          <cell r="D338" t="str">
            <v>2023</v>
          </cell>
        </row>
        <row r="339">
          <cell r="D339" t="str">
            <v>2023</v>
          </cell>
        </row>
        <row r="340">
          <cell r="D340" t="str">
            <v>2023</v>
          </cell>
        </row>
        <row r="341">
          <cell r="D341" t="str">
            <v>2021</v>
          </cell>
        </row>
        <row r="342">
          <cell r="D342" t="str">
            <v>2023</v>
          </cell>
        </row>
        <row r="343">
          <cell r="D343" t="str">
            <v>2023</v>
          </cell>
        </row>
        <row r="344">
          <cell r="D344" t="str">
            <v>2022</v>
          </cell>
        </row>
        <row r="345">
          <cell r="D345" t="str">
            <v>2023</v>
          </cell>
        </row>
        <row r="346">
          <cell r="D346" t="str">
            <v>2021</v>
          </cell>
        </row>
        <row r="347">
          <cell r="D347" t="str">
            <v>2023</v>
          </cell>
        </row>
        <row r="348">
          <cell r="D348" t="str">
            <v>2023</v>
          </cell>
        </row>
        <row r="349">
          <cell r="D349" t="str">
            <v>2023</v>
          </cell>
        </row>
        <row r="350">
          <cell r="D350" t="str">
            <v>2023</v>
          </cell>
        </row>
        <row r="351">
          <cell r="D351" t="str">
            <v>2023</v>
          </cell>
        </row>
        <row r="352">
          <cell r="D352" t="str">
            <v>2021</v>
          </cell>
        </row>
        <row r="353">
          <cell r="D353" t="str">
            <v>2023</v>
          </cell>
        </row>
        <row r="354">
          <cell r="D354" t="str">
            <v>2023</v>
          </cell>
        </row>
        <row r="355">
          <cell r="D355" t="str">
            <v>2021</v>
          </cell>
        </row>
        <row r="356">
          <cell r="D356" t="str">
            <v>2023</v>
          </cell>
        </row>
        <row r="357">
          <cell r="D357" t="str">
            <v>2023</v>
          </cell>
        </row>
        <row r="358">
          <cell r="D358" t="str">
            <v>2021</v>
          </cell>
        </row>
        <row r="359">
          <cell r="D359" t="str">
            <v>2023</v>
          </cell>
        </row>
        <row r="360">
          <cell r="D360" t="str">
            <v>2023</v>
          </cell>
        </row>
        <row r="361">
          <cell r="D361" t="str">
            <v>2023</v>
          </cell>
        </row>
        <row r="362">
          <cell r="D362" t="str">
            <v>2023</v>
          </cell>
        </row>
        <row r="363">
          <cell r="D363" t="str">
            <v>2023</v>
          </cell>
        </row>
        <row r="364">
          <cell r="D364" t="str">
            <v>2023</v>
          </cell>
        </row>
        <row r="365">
          <cell r="D365" t="str">
            <v>2023</v>
          </cell>
        </row>
        <row r="366">
          <cell r="D366" t="str">
            <v>2022</v>
          </cell>
        </row>
        <row r="367">
          <cell r="D367" t="str">
            <v>2023</v>
          </cell>
        </row>
        <row r="368">
          <cell r="D368" t="str">
            <v>2022</v>
          </cell>
        </row>
        <row r="369">
          <cell r="D369" t="str">
            <v>2023</v>
          </cell>
        </row>
        <row r="370">
          <cell r="D370" t="str">
            <v>2021</v>
          </cell>
        </row>
        <row r="371">
          <cell r="D371" t="str">
            <v>2023</v>
          </cell>
        </row>
        <row r="372">
          <cell r="D372" t="str">
            <v>2022</v>
          </cell>
        </row>
        <row r="373">
          <cell r="D373" t="str">
            <v>2023</v>
          </cell>
        </row>
        <row r="374">
          <cell r="D374" t="str">
            <v>2023</v>
          </cell>
        </row>
        <row r="375">
          <cell r="D375" t="str">
            <v>2021</v>
          </cell>
        </row>
        <row r="376">
          <cell r="D376" t="str">
            <v>2022</v>
          </cell>
        </row>
        <row r="377">
          <cell r="D377" t="str">
            <v>2023</v>
          </cell>
        </row>
        <row r="378">
          <cell r="D378" t="str">
            <v>2023</v>
          </cell>
        </row>
        <row r="379">
          <cell r="D379" t="str">
            <v>2021</v>
          </cell>
        </row>
        <row r="380">
          <cell r="D380" t="str">
            <v>2023</v>
          </cell>
        </row>
        <row r="381">
          <cell r="D381" t="str">
            <v>2021</v>
          </cell>
        </row>
        <row r="382">
          <cell r="D382" t="str">
            <v>2023</v>
          </cell>
        </row>
        <row r="383">
          <cell r="D383" t="str">
            <v>2023</v>
          </cell>
        </row>
        <row r="384">
          <cell r="D384" t="str">
            <v>2023</v>
          </cell>
        </row>
        <row r="385">
          <cell r="D385" t="str">
            <v>2023</v>
          </cell>
        </row>
        <row r="386">
          <cell r="D386" t="str">
            <v>2023</v>
          </cell>
        </row>
        <row r="387">
          <cell r="D387" t="str">
            <v>2023</v>
          </cell>
        </row>
        <row r="388">
          <cell r="D388" t="str">
            <v>2023</v>
          </cell>
        </row>
        <row r="389">
          <cell r="D389" t="str">
            <v>2022</v>
          </cell>
        </row>
        <row r="390">
          <cell r="D390" t="str">
            <v>2023</v>
          </cell>
        </row>
        <row r="391">
          <cell r="D391" t="str">
            <v>2023</v>
          </cell>
        </row>
        <row r="392">
          <cell r="D392" t="str">
            <v>2023</v>
          </cell>
        </row>
        <row r="393">
          <cell r="D393" t="str">
            <v>2021</v>
          </cell>
        </row>
        <row r="394">
          <cell r="D394" t="str">
            <v>2022</v>
          </cell>
        </row>
        <row r="395">
          <cell r="D395" t="str">
            <v>2023</v>
          </cell>
        </row>
        <row r="396">
          <cell r="D396" t="str">
            <v>2022</v>
          </cell>
        </row>
        <row r="397">
          <cell r="D397" t="str">
            <v>2023</v>
          </cell>
        </row>
        <row r="398">
          <cell r="D398" t="str">
            <v>2022</v>
          </cell>
        </row>
        <row r="399">
          <cell r="D399" t="str">
            <v>2023</v>
          </cell>
        </row>
        <row r="400">
          <cell r="D400" t="str">
            <v>2022</v>
          </cell>
        </row>
        <row r="401">
          <cell r="D401" t="str">
            <v>2023</v>
          </cell>
        </row>
        <row r="402">
          <cell r="D402" t="str">
            <v>2023</v>
          </cell>
        </row>
        <row r="403">
          <cell r="D403" t="str">
            <v>2021</v>
          </cell>
        </row>
        <row r="404">
          <cell r="D404" t="str">
            <v>2021</v>
          </cell>
        </row>
        <row r="405">
          <cell r="D405" t="str">
            <v>2023</v>
          </cell>
        </row>
        <row r="406">
          <cell r="D406" t="str">
            <v>2022</v>
          </cell>
        </row>
        <row r="407">
          <cell r="D407" t="str">
            <v>2023</v>
          </cell>
        </row>
        <row r="408">
          <cell r="D408" t="str">
            <v>2021</v>
          </cell>
        </row>
        <row r="409">
          <cell r="D409" t="str">
            <v>2022</v>
          </cell>
        </row>
        <row r="410">
          <cell r="D410" t="str">
            <v>2023</v>
          </cell>
        </row>
        <row r="411">
          <cell r="D411" t="str">
            <v>2023</v>
          </cell>
        </row>
        <row r="412">
          <cell r="D412" t="str">
            <v>2023</v>
          </cell>
        </row>
        <row r="413">
          <cell r="D413" t="str">
            <v>2023</v>
          </cell>
        </row>
        <row r="414">
          <cell r="D414" t="str">
            <v>2023</v>
          </cell>
        </row>
        <row r="415">
          <cell r="D415" t="str">
            <v>2022</v>
          </cell>
        </row>
        <row r="416">
          <cell r="D416" t="str">
            <v>2023</v>
          </cell>
        </row>
        <row r="417">
          <cell r="D417" t="str">
            <v>2023</v>
          </cell>
        </row>
        <row r="418">
          <cell r="D418" t="str">
            <v>2022</v>
          </cell>
        </row>
        <row r="419">
          <cell r="D419" t="str">
            <v>2023</v>
          </cell>
        </row>
        <row r="420">
          <cell r="D420" t="str">
            <v>2023</v>
          </cell>
        </row>
        <row r="421">
          <cell r="D421" t="str">
            <v>2023</v>
          </cell>
        </row>
        <row r="422">
          <cell r="D422" t="str">
            <v>2023</v>
          </cell>
        </row>
        <row r="423">
          <cell r="D423" t="str">
            <v>2023</v>
          </cell>
        </row>
        <row r="424">
          <cell r="D424" t="str">
            <v>2022</v>
          </cell>
        </row>
        <row r="425">
          <cell r="D425" t="str">
            <v>2023</v>
          </cell>
        </row>
        <row r="426">
          <cell r="D426" t="str">
            <v>2022</v>
          </cell>
        </row>
        <row r="427">
          <cell r="D427" t="str">
            <v>2023</v>
          </cell>
        </row>
        <row r="428">
          <cell r="D428" t="str">
            <v>2023</v>
          </cell>
        </row>
        <row r="429">
          <cell r="D429" t="str">
            <v>2023</v>
          </cell>
        </row>
        <row r="430">
          <cell r="D430" t="str">
            <v>2022</v>
          </cell>
        </row>
        <row r="431">
          <cell r="D431" t="str">
            <v>2023</v>
          </cell>
        </row>
        <row r="432">
          <cell r="D432" t="str">
            <v>2023</v>
          </cell>
        </row>
        <row r="433">
          <cell r="D433" t="str">
            <v>2023</v>
          </cell>
        </row>
        <row r="434">
          <cell r="D434" t="str">
            <v>2023</v>
          </cell>
        </row>
        <row r="435">
          <cell r="D435" t="str">
            <v>2023</v>
          </cell>
        </row>
        <row r="436">
          <cell r="D436" t="str">
            <v>2022</v>
          </cell>
        </row>
        <row r="437">
          <cell r="D437" t="str">
            <v>2023</v>
          </cell>
        </row>
        <row r="438">
          <cell r="D438" t="str">
            <v>2023</v>
          </cell>
        </row>
        <row r="439">
          <cell r="D439" t="str">
            <v>2023</v>
          </cell>
        </row>
        <row r="440">
          <cell r="D440" t="str">
            <v>2023</v>
          </cell>
        </row>
        <row r="441">
          <cell r="D441" t="str">
            <v>2023</v>
          </cell>
        </row>
        <row r="442">
          <cell r="D442" t="str">
            <v>2022</v>
          </cell>
        </row>
        <row r="443">
          <cell r="D443" t="str">
            <v>2021</v>
          </cell>
        </row>
        <row r="444">
          <cell r="D444" t="str">
            <v>2023</v>
          </cell>
        </row>
        <row r="445">
          <cell r="D445" t="str">
            <v>2022</v>
          </cell>
        </row>
        <row r="446">
          <cell r="D446" t="str">
            <v>2023</v>
          </cell>
        </row>
        <row r="447">
          <cell r="D447" t="str">
            <v>2023</v>
          </cell>
        </row>
        <row r="448">
          <cell r="D448" t="str">
            <v>2023</v>
          </cell>
        </row>
        <row r="449">
          <cell r="D449" t="str">
            <v>2023</v>
          </cell>
        </row>
        <row r="450">
          <cell r="D450" t="str">
            <v>2023</v>
          </cell>
        </row>
        <row r="451">
          <cell r="D451" t="str">
            <v>2022</v>
          </cell>
        </row>
        <row r="452">
          <cell r="D452" t="str">
            <v>2023</v>
          </cell>
        </row>
        <row r="453">
          <cell r="D453" t="str">
            <v>2023</v>
          </cell>
        </row>
        <row r="454">
          <cell r="D454" t="str">
            <v>2023</v>
          </cell>
        </row>
        <row r="455">
          <cell r="D455" t="str">
            <v>2023</v>
          </cell>
        </row>
        <row r="456">
          <cell r="D456" t="str">
            <v>2023</v>
          </cell>
        </row>
        <row r="457">
          <cell r="D457" t="str">
            <v>2021</v>
          </cell>
        </row>
        <row r="458">
          <cell r="D458" t="str">
            <v>2023</v>
          </cell>
        </row>
        <row r="459">
          <cell r="D459" t="str">
            <v>2022</v>
          </cell>
        </row>
        <row r="460">
          <cell r="D460" t="str">
            <v>2023</v>
          </cell>
        </row>
        <row r="461">
          <cell r="D461" t="str">
            <v>2023</v>
          </cell>
        </row>
        <row r="462">
          <cell r="D462" t="str">
            <v>2023</v>
          </cell>
        </row>
        <row r="463">
          <cell r="D463" t="str">
            <v>2023</v>
          </cell>
        </row>
        <row r="464">
          <cell r="D464" t="str">
            <v>2023</v>
          </cell>
        </row>
        <row r="465">
          <cell r="D465" t="str">
            <v>2023</v>
          </cell>
        </row>
        <row r="466">
          <cell r="D466" t="str">
            <v>2023</v>
          </cell>
        </row>
        <row r="467">
          <cell r="D467" t="str">
            <v>2022</v>
          </cell>
        </row>
        <row r="468">
          <cell r="D468" t="str">
            <v>2023</v>
          </cell>
        </row>
        <row r="469">
          <cell r="D469" t="str">
            <v>2023</v>
          </cell>
        </row>
        <row r="470">
          <cell r="D470" t="str">
            <v>2023</v>
          </cell>
        </row>
        <row r="471">
          <cell r="D471" t="str">
            <v>2023</v>
          </cell>
        </row>
        <row r="472">
          <cell r="D472" t="str">
            <v>2023</v>
          </cell>
        </row>
        <row r="473">
          <cell r="D473" t="str">
            <v>2023</v>
          </cell>
        </row>
        <row r="474">
          <cell r="D474" t="str">
            <v>2023</v>
          </cell>
        </row>
        <row r="475">
          <cell r="D475" t="str">
            <v>2023</v>
          </cell>
        </row>
        <row r="476">
          <cell r="D476" t="str">
            <v>2022</v>
          </cell>
        </row>
        <row r="477">
          <cell r="D477" t="str">
            <v>2023</v>
          </cell>
        </row>
        <row r="478">
          <cell r="D478" t="str">
            <v>2023</v>
          </cell>
        </row>
        <row r="479">
          <cell r="D479" t="str">
            <v>2022</v>
          </cell>
        </row>
        <row r="480">
          <cell r="D480" t="str">
            <v>2023</v>
          </cell>
        </row>
        <row r="481">
          <cell r="D481" t="str">
            <v>2023</v>
          </cell>
        </row>
        <row r="482">
          <cell r="D482" t="str">
            <v>2023</v>
          </cell>
        </row>
        <row r="483">
          <cell r="D483" t="str">
            <v>2023</v>
          </cell>
        </row>
        <row r="484">
          <cell r="D484" t="str">
            <v>2023</v>
          </cell>
        </row>
        <row r="485">
          <cell r="D485" t="str">
            <v>2023</v>
          </cell>
        </row>
        <row r="486">
          <cell r="D486" t="str">
            <v>2023</v>
          </cell>
        </row>
        <row r="487">
          <cell r="D487" t="str">
            <v>2023</v>
          </cell>
        </row>
        <row r="488">
          <cell r="D488" t="str">
            <v>2023</v>
          </cell>
        </row>
        <row r="489">
          <cell r="D489" t="str">
            <v>2023</v>
          </cell>
        </row>
        <row r="490">
          <cell r="D490" t="str">
            <v>2023</v>
          </cell>
        </row>
        <row r="491">
          <cell r="D491" t="str">
            <v>2023</v>
          </cell>
        </row>
        <row r="492">
          <cell r="D492" t="str">
            <v>2023</v>
          </cell>
        </row>
        <row r="493">
          <cell r="D493" t="str">
            <v>2023</v>
          </cell>
        </row>
        <row r="494">
          <cell r="D494" t="str">
            <v>2023</v>
          </cell>
        </row>
        <row r="495">
          <cell r="D495" t="str">
            <v>2023</v>
          </cell>
        </row>
        <row r="496">
          <cell r="D496" t="str">
            <v>2023</v>
          </cell>
        </row>
        <row r="497">
          <cell r="D497" t="str">
            <v>2023</v>
          </cell>
        </row>
        <row r="498">
          <cell r="D498" t="str">
            <v>2023</v>
          </cell>
        </row>
        <row r="499">
          <cell r="D499" t="str">
            <v>2023</v>
          </cell>
        </row>
        <row r="500">
          <cell r="D500" t="str">
            <v>2022</v>
          </cell>
        </row>
        <row r="501">
          <cell r="D501" t="str">
            <v>2023</v>
          </cell>
        </row>
        <row r="502">
          <cell r="D502" t="str">
            <v>2023</v>
          </cell>
        </row>
        <row r="503">
          <cell r="D503" t="str">
            <v>2023</v>
          </cell>
        </row>
        <row r="504">
          <cell r="D504" t="str">
            <v>2023</v>
          </cell>
        </row>
        <row r="505">
          <cell r="D505" t="str">
            <v>2021</v>
          </cell>
        </row>
        <row r="506">
          <cell r="D506" t="str">
            <v>2021</v>
          </cell>
        </row>
        <row r="507">
          <cell r="D507" t="str">
            <v>2023</v>
          </cell>
        </row>
        <row r="508">
          <cell r="D508" t="str">
            <v>2023</v>
          </cell>
        </row>
        <row r="509">
          <cell r="D509" t="str">
            <v>2023</v>
          </cell>
        </row>
        <row r="510">
          <cell r="D510" t="str">
            <v>2023</v>
          </cell>
        </row>
        <row r="511">
          <cell r="D511" t="str">
            <v>2023</v>
          </cell>
        </row>
        <row r="512">
          <cell r="D512" t="str">
            <v>2023</v>
          </cell>
        </row>
        <row r="513">
          <cell r="D513" t="str">
            <v>2023</v>
          </cell>
        </row>
        <row r="514">
          <cell r="D514" t="str">
            <v>2023</v>
          </cell>
        </row>
        <row r="515">
          <cell r="D515" t="str">
            <v>2023</v>
          </cell>
        </row>
        <row r="516">
          <cell r="D516" t="str">
            <v>2023</v>
          </cell>
        </row>
        <row r="517">
          <cell r="D517" t="str">
            <v>2023</v>
          </cell>
        </row>
        <row r="518">
          <cell r="D518" t="str">
            <v>2023</v>
          </cell>
        </row>
        <row r="519">
          <cell r="D519" t="str">
            <v>2023</v>
          </cell>
        </row>
        <row r="520">
          <cell r="D520" t="str">
            <v>2023</v>
          </cell>
        </row>
        <row r="521">
          <cell r="D521" t="str">
            <v>2023</v>
          </cell>
        </row>
        <row r="522">
          <cell r="D522" t="str">
            <v>2023</v>
          </cell>
        </row>
        <row r="523">
          <cell r="D523" t="str">
            <v>2023</v>
          </cell>
        </row>
        <row r="524">
          <cell r="D524" t="str">
            <v>2023</v>
          </cell>
        </row>
        <row r="525">
          <cell r="D525" t="str">
            <v>2024</v>
          </cell>
        </row>
        <row r="526">
          <cell r="D526" t="str">
            <v>2023</v>
          </cell>
        </row>
        <row r="527">
          <cell r="D527" t="str">
            <v>2023</v>
          </cell>
        </row>
        <row r="528">
          <cell r="D528" t="str">
            <v>2023</v>
          </cell>
        </row>
        <row r="529">
          <cell r="D529" t="str">
            <v>2023</v>
          </cell>
        </row>
        <row r="530">
          <cell r="D530" t="str">
            <v>2022</v>
          </cell>
        </row>
        <row r="531">
          <cell r="D531" t="str">
            <v>2023</v>
          </cell>
        </row>
        <row r="532">
          <cell r="D532" t="str">
            <v>2023</v>
          </cell>
        </row>
        <row r="533">
          <cell r="D533" t="str">
            <v>2022</v>
          </cell>
        </row>
        <row r="534">
          <cell r="D534" t="str">
            <v>2022</v>
          </cell>
        </row>
        <row r="535">
          <cell r="D535" t="str">
            <v>2023</v>
          </cell>
        </row>
        <row r="536">
          <cell r="D536" t="str">
            <v>2023</v>
          </cell>
        </row>
        <row r="537">
          <cell r="D537" t="str">
            <v>2022</v>
          </cell>
        </row>
        <row r="538">
          <cell r="D538" t="str">
            <v>2021</v>
          </cell>
        </row>
        <row r="539">
          <cell r="D539" t="str">
            <v>2023</v>
          </cell>
        </row>
        <row r="540">
          <cell r="D540" t="str">
            <v>2023</v>
          </cell>
        </row>
        <row r="541">
          <cell r="D541" t="str">
            <v>2024</v>
          </cell>
        </row>
        <row r="542">
          <cell r="D542" t="str">
            <v>2021</v>
          </cell>
        </row>
        <row r="543">
          <cell r="D543" t="str">
            <v>2023</v>
          </cell>
        </row>
        <row r="544">
          <cell r="D544" t="str">
            <v>2023</v>
          </cell>
        </row>
        <row r="545">
          <cell r="D545" t="str">
            <v>2023</v>
          </cell>
        </row>
        <row r="546">
          <cell r="D546" t="str">
            <v>2023</v>
          </cell>
        </row>
        <row r="547">
          <cell r="D547" t="str">
            <v>2023</v>
          </cell>
        </row>
        <row r="548">
          <cell r="D548" t="str">
            <v>2023</v>
          </cell>
        </row>
        <row r="549">
          <cell r="D549" t="str">
            <v>2023</v>
          </cell>
        </row>
        <row r="550">
          <cell r="D550" t="str">
            <v>2023</v>
          </cell>
        </row>
        <row r="551">
          <cell r="D551" t="str">
            <v>2023</v>
          </cell>
        </row>
        <row r="552">
          <cell r="D552" t="str">
            <v>2023</v>
          </cell>
        </row>
        <row r="553">
          <cell r="D553" t="str">
            <v>2023</v>
          </cell>
        </row>
        <row r="554">
          <cell r="D554" t="str">
            <v>2023</v>
          </cell>
        </row>
        <row r="555">
          <cell r="D555" t="str">
            <v>2023</v>
          </cell>
        </row>
        <row r="556">
          <cell r="D556" t="str">
            <v>2022</v>
          </cell>
        </row>
        <row r="557">
          <cell r="D557" t="str">
            <v>2023</v>
          </cell>
        </row>
        <row r="558">
          <cell r="D558" t="str">
            <v>2023</v>
          </cell>
        </row>
        <row r="559">
          <cell r="D559" t="str">
            <v>2023</v>
          </cell>
        </row>
        <row r="560">
          <cell r="D560" t="str">
            <v>2023</v>
          </cell>
        </row>
        <row r="561">
          <cell r="D561" t="str">
            <v>2023</v>
          </cell>
        </row>
        <row r="562">
          <cell r="D562" t="str">
            <v>2023</v>
          </cell>
        </row>
        <row r="563">
          <cell r="D563" t="str">
            <v>2022</v>
          </cell>
        </row>
        <row r="564">
          <cell r="D564" t="str">
            <v>2023</v>
          </cell>
        </row>
        <row r="565">
          <cell r="D565" t="str">
            <v>2023</v>
          </cell>
        </row>
        <row r="566">
          <cell r="D566" t="str">
            <v>2023</v>
          </cell>
        </row>
        <row r="567">
          <cell r="D567" t="str">
            <v>2023</v>
          </cell>
        </row>
        <row r="568">
          <cell r="D568" t="str">
            <v>2023</v>
          </cell>
        </row>
        <row r="569">
          <cell r="D569" t="str">
            <v>2023</v>
          </cell>
        </row>
        <row r="570">
          <cell r="D570" t="str">
            <v>2023</v>
          </cell>
        </row>
        <row r="571">
          <cell r="D571" t="str">
            <v>2021</v>
          </cell>
        </row>
        <row r="572">
          <cell r="D572" t="str">
            <v>2023</v>
          </cell>
        </row>
        <row r="573">
          <cell r="D573" t="str">
            <v>2022</v>
          </cell>
        </row>
        <row r="574">
          <cell r="D574" t="str">
            <v>2022</v>
          </cell>
        </row>
        <row r="575">
          <cell r="D575" t="str">
            <v>2023</v>
          </cell>
        </row>
        <row r="576">
          <cell r="D576" t="str">
            <v>2023</v>
          </cell>
        </row>
        <row r="577">
          <cell r="D577" t="str">
            <v>2023</v>
          </cell>
        </row>
        <row r="578">
          <cell r="D578" t="str">
            <v>2023</v>
          </cell>
        </row>
        <row r="579">
          <cell r="D579" t="str">
            <v>2023</v>
          </cell>
        </row>
        <row r="580">
          <cell r="D580" t="str">
            <v>2023</v>
          </cell>
        </row>
        <row r="581">
          <cell r="D581" t="str">
            <v>2022</v>
          </cell>
        </row>
        <row r="582">
          <cell r="D582" t="str">
            <v>2022</v>
          </cell>
        </row>
        <row r="583">
          <cell r="D583" t="str">
            <v>2023</v>
          </cell>
        </row>
        <row r="584">
          <cell r="D584" t="str">
            <v>2023</v>
          </cell>
        </row>
        <row r="585">
          <cell r="D585" t="str">
            <v>2023</v>
          </cell>
        </row>
        <row r="586">
          <cell r="D586" t="str">
            <v>2021</v>
          </cell>
        </row>
        <row r="587">
          <cell r="D587" t="str">
            <v>2023</v>
          </cell>
        </row>
        <row r="588">
          <cell r="D588" t="str">
            <v>2022</v>
          </cell>
        </row>
        <row r="589">
          <cell r="D589" t="str">
            <v>2023</v>
          </cell>
        </row>
        <row r="590">
          <cell r="D590" t="str">
            <v>2023</v>
          </cell>
        </row>
        <row r="591">
          <cell r="D591" t="str">
            <v>2023</v>
          </cell>
        </row>
        <row r="592">
          <cell r="D592" t="str">
            <v>2023</v>
          </cell>
        </row>
        <row r="593">
          <cell r="D593" t="str">
            <v>2023</v>
          </cell>
        </row>
        <row r="594">
          <cell r="D594" t="str">
            <v>2023</v>
          </cell>
        </row>
        <row r="595">
          <cell r="D595" t="str">
            <v>2023</v>
          </cell>
        </row>
        <row r="596">
          <cell r="D596" t="str">
            <v>2023</v>
          </cell>
        </row>
        <row r="597">
          <cell r="D597" t="str">
            <v>2021</v>
          </cell>
        </row>
        <row r="598">
          <cell r="D598" t="str">
            <v>2023</v>
          </cell>
        </row>
        <row r="599">
          <cell r="D599" t="str">
            <v>2023</v>
          </cell>
        </row>
        <row r="600">
          <cell r="D600" t="str">
            <v>2022</v>
          </cell>
        </row>
        <row r="601">
          <cell r="D601" t="str">
            <v>2023</v>
          </cell>
        </row>
        <row r="602">
          <cell r="D602" t="str">
            <v>2023</v>
          </cell>
        </row>
        <row r="603">
          <cell r="D603" t="str">
            <v>2023</v>
          </cell>
        </row>
        <row r="604">
          <cell r="D604" t="str">
            <v>2023</v>
          </cell>
        </row>
        <row r="605">
          <cell r="D605" t="str">
            <v>2023</v>
          </cell>
        </row>
        <row r="606">
          <cell r="D606" t="str">
            <v>2023</v>
          </cell>
        </row>
        <row r="607">
          <cell r="D607" t="str">
            <v>2023</v>
          </cell>
        </row>
        <row r="608">
          <cell r="D608" t="str">
            <v>2023</v>
          </cell>
        </row>
        <row r="609">
          <cell r="D609" t="str">
            <v>2023</v>
          </cell>
        </row>
        <row r="610">
          <cell r="D610" t="str">
            <v>2023</v>
          </cell>
        </row>
        <row r="611">
          <cell r="D611" t="str">
            <v>2023</v>
          </cell>
        </row>
        <row r="612">
          <cell r="D612" t="str">
            <v>2022</v>
          </cell>
        </row>
        <row r="613">
          <cell r="D613" t="str">
            <v>2023</v>
          </cell>
        </row>
        <row r="614">
          <cell r="D614" t="str">
            <v>2023</v>
          </cell>
        </row>
        <row r="615">
          <cell r="D615" t="str">
            <v>2022</v>
          </cell>
        </row>
        <row r="616">
          <cell r="D616" t="str">
            <v>2023</v>
          </cell>
        </row>
        <row r="617">
          <cell r="D617" t="str">
            <v>2023</v>
          </cell>
        </row>
        <row r="618">
          <cell r="D618" t="str">
            <v>2023</v>
          </cell>
        </row>
        <row r="619">
          <cell r="D619" t="str">
            <v>2023</v>
          </cell>
        </row>
        <row r="620">
          <cell r="D620" t="str">
            <v>2023</v>
          </cell>
        </row>
        <row r="621">
          <cell r="D621" t="str">
            <v>2023</v>
          </cell>
        </row>
        <row r="622">
          <cell r="D622" t="str">
            <v>2021</v>
          </cell>
        </row>
        <row r="623">
          <cell r="D623" t="str">
            <v>2023</v>
          </cell>
        </row>
        <row r="624">
          <cell r="D624" t="str">
            <v>2023</v>
          </cell>
        </row>
        <row r="625">
          <cell r="D625" t="str">
            <v>2023</v>
          </cell>
        </row>
        <row r="626">
          <cell r="D626" t="str">
            <v>2023</v>
          </cell>
        </row>
        <row r="627">
          <cell r="D627" t="str">
            <v>2023</v>
          </cell>
        </row>
        <row r="628">
          <cell r="D628" t="str">
            <v>2022</v>
          </cell>
        </row>
        <row r="629">
          <cell r="D629" t="str">
            <v>2023</v>
          </cell>
        </row>
        <row r="630">
          <cell r="D630" t="str">
            <v>2023</v>
          </cell>
        </row>
        <row r="631">
          <cell r="D631" t="str">
            <v>2023</v>
          </cell>
        </row>
        <row r="632">
          <cell r="D632" t="str">
            <v>2023</v>
          </cell>
        </row>
        <row r="633">
          <cell r="D633" t="str">
            <v>2023</v>
          </cell>
        </row>
        <row r="634">
          <cell r="D634" t="str">
            <v>2023</v>
          </cell>
        </row>
        <row r="635">
          <cell r="D635" t="str">
            <v>2023</v>
          </cell>
        </row>
        <row r="636">
          <cell r="D636" t="str">
            <v>2023</v>
          </cell>
        </row>
        <row r="637">
          <cell r="D637" t="str">
            <v>2023</v>
          </cell>
        </row>
        <row r="638">
          <cell r="D638" t="str">
            <v>2021</v>
          </cell>
        </row>
        <row r="639">
          <cell r="D639" t="str">
            <v>2023</v>
          </cell>
        </row>
        <row r="640">
          <cell r="D640" t="str">
            <v>2023</v>
          </cell>
        </row>
        <row r="641">
          <cell r="D641" t="str">
            <v>2023</v>
          </cell>
        </row>
        <row r="642">
          <cell r="D642" t="str">
            <v>2023</v>
          </cell>
        </row>
        <row r="643">
          <cell r="D643" t="str">
            <v>2022</v>
          </cell>
        </row>
        <row r="644">
          <cell r="D644" t="str">
            <v>2023</v>
          </cell>
        </row>
        <row r="645">
          <cell r="D645" t="str">
            <v>2023</v>
          </cell>
        </row>
        <row r="646">
          <cell r="D646" t="str">
            <v>2022</v>
          </cell>
        </row>
        <row r="647">
          <cell r="D647" t="str">
            <v>2023</v>
          </cell>
        </row>
        <row r="648">
          <cell r="D648" t="str">
            <v>2022</v>
          </cell>
        </row>
        <row r="649">
          <cell r="D649" t="str">
            <v>2022</v>
          </cell>
        </row>
        <row r="650">
          <cell r="D650" t="str">
            <v>2022</v>
          </cell>
        </row>
        <row r="651">
          <cell r="D651" t="str">
            <v>2023</v>
          </cell>
        </row>
        <row r="652">
          <cell r="D652" t="str">
            <v>2023</v>
          </cell>
        </row>
        <row r="653">
          <cell r="D653" t="str">
            <v>2023</v>
          </cell>
        </row>
        <row r="654">
          <cell r="D654" t="str">
            <v>2024</v>
          </cell>
        </row>
        <row r="655">
          <cell r="D655" t="str">
            <v>2022</v>
          </cell>
        </row>
        <row r="656">
          <cell r="D656" t="str">
            <v>2023</v>
          </cell>
        </row>
        <row r="657">
          <cell r="D657" t="str">
            <v>2023</v>
          </cell>
        </row>
        <row r="658">
          <cell r="D658" t="str">
            <v>2023</v>
          </cell>
        </row>
        <row r="659">
          <cell r="D659" t="str">
            <v>2023</v>
          </cell>
        </row>
        <row r="660">
          <cell r="D660" t="str">
            <v>2023</v>
          </cell>
        </row>
        <row r="661">
          <cell r="D661" t="str">
            <v>2023</v>
          </cell>
        </row>
        <row r="662">
          <cell r="D662" t="str">
            <v>2021</v>
          </cell>
        </row>
        <row r="663">
          <cell r="D663" t="str">
            <v>2023</v>
          </cell>
        </row>
        <row r="664">
          <cell r="D664" t="str">
            <v>2023</v>
          </cell>
        </row>
        <row r="665">
          <cell r="D665" t="str">
            <v>2023</v>
          </cell>
        </row>
        <row r="666">
          <cell r="D666" t="str">
            <v>2023</v>
          </cell>
        </row>
        <row r="667">
          <cell r="D667" t="str">
            <v>2023</v>
          </cell>
        </row>
        <row r="668">
          <cell r="D668" t="str">
            <v>2021</v>
          </cell>
        </row>
        <row r="669">
          <cell r="D669" t="str">
            <v>2021</v>
          </cell>
        </row>
        <row r="670">
          <cell r="D670" t="str">
            <v>2022</v>
          </cell>
        </row>
        <row r="671">
          <cell r="D671" t="str">
            <v>2023</v>
          </cell>
        </row>
        <row r="672">
          <cell r="D672" t="str">
            <v>2023</v>
          </cell>
        </row>
        <row r="673">
          <cell r="D673" t="str">
            <v>2023</v>
          </cell>
        </row>
        <row r="674">
          <cell r="D674" t="str">
            <v>2023</v>
          </cell>
        </row>
        <row r="675">
          <cell r="D675" t="str">
            <v>2022</v>
          </cell>
        </row>
        <row r="676">
          <cell r="D676" t="str">
            <v>2022</v>
          </cell>
        </row>
        <row r="677">
          <cell r="D677" t="str">
            <v>2022</v>
          </cell>
        </row>
        <row r="678">
          <cell r="D678" t="str">
            <v>2023</v>
          </cell>
        </row>
        <row r="679">
          <cell r="D679" t="str">
            <v>2023</v>
          </cell>
        </row>
        <row r="680">
          <cell r="D680" t="str">
            <v>2023</v>
          </cell>
        </row>
        <row r="681">
          <cell r="D681" t="str">
            <v>2023</v>
          </cell>
        </row>
        <row r="682">
          <cell r="D682" t="str">
            <v>2023</v>
          </cell>
        </row>
        <row r="683">
          <cell r="D683" t="str">
            <v>2023</v>
          </cell>
        </row>
        <row r="684">
          <cell r="D684" t="str">
            <v>2023</v>
          </cell>
        </row>
        <row r="685">
          <cell r="D685" t="str">
            <v>2022</v>
          </cell>
        </row>
        <row r="686">
          <cell r="D686" t="str">
            <v>2023</v>
          </cell>
        </row>
        <row r="687">
          <cell r="D687" t="str">
            <v>2023</v>
          </cell>
        </row>
        <row r="688">
          <cell r="D688" t="str">
            <v>2023</v>
          </cell>
        </row>
        <row r="689">
          <cell r="D689" t="str">
            <v>2023</v>
          </cell>
        </row>
        <row r="690">
          <cell r="D690" t="str">
            <v>2023</v>
          </cell>
        </row>
        <row r="691">
          <cell r="D691" t="str">
            <v>2023</v>
          </cell>
        </row>
        <row r="692">
          <cell r="D692" t="str">
            <v>2023</v>
          </cell>
        </row>
        <row r="693">
          <cell r="D693" t="str">
            <v>2023</v>
          </cell>
        </row>
        <row r="694">
          <cell r="D694" t="str">
            <v>2023</v>
          </cell>
        </row>
        <row r="695">
          <cell r="D695" t="str">
            <v>2023</v>
          </cell>
        </row>
        <row r="696">
          <cell r="D696" t="str">
            <v>2023</v>
          </cell>
        </row>
        <row r="697">
          <cell r="D697" t="str">
            <v>2023</v>
          </cell>
        </row>
        <row r="698">
          <cell r="D698" t="str">
            <v>2023</v>
          </cell>
        </row>
        <row r="699">
          <cell r="D699" t="str">
            <v>2023</v>
          </cell>
        </row>
        <row r="700">
          <cell r="D700" t="str">
            <v>2023</v>
          </cell>
        </row>
        <row r="701">
          <cell r="D701" t="str">
            <v>2023</v>
          </cell>
        </row>
        <row r="702">
          <cell r="D702" t="str">
            <v>2023</v>
          </cell>
        </row>
        <row r="703">
          <cell r="D703" t="str">
            <v>2023</v>
          </cell>
        </row>
        <row r="704">
          <cell r="D704" t="str">
            <v>2023</v>
          </cell>
        </row>
        <row r="705">
          <cell r="D705" t="str">
            <v>2023</v>
          </cell>
        </row>
        <row r="706">
          <cell r="D706" t="str">
            <v>2023</v>
          </cell>
        </row>
        <row r="707">
          <cell r="D707" t="str">
            <v>2023</v>
          </cell>
        </row>
        <row r="708">
          <cell r="D708" t="str">
            <v>2023</v>
          </cell>
        </row>
        <row r="709">
          <cell r="D709" t="str">
            <v>2023</v>
          </cell>
        </row>
        <row r="710">
          <cell r="D710" t="str">
            <v>2023</v>
          </cell>
        </row>
        <row r="711">
          <cell r="D711" t="str">
            <v>2023</v>
          </cell>
        </row>
        <row r="712">
          <cell r="D712" t="str">
            <v>2023</v>
          </cell>
        </row>
        <row r="713">
          <cell r="D713" t="str">
            <v>2023</v>
          </cell>
        </row>
        <row r="714">
          <cell r="D714" t="str">
            <v>2023</v>
          </cell>
        </row>
        <row r="715">
          <cell r="D715" t="str">
            <v>2023</v>
          </cell>
        </row>
        <row r="716">
          <cell r="D716" t="str">
            <v>2023</v>
          </cell>
        </row>
        <row r="717">
          <cell r="D717" t="str">
            <v>2022</v>
          </cell>
        </row>
        <row r="718">
          <cell r="D718" t="str">
            <v>2023</v>
          </cell>
        </row>
        <row r="719">
          <cell r="D719" t="str">
            <v>2023</v>
          </cell>
        </row>
        <row r="720">
          <cell r="D720" t="str">
            <v>2023</v>
          </cell>
        </row>
        <row r="721">
          <cell r="D721" t="str">
            <v>2022</v>
          </cell>
        </row>
        <row r="722">
          <cell r="D722" t="str">
            <v>2023</v>
          </cell>
        </row>
        <row r="723">
          <cell r="D723" t="str">
            <v>2023</v>
          </cell>
        </row>
        <row r="724">
          <cell r="D724" t="str">
            <v>2023</v>
          </cell>
        </row>
        <row r="725">
          <cell r="D725" t="str">
            <v>2023</v>
          </cell>
        </row>
        <row r="726">
          <cell r="D726" t="str">
            <v>2023</v>
          </cell>
        </row>
        <row r="727">
          <cell r="D727" t="str">
            <v>2023</v>
          </cell>
        </row>
        <row r="728">
          <cell r="D728" t="str">
            <v>2023</v>
          </cell>
        </row>
        <row r="729">
          <cell r="D729" t="str">
            <v>2023</v>
          </cell>
        </row>
        <row r="730">
          <cell r="D730" t="str">
            <v>2023</v>
          </cell>
        </row>
        <row r="731">
          <cell r="D731" t="str">
            <v>2023</v>
          </cell>
        </row>
        <row r="732">
          <cell r="D732" t="str">
            <v>2023</v>
          </cell>
        </row>
        <row r="733">
          <cell r="D733" t="str">
            <v>2023</v>
          </cell>
        </row>
        <row r="734">
          <cell r="D734" t="str">
            <v>2024</v>
          </cell>
        </row>
        <row r="735">
          <cell r="D735" t="str">
            <v>2023</v>
          </cell>
        </row>
        <row r="736">
          <cell r="D736" t="str">
            <v>2023</v>
          </cell>
        </row>
        <row r="737">
          <cell r="D737" t="str">
            <v>2023</v>
          </cell>
        </row>
        <row r="738">
          <cell r="D738" t="str">
            <v>2023</v>
          </cell>
        </row>
        <row r="739">
          <cell r="D739" t="str">
            <v>2023</v>
          </cell>
        </row>
        <row r="740">
          <cell r="D740" t="str">
            <v>2022</v>
          </cell>
        </row>
        <row r="741">
          <cell r="D741" t="str">
            <v>2023</v>
          </cell>
        </row>
        <row r="742">
          <cell r="D742" t="str">
            <v>2022</v>
          </cell>
        </row>
        <row r="743">
          <cell r="D743" t="str">
            <v>2022</v>
          </cell>
        </row>
        <row r="744">
          <cell r="D744" t="str">
            <v>2023</v>
          </cell>
        </row>
        <row r="745">
          <cell r="D745" t="str">
            <v>2023</v>
          </cell>
        </row>
        <row r="746">
          <cell r="D746" t="str">
            <v>2023</v>
          </cell>
        </row>
        <row r="747">
          <cell r="D747" t="str">
            <v>2023</v>
          </cell>
        </row>
        <row r="748">
          <cell r="D748" t="str">
            <v>2023</v>
          </cell>
        </row>
        <row r="749">
          <cell r="D749" t="str">
            <v>2023</v>
          </cell>
        </row>
        <row r="750">
          <cell r="D750" t="str">
            <v>2022</v>
          </cell>
        </row>
        <row r="751">
          <cell r="D751" t="str">
            <v>2023</v>
          </cell>
        </row>
        <row r="752">
          <cell r="D752" t="str">
            <v>2023</v>
          </cell>
        </row>
        <row r="753">
          <cell r="D753" t="str">
            <v>2023</v>
          </cell>
        </row>
        <row r="754">
          <cell r="D754" t="str">
            <v>2022</v>
          </cell>
        </row>
        <row r="755">
          <cell r="D755" t="str">
            <v>2023</v>
          </cell>
        </row>
        <row r="756">
          <cell r="D756" t="str">
            <v>2023</v>
          </cell>
        </row>
        <row r="757">
          <cell r="D757" t="str">
            <v>2023</v>
          </cell>
        </row>
        <row r="758">
          <cell r="D758" t="str">
            <v>2023</v>
          </cell>
        </row>
        <row r="759">
          <cell r="D759" t="str">
            <v>2023</v>
          </cell>
        </row>
        <row r="760">
          <cell r="D760" t="str">
            <v>2023</v>
          </cell>
        </row>
        <row r="761">
          <cell r="D761" t="str">
            <v>2023</v>
          </cell>
        </row>
        <row r="762">
          <cell r="D762" t="str">
            <v>2023</v>
          </cell>
        </row>
        <row r="763">
          <cell r="D763" t="str">
            <v>2023</v>
          </cell>
        </row>
        <row r="764">
          <cell r="D764" t="str">
            <v>2023</v>
          </cell>
        </row>
        <row r="765">
          <cell r="D765" t="str">
            <v>2023</v>
          </cell>
        </row>
        <row r="766">
          <cell r="D766" t="str">
            <v>2023</v>
          </cell>
        </row>
        <row r="767">
          <cell r="D767" t="str">
            <v>2023</v>
          </cell>
        </row>
        <row r="768">
          <cell r="D768" t="str">
            <v>2022</v>
          </cell>
        </row>
        <row r="769">
          <cell r="D769" t="str">
            <v>2023</v>
          </cell>
        </row>
        <row r="770">
          <cell r="D770" t="str">
            <v>2023</v>
          </cell>
        </row>
        <row r="771">
          <cell r="D771" t="str">
            <v>2023</v>
          </cell>
        </row>
        <row r="772">
          <cell r="D772" t="str">
            <v>2024</v>
          </cell>
        </row>
        <row r="773">
          <cell r="D773" t="str">
            <v>2023</v>
          </cell>
        </row>
        <row r="774">
          <cell r="D774" t="str">
            <v>2023</v>
          </cell>
        </row>
        <row r="775">
          <cell r="D775" t="str">
            <v>2022</v>
          </cell>
        </row>
        <row r="776">
          <cell r="D776" t="str">
            <v>2023</v>
          </cell>
        </row>
        <row r="777">
          <cell r="D777" t="str">
            <v>2023</v>
          </cell>
        </row>
        <row r="778">
          <cell r="D778" t="str">
            <v>2023</v>
          </cell>
        </row>
        <row r="779">
          <cell r="D779" t="str">
            <v>2023</v>
          </cell>
        </row>
        <row r="780">
          <cell r="D780" t="str">
            <v>2023</v>
          </cell>
        </row>
        <row r="781">
          <cell r="D781" t="str">
            <v>2023</v>
          </cell>
        </row>
        <row r="782">
          <cell r="D782" t="str">
            <v>2023</v>
          </cell>
        </row>
        <row r="783">
          <cell r="D783" t="str">
            <v>2023</v>
          </cell>
        </row>
        <row r="784">
          <cell r="D784" t="str">
            <v>2023</v>
          </cell>
        </row>
        <row r="785">
          <cell r="D785" t="str">
            <v>2023</v>
          </cell>
        </row>
        <row r="786">
          <cell r="D786" t="str">
            <v>2022</v>
          </cell>
        </row>
        <row r="787">
          <cell r="D787" t="str">
            <v>2023</v>
          </cell>
        </row>
        <row r="788">
          <cell r="D788" t="str">
            <v>2023</v>
          </cell>
        </row>
        <row r="789">
          <cell r="D789" t="str">
            <v>2023</v>
          </cell>
        </row>
        <row r="790">
          <cell r="D790" t="str">
            <v>2023</v>
          </cell>
        </row>
        <row r="791">
          <cell r="D791" t="str">
            <v>2023</v>
          </cell>
        </row>
        <row r="792">
          <cell r="D792" t="str">
            <v>2023</v>
          </cell>
        </row>
        <row r="793">
          <cell r="D793" t="str">
            <v>2023</v>
          </cell>
        </row>
        <row r="794">
          <cell r="D794" t="str">
            <v>2023</v>
          </cell>
        </row>
        <row r="795">
          <cell r="D795" t="str">
            <v>2023</v>
          </cell>
        </row>
        <row r="796">
          <cell r="D796" t="str">
            <v>2023</v>
          </cell>
        </row>
        <row r="797">
          <cell r="D797" t="str">
            <v>2023</v>
          </cell>
        </row>
        <row r="798">
          <cell r="D798" t="str">
            <v>2023</v>
          </cell>
        </row>
        <row r="799">
          <cell r="D799" t="str">
            <v>2023</v>
          </cell>
        </row>
        <row r="800">
          <cell r="D800" t="str">
            <v>2023</v>
          </cell>
        </row>
        <row r="801">
          <cell r="D801" t="str">
            <v>2023</v>
          </cell>
        </row>
        <row r="802">
          <cell r="D802" t="str">
            <v>2023</v>
          </cell>
        </row>
        <row r="803">
          <cell r="D803" t="str">
            <v>2023</v>
          </cell>
        </row>
        <row r="804">
          <cell r="D804" t="str">
            <v>2023</v>
          </cell>
        </row>
        <row r="805">
          <cell r="D805" t="str">
            <v>2022</v>
          </cell>
        </row>
        <row r="806">
          <cell r="D806" t="str">
            <v>2021</v>
          </cell>
        </row>
        <row r="807">
          <cell r="D807" t="str">
            <v>2023</v>
          </cell>
        </row>
        <row r="808">
          <cell r="D808" t="str">
            <v>2023</v>
          </cell>
        </row>
        <row r="809">
          <cell r="D809" t="str">
            <v>2023</v>
          </cell>
        </row>
        <row r="810">
          <cell r="D810" t="str">
            <v>2021</v>
          </cell>
        </row>
        <row r="811">
          <cell r="D811" t="str">
            <v>2023</v>
          </cell>
        </row>
        <row r="812">
          <cell r="D812" t="str">
            <v>2023</v>
          </cell>
        </row>
        <row r="813">
          <cell r="D813" t="str">
            <v>2023</v>
          </cell>
        </row>
        <row r="814">
          <cell r="D814" t="str">
            <v>2023</v>
          </cell>
        </row>
        <row r="815">
          <cell r="D815" t="str">
            <v>2023</v>
          </cell>
        </row>
        <row r="816">
          <cell r="D816" t="str">
            <v>2023</v>
          </cell>
        </row>
        <row r="817">
          <cell r="D817" t="str">
            <v>2023</v>
          </cell>
        </row>
        <row r="818">
          <cell r="D818" t="str">
            <v>2022</v>
          </cell>
        </row>
        <row r="819">
          <cell r="D819" t="str">
            <v>2023</v>
          </cell>
        </row>
        <row r="820">
          <cell r="D820" t="str">
            <v>2023</v>
          </cell>
        </row>
        <row r="821">
          <cell r="D821" t="str">
            <v>2023</v>
          </cell>
        </row>
        <row r="822">
          <cell r="D822" t="str">
            <v>2023</v>
          </cell>
        </row>
        <row r="823">
          <cell r="D823" t="str">
            <v>2023</v>
          </cell>
        </row>
        <row r="824">
          <cell r="D824" t="str">
            <v>2023</v>
          </cell>
        </row>
        <row r="825">
          <cell r="D825" t="str">
            <v>2023</v>
          </cell>
        </row>
        <row r="826">
          <cell r="D826" t="str">
            <v>2022</v>
          </cell>
        </row>
        <row r="827">
          <cell r="D827" t="str">
            <v>2023</v>
          </cell>
        </row>
        <row r="828">
          <cell r="D828" t="str">
            <v>2023</v>
          </cell>
        </row>
        <row r="829">
          <cell r="D829" t="str">
            <v>2023</v>
          </cell>
        </row>
        <row r="830">
          <cell r="D830" t="str">
            <v>2024</v>
          </cell>
        </row>
        <row r="831">
          <cell r="D831" t="str">
            <v>2023</v>
          </cell>
        </row>
        <row r="832">
          <cell r="D832" t="str">
            <v>2023</v>
          </cell>
        </row>
        <row r="833">
          <cell r="D833" t="str">
            <v>2022</v>
          </cell>
        </row>
        <row r="834">
          <cell r="D834" t="str">
            <v>2023</v>
          </cell>
        </row>
        <row r="835">
          <cell r="D835" t="str">
            <v>2023</v>
          </cell>
        </row>
        <row r="836">
          <cell r="D836" t="str">
            <v>2023</v>
          </cell>
        </row>
        <row r="837">
          <cell r="D837" t="str">
            <v>2023</v>
          </cell>
        </row>
        <row r="838">
          <cell r="D838" t="str">
            <v>2023</v>
          </cell>
        </row>
        <row r="839">
          <cell r="D839" t="str">
            <v>2023</v>
          </cell>
        </row>
        <row r="840">
          <cell r="D840" t="str">
            <v>2023</v>
          </cell>
        </row>
        <row r="841">
          <cell r="D841" t="str">
            <v>2023</v>
          </cell>
        </row>
        <row r="842">
          <cell r="D842" t="str">
            <v>2023</v>
          </cell>
        </row>
        <row r="843">
          <cell r="D843" t="str">
            <v>2023</v>
          </cell>
        </row>
        <row r="844">
          <cell r="D844" t="str">
            <v>2023</v>
          </cell>
        </row>
        <row r="845">
          <cell r="D845" t="str">
            <v>2023</v>
          </cell>
        </row>
        <row r="846">
          <cell r="D846" t="str">
            <v>2023</v>
          </cell>
        </row>
        <row r="847">
          <cell r="D847" t="str">
            <v>2023</v>
          </cell>
        </row>
        <row r="848">
          <cell r="D848" t="str">
            <v>2022</v>
          </cell>
        </row>
        <row r="849">
          <cell r="D849" t="str">
            <v>2021</v>
          </cell>
        </row>
        <row r="850">
          <cell r="D850" t="str">
            <v>2023</v>
          </cell>
        </row>
        <row r="851">
          <cell r="D851" t="str">
            <v>2023</v>
          </cell>
        </row>
        <row r="852">
          <cell r="D852" t="str">
            <v>2021</v>
          </cell>
        </row>
        <row r="853">
          <cell r="D853" t="str">
            <v>2023</v>
          </cell>
        </row>
        <row r="854">
          <cell r="D854" t="str">
            <v>2023</v>
          </cell>
        </row>
        <row r="855">
          <cell r="D855" t="str">
            <v>2023</v>
          </cell>
        </row>
        <row r="856">
          <cell r="D856" t="str">
            <v>2023</v>
          </cell>
        </row>
        <row r="857">
          <cell r="D857" t="str">
            <v>2023</v>
          </cell>
        </row>
        <row r="858">
          <cell r="D858" t="str">
            <v>2023</v>
          </cell>
        </row>
        <row r="859">
          <cell r="D859" t="str">
            <v>2023</v>
          </cell>
        </row>
        <row r="860">
          <cell r="D860" t="str">
            <v>2023</v>
          </cell>
        </row>
        <row r="861">
          <cell r="D861" t="str">
            <v>2023</v>
          </cell>
        </row>
        <row r="862">
          <cell r="D862" t="str">
            <v>2023</v>
          </cell>
        </row>
        <row r="863">
          <cell r="D863" t="str">
            <v>2023</v>
          </cell>
        </row>
        <row r="864">
          <cell r="D864" t="str">
            <v>2022</v>
          </cell>
        </row>
        <row r="865">
          <cell r="D865" t="str">
            <v>2021</v>
          </cell>
        </row>
        <row r="866">
          <cell r="D866" t="str">
            <v>2021</v>
          </cell>
        </row>
        <row r="867">
          <cell r="D867" t="str">
            <v>2023</v>
          </cell>
        </row>
        <row r="868">
          <cell r="D868" t="str">
            <v>2023</v>
          </cell>
        </row>
        <row r="869">
          <cell r="D869" t="str">
            <v>2023</v>
          </cell>
        </row>
        <row r="870">
          <cell r="D870" t="str">
            <v>2023</v>
          </cell>
        </row>
        <row r="871">
          <cell r="D871" t="str">
            <v>2023</v>
          </cell>
        </row>
        <row r="872">
          <cell r="D872" t="str">
            <v>2023</v>
          </cell>
        </row>
        <row r="873">
          <cell r="D873" t="str">
            <v>2023</v>
          </cell>
        </row>
        <row r="874">
          <cell r="D874" t="str">
            <v>2022</v>
          </cell>
        </row>
        <row r="875">
          <cell r="D875" t="str">
            <v>2023</v>
          </cell>
        </row>
        <row r="876">
          <cell r="D876" t="str">
            <v>2023</v>
          </cell>
        </row>
        <row r="877">
          <cell r="D877" t="str">
            <v>2023</v>
          </cell>
        </row>
        <row r="878">
          <cell r="D878" t="str">
            <v>2023</v>
          </cell>
        </row>
        <row r="879">
          <cell r="D879" t="str">
            <v>2022</v>
          </cell>
        </row>
        <row r="880">
          <cell r="D880" t="str">
            <v>2023</v>
          </cell>
        </row>
        <row r="881">
          <cell r="D881" t="str">
            <v>2022</v>
          </cell>
        </row>
        <row r="882">
          <cell r="D882" t="str">
            <v>2021</v>
          </cell>
        </row>
        <row r="883">
          <cell r="D883" t="str">
            <v>2023</v>
          </cell>
        </row>
        <row r="884">
          <cell r="D884" t="str">
            <v>2023</v>
          </cell>
        </row>
        <row r="885">
          <cell r="D885" t="str">
            <v>2023</v>
          </cell>
        </row>
        <row r="886">
          <cell r="D886" t="str">
            <v>2023</v>
          </cell>
        </row>
        <row r="887">
          <cell r="D887" t="str">
            <v>2023</v>
          </cell>
        </row>
        <row r="888">
          <cell r="D888" t="str">
            <v>2023</v>
          </cell>
        </row>
        <row r="889">
          <cell r="D889" t="str">
            <v>2022</v>
          </cell>
        </row>
        <row r="890">
          <cell r="D890" t="str">
            <v>2023</v>
          </cell>
        </row>
        <row r="891">
          <cell r="D891" t="str">
            <v>2021</v>
          </cell>
        </row>
        <row r="892">
          <cell r="D892" t="str">
            <v>2023</v>
          </cell>
        </row>
        <row r="893">
          <cell r="D893" t="str">
            <v>2023</v>
          </cell>
        </row>
        <row r="894">
          <cell r="D894" t="str">
            <v>2023</v>
          </cell>
        </row>
        <row r="895">
          <cell r="D895" t="str">
            <v>2023</v>
          </cell>
        </row>
        <row r="896">
          <cell r="D896" t="str">
            <v>2023</v>
          </cell>
        </row>
        <row r="897">
          <cell r="D897" t="str">
            <v>2023</v>
          </cell>
        </row>
        <row r="898">
          <cell r="D898" t="str">
            <v>2023</v>
          </cell>
        </row>
        <row r="899">
          <cell r="D899" t="str">
            <v>2023</v>
          </cell>
        </row>
        <row r="900">
          <cell r="D900" t="str">
            <v>2023</v>
          </cell>
        </row>
        <row r="901">
          <cell r="D901" t="str">
            <v>2023</v>
          </cell>
        </row>
        <row r="902">
          <cell r="D902" t="str">
            <v>2023</v>
          </cell>
        </row>
        <row r="903">
          <cell r="D903" t="str">
            <v>2023</v>
          </cell>
        </row>
        <row r="904">
          <cell r="D904" t="str">
            <v>2022</v>
          </cell>
        </row>
        <row r="905">
          <cell r="D905" t="str">
            <v>2023</v>
          </cell>
        </row>
        <row r="906">
          <cell r="D906" t="str">
            <v>2023</v>
          </cell>
        </row>
        <row r="907">
          <cell r="D907" t="str">
            <v>2023</v>
          </cell>
        </row>
        <row r="908">
          <cell r="D908" t="str">
            <v>2023</v>
          </cell>
        </row>
        <row r="909">
          <cell r="D909" t="str">
            <v>2023</v>
          </cell>
        </row>
        <row r="910">
          <cell r="D910" t="str">
            <v>2023</v>
          </cell>
        </row>
        <row r="911">
          <cell r="D911" t="str">
            <v>2023</v>
          </cell>
        </row>
        <row r="912">
          <cell r="D912" t="str">
            <v>2023</v>
          </cell>
        </row>
        <row r="913">
          <cell r="D913" t="str">
            <v>2023</v>
          </cell>
        </row>
        <row r="914">
          <cell r="D914" t="str">
            <v>2023</v>
          </cell>
        </row>
        <row r="915">
          <cell r="D915" t="str">
            <v>2021</v>
          </cell>
        </row>
        <row r="916">
          <cell r="D916" t="str">
            <v>2023</v>
          </cell>
        </row>
        <row r="917">
          <cell r="D917" t="str">
            <v>2022</v>
          </cell>
        </row>
        <row r="918">
          <cell r="D918" t="str">
            <v>2023</v>
          </cell>
        </row>
        <row r="919">
          <cell r="D919" t="str">
            <v>2023</v>
          </cell>
        </row>
        <row r="920">
          <cell r="D920" t="str">
            <v>2023</v>
          </cell>
        </row>
        <row r="921">
          <cell r="D921" t="str">
            <v>2021</v>
          </cell>
        </row>
        <row r="922">
          <cell r="D922" t="str">
            <v>2023</v>
          </cell>
        </row>
        <row r="923">
          <cell r="D923" t="str">
            <v>2021</v>
          </cell>
        </row>
        <row r="924">
          <cell r="D924" t="str">
            <v>2023</v>
          </cell>
        </row>
        <row r="925">
          <cell r="D925" t="str">
            <v>2023</v>
          </cell>
        </row>
        <row r="926">
          <cell r="D926" t="str">
            <v>2023</v>
          </cell>
        </row>
        <row r="927">
          <cell r="D927" t="str">
            <v>2023</v>
          </cell>
        </row>
        <row r="928">
          <cell r="D928" t="str">
            <v>2023</v>
          </cell>
        </row>
        <row r="929">
          <cell r="D929" t="str">
            <v>2023</v>
          </cell>
        </row>
        <row r="930">
          <cell r="D930" t="str">
            <v>2023</v>
          </cell>
        </row>
        <row r="931">
          <cell r="D931" t="str">
            <v>2023</v>
          </cell>
        </row>
        <row r="932">
          <cell r="D932" t="str">
            <v>2023</v>
          </cell>
        </row>
        <row r="933">
          <cell r="D933" t="str">
            <v>2023</v>
          </cell>
        </row>
        <row r="934">
          <cell r="D934" t="str">
            <v>2023</v>
          </cell>
        </row>
        <row r="935">
          <cell r="D935" t="str">
            <v>2023</v>
          </cell>
        </row>
        <row r="936">
          <cell r="D936" t="str">
            <v>2023</v>
          </cell>
        </row>
        <row r="937">
          <cell r="D937" t="str">
            <v>2023</v>
          </cell>
        </row>
        <row r="938">
          <cell r="D938" t="str">
            <v>2023</v>
          </cell>
        </row>
        <row r="939">
          <cell r="D939" t="str">
            <v>2023</v>
          </cell>
        </row>
        <row r="940">
          <cell r="D940" t="str">
            <v>2023</v>
          </cell>
        </row>
        <row r="941">
          <cell r="D941" t="str">
            <v>2023</v>
          </cell>
        </row>
        <row r="942">
          <cell r="D942" t="str">
            <v>2023</v>
          </cell>
        </row>
        <row r="943">
          <cell r="D943" t="str">
            <v>2023</v>
          </cell>
        </row>
        <row r="944">
          <cell r="D944" t="str">
            <v>2023</v>
          </cell>
        </row>
        <row r="945">
          <cell r="D945" t="str">
            <v>2021</v>
          </cell>
        </row>
        <row r="946">
          <cell r="D946" t="str">
            <v>2023</v>
          </cell>
        </row>
        <row r="947">
          <cell r="D947" t="str">
            <v>2023</v>
          </cell>
        </row>
        <row r="948">
          <cell r="D948" t="str">
            <v>2023</v>
          </cell>
        </row>
        <row r="949">
          <cell r="D949" t="str">
            <v>2021</v>
          </cell>
        </row>
        <row r="950">
          <cell r="D950" t="str">
            <v>2023</v>
          </cell>
        </row>
        <row r="951">
          <cell r="D951" t="str">
            <v>2023</v>
          </cell>
        </row>
        <row r="952">
          <cell r="D952" t="str">
            <v>2023</v>
          </cell>
        </row>
        <row r="953">
          <cell r="D953" t="str">
            <v>2023</v>
          </cell>
        </row>
        <row r="954">
          <cell r="D954" t="str">
            <v>2023</v>
          </cell>
        </row>
        <row r="955">
          <cell r="D955" t="str">
            <v>2023</v>
          </cell>
        </row>
        <row r="956">
          <cell r="D956" t="str">
            <v>2021</v>
          </cell>
        </row>
        <row r="957">
          <cell r="D957" t="str">
            <v>2023</v>
          </cell>
        </row>
        <row r="958">
          <cell r="D958" t="str">
            <v>2023</v>
          </cell>
        </row>
        <row r="959">
          <cell r="D959" t="str">
            <v>2023</v>
          </cell>
        </row>
        <row r="960">
          <cell r="D960" t="str">
            <v>2023</v>
          </cell>
        </row>
        <row r="961">
          <cell r="D961" t="str">
            <v>2023</v>
          </cell>
        </row>
        <row r="962">
          <cell r="D962" t="str">
            <v>2021</v>
          </cell>
        </row>
        <row r="963">
          <cell r="D963" t="str">
            <v>2023</v>
          </cell>
        </row>
        <row r="964">
          <cell r="D964" t="str">
            <v>2023</v>
          </cell>
        </row>
        <row r="965">
          <cell r="D965" t="str">
            <v>2023</v>
          </cell>
        </row>
        <row r="966">
          <cell r="D966" t="str">
            <v>2023</v>
          </cell>
        </row>
        <row r="967">
          <cell r="D967" t="str">
            <v>2023</v>
          </cell>
        </row>
        <row r="968">
          <cell r="D968" t="str">
            <v>2023</v>
          </cell>
        </row>
        <row r="969">
          <cell r="D969" t="str">
            <v>2023</v>
          </cell>
        </row>
        <row r="970">
          <cell r="D970" t="str">
            <v>2023</v>
          </cell>
        </row>
        <row r="971">
          <cell r="D971" t="str">
            <v>2023</v>
          </cell>
        </row>
        <row r="972">
          <cell r="D972" t="str">
            <v>2023</v>
          </cell>
        </row>
        <row r="973">
          <cell r="D973" t="str">
            <v>2023</v>
          </cell>
        </row>
        <row r="974">
          <cell r="D974" t="str">
            <v>2023</v>
          </cell>
        </row>
        <row r="975">
          <cell r="D975" t="str">
            <v>2021</v>
          </cell>
        </row>
        <row r="976">
          <cell r="D976" t="str">
            <v>2023</v>
          </cell>
        </row>
        <row r="977">
          <cell r="D977" t="str">
            <v>2023</v>
          </cell>
        </row>
        <row r="978">
          <cell r="D978" t="str">
            <v>2023</v>
          </cell>
        </row>
        <row r="979">
          <cell r="D979" t="str">
            <v>2023</v>
          </cell>
        </row>
        <row r="980">
          <cell r="D980" t="str">
            <v>2023</v>
          </cell>
        </row>
        <row r="981">
          <cell r="D981" t="str">
            <v>2021</v>
          </cell>
        </row>
        <row r="982">
          <cell r="D982" t="str">
            <v>2023</v>
          </cell>
        </row>
        <row r="983">
          <cell r="D983" t="str">
            <v>2023</v>
          </cell>
        </row>
        <row r="984">
          <cell r="D984" t="str">
            <v>2023</v>
          </cell>
        </row>
        <row r="985">
          <cell r="D985" t="str">
            <v>2023</v>
          </cell>
        </row>
        <row r="986">
          <cell r="D986" t="str">
            <v>2023</v>
          </cell>
        </row>
        <row r="987">
          <cell r="D987" t="str">
            <v>2023</v>
          </cell>
        </row>
        <row r="988">
          <cell r="D988" t="str">
            <v>2023</v>
          </cell>
        </row>
        <row r="989">
          <cell r="D989" t="str">
            <v>2023</v>
          </cell>
        </row>
        <row r="990">
          <cell r="D990" t="str">
            <v>2023</v>
          </cell>
        </row>
        <row r="991">
          <cell r="D991" t="str">
            <v>2023</v>
          </cell>
        </row>
        <row r="992">
          <cell r="D992" t="str">
            <v>2023</v>
          </cell>
        </row>
        <row r="993">
          <cell r="D993" t="str">
            <v>2023</v>
          </cell>
        </row>
        <row r="994">
          <cell r="D994" t="str">
            <v>2023</v>
          </cell>
        </row>
        <row r="995">
          <cell r="D995" t="str">
            <v>2023</v>
          </cell>
        </row>
        <row r="996">
          <cell r="D996" t="str">
            <v>2023</v>
          </cell>
        </row>
        <row r="997">
          <cell r="D997" t="str">
            <v>2023</v>
          </cell>
        </row>
        <row r="998">
          <cell r="D998" t="str">
            <v>2023</v>
          </cell>
        </row>
        <row r="999">
          <cell r="D999" t="str">
            <v>2023</v>
          </cell>
        </row>
        <row r="1000">
          <cell r="D1000" t="str">
            <v>2023</v>
          </cell>
        </row>
        <row r="1001">
          <cell r="D1001" t="str">
            <v>2023</v>
          </cell>
        </row>
        <row r="1002">
          <cell r="D1002" t="str">
            <v>2023</v>
          </cell>
        </row>
        <row r="1003">
          <cell r="D1003" t="str">
            <v>2023</v>
          </cell>
        </row>
        <row r="1004">
          <cell r="D1004" t="str">
            <v>2023</v>
          </cell>
        </row>
        <row r="1005">
          <cell r="D1005" t="str">
            <v>2023</v>
          </cell>
        </row>
        <row r="1006">
          <cell r="D1006" t="str">
            <v>2023</v>
          </cell>
        </row>
        <row r="1007">
          <cell r="D1007" t="str">
            <v>2023</v>
          </cell>
        </row>
        <row r="1008">
          <cell r="D1008" t="str">
            <v>2023</v>
          </cell>
        </row>
        <row r="1009">
          <cell r="D1009" t="str">
            <v>2023</v>
          </cell>
        </row>
        <row r="1010">
          <cell r="D1010" t="str">
            <v>2023</v>
          </cell>
        </row>
        <row r="1011">
          <cell r="D1011" t="str">
            <v>2023</v>
          </cell>
        </row>
        <row r="1012">
          <cell r="D1012" t="str">
            <v>2023</v>
          </cell>
        </row>
        <row r="1013">
          <cell r="D1013" t="str">
            <v>2023</v>
          </cell>
        </row>
        <row r="1014">
          <cell r="D1014" t="str">
            <v>2023</v>
          </cell>
        </row>
        <row r="1015">
          <cell r="D1015" t="str">
            <v>2023</v>
          </cell>
        </row>
        <row r="1016">
          <cell r="D1016" t="str">
            <v>2023</v>
          </cell>
        </row>
        <row r="1017">
          <cell r="D1017" t="str">
            <v>2023</v>
          </cell>
        </row>
        <row r="1018">
          <cell r="D1018" t="str">
            <v>2023</v>
          </cell>
        </row>
        <row r="1019">
          <cell r="D1019" t="str">
            <v>2023</v>
          </cell>
        </row>
        <row r="1020">
          <cell r="D1020" t="str">
            <v>2023</v>
          </cell>
        </row>
        <row r="1021">
          <cell r="D1021" t="str">
            <v>2023</v>
          </cell>
        </row>
        <row r="1022">
          <cell r="D1022" t="str">
            <v>2023</v>
          </cell>
        </row>
        <row r="1023">
          <cell r="D1023" t="str">
            <v>2023</v>
          </cell>
        </row>
        <row r="1024">
          <cell r="D1024" t="str">
            <v>2023</v>
          </cell>
        </row>
        <row r="1025">
          <cell r="D1025" t="str">
            <v>2023</v>
          </cell>
        </row>
        <row r="1026">
          <cell r="D1026" t="str">
            <v>2023</v>
          </cell>
        </row>
        <row r="1027">
          <cell r="D1027" t="str">
            <v>2023</v>
          </cell>
        </row>
        <row r="1028">
          <cell r="D1028" t="str">
            <v>2023</v>
          </cell>
        </row>
        <row r="1029">
          <cell r="D1029" t="str">
            <v>2023</v>
          </cell>
        </row>
        <row r="1030">
          <cell r="D1030" t="str">
            <v>2023</v>
          </cell>
        </row>
        <row r="1031">
          <cell r="D1031" t="str">
            <v>2023</v>
          </cell>
        </row>
        <row r="1032">
          <cell r="D1032" t="str">
            <v>2023</v>
          </cell>
        </row>
        <row r="1033">
          <cell r="D1033" t="str">
            <v>2023</v>
          </cell>
        </row>
        <row r="1034">
          <cell r="D1034" t="str">
            <v>2023</v>
          </cell>
        </row>
        <row r="1035">
          <cell r="D1035" t="str">
            <v>2023</v>
          </cell>
        </row>
        <row r="1036">
          <cell r="D1036" t="str">
            <v>2023</v>
          </cell>
        </row>
        <row r="1037">
          <cell r="D1037" t="str">
            <v>2023</v>
          </cell>
        </row>
        <row r="1038">
          <cell r="D1038" t="str">
            <v>2023</v>
          </cell>
        </row>
        <row r="1039">
          <cell r="D1039" t="str">
            <v>2022</v>
          </cell>
        </row>
        <row r="1040">
          <cell r="D1040" t="str">
            <v>2023</v>
          </cell>
        </row>
        <row r="1041">
          <cell r="D1041" t="str">
            <v>2023</v>
          </cell>
        </row>
        <row r="1042">
          <cell r="D1042" t="str">
            <v>2023</v>
          </cell>
        </row>
        <row r="1043">
          <cell r="D1043" t="str">
            <v>2023</v>
          </cell>
        </row>
        <row r="1044">
          <cell r="D1044" t="str">
            <v>2023</v>
          </cell>
        </row>
        <row r="1045">
          <cell r="D1045" t="str">
            <v>2023</v>
          </cell>
        </row>
        <row r="1046">
          <cell r="D1046" t="str">
            <v>2023</v>
          </cell>
        </row>
        <row r="1047">
          <cell r="D1047" t="str">
            <v>2023</v>
          </cell>
        </row>
        <row r="1048">
          <cell r="D1048" t="str">
            <v>2023</v>
          </cell>
        </row>
        <row r="1049">
          <cell r="D1049" t="str">
            <v>2023</v>
          </cell>
        </row>
        <row r="1050">
          <cell r="D1050" t="str">
            <v>2023</v>
          </cell>
        </row>
        <row r="1051">
          <cell r="D1051" t="str">
            <v>2023</v>
          </cell>
        </row>
        <row r="1052">
          <cell r="D1052" t="str">
            <v>2023</v>
          </cell>
        </row>
        <row r="1053">
          <cell r="D1053" t="str">
            <v>2022</v>
          </cell>
        </row>
        <row r="1054">
          <cell r="D1054" t="str">
            <v>2023</v>
          </cell>
        </row>
        <row r="1055">
          <cell r="D1055" t="str">
            <v>2022</v>
          </cell>
        </row>
        <row r="1056">
          <cell r="D1056" t="str">
            <v>2023</v>
          </cell>
        </row>
        <row r="1057">
          <cell r="D1057" t="str">
            <v>2023</v>
          </cell>
        </row>
        <row r="1058">
          <cell r="D1058" t="str">
            <v>2023</v>
          </cell>
        </row>
        <row r="1059">
          <cell r="D1059" t="str">
            <v>2023</v>
          </cell>
        </row>
        <row r="1060">
          <cell r="D1060" t="str">
            <v>2023</v>
          </cell>
        </row>
        <row r="1061">
          <cell r="D1061" t="str">
            <v>2023</v>
          </cell>
        </row>
        <row r="1062">
          <cell r="D1062" t="str">
            <v>2023</v>
          </cell>
        </row>
        <row r="1063">
          <cell r="D1063" t="str">
            <v>2023</v>
          </cell>
        </row>
        <row r="1064">
          <cell r="D1064" t="str">
            <v>2023</v>
          </cell>
        </row>
        <row r="1065">
          <cell r="D1065" t="str">
            <v>2023</v>
          </cell>
        </row>
        <row r="1066">
          <cell r="D1066" t="str">
            <v>2023</v>
          </cell>
        </row>
        <row r="1067">
          <cell r="D1067" t="str">
            <v>2023</v>
          </cell>
        </row>
        <row r="1068">
          <cell r="D1068" t="str">
            <v>2021</v>
          </cell>
        </row>
        <row r="1069">
          <cell r="D1069" t="str">
            <v>2023</v>
          </cell>
        </row>
        <row r="1070">
          <cell r="D1070" t="str">
            <v>2023</v>
          </cell>
        </row>
        <row r="1071">
          <cell r="D1071" t="str">
            <v>2023</v>
          </cell>
        </row>
        <row r="1072">
          <cell r="D1072" t="str">
            <v>2023</v>
          </cell>
        </row>
        <row r="1073">
          <cell r="D1073" t="str">
            <v>2023</v>
          </cell>
        </row>
        <row r="1074">
          <cell r="D1074" t="str">
            <v>2023</v>
          </cell>
        </row>
        <row r="1075">
          <cell r="D1075" t="str">
            <v>2023</v>
          </cell>
        </row>
        <row r="1076">
          <cell r="D1076" t="str">
            <v>2023</v>
          </cell>
        </row>
        <row r="1077">
          <cell r="D1077" t="str">
            <v>2023</v>
          </cell>
        </row>
        <row r="1078">
          <cell r="D1078" t="str">
            <v>2023</v>
          </cell>
        </row>
        <row r="1079">
          <cell r="D1079" t="str">
            <v>2023</v>
          </cell>
        </row>
        <row r="1080">
          <cell r="D1080" t="str">
            <v>2023</v>
          </cell>
        </row>
        <row r="1081">
          <cell r="D1081" t="str">
            <v>2023</v>
          </cell>
        </row>
        <row r="1082">
          <cell r="D1082" t="str">
            <v>2023</v>
          </cell>
        </row>
        <row r="1083">
          <cell r="D1083" t="str">
            <v>2023</v>
          </cell>
        </row>
        <row r="1084">
          <cell r="D1084" t="str">
            <v>2023</v>
          </cell>
        </row>
        <row r="1085">
          <cell r="D1085" t="str">
            <v>2023</v>
          </cell>
        </row>
        <row r="1086">
          <cell r="D1086" t="str">
            <v>2023</v>
          </cell>
        </row>
        <row r="1087">
          <cell r="D1087" t="str">
            <v>2022</v>
          </cell>
        </row>
        <row r="1088">
          <cell r="D1088" t="str">
            <v>2021</v>
          </cell>
        </row>
        <row r="1089">
          <cell r="D1089" t="str">
            <v>2023</v>
          </cell>
        </row>
        <row r="1090">
          <cell r="D1090" t="str">
            <v>2023</v>
          </cell>
        </row>
        <row r="1091">
          <cell r="D1091" t="str">
            <v>2023</v>
          </cell>
        </row>
        <row r="1092">
          <cell r="D1092" t="str">
            <v>2023</v>
          </cell>
        </row>
        <row r="1093">
          <cell r="D1093" t="str">
            <v>2023</v>
          </cell>
        </row>
        <row r="1094">
          <cell r="D1094" t="str">
            <v>2023</v>
          </cell>
        </row>
        <row r="1095">
          <cell r="D1095" t="str">
            <v>2023</v>
          </cell>
        </row>
        <row r="1096">
          <cell r="D1096" t="str">
            <v>2023</v>
          </cell>
        </row>
        <row r="1097">
          <cell r="D1097" t="str">
            <v>2023</v>
          </cell>
        </row>
        <row r="1098">
          <cell r="D1098" t="str">
            <v>2023</v>
          </cell>
        </row>
        <row r="1099">
          <cell r="D1099" t="str">
            <v>2023</v>
          </cell>
        </row>
        <row r="1100">
          <cell r="D1100" t="str">
            <v>2023</v>
          </cell>
        </row>
        <row r="1101">
          <cell r="D1101" t="str">
            <v>2023</v>
          </cell>
        </row>
        <row r="1102">
          <cell r="D1102" t="str">
            <v>2023</v>
          </cell>
        </row>
        <row r="1103">
          <cell r="D1103" t="str">
            <v>2023</v>
          </cell>
        </row>
        <row r="1104">
          <cell r="D1104" t="str">
            <v>2023</v>
          </cell>
        </row>
        <row r="1105">
          <cell r="D1105" t="str">
            <v>2023</v>
          </cell>
        </row>
        <row r="1106">
          <cell r="D1106" t="str">
            <v>2023</v>
          </cell>
        </row>
        <row r="1107">
          <cell r="D1107" t="str">
            <v>2023</v>
          </cell>
        </row>
        <row r="1108">
          <cell r="D1108" t="str">
            <v>2023</v>
          </cell>
        </row>
        <row r="1109">
          <cell r="D1109" t="str">
            <v>2022</v>
          </cell>
        </row>
        <row r="1110">
          <cell r="D1110" t="str">
            <v>2023</v>
          </cell>
        </row>
        <row r="1111">
          <cell r="D1111" t="str">
            <v>2023</v>
          </cell>
        </row>
        <row r="1112">
          <cell r="D1112" t="str">
            <v>2023</v>
          </cell>
        </row>
        <row r="1113">
          <cell r="D1113" t="str">
            <v>2023</v>
          </cell>
        </row>
        <row r="1114">
          <cell r="D1114" t="str">
            <v>2023</v>
          </cell>
        </row>
        <row r="1115">
          <cell r="D1115" t="str">
            <v>2023</v>
          </cell>
        </row>
        <row r="1116">
          <cell r="D1116" t="str">
            <v>2023</v>
          </cell>
        </row>
        <row r="1117">
          <cell r="D1117" t="str">
            <v>2023</v>
          </cell>
        </row>
        <row r="1118">
          <cell r="D1118" t="str">
            <v>2023</v>
          </cell>
        </row>
        <row r="1119">
          <cell r="D1119" t="str">
            <v>2023</v>
          </cell>
        </row>
        <row r="1120">
          <cell r="D1120" t="str">
            <v>2023</v>
          </cell>
        </row>
        <row r="1121">
          <cell r="D1121" t="str">
            <v>2023</v>
          </cell>
        </row>
        <row r="1122">
          <cell r="D1122" t="str">
            <v>2023</v>
          </cell>
        </row>
        <row r="1123">
          <cell r="D1123" t="str">
            <v>2023</v>
          </cell>
        </row>
        <row r="1124">
          <cell r="D1124" t="str">
            <v>2023</v>
          </cell>
        </row>
        <row r="1125">
          <cell r="D1125" t="str">
            <v>2023</v>
          </cell>
        </row>
        <row r="1126">
          <cell r="D1126" t="str">
            <v>2023</v>
          </cell>
        </row>
        <row r="1127">
          <cell r="D1127" t="str">
            <v>2023</v>
          </cell>
        </row>
        <row r="1128">
          <cell r="D1128" t="str">
            <v>2023</v>
          </cell>
        </row>
        <row r="1129">
          <cell r="D1129" t="str">
            <v>2023</v>
          </cell>
        </row>
        <row r="1130">
          <cell r="D1130" t="str">
            <v>2023</v>
          </cell>
        </row>
        <row r="1131">
          <cell r="D1131" t="str">
            <v>2023</v>
          </cell>
        </row>
        <row r="1132">
          <cell r="D1132" t="str">
            <v>2023</v>
          </cell>
        </row>
        <row r="1133">
          <cell r="D1133" t="str">
            <v>2023</v>
          </cell>
        </row>
        <row r="1134">
          <cell r="D1134" t="str">
            <v>2023</v>
          </cell>
        </row>
        <row r="1135">
          <cell r="D1135" t="str">
            <v>2023</v>
          </cell>
        </row>
        <row r="1136">
          <cell r="D1136" t="str">
            <v>2023</v>
          </cell>
        </row>
        <row r="1137">
          <cell r="D1137" t="str">
            <v>2023</v>
          </cell>
        </row>
        <row r="1138">
          <cell r="D1138" t="str">
            <v>2023</v>
          </cell>
        </row>
        <row r="1139">
          <cell r="D1139" t="str">
            <v>2023</v>
          </cell>
        </row>
        <row r="1140">
          <cell r="D1140" t="str">
            <v>2023</v>
          </cell>
        </row>
        <row r="1141">
          <cell r="D1141" t="str">
            <v>2023</v>
          </cell>
        </row>
        <row r="1142">
          <cell r="D1142" t="str">
            <v>2023</v>
          </cell>
        </row>
        <row r="1143">
          <cell r="D1143" t="str">
            <v>2023</v>
          </cell>
        </row>
        <row r="1144">
          <cell r="D1144" t="str">
            <v>2023</v>
          </cell>
        </row>
        <row r="1145">
          <cell r="D1145" t="str">
            <v>2023</v>
          </cell>
        </row>
        <row r="1146">
          <cell r="D1146" t="str">
            <v>2023</v>
          </cell>
        </row>
        <row r="1147">
          <cell r="D1147" t="str">
            <v>2023</v>
          </cell>
        </row>
        <row r="1148">
          <cell r="D1148" t="str">
            <v>2023</v>
          </cell>
        </row>
        <row r="1149">
          <cell r="D1149" t="str">
            <v>2023</v>
          </cell>
        </row>
        <row r="1150">
          <cell r="D1150" t="str">
            <v>2023</v>
          </cell>
        </row>
        <row r="1151">
          <cell r="D1151" t="str">
            <v>2023</v>
          </cell>
        </row>
        <row r="1152">
          <cell r="D1152" t="str">
            <v>2023</v>
          </cell>
        </row>
        <row r="1153">
          <cell r="D1153" t="str">
            <v>2023</v>
          </cell>
        </row>
        <row r="1154">
          <cell r="D1154" t="str">
            <v>2023</v>
          </cell>
        </row>
        <row r="1155">
          <cell r="D1155" t="str">
            <v>2023</v>
          </cell>
        </row>
        <row r="1156">
          <cell r="D1156" t="str">
            <v>2023</v>
          </cell>
        </row>
        <row r="1157">
          <cell r="D1157" t="str">
            <v>2023</v>
          </cell>
        </row>
        <row r="1158">
          <cell r="D1158" t="str">
            <v>2023</v>
          </cell>
        </row>
        <row r="1159">
          <cell r="D1159" t="str">
            <v>2023</v>
          </cell>
        </row>
        <row r="1160">
          <cell r="D1160" t="str">
            <v>2023</v>
          </cell>
        </row>
        <row r="1161">
          <cell r="D1161" t="str">
            <v>2023</v>
          </cell>
        </row>
        <row r="1162">
          <cell r="D1162" t="str">
            <v>2023</v>
          </cell>
        </row>
        <row r="1163">
          <cell r="D1163" t="str">
            <v>2023</v>
          </cell>
        </row>
        <row r="1164">
          <cell r="D1164" t="str">
            <v>2021</v>
          </cell>
        </row>
        <row r="1165">
          <cell r="D1165" t="str">
            <v>2023</v>
          </cell>
        </row>
        <row r="1166">
          <cell r="D1166" t="str">
            <v>2023</v>
          </cell>
        </row>
        <row r="1167">
          <cell r="D1167" t="str">
            <v>2023</v>
          </cell>
        </row>
        <row r="1168">
          <cell r="D1168" t="str">
            <v>2023</v>
          </cell>
        </row>
        <row r="1169">
          <cell r="D1169" t="str">
            <v>2023</v>
          </cell>
        </row>
        <row r="1170">
          <cell r="D1170" t="str">
            <v>2023</v>
          </cell>
        </row>
        <row r="1171">
          <cell r="D1171" t="str">
            <v>2023</v>
          </cell>
        </row>
        <row r="1172">
          <cell r="D1172" t="str">
            <v>2023</v>
          </cell>
        </row>
        <row r="1173">
          <cell r="D1173" t="str">
            <v>2023</v>
          </cell>
        </row>
        <row r="1174">
          <cell r="D1174" t="str">
            <v>2022</v>
          </cell>
        </row>
        <row r="1175">
          <cell r="D1175" t="str">
            <v>2023</v>
          </cell>
        </row>
        <row r="1176">
          <cell r="D1176" t="str">
            <v>2022</v>
          </cell>
        </row>
        <row r="1177">
          <cell r="D1177" t="str">
            <v>2023</v>
          </cell>
        </row>
        <row r="1178">
          <cell r="D1178" t="str">
            <v>2023</v>
          </cell>
        </row>
        <row r="1179">
          <cell r="D1179" t="str">
            <v>2023</v>
          </cell>
        </row>
        <row r="1180">
          <cell r="D1180" t="str">
            <v>2023</v>
          </cell>
        </row>
        <row r="1181">
          <cell r="D1181" t="str">
            <v>2023</v>
          </cell>
        </row>
        <row r="1182">
          <cell r="D1182" t="str">
            <v>2023</v>
          </cell>
        </row>
        <row r="1183">
          <cell r="D1183" t="str">
            <v>2023</v>
          </cell>
        </row>
        <row r="1184">
          <cell r="D1184" t="str">
            <v>2023</v>
          </cell>
        </row>
        <row r="1185">
          <cell r="D1185" t="str">
            <v>2023</v>
          </cell>
        </row>
        <row r="1186">
          <cell r="D1186" t="str">
            <v>2023</v>
          </cell>
        </row>
        <row r="1187">
          <cell r="D1187" t="str">
            <v>2023</v>
          </cell>
        </row>
        <row r="1188">
          <cell r="D1188" t="str">
            <v>2023</v>
          </cell>
        </row>
        <row r="1189">
          <cell r="D1189" t="str">
            <v>2023</v>
          </cell>
        </row>
        <row r="1190">
          <cell r="D1190" t="str">
            <v>2023</v>
          </cell>
        </row>
        <row r="1191">
          <cell r="D1191" t="str">
            <v>2023</v>
          </cell>
        </row>
        <row r="1192">
          <cell r="D1192" t="str">
            <v>2023</v>
          </cell>
        </row>
        <row r="1193">
          <cell r="D1193" t="str">
            <v>2023</v>
          </cell>
        </row>
        <row r="1194">
          <cell r="D1194" t="str">
            <v>2023</v>
          </cell>
        </row>
        <row r="1195">
          <cell r="D1195" t="str">
            <v>2023</v>
          </cell>
        </row>
        <row r="1196">
          <cell r="D1196" t="str">
            <v>2023</v>
          </cell>
        </row>
        <row r="1197">
          <cell r="D1197" t="str">
            <v>2023</v>
          </cell>
        </row>
        <row r="1198">
          <cell r="D1198" t="str">
            <v>2023</v>
          </cell>
        </row>
        <row r="1199">
          <cell r="D1199" t="str">
            <v>2023</v>
          </cell>
        </row>
        <row r="1200">
          <cell r="D1200" t="str">
            <v>2023</v>
          </cell>
        </row>
        <row r="1201">
          <cell r="D1201" t="str">
            <v>2023</v>
          </cell>
        </row>
        <row r="1202">
          <cell r="D1202" t="str">
            <v>2023</v>
          </cell>
        </row>
        <row r="1203">
          <cell r="D1203" t="str">
            <v>2022</v>
          </cell>
        </row>
        <row r="1204">
          <cell r="D1204" t="str">
            <v>2024</v>
          </cell>
        </row>
        <row r="1205">
          <cell r="D1205" t="str">
            <v>2023</v>
          </cell>
        </row>
        <row r="1206">
          <cell r="D1206" t="str">
            <v>2023</v>
          </cell>
        </row>
        <row r="1207">
          <cell r="D1207" t="str">
            <v>2023</v>
          </cell>
        </row>
        <row r="1208">
          <cell r="D1208" t="str">
            <v>2023</v>
          </cell>
        </row>
        <row r="1209">
          <cell r="D1209" t="str">
            <v>2023</v>
          </cell>
        </row>
        <row r="1210">
          <cell r="D1210" t="str">
            <v>2023</v>
          </cell>
        </row>
        <row r="1211">
          <cell r="D1211" t="str">
            <v>2023</v>
          </cell>
        </row>
        <row r="1212">
          <cell r="D1212" t="str">
            <v>2023</v>
          </cell>
        </row>
        <row r="1213">
          <cell r="D1213" t="str">
            <v>2023</v>
          </cell>
        </row>
        <row r="1214">
          <cell r="D1214" t="str">
            <v>2023</v>
          </cell>
        </row>
        <row r="1215">
          <cell r="D1215" t="str">
            <v>2023</v>
          </cell>
        </row>
        <row r="1216">
          <cell r="D1216" t="str">
            <v>2023</v>
          </cell>
        </row>
        <row r="1217">
          <cell r="D1217" t="str">
            <v>2023</v>
          </cell>
        </row>
        <row r="1218">
          <cell r="D1218" t="str">
            <v>2023</v>
          </cell>
        </row>
        <row r="1219">
          <cell r="D1219" t="str">
            <v>2023</v>
          </cell>
        </row>
        <row r="1220">
          <cell r="D1220" t="str">
            <v>2021</v>
          </cell>
        </row>
        <row r="1221">
          <cell r="D1221" t="str">
            <v>2023</v>
          </cell>
        </row>
        <row r="1222">
          <cell r="D1222" t="str">
            <v>2023</v>
          </cell>
        </row>
        <row r="1223">
          <cell r="D1223" t="str">
            <v>2023</v>
          </cell>
        </row>
        <row r="1224">
          <cell r="D1224" t="str">
            <v>2023</v>
          </cell>
        </row>
        <row r="1225">
          <cell r="D1225" t="str">
            <v>2023</v>
          </cell>
        </row>
        <row r="1226">
          <cell r="D1226" t="str">
            <v>2023</v>
          </cell>
        </row>
        <row r="1227">
          <cell r="D1227" t="str">
            <v>2023</v>
          </cell>
        </row>
        <row r="1228">
          <cell r="D1228" t="str">
            <v>2022</v>
          </cell>
        </row>
        <row r="1229">
          <cell r="D1229" t="str">
            <v>2022</v>
          </cell>
        </row>
        <row r="1230">
          <cell r="D1230" t="str">
            <v>2023</v>
          </cell>
        </row>
        <row r="1231">
          <cell r="D1231" t="str">
            <v>2023</v>
          </cell>
        </row>
        <row r="1232">
          <cell r="D1232" t="str">
            <v>2023</v>
          </cell>
        </row>
        <row r="1233">
          <cell r="D1233" t="str">
            <v>2023</v>
          </cell>
        </row>
        <row r="1234">
          <cell r="D1234" t="str">
            <v>2023</v>
          </cell>
        </row>
        <row r="1235">
          <cell r="D1235" t="str">
            <v>2023</v>
          </cell>
        </row>
        <row r="1236">
          <cell r="D1236" t="str">
            <v>2023</v>
          </cell>
        </row>
        <row r="1237">
          <cell r="D1237" t="str">
            <v>2022</v>
          </cell>
        </row>
        <row r="1238">
          <cell r="D1238" t="str">
            <v>2023</v>
          </cell>
        </row>
        <row r="1239">
          <cell r="D1239" t="str">
            <v>2023</v>
          </cell>
        </row>
        <row r="1240">
          <cell r="D1240" t="str">
            <v>2023</v>
          </cell>
        </row>
        <row r="1241">
          <cell r="D1241" t="str">
            <v>2023</v>
          </cell>
        </row>
        <row r="1242">
          <cell r="D1242" t="str">
            <v>2023</v>
          </cell>
        </row>
        <row r="1243">
          <cell r="D1243" t="str">
            <v>2023</v>
          </cell>
        </row>
        <row r="1244">
          <cell r="D1244" t="str">
            <v>2021</v>
          </cell>
        </row>
        <row r="1245">
          <cell r="D1245" t="str">
            <v>2023</v>
          </cell>
        </row>
        <row r="1246">
          <cell r="D1246" t="str">
            <v>2023</v>
          </cell>
        </row>
        <row r="1247">
          <cell r="D1247" t="str">
            <v>2023</v>
          </cell>
        </row>
        <row r="1248">
          <cell r="D1248" t="str">
            <v>2021</v>
          </cell>
        </row>
        <row r="1249">
          <cell r="D1249" t="str">
            <v>2023</v>
          </cell>
        </row>
        <row r="1250">
          <cell r="D1250" t="str">
            <v>2023</v>
          </cell>
        </row>
        <row r="1251">
          <cell r="D1251" t="str">
            <v>2023</v>
          </cell>
        </row>
        <row r="1252">
          <cell r="D1252" t="str">
            <v>2023</v>
          </cell>
        </row>
        <row r="1253">
          <cell r="D1253" t="str">
            <v>2023</v>
          </cell>
        </row>
        <row r="1254">
          <cell r="D1254" t="str">
            <v>2023</v>
          </cell>
        </row>
        <row r="1255">
          <cell r="D1255" t="str">
            <v>2023</v>
          </cell>
        </row>
        <row r="1256">
          <cell r="D1256" t="str">
            <v>2022</v>
          </cell>
        </row>
        <row r="1257">
          <cell r="D1257" t="str">
            <v>2023</v>
          </cell>
        </row>
        <row r="1258">
          <cell r="D1258" t="str">
            <v>2022</v>
          </cell>
        </row>
        <row r="1259">
          <cell r="D1259" t="str">
            <v>2023</v>
          </cell>
        </row>
        <row r="1260">
          <cell r="D1260" t="str">
            <v>2023</v>
          </cell>
        </row>
        <row r="1261">
          <cell r="D1261" t="str">
            <v>2023</v>
          </cell>
        </row>
        <row r="1262">
          <cell r="D1262" t="str">
            <v>2023</v>
          </cell>
        </row>
        <row r="1263">
          <cell r="D1263" t="str">
            <v>2023</v>
          </cell>
        </row>
        <row r="1264">
          <cell r="D1264" t="str">
            <v>2023</v>
          </cell>
        </row>
        <row r="1265">
          <cell r="D1265" t="str">
            <v>2023</v>
          </cell>
        </row>
        <row r="1266">
          <cell r="D1266" t="str">
            <v>2023</v>
          </cell>
        </row>
        <row r="1267">
          <cell r="D1267" t="str">
            <v>2023</v>
          </cell>
        </row>
        <row r="1268">
          <cell r="D1268" t="str">
            <v>2023</v>
          </cell>
        </row>
        <row r="1269">
          <cell r="D1269" t="str">
            <v>2023</v>
          </cell>
        </row>
        <row r="1270">
          <cell r="D1270" t="str">
            <v>2023</v>
          </cell>
        </row>
        <row r="1271">
          <cell r="D1271" t="str">
            <v>2023</v>
          </cell>
        </row>
        <row r="1272">
          <cell r="D1272" t="str">
            <v>2023</v>
          </cell>
        </row>
        <row r="1273">
          <cell r="D1273" t="str">
            <v>2023</v>
          </cell>
        </row>
        <row r="1274">
          <cell r="D1274" t="str">
            <v>2023</v>
          </cell>
        </row>
        <row r="1275">
          <cell r="D1275" t="str">
            <v>2023</v>
          </cell>
        </row>
        <row r="1276">
          <cell r="D1276" t="str">
            <v>2023</v>
          </cell>
        </row>
        <row r="1277">
          <cell r="D1277" t="str">
            <v>2023</v>
          </cell>
        </row>
        <row r="1278">
          <cell r="D1278" t="str">
            <v>2023</v>
          </cell>
        </row>
        <row r="1279">
          <cell r="D1279" t="str">
            <v>2024</v>
          </cell>
        </row>
        <row r="1280">
          <cell r="D1280" t="str">
            <v>2023</v>
          </cell>
        </row>
        <row r="1281">
          <cell r="D1281" t="str">
            <v>2023</v>
          </cell>
        </row>
        <row r="1282">
          <cell r="D1282" t="str">
            <v>2023</v>
          </cell>
        </row>
        <row r="1283">
          <cell r="D1283" t="str">
            <v>2024</v>
          </cell>
        </row>
        <row r="1284">
          <cell r="D1284" t="str">
            <v>2023</v>
          </cell>
        </row>
        <row r="1285">
          <cell r="D1285" t="str">
            <v>2023</v>
          </cell>
        </row>
        <row r="1286">
          <cell r="D1286" t="str">
            <v>2023</v>
          </cell>
        </row>
        <row r="1287">
          <cell r="D1287" t="str">
            <v>2023</v>
          </cell>
        </row>
        <row r="1288">
          <cell r="D1288" t="str">
            <v>2023</v>
          </cell>
        </row>
        <row r="1289">
          <cell r="D1289" t="str">
            <v>2023</v>
          </cell>
        </row>
        <row r="1290">
          <cell r="D1290" t="str">
            <v>2023</v>
          </cell>
        </row>
        <row r="1291">
          <cell r="D1291" t="str">
            <v>2023</v>
          </cell>
        </row>
        <row r="1292">
          <cell r="D1292" t="str">
            <v>2023</v>
          </cell>
        </row>
        <row r="1293">
          <cell r="D1293" t="str">
            <v>2023</v>
          </cell>
        </row>
        <row r="1294">
          <cell r="D1294" t="str">
            <v>2023</v>
          </cell>
        </row>
        <row r="1295">
          <cell r="D1295" t="str">
            <v>2023</v>
          </cell>
        </row>
        <row r="1296">
          <cell r="D1296" t="str">
            <v>2023</v>
          </cell>
        </row>
        <row r="1297">
          <cell r="D1297" t="str">
            <v>2023</v>
          </cell>
        </row>
        <row r="1298">
          <cell r="D1298" t="str">
            <v>2023</v>
          </cell>
        </row>
        <row r="1299">
          <cell r="D1299" t="str">
            <v>2022</v>
          </cell>
        </row>
        <row r="1300">
          <cell r="D1300" t="str">
            <v>2023</v>
          </cell>
        </row>
        <row r="1301">
          <cell r="D1301" t="str">
            <v>2023</v>
          </cell>
        </row>
        <row r="1302">
          <cell r="D1302" t="str">
            <v>2023</v>
          </cell>
        </row>
        <row r="1303">
          <cell r="D1303" t="str">
            <v>2024</v>
          </cell>
        </row>
        <row r="1304">
          <cell r="D1304" t="str">
            <v>2023</v>
          </cell>
        </row>
        <row r="1305">
          <cell r="D1305" t="str">
            <v>2023</v>
          </cell>
        </row>
        <row r="1306">
          <cell r="D1306" t="str">
            <v>2023</v>
          </cell>
        </row>
        <row r="1307">
          <cell r="D1307" t="str">
            <v>2023</v>
          </cell>
        </row>
        <row r="1308">
          <cell r="D1308" t="str">
            <v>2023</v>
          </cell>
        </row>
        <row r="1309">
          <cell r="D1309" t="str">
            <v>2023</v>
          </cell>
        </row>
        <row r="1310">
          <cell r="D1310" t="str">
            <v>2023</v>
          </cell>
        </row>
        <row r="1311">
          <cell r="D1311" t="str">
            <v>2023</v>
          </cell>
        </row>
        <row r="1312">
          <cell r="D1312" t="str">
            <v>2023</v>
          </cell>
        </row>
        <row r="1313">
          <cell r="D1313" t="str">
            <v>2023</v>
          </cell>
        </row>
        <row r="1314">
          <cell r="D1314" t="str">
            <v>2023</v>
          </cell>
        </row>
        <row r="1315">
          <cell r="D1315" t="str">
            <v>2023</v>
          </cell>
        </row>
        <row r="1316">
          <cell r="D1316" t="str">
            <v>2023</v>
          </cell>
        </row>
        <row r="1317">
          <cell r="D1317" t="str">
            <v>2023</v>
          </cell>
        </row>
        <row r="1318">
          <cell r="D1318" t="str">
            <v>2023</v>
          </cell>
        </row>
        <row r="1319">
          <cell r="D1319" t="str">
            <v>2023</v>
          </cell>
        </row>
        <row r="1320">
          <cell r="D1320" t="str">
            <v>2023</v>
          </cell>
        </row>
        <row r="1321">
          <cell r="D1321" t="str">
            <v>2023</v>
          </cell>
        </row>
        <row r="1322">
          <cell r="D1322" t="str">
            <v>2024</v>
          </cell>
        </row>
        <row r="1323">
          <cell r="D1323" t="str">
            <v>2023</v>
          </cell>
        </row>
        <row r="1324">
          <cell r="D1324" t="str">
            <v>2023</v>
          </cell>
        </row>
        <row r="1325">
          <cell r="D1325" t="str">
            <v>2023</v>
          </cell>
        </row>
        <row r="1326">
          <cell r="D1326" t="str">
            <v>2023</v>
          </cell>
        </row>
        <row r="1327">
          <cell r="D1327" t="str">
            <v>2023</v>
          </cell>
        </row>
        <row r="1328">
          <cell r="D1328" t="str">
            <v>2023</v>
          </cell>
        </row>
        <row r="1329">
          <cell r="D1329" t="str">
            <v>2023</v>
          </cell>
        </row>
        <row r="1330">
          <cell r="D1330" t="str">
            <v>2023</v>
          </cell>
        </row>
        <row r="1331">
          <cell r="D1331" t="str">
            <v>2023</v>
          </cell>
        </row>
        <row r="1332">
          <cell r="D1332" t="str">
            <v>2023</v>
          </cell>
        </row>
        <row r="1333">
          <cell r="D1333" t="str">
            <v>2024</v>
          </cell>
        </row>
        <row r="1334">
          <cell r="D1334" t="str">
            <v>2022</v>
          </cell>
        </row>
        <row r="1335">
          <cell r="D1335" t="str">
            <v>2023</v>
          </cell>
        </row>
        <row r="1336">
          <cell r="D1336" t="str">
            <v>2023</v>
          </cell>
        </row>
        <row r="1337">
          <cell r="D1337" t="str">
            <v>2023</v>
          </cell>
        </row>
        <row r="1338">
          <cell r="D1338" t="str">
            <v>2023</v>
          </cell>
        </row>
        <row r="1339">
          <cell r="D1339" t="str">
            <v>2023</v>
          </cell>
        </row>
        <row r="1340">
          <cell r="D1340" t="str">
            <v>2023</v>
          </cell>
        </row>
        <row r="1341">
          <cell r="D1341" t="str">
            <v>2023</v>
          </cell>
        </row>
        <row r="1342">
          <cell r="D1342" t="str">
            <v>2024</v>
          </cell>
        </row>
        <row r="1343">
          <cell r="D1343" t="str">
            <v>2024</v>
          </cell>
        </row>
        <row r="1344">
          <cell r="D1344" t="str">
            <v>2023</v>
          </cell>
        </row>
        <row r="1345">
          <cell r="D1345" t="str">
            <v>2023</v>
          </cell>
        </row>
        <row r="1346">
          <cell r="D1346" t="str">
            <v>2023</v>
          </cell>
        </row>
        <row r="1347">
          <cell r="D1347" t="str">
            <v>2023</v>
          </cell>
        </row>
        <row r="1348">
          <cell r="D1348" t="str">
            <v>2023</v>
          </cell>
        </row>
        <row r="1349">
          <cell r="D1349" t="str">
            <v>2023</v>
          </cell>
        </row>
        <row r="1350">
          <cell r="D1350" t="str">
            <v>2023</v>
          </cell>
        </row>
        <row r="1351">
          <cell r="D1351" t="str">
            <v>2023</v>
          </cell>
        </row>
        <row r="1352">
          <cell r="D1352" t="str">
            <v>2023</v>
          </cell>
        </row>
        <row r="1353">
          <cell r="D1353" t="str">
            <v>2023</v>
          </cell>
        </row>
        <row r="1354">
          <cell r="D1354" t="str">
            <v>2023</v>
          </cell>
        </row>
        <row r="1355">
          <cell r="D1355" t="str">
            <v>2023</v>
          </cell>
        </row>
        <row r="1356">
          <cell r="D1356" t="str">
            <v>2021</v>
          </cell>
        </row>
        <row r="1357">
          <cell r="D1357" t="str">
            <v>2023</v>
          </cell>
        </row>
        <row r="1358">
          <cell r="D1358" t="str">
            <v>2023</v>
          </cell>
        </row>
        <row r="1359">
          <cell r="D1359" t="str">
            <v>2023</v>
          </cell>
        </row>
        <row r="1360">
          <cell r="D1360" t="str">
            <v>2023</v>
          </cell>
        </row>
        <row r="1361">
          <cell r="D1361" t="str">
            <v>2023</v>
          </cell>
        </row>
        <row r="1362">
          <cell r="D1362" t="str">
            <v>2023</v>
          </cell>
        </row>
        <row r="1363">
          <cell r="D1363" t="str">
            <v>2023</v>
          </cell>
        </row>
        <row r="1364">
          <cell r="D1364" t="str">
            <v>2023</v>
          </cell>
        </row>
        <row r="1365">
          <cell r="D1365" t="str">
            <v>2024</v>
          </cell>
        </row>
        <row r="1366">
          <cell r="D1366" t="str">
            <v>2023</v>
          </cell>
        </row>
        <row r="1367">
          <cell r="D1367" t="str">
            <v>2023</v>
          </cell>
        </row>
        <row r="1368">
          <cell r="D1368" t="str">
            <v>2023</v>
          </cell>
        </row>
        <row r="1369">
          <cell r="D1369" t="str">
            <v>2023</v>
          </cell>
        </row>
        <row r="1370">
          <cell r="D1370" t="str">
            <v>2023</v>
          </cell>
        </row>
        <row r="1371">
          <cell r="D1371" t="str">
            <v>2023</v>
          </cell>
        </row>
        <row r="1372">
          <cell r="D1372" t="str">
            <v>2024</v>
          </cell>
        </row>
        <row r="1373">
          <cell r="D1373" t="str">
            <v>2023</v>
          </cell>
        </row>
        <row r="1374">
          <cell r="D1374" t="str">
            <v>2023</v>
          </cell>
        </row>
        <row r="1375">
          <cell r="D1375" t="str">
            <v>2024</v>
          </cell>
        </row>
        <row r="1376">
          <cell r="D1376" t="str">
            <v>2023</v>
          </cell>
        </row>
        <row r="1377">
          <cell r="D1377" t="str">
            <v>2023</v>
          </cell>
        </row>
        <row r="1378">
          <cell r="D1378" t="str">
            <v>2024</v>
          </cell>
        </row>
        <row r="1379">
          <cell r="D1379" t="str">
            <v>2023</v>
          </cell>
        </row>
        <row r="1380">
          <cell r="D1380" t="str">
            <v>2024</v>
          </cell>
        </row>
        <row r="1381">
          <cell r="D1381" t="str">
            <v>2023</v>
          </cell>
        </row>
        <row r="1382">
          <cell r="D1382" t="str">
            <v>2024</v>
          </cell>
        </row>
        <row r="1383">
          <cell r="D1383" t="str">
            <v>2021</v>
          </cell>
        </row>
        <row r="1384">
          <cell r="D1384" t="str">
            <v>2023</v>
          </cell>
        </row>
        <row r="1385">
          <cell r="D1385" t="str">
            <v>2023</v>
          </cell>
        </row>
        <row r="1386">
          <cell r="D1386" t="str">
            <v>2023</v>
          </cell>
        </row>
        <row r="1387">
          <cell r="D1387" t="str">
            <v>2023</v>
          </cell>
        </row>
        <row r="1388">
          <cell r="D1388" t="str">
            <v>2023</v>
          </cell>
        </row>
        <row r="1389">
          <cell r="D1389" t="str">
            <v>2024</v>
          </cell>
        </row>
        <row r="1390">
          <cell r="D1390" t="str">
            <v>2024</v>
          </cell>
        </row>
        <row r="1391">
          <cell r="D1391" t="str">
            <v>2023</v>
          </cell>
        </row>
        <row r="1392">
          <cell r="D1392" t="str">
            <v>2024</v>
          </cell>
        </row>
        <row r="1393">
          <cell r="D1393" t="str">
            <v>2022</v>
          </cell>
        </row>
        <row r="1394">
          <cell r="D1394" t="str">
            <v>2023</v>
          </cell>
        </row>
        <row r="1395">
          <cell r="D1395" t="str">
            <v>2023</v>
          </cell>
        </row>
        <row r="1396">
          <cell r="D1396" t="str">
            <v>2023</v>
          </cell>
        </row>
        <row r="1397">
          <cell r="D1397" t="str">
            <v>2023</v>
          </cell>
        </row>
        <row r="1398">
          <cell r="D1398" t="str">
            <v>2023</v>
          </cell>
        </row>
        <row r="1399">
          <cell r="D1399" t="str">
            <v>2024</v>
          </cell>
        </row>
        <row r="1400">
          <cell r="D1400" t="str">
            <v>2024</v>
          </cell>
        </row>
        <row r="1401">
          <cell r="D1401" t="str">
            <v>2024</v>
          </cell>
        </row>
        <row r="1402">
          <cell r="D1402" t="str">
            <v>2023</v>
          </cell>
        </row>
        <row r="1403">
          <cell r="D1403" t="str">
            <v>2023</v>
          </cell>
        </row>
        <row r="1404">
          <cell r="D1404" t="str">
            <v>2024</v>
          </cell>
        </row>
        <row r="1405">
          <cell r="D1405" t="str">
            <v>2023</v>
          </cell>
        </row>
        <row r="1406">
          <cell r="D1406" t="str">
            <v>2023</v>
          </cell>
        </row>
        <row r="1407">
          <cell r="D1407" t="str">
            <v>2023</v>
          </cell>
        </row>
        <row r="1408">
          <cell r="D1408" t="str">
            <v>2023</v>
          </cell>
        </row>
        <row r="1409">
          <cell r="D1409" t="str">
            <v>2024</v>
          </cell>
        </row>
        <row r="1410">
          <cell r="D1410" t="str">
            <v>2023</v>
          </cell>
        </row>
        <row r="1411">
          <cell r="D1411" t="str">
            <v>2024</v>
          </cell>
        </row>
        <row r="1412">
          <cell r="D1412" t="str">
            <v>2023</v>
          </cell>
        </row>
        <row r="1413">
          <cell r="D1413" t="str">
            <v>2023</v>
          </cell>
        </row>
        <row r="1414">
          <cell r="D1414" t="str">
            <v>2023</v>
          </cell>
        </row>
        <row r="1415">
          <cell r="D1415" t="str">
            <v>2024</v>
          </cell>
        </row>
        <row r="1416">
          <cell r="D1416" t="str">
            <v>2024</v>
          </cell>
        </row>
        <row r="1417">
          <cell r="D1417" t="str">
            <v>2023</v>
          </cell>
        </row>
        <row r="1418">
          <cell r="D1418" t="str">
            <v>2023</v>
          </cell>
        </row>
        <row r="1419">
          <cell r="D1419" t="str">
            <v>2024</v>
          </cell>
        </row>
        <row r="1420">
          <cell r="D1420" t="str">
            <v>2024</v>
          </cell>
        </row>
        <row r="1421">
          <cell r="D1421" t="str">
            <v>2023</v>
          </cell>
        </row>
        <row r="1422">
          <cell r="D1422" t="str">
            <v>2024</v>
          </cell>
        </row>
        <row r="1423">
          <cell r="D1423" t="str">
            <v>2024</v>
          </cell>
        </row>
        <row r="1424">
          <cell r="D1424" t="str">
            <v>2022</v>
          </cell>
        </row>
        <row r="1425">
          <cell r="D1425" t="str">
            <v>2023</v>
          </cell>
        </row>
        <row r="1426">
          <cell r="D1426" t="str">
            <v>2024</v>
          </cell>
        </row>
        <row r="1427">
          <cell r="D1427" t="str">
            <v>2023</v>
          </cell>
        </row>
        <row r="1428">
          <cell r="D1428" t="str">
            <v>2023</v>
          </cell>
        </row>
        <row r="1429">
          <cell r="D1429" t="str">
            <v>2022</v>
          </cell>
        </row>
        <row r="1430">
          <cell r="D1430" t="str">
            <v>2023</v>
          </cell>
        </row>
        <row r="1431">
          <cell r="D1431" t="str">
            <v>2022</v>
          </cell>
        </row>
        <row r="1432">
          <cell r="D1432" t="str">
            <v>2021</v>
          </cell>
        </row>
        <row r="1433">
          <cell r="D1433" t="str">
            <v>2023</v>
          </cell>
        </row>
        <row r="1434">
          <cell r="D1434" t="str">
            <v>2022</v>
          </cell>
        </row>
        <row r="1435">
          <cell r="D1435" t="str">
            <v>2023</v>
          </cell>
        </row>
        <row r="1436">
          <cell r="D1436" t="str">
            <v>2022</v>
          </cell>
        </row>
        <row r="1437">
          <cell r="D1437" t="str">
            <v>2021</v>
          </cell>
        </row>
        <row r="1438">
          <cell r="D1438" t="str">
            <v>2021</v>
          </cell>
        </row>
        <row r="1439">
          <cell r="D1439" t="str">
            <v>2023</v>
          </cell>
        </row>
        <row r="1440">
          <cell r="D1440" t="str">
            <v>2021</v>
          </cell>
        </row>
        <row r="1441">
          <cell r="D1441" t="str">
            <v>2021</v>
          </cell>
        </row>
        <row r="1442">
          <cell r="D1442" t="str">
            <v>2021</v>
          </cell>
        </row>
        <row r="1443">
          <cell r="D1443" t="str">
            <v>2021</v>
          </cell>
        </row>
        <row r="1444">
          <cell r="D1444" t="str">
            <v>2023</v>
          </cell>
        </row>
        <row r="1445">
          <cell r="D1445" t="str">
            <v>2021</v>
          </cell>
        </row>
        <row r="1446">
          <cell r="D1446" t="str">
            <v>2022</v>
          </cell>
        </row>
        <row r="1447">
          <cell r="D1447" t="str">
            <v>2023</v>
          </cell>
        </row>
        <row r="1448">
          <cell r="D1448" t="str">
            <v>2023</v>
          </cell>
        </row>
        <row r="1449">
          <cell r="D1449" t="str">
            <v>2023</v>
          </cell>
        </row>
        <row r="1450">
          <cell r="D1450" t="str">
            <v>2023</v>
          </cell>
        </row>
        <row r="1451">
          <cell r="D1451" t="str">
            <v>2023</v>
          </cell>
        </row>
        <row r="1452">
          <cell r="D1452" t="str">
            <v>2021</v>
          </cell>
        </row>
        <row r="1453">
          <cell r="D1453" t="str">
            <v>2023</v>
          </cell>
        </row>
        <row r="1454">
          <cell r="D1454" t="str">
            <v>2021</v>
          </cell>
        </row>
        <row r="1455">
          <cell r="D1455" t="str">
            <v>2023</v>
          </cell>
        </row>
        <row r="1456">
          <cell r="D1456" t="str">
            <v>2022</v>
          </cell>
        </row>
        <row r="1457">
          <cell r="D1457" t="str">
            <v>2021</v>
          </cell>
        </row>
        <row r="1458">
          <cell r="D1458" t="str">
            <v>2023</v>
          </cell>
        </row>
        <row r="1459">
          <cell r="D1459" t="str">
            <v>2023</v>
          </cell>
        </row>
        <row r="1460">
          <cell r="D1460" t="str">
            <v>2022</v>
          </cell>
        </row>
        <row r="1461">
          <cell r="D1461" t="str">
            <v>2023</v>
          </cell>
        </row>
        <row r="1462">
          <cell r="D1462" t="str">
            <v>2023</v>
          </cell>
        </row>
        <row r="1463">
          <cell r="D1463" t="str">
            <v>2022</v>
          </cell>
        </row>
        <row r="1464">
          <cell r="D1464" t="str">
            <v>2021</v>
          </cell>
        </row>
        <row r="1465">
          <cell r="D1465" t="str">
            <v>2022</v>
          </cell>
        </row>
        <row r="1466">
          <cell r="D1466" t="str">
            <v>2023</v>
          </cell>
        </row>
        <row r="1467">
          <cell r="D1467" t="str">
            <v>2023</v>
          </cell>
        </row>
        <row r="1468">
          <cell r="D1468" t="str">
            <v>2021</v>
          </cell>
        </row>
        <row r="1469">
          <cell r="D1469" t="str">
            <v>2023</v>
          </cell>
        </row>
        <row r="1470">
          <cell r="D1470" t="str">
            <v>2023</v>
          </cell>
        </row>
        <row r="1471">
          <cell r="D1471" t="str">
            <v>2022</v>
          </cell>
        </row>
        <row r="1472">
          <cell r="D1472" t="str">
            <v>2023</v>
          </cell>
        </row>
        <row r="1473">
          <cell r="D1473" t="str">
            <v>2024</v>
          </cell>
        </row>
        <row r="1474">
          <cell r="D1474" t="str">
            <v>2021</v>
          </cell>
        </row>
        <row r="1475">
          <cell r="D1475" t="str">
            <v>2023</v>
          </cell>
        </row>
        <row r="1476">
          <cell r="D1476" t="str">
            <v>2023</v>
          </cell>
        </row>
        <row r="1477">
          <cell r="D1477" t="str">
            <v>2023</v>
          </cell>
        </row>
        <row r="1478">
          <cell r="D1478" t="str">
            <v>2023</v>
          </cell>
        </row>
        <row r="1479">
          <cell r="D1479" t="str">
            <v>2023</v>
          </cell>
        </row>
        <row r="1480">
          <cell r="D1480" t="str">
            <v>2023</v>
          </cell>
        </row>
        <row r="1481">
          <cell r="D1481" t="str">
            <v>2021</v>
          </cell>
        </row>
        <row r="1482">
          <cell r="D1482" t="str">
            <v>2023</v>
          </cell>
        </row>
        <row r="1483">
          <cell r="D1483" t="str">
            <v>2022</v>
          </cell>
        </row>
        <row r="1484">
          <cell r="D1484" t="str">
            <v>2021</v>
          </cell>
        </row>
        <row r="1485">
          <cell r="D1485" t="str">
            <v>2023</v>
          </cell>
        </row>
        <row r="1486">
          <cell r="D1486" t="str">
            <v>2022</v>
          </cell>
        </row>
        <row r="1487">
          <cell r="D1487" t="str">
            <v>2023</v>
          </cell>
        </row>
        <row r="1488">
          <cell r="D1488" t="str">
            <v>2021</v>
          </cell>
        </row>
        <row r="1489">
          <cell r="D1489" t="str">
            <v>2022</v>
          </cell>
        </row>
        <row r="1490">
          <cell r="D1490" t="str">
            <v>2022</v>
          </cell>
        </row>
        <row r="1491">
          <cell r="D1491" t="str">
            <v>2023</v>
          </cell>
        </row>
        <row r="1492">
          <cell r="D1492" t="str">
            <v>2021</v>
          </cell>
        </row>
        <row r="1493">
          <cell r="D1493" t="str">
            <v>2023</v>
          </cell>
        </row>
        <row r="1494">
          <cell r="D1494" t="str">
            <v>2023</v>
          </cell>
        </row>
        <row r="1495">
          <cell r="D1495" t="str">
            <v>2022</v>
          </cell>
        </row>
        <row r="1496">
          <cell r="D1496" t="str">
            <v>2023</v>
          </cell>
        </row>
        <row r="1497">
          <cell r="D1497" t="str">
            <v>2023</v>
          </cell>
        </row>
        <row r="1498">
          <cell r="D1498" t="str">
            <v>2021</v>
          </cell>
        </row>
        <row r="1499">
          <cell r="D1499" t="str">
            <v>2022</v>
          </cell>
        </row>
        <row r="1500">
          <cell r="D1500" t="str">
            <v>2023</v>
          </cell>
        </row>
        <row r="1501">
          <cell r="D1501" t="str">
            <v>2023</v>
          </cell>
        </row>
        <row r="1502">
          <cell r="D1502" t="str">
            <v>2021</v>
          </cell>
        </row>
        <row r="1503">
          <cell r="D1503" t="str">
            <v>2023</v>
          </cell>
        </row>
        <row r="1504">
          <cell r="D1504" t="str">
            <v>2021</v>
          </cell>
        </row>
        <row r="1505">
          <cell r="D1505" t="str">
            <v>2023</v>
          </cell>
        </row>
        <row r="1506">
          <cell r="D1506" t="str">
            <v>2023</v>
          </cell>
        </row>
        <row r="1507">
          <cell r="D1507" t="str">
            <v>2021</v>
          </cell>
        </row>
        <row r="1508">
          <cell r="D1508" t="str">
            <v>2022</v>
          </cell>
        </row>
        <row r="1509">
          <cell r="D1509" t="str">
            <v>2023</v>
          </cell>
        </row>
        <row r="1510">
          <cell r="D1510" t="str">
            <v>2023</v>
          </cell>
        </row>
        <row r="1511">
          <cell r="D1511" t="str">
            <v>2021</v>
          </cell>
        </row>
        <row r="1512">
          <cell r="D1512" t="str">
            <v>2021</v>
          </cell>
        </row>
        <row r="1513">
          <cell r="D1513" t="str">
            <v>2023</v>
          </cell>
        </row>
        <row r="1514">
          <cell r="D1514" t="str">
            <v>2023</v>
          </cell>
        </row>
        <row r="1515">
          <cell r="D1515" t="str">
            <v>2022</v>
          </cell>
        </row>
        <row r="1516">
          <cell r="D1516" t="str">
            <v>2023</v>
          </cell>
        </row>
        <row r="1517">
          <cell r="D1517" t="str">
            <v>2021</v>
          </cell>
        </row>
        <row r="1518">
          <cell r="D1518" t="str">
            <v>2021</v>
          </cell>
        </row>
        <row r="1519">
          <cell r="D1519" t="str">
            <v>2021</v>
          </cell>
        </row>
        <row r="1520">
          <cell r="D1520" t="str">
            <v>2023</v>
          </cell>
        </row>
        <row r="1521">
          <cell r="D1521" t="str">
            <v>2023</v>
          </cell>
        </row>
        <row r="1522">
          <cell r="D1522" t="str">
            <v>2021</v>
          </cell>
        </row>
        <row r="1523">
          <cell r="D1523" t="str">
            <v>2021</v>
          </cell>
        </row>
        <row r="1524">
          <cell r="D1524" t="str">
            <v>2023</v>
          </cell>
        </row>
        <row r="1525">
          <cell r="D1525" t="str">
            <v>2022</v>
          </cell>
        </row>
        <row r="1526">
          <cell r="D1526" t="str">
            <v>2022</v>
          </cell>
        </row>
        <row r="1527">
          <cell r="D1527" t="str">
            <v>2022</v>
          </cell>
        </row>
        <row r="1528">
          <cell r="D1528" t="str">
            <v>2022</v>
          </cell>
        </row>
        <row r="1529">
          <cell r="D1529" t="str">
            <v>2023</v>
          </cell>
        </row>
        <row r="1530">
          <cell r="D1530" t="str">
            <v>2022</v>
          </cell>
        </row>
        <row r="1531">
          <cell r="D1531" t="str">
            <v>2023</v>
          </cell>
        </row>
        <row r="1532">
          <cell r="D1532" t="str">
            <v>2023</v>
          </cell>
        </row>
        <row r="1533">
          <cell r="D1533" t="str">
            <v>2021</v>
          </cell>
        </row>
        <row r="1534">
          <cell r="D1534" t="str">
            <v>2022</v>
          </cell>
        </row>
        <row r="1535">
          <cell r="D1535" t="str">
            <v>2023</v>
          </cell>
        </row>
        <row r="1536">
          <cell r="D1536" t="str">
            <v>2022</v>
          </cell>
        </row>
        <row r="1537">
          <cell r="D1537" t="str">
            <v>2023</v>
          </cell>
        </row>
        <row r="1538">
          <cell r="D1538" t="str">
            <v>2023</v>
          </cell>
        </row>
        <row r="1539">
          <cell r="D1539" t="str">
            <v>2023</v>
          </cell>
        </row>
        <row r="1540">
          <cell r="D1540" t="str">
            <v>2021</v>
          </cell>
        </row>
        <row r="1541">
          <cell r="D1541" t="str">
            <v>2023</v>
          </cell>
        </row>
        <row r="1542">
          <cell r="D1542" t="str">
            <v>2022</v>
          </cell>
        </row>
        <row r="1543">
          <cell r="D1543" t="str">
            <v>2023</v>
          </cell>
        </row>
        <row r="1544">
          <cell r="D1544" t="str">
            <v>2021</v>
          </cell>
        </row>
        <row r="1545">
          <cell r="D1545" t="str">
            <v>2023</v>
          </cell>
        </row>
        <row r="1546">
          <cell r="D1546" t="str">
            <v>2023</v>
          </cell>
        </row>
        <row r="1547">
          <cell r="D1547" t="str">
            <v>2021</v>
          </cell>
        </row>
        <row r="1548">
          <cell r="D1548" t="str">
            <v>2023</v>
          </cell>
        </row>
        <row r="1549">
          <cell r="D1549" t="str">
            <v>2021</v>
          </cell>
        </row>
        <row r="1550">
          <cell r="D1550" t="str">
            <v>2023</v>
          </cell>
        </row>
        <row r="1551">
          <cell r="D1551" t="str">
            <v>2023</v>
          </cell>
        </row>
        <row r="1552">
          <cell r="D1552" t="str">
            <v>2022</v>
          </cell>
        </row>
        <row r="1553">
          <cell r="D1553" t="str">
            <v>2023</v>
          </cell>
        </row>
        <row r="1554">
          <cell r="D1554" t="str">
            <v>2023</v>
          </cell>
        </row>
        <row r="1555">
          <cell r="D1555" t="str">
            <v>2023</v>
          </cell>
        </row>
        <row r="1556">
          <cell r="D1556" t="str">
            <v>2023</v>
          </cell>
        </row>
        <row r="1557">
          <cell r="D1557" t="str">
            <v>2023</v>
          </cell>
        </row>
        <row r="1558">
          <cell r="D1558" t="str">
            <v>2023</v>
          </cell>
        </row>
        <row r="1559">
          <cell r="D1559" t="str">
            <v>2022</v>
          </cell>
        </row>
        <row r="1560">
          <cell r="D1560" t="str">
            <v>2023</v>
          </cell>
        </row>
        <row r="1561">
          <cell r="D1561" t="str">
            <v>2023</v>
          </cell>
        </row>
        <row r="1562">
          <cell r="D1562" t="str">
            <v>2023</v>
          </cell>
        </row>
        <row r="1563">
          <cell r="D1563" t="str">
            <v>2023</v>
          </cell>
        </row>
        <row r="1564">
          <cell r="D1564" t="str">
            <v>2023</v>
          </cell>
        </row>
        <row r="1565">
          <cell r="D1565" t="str">
            <v>2023</v>
          </cell>
        </row>
        <row r="1566">
          <cell r="D1566" t="str">
            <v>2021</v>
          </cell>
        </row>
        <row r="1567">
          <cell r="D1567" t="str">
            <v>2023</v>
          </cell>
        </row>
        <row r="1568">
          <cell r="D1568" t="str">
            <v>2023</v>
          </cell>
        </row>
        <row r="1569">
          <cell r="D1569" t="str">
            <v>2023</v>
          </cell>
        </row>
        <row r="1570">
          <cell r="D1570" t="str">
            <v>2022</v>
          </cell>
        </row>
        <row r="1571">
          <cell r="D1571" t="str">
            <v>2023</v>
          </cell>
        </row>
        <row r="1572">
          <cell r="D1572" t="str">
            <v>2023</v>
          </cell>
        </row>
        <row r="1573">
          <cell r="D1573" t="str">
            <v>2021</v>
          </cell>
        </row>
        <row r="1574">
          <cell r="D1574" t="str">
            <v>2023</v>
          </cell>
        </row>
        <row r="1575">
          <cell r="D1575" t="str">
            <v>2023</v>
          </cell>
        </row>
        <row r="1576">
          <cell r="D1576" t="str">
            <v>2023</v>
          </cell>
        </row>
        <row r="1577">
          <cell r="D1577" t="str">
            <v>2023</v>
          </cell>
        </row>
        <row r="1578">
          <cell r="D1578" t="str">
            <v>2023</v>
          </cell>
        </row>
        <row r="1579">
          <cell r="D1579" t="str">
            <v>2022</v>
          </cell>
        </row>
        <row r="1580">
          <cell r="D1580" t="str">
            <v>2022</v>
          </cell>
        </row>
        <row r="1581">
          <cell r="D1581" t="str">
            <v>2023</v>
          </cell>
        </row>
        <row r="1582">
          <cell r="D1582" t="str">
            <v>2023</v>
          </cell>
        </row>
        <row r="1583">
          <cell r="D1583" t="str">
            <v>2023</v>
          </cell>
        </row>
        <row r="1584">
          <cell r="D1584" t="str">
            <v>2023</v>
          </cell>
        </row>
        <row r="1585">
          <cell r="D1585" t="str">
            <v>2022</v>
          </cell>
        </row>
        <row r="1586">
          <cell r="D1586" t="str">
            <v>2023</v>
          </cell>
        </row>
        <row r="1587">
          <cell r="D1587" t="str">
            <v>2023</v>
          </cell>
        </row>
        <row r="1588">
          <cell r="D1588" t="str">
            <v>2023</v>
          </cell>
        </row>
        <row r="1589">
          <cell r="D1589" t="str">
            <v>2023</v>
          </cell>
        </row>
        <row r="1590">
          <cell r="D1590" t="str">
            <v>2022</v>
          </cell>
        </row>
        <row r="1591">
          <cell r="D1591" t="str">
            <v>2023</v>
          </cell>
        </row>
        <row r="1592">
          <cell r="D1592" t="str">
            <v>2023</v>
          </cell>
        </row>
        <row r="1593">
          <cell r="D1593" t="str">
            <v>2022</v>
          </cell>
        </row>
        <row r="1594">
          <cell r="D1594" t="str">
            <v>2023</v>
          </cell>
        </row>
        <row r="1595">
          <cell r="D1595" t="str">
            <v>2023</v>
          </cell>
        </row>
        <row r="1596">
          <cell r="D1596" t="str">
            <v>2021</v>
          </cell>
        </row>
        <row r="1597">
          <cell r="D1597" t="str">
            <v>2023</v>
          </cell>
        </row>
        <row r="1598">
          <cell r="D1598" t="str">
            <v>2022</v>
          </cell>
        </row>
        <row r="1599">
          <cell r="D1599" t="str">
            <v>2023</v>
          </cell>
        </row>
        <row r="1600">
          <cell r="D1600" t="str">
            <v>2023</v>
          </cell>
        </row>
        <row r="1601">
          <cell r="D1601" t="str">
            <v>2023</v>
          </cell>
        </row>
        <row r="1602">
          <cell r="D1602" t="str">
            <v>2023</v>
          </cell>
        </row>
        <row r="1603">
          <cell r="D1603" t="str">
            <v>2023</v>
          </cell>
        </row>
        <row r="1604">
          <cell r="D1604" t="str">
            <v>2023</v>
          </cell>
        </row>
        <row r="1605">
          <cell r="D1605" t="str">
            <v>2023</v>
          </cell>
        </row>
        <row r="1606">
          <cell r="D1606" t="str">
            <v>2021</v>
          </cell>
        </row>
        <row r="1607">
          <cell r="D1607" t="str">
            <v>2021</v>
          </cell>
        </row>
        <row r="1608">
          <cell r="D1608" t="str">
            <v>2021</v>
          </cell>
        </row>
        <row r="1609">
          <cell r="D1609" t="str">
            <v>2021</v>
          </cell>
        </row>
        <row r="1610">
          <cell r="D1610" t="str">
            <v>2023</v>
          </cell>
        </row>
        <row r="1611">
          <cell r="D1611" t="str">
            <v>2022</v>
          </cell>
        </row>
        <row r="1612">
          <cell r="D1612" t="str">
            <v>2023</v>
          </cell>
        </row>
        <row r="1613">
          <cell r="D1613" t="str">
            <v>2023</v>
          </cell>
        </row>
        <row r="1614">
          <cell r="D1614" t="str">
            <v>2022</v>
          </cell>
        </row>
        <row r="1615">
          <cell r="D1615" t="str">
            <v>2023</v>
          </cell>
        </row>
        <row r="1616">
          <cell r="D1616" t="str">
            <v>2023</v>
          </cell>
        </row>
        <row r="1617">
          <cell r="D1617" t="str">
            <v>2023</v>
          </cell>
        </row>
        <row r="1618">
          <cell r="D1618" t="str">
            <v>2023</v>
          </cell>
        </row>
        <row r="1619">
          <cell r="D1619" t="str">
            <v>2022</v>
          </cell>
        </row>
        <row r="1620">
          <cell r="D1620" t="str">
            <v>2023</v>
          </cell>
        </row>
        <row r="1621">
          <cell r="D1621" t="str">
            <v>2023</v>
          </cell>
        </row>
        <row r="1622">
          <cell r="D1622" t="str">
            <v>2022</v>
          </cell>
        </row>
        <row r="1623">
          <cell r="D1623" t="str">
            <v>2021</v>
          </cell>
        </row>
        <row r="1624">
          <cell r="D1624" t="str">
            <v>2023</v>
          </cell>
        </row>
        <row r="1625">
          <cell r="D1625" t="str">
            <v>2023</v>
          </cell>
        </row>
        <row r="1626">
          <cell r="D1626" t="str">
            <v>2021</v>
          </cell>
        </row>
        <row r="1627">
          <cell r="D1627" t="str">
            <v>2022</v>
          </cell>
        </row>
        <row r="1628">
          <cell r="D1628" t="str">
            <v>2023</v>
          </cell>
        </row>
        <row r="1629">
          <cell r="D1629" t="str">
            <v>2022</v>
          </cell>
        </row>
        <row r="1630">
          <cell r="D1630" t="str">
            <v>2022</v>
          </cell>
        </row>
        <row r="1631">
          <cell r="D1631" t="str">
            <v>2022</v>
          </cell>
        </row>
        <row r="1632">
          <cell r="D1632" t="str">
            <v>2022</v>
          </cell>
        </row>
        <row r="1633">
          <cell r="D1633" t="str">
            <v>2021</v>
          </cell>
        </row>
        <row r="1634">
          <cell r="D1634" t="str">
            <v>2023</v>
          </cell>
        </row>
        <row r="1635">
          <cell r="D1635" t="str">
            <v>2022</v>
          </cell>
        </row>
        <row r="1636">
          <cell r="D1636" t="str">
            <v>2023</v>
          </cell>
        </row>
        <row r="1637">
          <cell r="D1637" t="str">
            <v>2023</v>
          </cell>
        </row>
        <row r="1638">
          <cell r="D1638" t="str">
            <v>2022</v>
          </cell>
        </row>
        <row r="1639">
          <cell r="D1639" t="str">
            <v>2021</v>
          </cell>
        </row>
        <row r="1640">
          <cell r="D1640" t="str">
            <v>2023</v>
          </cell>
        </row>
        <row r="1641">
          <cell r="D1641" t="str">
            <v>2023</v>
          </cell>
        </row>
        <row r="1642">
          <cell r="D1642" t="str">
            <v>2023</v>
          </cell>
        </row>
        <row r="1643">
          <cell r="D1643" t="str">
            <v>2022</v>
          </cell>
        </row>
        <row r="1644">
          <cell r="D1644" t="str">
            <v>2023</v>
          </cell>
        </row>
        <row r="1645">
          <cell r="D1645" t="str">
            <v>2023</v>
          </cell>
        </row>
        <row r="1646">
          <cell r="D1646" t="str">
            <v>2023</v>
          </cell>
        </row>
        <row r="1647">
          <cell r="D1647" t="str">
            <v>2023</v>
          </cell>
        </row>
        <row r="1648">
          <cell r="D1648" t="str">
            <v>2022</v>
          </cell>
        </row>
        <row r="1649">
          <cell r="D1649" t="str">
            <v>2022</v>
          </cell>
        </row>
        <row r="1650">
          <cell r="D1650" t="str">
            <v>2023</v>
          </cell>
        </row>
        <row r="1651">
          <cell r="D1651" t="str">
            <v>2022</v>
          </cell>
        </row>
        <row r="1652">
          <cell r="D1652" t="str">
            <v>2021</v>
          </cell>
        </row>
        <row r="1653">
          <cell r="D1653" t="str">
            <v>2021</v>
          </cell>
        </row>
        <row r="1654">
          <cell r="D1654" t="str">
            <v>2021</v>
          </cell>
        </row>
        <row r="1655">
          <cell r="D1655" t="str">
            <v>2023</v>
          </cell>
        </row>
        <row r="1656">
          <cell r="D1656" t="str">
            <v>2023</v>
          </cell>
        </row>
        <row r="1657">
          <cell r="D1657" t="str">
            <v>2023</v>
          </cell>
        </row>
        <row r="1658">
          <cell r="D1658" t="str">
            <v>2023</v>
          </cell>
        </row>
        <row r="1659">
          <cell r="D1659" t="str">
            <v>2021</v>
          </cell>
        </row>
        <row r="1660">
          <cell r="D1660" t="str">
            <v>2022</v>
          </cell>
        </row>
        <row r="1661">
          <cell r="D1661" t="str">
            <v>2021</v>
          </cell>
        </row>
        <row r="1662">
          <cell r="D1662" t="str">
            <v>2023</v>
          </cell>
        </row>
        <row r="1663">
          <cell r="D1663" t="str">
            <v>2021</v>
          </cell>
        </row>
        <row r="1664">
          <cell r="D1664" t="str">
            <v>2022</v>
          </cell>
        </row>
        <row r="1665">
          <cell r="D1665" t="str">
            <v>2021</v>
          </cell>
        </row>
        <row r="1666">
          <cell r="D1666" t="str">
            <v>2023</v>
          </cell>
        </row>
        <row r="1667">
          <cell r="D1667" t="str">
            <v>2021</v>
          </cell>
        </row>
        <row r="1668">
          <cell r="D1668" t="str">
            <v>2023</v>
          </cell>
        </row>
        <row r="1669">
          <cell r="D1669" t="str">
            <v>2022</v>
          </cell>
        </row>
        <row r="1670">
          <cell r="D1670" t="str">
            <v>2023</v>
          </cell>
        </row>
        <row r="1671">
          <cell r="D1671" t="str">
            <v>2023</v>
          </cell>
        </row>
        <row r="1672">
          <cell r="D1672" t="str">
            <v>2022</v>
          </cell>
        </row>
        <row r="1673">
          <cell r="D1673" t="str">
            <v>2022</v>
          </cell>
        </row>
        <row r="1674">
          <cell r="D1674" t="str">
            <v>2021</v>
          </cell>
        </row>
        <row r="1675">
          <cell r="D1675" t="str">
            <v>2021</v>
          </cell>
        </row>
        <row r="1676">
          <cell r="D1676" t="str">
            <v>2023</v>
          </cell>
        </row>
        <row r="1677">
          <cell r="D1677" t="str">
            <v>2023</v>
          </cell>
        </row>
        <row r="1678">
          <cell r="D1678" t="str">
            <v>2023</v>
          </cell>
        </row>
        <row r="1679">
          <cell r="D1679" t="str">
            <v>2022</v>
          </cell>
        </row>
        <row r="1680">
          <cell r="D1680" t="str">
            <v>2023</v>
          </cell>
        </row>
        <row r="1681">
          <cell r="D1681" t="str">
            <v>2023</v>
          </cell>
        </row>
        <row r="1682">
          <cell r="D1682" t="str">
            <v>2021</v>
          </cell>
        </row>
        <row r="1683">
          <cell r="D1683" t="str">
            <v>2022</v>
          </cell>
        </row>
        <row r="1684">
          <cell r="D1684" t="str">
            <v>2023</v>
          </cell>
        </row>
        <row r="1685">
          <cell r="D1685" t="str">
            <v>2023</v>
          </cell>
        </row>
        <row r="1686">
          <cell r="D1686" t="str">
            <v>2023</v>
          </cell>
        </row>
        <row r="1687">
          <cell r="D1687" t="str">
            <v>2021</v>
          </cell>
        </row>
        <row r="1688">
          <cell r="D1688" t="str">
            <v>2021</v>
          </cell>
        </row>
        <row r="1689">
          <cell r="D1689" t="str">
            <v>2021</v>
          </cell>
        </row>
        <row r="1690">
          <cell r="D1690" t="str">
            <v>2023</v>
          </cell>
        </row>
        <row r="1691">
          <cell r="D1691" t="str">
            <v>2022</v>
          </cell>
        </row>
        <row r="1692">
          <cell r="D1692" t="str">
            <v>2023</v>
          </cell>
        </row>
        <row r="1693">
          <cell r="D1693" t="str">
            <v>2023</v>
          </cell>
        </row>
        <row r="1694">
          <cell r="D1694" t="str">
            <v>2021</v>
          </cell>
        </row>
        <row r="1695">
          <cell r="D1695" t="str">
            <v>2023</v>
          </cell>
        </row>
        <row r="1696">
          <cell r="D1696" t="str">
            <v>2021</v>
          </cell>
        </row>
        <row r="1697">
          <cell r="D1697" t="str">
            <v>2023</v>
          </cell>
        </row>
        <row r="1698">
          <cell r="D1698" t="str">
            <v>2023</v>
          </cell>
        </row>
        <row r="1699">
          <cell r="D1699" t="str">
            <v>2023</v>
          </cell>
        </row>
        <row r="1700">
          <cell r="D1700" t="str">
            <v>2022</v>
          </cell>
        </row>
        <row r="1701">
          <cell r="D1701" t="str">
            <v>2021</v>
          </cell>
        </row>
        <row r="1702">
          <cell r="D1702" t="str">
            <v>2021</v>
          </cell>
        </row>
        <row r="1703">
          <cell r="D1703" t="str">
            <v>2021</v>
          </cell>
        </row>
        <row r="1704">
          <cell r="D1704" t="str">
            <v>2023</v>
          </cell>
        </row>
        <row r="1705">
          <cell r="D1705" t="str">
            <v>2021</v>
          </cell>
        </row>
        <row r="1706">
          <cell r="D1706" t="str">
            <v>2023</v>
          </cell>
        </row>
        <row r="1707">
          <cell r="D1707" t="str">
            <v>2023</v>
          </cell>
        </row>
        <row r="1708">
          <cell r="D1708" t="str">
            <v>2023</v>
          </cell>
        </row>
        <row r="1709">
          <cell r="D1709" t="str">
            <v>2023</v>
          </cell>
        </row>
        <row r="1710">
          <cell r="D1710" t="str">
            <v>2023</v>
          </cell>
        </row>
        <row r="1711">
          <cell r="D1711" t="str">
            <v>2023</v>
          </cell>
        </row>
        <row r="1712">
          <cell r="D1712" t="str">
            <v>2022</v>
          </cell>
        </row>
        <row r="1713">
          <cell r="D1713" t="str">
            <v>2023</v>
          </cell>
        </row>
        <row r="1714">
          <cell r="D1714" t="str">
            <v>2023</v>
          </cell>
        </row>
        <row r="1715">
          <cell r="D1715" t="str">
            <v>2023</v>
          </cell>
        </row>
        <row r="1716">
          <cell r="D1716" t="str">
            <v>2022</v>
          </cell>
        </row>
        <row r="1717">
          <cell r="D1717" t="str">
            <v>2023</v>
          </cell>
        </row>
        <row r="1718">
          <cell r="D1718" t="str">
            <v>2023</v>
          </cell>
        </row>
        <row r="1719">
          <cell r="D1719" t="str">
            <v>2023</v>
          </cell>
        </row>
        <row r="1720">
          <cell r="D1720" t="str">
            <v>2021</v>
          </cell>
        </row>
        <row r="1721">
          <cell r="D1721" t="str">
            <v>2023</v>
          </cell>
        </row>
        <row r="1722">
          <cell r="D1722" t="str">
            <v>2023</v>
          </cell>
        </row>
        <row r="1723">
          <cell r="D1723" t="str">
            <v>2021</v>
          </cell>
        </row>
        <row r="1724">
          <cell r="D1724" t="str">
            <v>2023</v>
          </cell>
        </row>
        <row r="1725">
          <cell r="D1725" t="str">
            <v>2023</v>
          </cell>
        </row>
        <row r="1726">
          <cell r="D1726" t="str">
            <v>2022</v>
          </cell>
        </row>
        <row r="1727">
          <cell r="D1727" t="str">
            <v>2023</v>
          </cell>
        </row>
        <row r="1728">
          <cell r="D1728" t="str">
            <v>2023</v>
          </cell>
        </row>
        <row r="1729">
          <cell r="D1729" t="str">
            <v>2023</v>
          </cell>
        </row>
        <row r="1730">
          <cell r="D1730" t="str">
            <v>2023</v>
          </cell>
        </row>
        <row r="1731">
          <cell r="D1731" t="str">
            <v>2021</v>
          </cell>
        </row>
        <row r="1732">
          <cell r="D1732" t="str">
            <v>2021</v>
          </cell>
        </row>
        <row r="1733">
          <cell r="D1733" t="str">
            <v>2022</v>
          </cell>
        </row>
        <row r="1734">
          <cell r="D1734" t="str">
            <v>2023</v>
          </cell>
        </row>
        <row r="1735">
          <cell r="D1735" t="str">
            <v>2022</v>
          </cell>
        </row>
        <row r="1736">
          <cell r="D1736" t="str">
            <v>2023</v>
          </cell>
        </row>
        <row r="1737">
          <cell r="D1737" t="str">
            <v>2022</v>
          </cell>
        </row>
        <row r="1738">
          <cell r="D1738" t="str">
            <v>2023</v>
          </cell>
        </row>
        <row r="1739">
          <cell r="D1739" t="str">
            <v>2021</v>
          </cell>
        </row>
        <row r="1740">
          <cell r="D1740" t="str">
            <v>2021</v>
          </cell>
        </row>
        <row r="1741">
          <cell r="D1741" t="str">
            <v>2022</v>
          </cell>
        </row>
        <row r="1742">
          <cell r="D1742" t="str">
            <v>2023</v>
          </cell>
        </row>
        <row r="1743">
          <cell r="D1743" t="str">
            <v>2023</v>
          </cell>
        </row>
        <row r="1744">
          <cell r="D1744" t="str">
            <v>2023</v>
          </cell>
        </row>
        <row r="1745">
          <cell r="D1745" t="str">
            <v>2023</v>
          </cell>
        </row>
        <row r="1746">
          <cell r="D1746" t="str">
            <v>2022</v>
          </cell>
        </row>
        <row r="1747">
          <cell r="D1747" t="str">
            <v>2021</v>
          </cell>
        </row>
        <row r="1748">
          <cell r="D1748" t="str">
            <v>2023</v>
          </cell>
        </row>
        <row r="1749">
          <cell r="D1749" t="str">
            <v>2023</v>
          </cell>
        </row>
        <row r="1750">
          <cell r="D1750" t="str">
            <v>2023</v>
          </cell>
        </row>
        <row r="1751">
          <cell r="D1751" t="str">
            <v>2022</v>
          </cell>
        </row>
        <row r="1752">
          <cell r="D1752" t="str">
            <v>2023</v>
          </cell>
        </row>
        <row r="1753">
          <cell r="D1753" t="str">
            <v>2021</v>
          </cell>
        </row>
        <row r="1754">
          <cell r="D1754" t="str">
            <v>2021</v>
          </cell>
        </row>
        <row r="1755">
          <cell r="D1755" t="str">
            <v>2023</v>
          </cell>
        </row>
        <row r="1756">
          <cell r="D1756" t="str">
            <v>2023</v>
          </cell>
        </row>
        <row r="1757">
          <cell r="D1757" t="str">
            <v>2023</v>
          </cell>
        </row>
        <row r="1758">
          <cell r="D1758" t="str">
            <v>2021</v>
          </cell>
        </row>
        <row r="1759">
          <cell r="D1759" t="str">
            <v>2023</v>
          </cell>
        </row>
        <row r="1760">
          <cell r="D1760" t="str">
            <v>2022</v>
          </cell>
        </row>
        <row r="1761">
          <cell r="D1761" t="str">
            <v>2023</v>
          </cell>
        </row>
        <row r="1762">
          <cell r="D1762" t="str">
            <v>2021</v>
          </cell>
        </row>
        <row r="1763">
          <cell r="D1763" t="str">
            <v>2023</v>
          </cell>
        </row>
        <row r="1764">
          <cell r="D1764" t="str">
            <v>2023</v>
          </cell>
        </row>
        <row r="1765">
          <cell r="D1765" t="str">
            <v>2023</v>
          </cell>
        </row>
        <row r="1766">
          <cell r="D1766" t="str">
            <v>2023</v>
          </cell>
        </row>
        <row r="1767">
          <cell r="D1767" t="str">
            <v>2023</v>
          </cell>
        </row>
        <row r="1768">
          <cell r="D1768" t="str">
            <v>2023</v>
          </cell>
        </row>
        <row r="1769">
          <cell r="D1769" t="str">
            <v>2023</v>
          </cell>
        </row>
        <row r="1770">
          <cell r="D1770" t="str">
            <v>2022</v>
          </cell>
        </row>
        <row r="1771">
          <cell r="D1771" t="str">
            <v>2023</v>
          </cell>
        </row>
        <row r="1772">
          <cell r="D1772" t="str">
            <v>2022</v>
          </cell>
        </row>
        <row r="1773">
          <cell r="D1773" t="str">
            <v>2023</v>
          </cell>
        </row>
        <row r="1774">
          <cell r="D1774" t="str">
            <v>2022</v>
          </cell>
        </row>
        <row r="1775">
          <cell r="D1775" t="str">
            <v>2023</v>
          </cell>
        </row>
        <row r="1776">
          <cell r="D1776" t="str">
            <v>2023</v>
          </cell>
        </row>
        <row r="1777">
          <cell r="D1777" t="str">
            <v>2023</v>
          </cell>
        </row>
        <row r="1778">
          <cell r="D1778" t="str">
            <v>2023</v>
          </cell>
        </row>
        <row r="1779">
          <cell r="D1779" t="str">
            <v>2021</v>
          </cell>
        </row>
        <row r="1780">
          <cell r="D1780" t="str">
            <v>2023</v>
          </cell>
        </row>
        <row r="1781">
          <cell r="D1781" t="str">
            <v>2021</v>
          </cell>
        </row>
        <row r="1782">
          <cell r="D1782" t="str">
            <v>2022</v>
          </cell>
        </row>
        <row r="1783">
          <cell r="D1783" t="str">
            <v>2023</v>
          </cell>
        </row>
        <row r="1784">
          <cell r="D1784" t="str">
            <v>2021</v>
          </cell>
        </row>
        <row r="1785">
          <cell r="D1785" t="str">
            <v>2023</v>
          </cell>
        </row>
        <row r="1786">
          <cell r="D1786" t="str">
            <v>2023</v>
          </cell>
        </row>
        <row r="1787">
          <cell r="D1787" t="str">
            <v>2023</v>
          </cell>
        </row>
        <row r="1788">
          <cell r="D1788" t="str">
            <v>2021</v>
          </cell>
        </row>
        <row r="1789">
          <cell r="D1789" t="str">
            <v>2021</v>
          </cell>
        </row>
        <row r="1790">
          <cell r="D1790" t="str">
            <v>2023</v>
          </cell>
        </row>
        <row r="1791">
          <cell r="D1791" t="str">
            <v>2021</v>
          </cell>
        </row>
        <row r="1792">
          <cell r="D1792" t="str">
            <v>2023</v>
          </cell>
        </row>
        <row r="1793">
          <cell r="D1793" t="str">
            <v>2023</v>
          </cell>
        </row>
        <row r="1794">
          <cell r="D1794" t="str">
            <v>2022</v>
          </cell>
        </row>
        <row r="1795">
          <cell r="D1795" t="str">
            <v>2021</v>
          </cell>
        </row>
        <row r="1796">
          <cell r="D1796" t="str">
            <v>2021</v>
          </cell>
        </row>
        <row r="1797">
          <cell r="D1797" t="str">
            <v>2021</v>
          </cell>
        </row>
        <row r="1798">
          <cell r="D1798" t="str">
            <v>2023</v>
          </cell>
        </row>
        <row r="1799">
          <cell r="D1799" t="str">
            <v>2023</v>
          </cell>
        </row>
        <row r="1800">
          <cell r="D1800" t="str">
            <v>2023</v>
          </cell>
        </row>
        <row r="1801">
          <cell r="D1801" t="str">
            <v>2023</v>
          </cell>
        </row>
        <row r="1802">
          <cell r="D1802" t="str">
            <v>2023</v>
          </cell>
        </row>
        <row r="1803">
          <cell r="D1803" t="str">
            <v>2022</v>
          </cell>
        </row>
        <row r="1804">
          <cell r="D1804" t="str">
            <v>2023</v>
          </cell>
        </row>
        <row r="1805">
          <cell r="D1805" t="str">
            <v>2022</v>
          </cell>
        </row>
        <row r="1806">
          <cell r="D1806" t="str">
            <v>2023</v>
          </cell>
        </row>
        <row r="1807">
          <cell r="D1807" t="str">
            <v>2023</v>
          </cell>
        </row>
        <row r="1808">
          <cell r="D1808" t="str">
            <v>2023</v>
          </cell>
        </row>
        <row r="1809">
          <cell r="D1809" t="str">
            <v>2023</v>
          </cell>
        </row>
        <row r="1810">
          <cell r="D1810" t="str">
            <v>2023</v>
          </cell>
        </row>
        <row r="1811">
          <cell r="D1811" t="str">
            <v>2022</v>
          </cell>
        </row>
        <row r="1812">
          <cell r="D1812" t="str">
            <v>2021</v>
          </cell>
        </row>
        <row r="1813">
          <cell r="D1813" t="str">
            <v>2021</v>
          </cell>
        </row>
        <row r="1814">
          <cell r="D1814" t="str">
            <v>2023</v>
          </cell>
        </row>
        <row r="1815">
          <cell r="D1815" t="str">
            <v>2022</v>
          </cell>
        </row>
        <row r="1816">
          <cell r="D1816" t="str">
            <v>2022</v>
          </cell>
        </row>
        <row r="1817">
          <cell r="D1817" t="str">
            <v>2023</v>
          </cell>
        </row>
        <row r="1818">
          <cell r="D1818" t="str">
            <v>2023</v>
          </cell>
        </row>
        <row r="1819">
          <cell r="D1819" t="str">
            <v>2021</v>
          </cell>
        </row>
        <row r="1820">
          <cell r="D1820" t="str">
            <v>2023</v>
          </cell>
        </row>
        <row r="1821">
          <cell r="D1821" t="str">
            <v>2021</v>
          </cell>
        </row>
        <row r="1822">
          <cell r="D1822" t="str">
            <v>2022</v>
          </cell>
        </row>
        <row r="1823">
          <cell r="D1823" t="str">
            <v>2021</v>
          </cell>
        </row>
        <row r="1824">
          <cell r="D1824" t="str">
            <v>2021</v>
          </cell>
        </row>
        <row r="1825">
          <cell r="D1825" t="str">
            <v>2023</v>
          </cell>
        </row>
        <row r="1826">
          <cell r="D1826" t="str">
            <v>2021</v>
          </cell>
        </row>
        <row r="1827">
          <cell r="D1827" t="str">
            <v>2023</v>
          </cell>
        </row>
        <row r="1828">
          <cell r="D1828" t="str">
            <v>2021</v>
          </cell>
        </row>
        <row r="1829">
          <cell r="D1829" t="str">
            <v>2021</v>
          </cell>
        </row>
        <row r="1830">
          <cell r="D1830" t="str">
            <v>2022</v>
          </cell>
        </row>
        <row r="1831">
          <cell r="D1831" t="str">
            <v>2022</v>
          </cell>
        </row>
        <row r="1832">
          <cell r="D1832" t="str">
            <v>2023</v>
          </cell>
        </row>
        <row r="1833">
          <cell r="D1833" t="str">
            <v>2022</v>
          </cell>
        </row>
        <row r="1834">
          <cell r="D1834" t="str">
            <v>2023</v>
          </cell>
        </row>
        <row r="1835">
          <cell r="D1835" t="str">
            <v>2023</v>
          </cell>
        </row>
        <row r="1836">
          <cell r="D1836" t="str">
            <v>2023</v>
          </cell>
        </row>
        <row r="1837">
          <cell r="D1837" t="str">
            <v>2021</v>
          </cell>
        </row>
        <row r="1838">
          <cell r="D1838" t="str">
            <v>2023</v>
          </cell>
        </row>
        <row r="1839">
          <cell r="D1839" t="str">
            <v>2023</v>
          </cell>
        </row>
        <row r="1840">
          <cell r="D1840" t="str">
            <v>2022</v>
          </cell>
        </row>
        <row r="1841">
          <cell r="D1841" t="str">
            <v>2022</v>
          </cell>
        </row>
        <row r="1842">
          <cell r="D1842" t="str">
            <v>2023</v>
          </cell>
        </row>
        <row r="1843">
          <cell r="D1843" t="str">
            <v>2021</v>
          </cell>
        </row>
        <row r="1844">
          <cell r="D1844" t="str">
            <v>2023</v>
          </cell>
        </row>
        <row r="1845">
          <cell r="D1845" t="str">
            <v>2022</v>
          </cell>
        </row>
        <row r="1846">
          <cell r="D1846" t="str">
            <v>2023</v>
          </cell>
        </row>
        <row r="1847">
          <cell r="D1847" t="str">
            <v>2022</v>
          </cell>
        </row>
        <row r="1848">
          <cell r="D1848" t="str">
            <v>2023</v>
          </cell>
        </row>
        <row r="1849">
          <cell r="D1849" t="str">
            <v>2023</v>
          </cell>
        </row>
        <row r="1850">
          <cell r="D1850" t="str">
            <v>2023</v>
          </cell>
        </row>
        <row r="1851">
          <cell r="D1851" t="str">
            <v>2023</v>
          </cell>
        </row>
        <row r="1852">
          <cell r="D1852" t="str">
            <v>2023</v>
          </cell>
        </row>
        <row r="1853">
          <cell r="D1853" t="str">
            <v>2021</v>
          </cell>
        </row>
        <row r="1854">
          <cell r="D1854" t="str">
            <v>2023</v>
          </cell>
        </row>
        <row r="1855">
          <cell r="D1855" t="str">
            <v>2021</v>
          </cell>
        </row>
        <row r="1856">
          <cell r="D1856" t="str">
            <v>2023</v>
          </cell>
        </row>
        <row r="1857">
          <cell r="D1857" t="str">
            <v>2023</v>
          </cell>
        </row>
        <row r="1858">
          <cell r="D1858" t="str">
            <v>2023</v>
          </cell>
        </row>
        <row r="1859">
          <cell r="D1859" t="str">
            <v>2023</v>
          </cell>
        </row>
        <row r="1860">
          <cell r="D1860" t="str">
            <v>2023</v>
          </cell>
        </row>
        <row r="1861">
          <cell r="D1861" t="str">
            <v>2021</v>
          </cell>
        </row>
        <row r="1862">
          <cell r="D1862" t="str">
            <v>2022</v>
          </cell>
        </row>
        <row r="1863">
          <cell r="D1863" t="str">
            <v>2023</v>
          </cell>
        </row>
        <row r="1864">
          <cell r="D1864" t="str">
            <v>2023</v>
          </cell>
        </row>
        <row r="1865">
          <cell r="D1865" t="str">
            <v>2023</v>
          </cell>
        </row>
        <row r="1866">
          <cell r="D1866" t="str">
            <v>2023</v>
          </cell>
        </row>
        <row r="1867">
          <cell r="D1867" t="str">
            <v>2023</v>
          </cell>
        </row>
        <row r="1868">
          <cell r="D1868" t="str">
            <v>2023</v>
          </cell>
        </row>
        <row r="1869">
          <cell r="D1869" t="str">
            <v>2023</v>
          </cell>
        </row>
        <row r="1870">
          <cell r="D1870" t="str">
            <v>2021</v>
          </cell>
        </row>
        <row r="1871">
          <cell r="D1871" t="str">
            <v>2023</v>
          </cell>
        </row>
        <row r="1872">
          <cell r="D1872" t="str">
            <v>2022</v>
          </cell>
        </row>
        <row r="1873">
          <cell r="D1873" t="str">
            <v>2022</v>
          </cell>
        </row>
        <row r="1874">
          <cell r="D1874" t="str">
            <v>2023</v>
          </cell>
        </row>
        <row r="1875">
          <cell r="D1875" t="str">
            <v>2023</v>
          </cell>
        </row>
        <row r="1876">
          <cell r="D1876" t="str">
            <v>2023</v>
          </cell>
        </row>
        <row r="1877">
          <cell r="D1877" t="str">
            <v>2023</v>
          </cell>
        </row>
        <row r="1878">
          <cell r="D1878" t="str">
            <v>2021</v>
          </cell>
        </row>
        <row r="1879">
          <cell r="D1879" t="str">
            <v>2023</v>
          </cell>
        </row>
        <row r="1880">
          <cell r="D1880" t="str">
            <v>2023</v>
          </cell>
        </row>
        <row r="1881">
          <cell r="D1881" t="str">
            <v>2021</v>
          </cell>
        </row>
        <row r="1882">
          <cell r="D1882" t="str">
            <v>2023</v>
          </cell>
        </row>
        <row r="1883">
          <cell r="D1883" t="str">
            <v>2023</v>
          </cell>
        </row>
        <row r="1884">
          <cell r="D1884" t="str">
            <v>2023</v>
          </cell>
        </row>
        <row r="1885">
          <cell r="D1885" t="str">
            <v>2023</v>
          </cell>
        </row>
        <row r="1886">
          <cell r="D1886" t="str">
            <v>2023</v>
          </cell>
        </row>
        <row r="1887">
          <cell r="D1887" t="str">
            <v>2023</v>
          </cell>
        </row>
        <row r="1888">
          <cell r="D1888" t="str">
            <v>2021</v>
          </cell>
        </row>
        <row r="1889">
          <cell r="D1889" t="str">
            <v>2023</v>
          </cell>
        </row>
        <row r="1890">
          <cell r="D1890" t="str">
            <v>2023</v>
          </cell>
        </row>
        <row r="1891">
          <cell r="D1891" t="str">
            <v>2022</v>
          </cell>
        </row>
        <row r="1892">
          <cell r="D1892" t="str">
            <v>2022</v>
          </cell>
        </row>
        <row r="1893">
          <cell r="D1893" t="str">
            <v>2023</v>
          </cell>
        </row>
        <row r="1894">
          <cell r="D1894" t="str">
            <v>2022</v>
          </cell>
        </row>
        <row r="1895">
          <cell r="D1895" t="str">
            <v>2022</v>
          </cell>
        </row>
        <row r="1896">
          <cell r="D1896" t="str">
            <v>2023</v>
          </cell>
        </row>
        <row r="1897">
          <cell r="D1897" t="str">
            <v>2023</v>
          </cell>
        </row>
        <row r="1898">
          <cell r="D1898" t="str">
            <v>2021</v>
          </cell>
        </row>
        <row r="1899">
          <cell r="D1899" t="str">
            <v>2023</v>
          </cell>
        </row>
        <row r="1900">
          <cell r="D1900" t="str">
            <v>2023</v>
          </cell>
        </row>
        <row r="1901">
          <cell r="D1901" t="str">
            <v>2023</v>
          </cell>
        </row>
        <row r="1902">
          <cell r="D1902" t="str">
            <v>2023</v>
          </cell>
        </row>
        <row r="1903">
          <cell r="D1903" t="str">
            <v>2023</v>
          </cell>
        </row>
        <row r="1904">
          <cell r="D1904" t="str">
            <v>2022</v>
          </cell>
        </row>
        <row r="1905">
          <cell r="D1905" t="str">
            <v>2021</v>
          </cell>
        </row>
        <row r="1906">
          <cell r="D1906" t="str">
            <v>2023</v>
          </cell>
        </row>
        <row r="1907">
          <cell r="D1907" t="str">
            <v>2022</v>
          </cell>
        </row>
        <row r="1908">
          <cell r="D1908" t="str">
            <v>2022</v>
          </cell>
        </row>
        <row r="1909">
          <cell r="D1909" t="str">
            <v>2022</v>
          </cell>
        </row>
        <row r="1910">
          <cell r="D1910" t="str">
            <v>2022</v>
          </cell>
        </row>
        <row r="1911">
          <cell r="D1911" t="str">
            <v>2023</v>
          </cell>
        </row>
        <row r="1912">
          <cell r="D1912" t="str">
            <v>2021</v>
          </cell>
        </row>
        <row r="1913">
          <cell r="D1913" t="str">
            <v>2022</v>
          </cell>
        </row>
        <row r="1914">
          <cell r="D1914" t="str">
            <v>2023</v>
          </cell>
        </row>
        <row r="1915">
          <cell r="D1915" t="str">
            <v>2023</v>
          </cell>
        </row>
        <row r="1916">
          <cell r="D1916" t="str">
            <v>2023</v>
          </cell>
        </row>
        <row r="1917">
          <cell r="D1917" t="str">
            <v>2023</v>
          </cell>
        </row>
        <row r="1918">
          <cell r="D1918" t="str">
            <v>2023</v>
          </cell>
        </row>
        <row r="1919">
          <cell r="D1919" t="str">
            <v>2023</v>
          </cell>
        </row>
        <row r="1920">
          <cell r="D1920" t="str">
            <v>2023</v>
          </cell>
        </row>
        <row r="1921">
          <cell r="D1921" t="str">
            <v>2021</v>
          </cell>
        </row>
        <row r="1922">
          <cell r="D1922" t="str">
            <v>2023</v>
          </cell>
        </row>
        <row r="1923">
          <cell r="D1923" t="str">
            <v>2023</v>
          </cell>
        </row>
        <row r="1924">
          <cell r="D1924" t="str">
            <v>2022</v>
          </cell>
        </row>
        <row r="1925">
          <cell r="D1925" t="str">
            <v>2023</v>
          </cell>
        </row>
        <row r="1926">
          <cell r="D1926" t="str">
            <v>2023</v>
          </cell>
        </row>
        <row r="1927">
          <cell r="D1927" t="str">
            <v>2021</v>
          </cell>
        </row>
        <row r="1928">
          <cell r="D1928" t="str">
            <v>2023</v>
          </cell>
        </row>
        <row r="1929">
          <cell r="D1929" t="str">
            <v>2022</v>
          </cell>
        </row>
        <row r="1930">
          <cell r="D1930" t="str">
            <v>2022</v>
          </cell>
        </row>
        <row r="1931">
          <cell r="D1931" t="str">
            <v>2021</v>
          </cell>
        </row>
        <row r="1932">
          <cell r="D1932" t="str">
            <v>2022</v>
          </cell>
        </row>
        <row r="1933">
          <cell r="D1933" t="str">
            <v>2023</v>
          </cell>
        </row>
        <row r="1934">
          <cell r="D1934" t="str">
            <v>2023</v>
          </cell>
        </row>
        <row r="1935">
          <cell r="D1935" t="str">
            <v>2022</v>
          </cell>
        </row>
        <row r="1936">
          <cell r="D1936" t="str">
            <v>2023</v>
          </cell>
        </row>
        <row r="1937">
          <cell r="D1937" t="str">
            <v>2021</v>
          </cell>
        </row>
        <row r="1938">
          <cell r="D1938" t="str">
            <v>2023</v>
          </cell>
        </row>
        <row r="1939">
          <cell r="D1939" t="str">
            <v>2023</v>
          </cell>
        </row>
        <row r="1940">
          <cell r="D1940" t="str">
            <v>2023</v>
          </cell>
        </row>
        <row r="1941">
          <cell r="D1941" t="str">
            <v>2023</v>
          </cell>
        </row>
        <row r="1942">
          <cell r="D1942" t="str">
            <v>2023</v>
          </cell>
        </row>
        <row r="1943">
          <cell r="D1943" t="str">
            <v>2021</v>
          </cell>
        </row>
        <row r="1944">
          <cell r="D1944" t="str">
            <v>2023</v>
          </cell>
        </row>
        <row r="1945">
          <cell r="D1945" t="str">
            <v>2023</v>
          </cell>
        </row>
        <row r="1946">
          <cell r="D1946" t="str">
            <v>2023</v>
          </cell>
        </row>
        <row r="1947">
          <cell r="D1947" t="str">
            <v>2023</v>
          </cell>
        </row>
        <row r="1948">
          <cell r="D1948" t="str">
            <v>2023</v>
          </cell>
        </row>
        <row r="1949">
          <cell r="D1949" t="str">
            <v>2022</v>
          </cell>
        </row>
        <row r="1950">
          <cell r="D1950" t="str">
            <v>2021</v>
          </cell>
        </row>
        <row r="1951">
          <cell r="D1951" t="str">
            <v>2023</v>
          </cell>
        </row>
        <row r="1952">
          <cell r="D1952" t="str">
            <v>2023</v>
          </cell>
        </row>
        <row r="1953">
          <cell r="D1953" t="str">
            <v>2023</v>
          </cell>
        </row>
        <row r="1954">
          <cell r="D1954" t="str">
            <v>2023</v>
          </cell>
        </row>
        <row r="1955">
          <cell r="D1955" t="str">
            <v>2023</v>
          </cell>
        </row>
        <row r="1956">
          <cell r="D1956" t="str">
            <v>2023</v>
          </cell>
        </row>
        <row r="1957">
          <cell r="D1957" t="str">
            <v>2022</v>
          </cell>
        </row>
        <row r="1958">
          <cell r="D1958" t="str">
            <v>2023</v>
          </cell>
        </row>
        <row r="1959">
          <cell r="D1959" t="str">
            <v>2023</v>
          </cell>
        </row>
        <row r="1960">
          <cell r="D1960" t="str">
            <v>2022</v>
          </cell>
        </row>
        <row r="1961">
          <cell r="D1961" t="str">
            <v>2021</v>
          </cell>
        </row>
        <row r="1962">
          <cell r="D1962" t="str">
            <v>2023</v>
          </cell>
        </row>
        <row r="1963">
          <cell r="D1963" t="str">
            <v>2023</v>
          </cell>
        </row>
        <row r="1964">
          <cell r="D1964" t="str">
            <v>2023</v>
          </cell>
        </row>
        <row r="1965">
          <cell r="D1965" t="str">
            <v>2023</v>
          </cell>
        </row>
        <row r="1966">
          <cell r="D1966" t="str">
            <v>2023</v>
          </cell>
        </row>
        <row r="1967">
          <cell r="D1967" t="str">
            <v>2023</v>
          </cell>
        </row>
        <row r="1968">
          <cell r="D1968" t="str">
            <v>2023</v>
          </cell>
        </row>
        <row r="1969">
          <cell r="D1969" t="str">
            <v>2023</v>
          </cell>
        </row>
        <row r="1970">
          <cell r="D1970" t="str">
            <v>2023</v>
          </cell>
        </row>
        <row r="1971">
          <cell r="D1971" t="str">
            <v>2023</v>
          </cell>
        </row>
        <row r="1972">
          <cell r="D1972" t="str">
            <v>2022</v>
          </cell>
        </row>
        <row r="1973">
          <cell r="D1973" t="str">
            <v>2023</v>
          </cell>
        </row>
        <row r="1974">
          <cell r="D1974" t="str">
            <v>2023</v>
          </cell>
        </row>
        <row r="1975">
          <cell r="D1975" t="str">
            <v>2023</v>
          </cell>
        </row>
        <row r="1976">
          <cell r="D1976" t="str">
            <v>2023</v>
          </cell>
        </row>
        <row r="1977">
          <cell r="D1977" t="str">
            <v>2023</v>
          </cell>
        </row>
        <row r="1978">
          <cell r="D1978" t="str">
            <v>2023</v>
          </cell>
        </row>
        <row r="1979">
          <cell r="D1979" t="str">
            <v>2022</v>
          </cell>
        </row>
        <row r="1980">
          <cell r="D1980" t="str">
            <v>2021</v>
          </cell>
        </row>
        <row r="1981">
          <cell r="D1981" t="str">
            <v>2023</v>
          </cell>
        </row>
        <row r="1982">
          <cell r="D1982" t="str">
            <v>2023</v>
          </cell>
        </row>
        <row r="1983">
          <cell r="D1983" t="str">
            <v>2023</v>
          </cell>
        </row>
        <row r="1984">
          <cell r="D1984" t="str">
            <v>2023</v>
          </cell>
        </row>
        <row r="1985">
          <cell r="D1985" t="str">
            <v>2023</v>
          </cell>
        </row>
        <row r="1986">
          <cell r="D1986" t="str">
            <v>2023</v>
          </cell>
        </row>
        <row r="1987">
          <cell r="D1987" t="str">
            <v>2023</v>
          </cell>
        </row>
        <row r="1988">
          <cell r="D1988" t="str">
            <v>2023</v>
          </cell>
        </row>
        <row r="1989">
          <cell r="D1989" t="str">
            <v>2022</v>
          </cell>
        </row>
        <row r="1990">
          <cell r="D1990" t="str">
            <v>2021</v>
          </cell>
        </row>
        <row r="1991">
          <cell r="D1991" t="str">
            <v>2021</v>
          </cell>
        </row>
        <row r="1992">
          <cell r="D1992" t="str">
            <v>2022</v>
          </cell>
        </row>
        <row r="1993">
          <cell r="D1993" t="str">
            <v>2022</v>
          </cell>
        </row>
        <row r="1994">
          <cell r="D1994" t="str">
            <v>2022</v>
          </cell>
        </row>
        <row r="1995">
          <cell r="D1995" t="str">
            <v>2023</v>
          </cell>
        </row>
        <row r="1996">
          <cell r="D1996" t="str">
            <v>2023</v>
          </cell>
        </row>
        <row r="1997">
          <cell r="D1997" t="str">
            <v>2021</v>
          </cell>
        </row>
        <row r="1998">
          <cell r="D1998" t="str">
            <v>2023</v>
          </cell>
        </row>
        <row r="1999">
          <cell r="D1999" t="str">
            <v>2023</v>
          </cell>
        </row>
        <row r="2000">
          <cell r="D2000" t="str">
            <v>2023</v>
          </cell>
        </row>
        <row r="2001">
          <cell r="D2001" t="str">
            <v>2023</v>
          </cell>
        </row>
        <row r="2002">
          <cell r="D2002" t="str">
            <v>2023</v>
          </cell>
        </row>
        <row r="2003">
          <cell r="D2003" t="str">
            <v>2023</v>
          </cell>
        </row>
        <row r="2004">
          <cell r="D2004" t="str">
            <v>2021</v>
          </cell>
        </row>
        <row r="2005">
          <cell r="D2005" t="str">
            <v>2023</v>
          </cell>
        </row>
        <row r="2006">
          <cell r="D2006" t="str">
            <v>2023</v>
          </cell>
        </row>
        <row r="2007">
          <cell r="D2007" t="str">
            <v>2022</v>
          </cell>
        </row>
        <row r="2008">
          <cell r="D2008" t="str">
            <v>2022</v>
          </cell>
        </row>
        <row r="2009">
          <cell r="D2009" t="str">
            <v>2021</v>
          </cell>
        </row>
        <row r="2010">
          <cell r="D2010" t="str">
            <v>2023</v>
          </cell>
        </row>
        <row r="2011">
          <cell r="D2011" t="str">
            <v>2023</v>
          </cell>
        </row>
        <row r="2012">
          <cell r="D2012" t="str">
            <v>2021</v>
          </cell>
        </row>
        <row r="2013">
          <cell r="D2013" t="str">
            <v>2021</v>
          </cell>
        </row>
        <row r="2014">
          <cell r="D2014" t="str">
            <v>2023</v>
          </cell>
        </row>
        <row r="2015">
          <cell r="D2015" t="str">
            <v>2022</v>
          </cell>
        </row>
        <row r="2016">
          <cell r="D2016" t="str">
            <v>2023</v>
          </cell>
        </row>
        <row r="2017">
          <cell r="D2017" t="str">
            <v>2023</v>
          </cell>
        </row>
        <row r="2018">
          <cell r="D2018" t="str">
            <v>2022</v>
          </cell>
        </row>
        <row r="2019">
          <cell r="D2019" t="str">
            <v>2023</v>
          </cell>
        </row>
        <row r="2020">
          <cell r="D2020" t="str">
            <v>2021</v>
          </cell>
        </row>
        <row r="2021">
          <cell r="D2021" t="str">
            <v>2023</v>
          </cell>
        </row>
        <row r="2022">
          <cell r="D2022" t="str">
            <v>2023</v>
          </cell>
        </row>
        <row r="2023">
          <cell r="D2023" t="str">
            <v>2023</v>
          </cell>
        </row>
        <row r="2024">
          <cell r="D2024" t="str">
            <v>2021</v>
          </cell>
        </row>
        <row r="2025">
          <cell r="D2025" t="str">
            <v>2023</v>
          </cell>
        </row>
        <row r="2026">
          <cell r="D2026" t="str">
            <v>2021</v>
          </cell>
        </row>
        <row r="2027">
          <cell r="D2027" t="str">
            <v>2023</v>
          </cell>
        </row>
        <row r="2028">
          <cell r="D2028" t="str">
            <v>2023</v>
          </cell>
        </row>
        <row r="2029">
          <cell r="D2029" t="str">
            <v>2023</v>
          </cell>
        </row>
        <row r="2030">
          <cell r="D2030" t="str">
            <v>2023</v>
          </cell>
        </row>
        <row r="2031">
          <cell r="D2031" t="str">
            <v>2023</v>
          </cell>
        </row>
        <row r="2032">
          <cell r="D2032" t="str">
            <v>2022</v>
          </cell>
        </row>
        <row r="2033">
          <cell r="D2033" t="str">
            <v>2023</v>
          </cell>
        </row>
        <row r="2034">
          <cell r="D2034" t="str">
            <v>2022</v>
          </cell>
        </row>
        <row r="2035">
          <cell r="D2035" t="str">
            <v>2023</v>
          </cell>
        </row>
        <row r="2036">
          <cell r="D2036" t="str">
            <v>2023</v>
          </cell>
        </row>
        <row r="2037">
          <cell r="D2037" t="str">
            <v>2023</v>
          </cell>
        </row>
        <row r="2038">
          <cell r="D2038" t="str">
            <v>2023</v>
          </cell>
        </row>
        <row r="2039">
          <cell r="D2039" t="str">
            <v>2021</v>
          </cell>
        </row>
        <row r="2040">
          <cell r="D2040" t="str">
            <v>2023</v>
          </cell>
        </row>
        <row r="2041">
          <cell r="D2041" t="str">
            <v>2023</v>
          </cell>
        </row>
        <row r="2042">
          <cell r="D2042" t="str">
            <v>2023</v>
          </cell>
        </row>
        <row r="2043">
          <cell r="D2043" t="str">
            <v>2023</v>
          </cell>
        </row>
        <row r="2044">
          <cell r="D2044" t="str">
            <v>2023</v>
          </cell>
        </row>
        <row r="2045">
          <cell r="D2045" t="str">
            <v>2023</v>
          </cell>
        </row>
        <row r="2046">
          <cell r="D2046" t="str">
            <v>2023</v>
          </cell>
        </row>
        <row r="2047">
          <cell r="D2047" t="str">
            <v>2023</v>
          </cell>
        </row>
        <row r="2048">
          <cell r="D2048" t="str">
            <v>2021</v>
          </cell>
        </row>
        <row r="2049">
          <cell r="D2049" t="str">
            <v>2023</v>
          </cell>
        </row>
        <row r="2050">
          <cell r="D2050" t="str">
            <v>2023</v>
          </cell>
        </row>
        <row r="2051">
          <cell r="D2051" t="str">
            <v>2022</v>
          </cell>
        </row>
        <row r="2052">
          <cell r="D2052" t="str">
            <v>2023</v>
          </cell>
        </row>
        <row r="2053">
          <cell r="D2053" t="str">
            <v>2023</v>
          </cell>
        </row>
        <row r="2054">
          <cell r="D2054" t="str">
            <v>2023</v>
          </cell>
        </row>
        <row r="2055">
          <cell r="D2055" t="str">
            <v>2023</v>
          </cell>
        </row>
        <row r="2056">
          <cell r="D2056" t="str">
            <v>2022</v>
          </cell>
        </row>
        <row r="2057">
          <cell r="D2057" t="str">
            <v>2023</v>
          </cell>
        </row>
        <row r="2058">
          <cell r="D2058" t="str">
            <v>2023</v>
          </cell>
        </row>
        <row r="2059">
          <cell r="D2059" t="str">
            <v>2023</v>
          </cell>
        </row>
        <row r="2060">
          <cell r="D2060" t="str">
            <v>2023</v>
          </cell>
        </row>
        <row r="2061">
          <cell r="D2061" t="str">
            <v>2023</v>
          </cell>
        </row>
        <row r="2062">
          <cell r="D2062" t="str">
            <v>2023</v>
          </cell>
        </row>
        <row r="2063">
          <cell r="D2063" t="str">
            <v>2022</v>
          </cell>
        </row>
        <row r="2064">
          <cell r="D2064" t="str">
            <v>2023</v>
          </cell>
        </row>
        <row r="2065">
          <cell r="D2065" t="str">
            <v>2023</v>
          </cell>
        </row>
        <row r="2066">
          <cell r="D2066" t="str">
            <v>2023</v>
          </cell>
        </row>
        <row r="2067">
          <cell r="D2067" t="str">
            <v>2022</v>
          </cell>
        </row>
        <row r="2068">
          <cell r="D2068" t="str">
            <v>2023</v>
          </cell>
        </row>
        <row r="2069">
          <cell r="D2069" t="str">
            <v>2023</v>
          </cell>
        </row>
        <row r="2070">
          <cell r="D2070" t="str">
            <v>2021</v>
          </cell>
        </row>
        <row r="2071">
          <cell r="D2071" t="str">
            <v>2023</v>
          </cell>
        </row>
        <row r="2072">
          <cell r="D2072" t="str">
            <v>2023</v>
          </cell>
        </row>
        <row r="2073">
          <cell r="D2073" t="str">
            <v>2023</v>
          </cell>
        </row>
        <row r="2074">
          <cell r="D2074" t="str">
            <v>2023</v>
          </cell>
        </row>
        <row r="2075">
          <cell r="D2075" t="str">
            <v>2023</v>
          </cell>
        </row>
        <row r="2076">
          <cell r="D2076" t="str">
            <v>2023</v>
          </cell>
        </row>
        <row r="2077">
          <cell r="D2077" t="str">
            <v>2021</v>
          </cell>
        </row>
        <row r="2078">
          <cell r="D2078" t="str">
            <v>2023</v>
          </cell>
        </row>
        <row r="2079">
          <cell r="D2079" t="str">
            <v>2023</v>
          </cell>
        </row>
        <row r="2080">
          <cell r="D2080" t="str">
            <v>2023</v>
          </cell>
        </row>
        <row r="2081">
          <cell r="D2081" t="str">
            <v>2023</v>
          </cell>
        </row>
        <row r="2082">
          <cell r="D2082" t="str">
            <v>2023</v>
          </cell>
        </row>
        <row r="2083">
          <cell r="D2083" t="str">
            <v>2023</v>
          </cell>
        </row>
        <row r="2084">
          <cell r="D2084" t="str">
            <v>2021</v>
          </cell>
        </row>
        <row r="2085">
          <cell r="D2085" t="str">
            <v>2023</v>
          </cell>
        </row>
        <row r="2086">
          <cell r="D2086" t="str">
            <v>2023</v>
          </cell>
        </row>
        <row r="2087">
          <cell r="D2087" t="str">
            <v>2023</v>
          </cell>
        </row>
        <row r="2088">
          <cell r="D2088" t="str">
            <v>2022</v>
          </cell>
        </row>
        <row r="2089">
          <cell r="D2089" t="str">
            <v>2023</v>
          </cell>
        </row>
        <row r="2090">
          <cell r="D2090" t="str">
            <v>2023</v>
          </cell>
        </row>
        <row r="2091">
          <cell r="D2091" t="str">
            <v>2023</v>
          </cell>
        </row>
        <row r="2092">
          <cell r="D2092" t="str">
            <v>2023</v>
          </cell>
        </row>
        <row r="2093">
          <cell r="D2093" t="str">
            <v>2022</v>
          </cell>
        </row>
        <row r="2094">
          <cell r="D2094" t="str">
            <v>2023</v>
          </cell>
        </row>
        <row r="2095">
          <cell r="D2095" t="str">
            <v>2022</v>
          </cell>
        </row>
        <row r="2096">
          <cell r="D2096" t="str">
            <v>2023</v>
          </cell>
        </row>
        <row r="2097">
          <cell r="D2097" t="str">
            <v>2023</v>
          </cell>
        </row>
        <row r="2098">
          <cell r="D2098" t="str">
            <v>2023</v>
          </cell>
        </row>
        <row r="2099">
          <cell r="D2099" t="str">
            <v>2023</v>
          </cell>
        </row>
        <row r="2100">
          <cell r="D2100" t="str">
            <v>2023</v>
          </cell>
        </row>
        <row r="2101">
          <cell r="D2101" t="str">
            <v>2021</v>
          </cell>
        </row>
        <row r="2102">
          <cell r="D2102" t="str">
            <v>2023</v>
          </cell>
        </row>
        <row r="2103">
          <cell r="D2103" t="str">
            <v>2023</v>
          </cell>
        </row>
        <row r="2104">
          <cell r="D2104" t="str">
            <v>2023</v>
          </cell>
        </row>
        <row r="2105">
          <cell r="D2105" t="str">
            <v>2023</v>
          </cell>
        </row>
        <row r="2106">
          <cell r="D2106" t="str">
            <v>2023</v>
          </cell>
        </row>
        <row r="2107">
          <cell r="D2107" t="str">
            <v>2022</v>
          </cell>
        </row>
        <row r="2108">
          <cell r="D2108" t="str">
            <v>2023</v>
          </cell>
        </row>
        <row r="2109">
          <cell r="D2109" t="str">
            <v>2023</v>
          </cell>
        </row>
        <row r="2110">
          <cell r="D2110" t="str">
            <v>2021</v>
          </cell>
        </row>
        <row r="2111">
          <cell r="D2111" t="str">
            <v>2023</v>
          </cell>
        </row>
        <row r="2112">
          <cell r="D2112" t="str">
            <v>2022</v>
          </cell>
        </row>
        <row r="2113">
          <cell r="D2113" t="str">
            <v>2021</v>
          </cell>
        </row>
        <row r="2114">
          <cell r="D2114" t="str">
            <v>2023</v>
          </cell>
        </row>
        <row r="2115">
          <cell r="D2115" t="str">
            <v>2023</v>
          </cell>
        </row>
        <row r="2116">
          <cell r="D2116" t="str">
            <v>2023</v>
          </cell>
        </row>
        <row r="2117">
          <cell r="D2117" t="str">
            <v>2022</v>
          </cell>
        </row>
        <row r="2118">
          <cell r="D2118" t="str">
            <v>2023</v>
          </cell>
        </row>
        <row r="2119">
          <cell r="D2119" t="str">
            <v>2021</v>
          </cell>
        </row>
        <row r="2120">
          <cell r="D2120" t="str">
            <v>2023</v>
          </cell>
        </row>
        <row r="2121">
          <cell r="D2121" t="str">
            <v>2023</v>
          </cell>
        </row>
        <row r="2122">
          <cell r="D2122" t="str">
            <v>2023</v>
          </cell>
        </row>
        <row r="2123">
          <cell r="D2123" t="str">
            <v>2023</v>
          </cell>
        </row>
        <row r="2124">
          <cell r="D2124" t="str">
            <v>2021</v>
          </cell>
        </row>
        <row r="2125">
          <cell r="D2125" t="str">
            <v>2023</v>
          </cell>
        </row>
        <row r="2126">
          <cell r="D2126" t="str">
            <v>2021</v>
          </cell>
        </row>
        <row r="2127">
          <cell r="D2127" t="str">
            <v>2023</v>
          </cell>
        </row>
        <row r="2128">
          <cell r="D2128" t="str">
            <v>2021</v>
          </cell>
        </row>
        <row r="2129">
          <cell r="D2129" t="str">
            <v>2023</v>
          </cell>
        </row>
        <row r="2130">
          <cell r="D2130" t="str">
            <v>2023</v>
          </cell>
        </row>
        <row r="2131">
          <cell r="D2131" t="str">
            <v>2022</v>
          </cell>
        </row>
        <row r="2132">
          <cell r="D2132" t="str">
            <v>2021</v>
          </cell>
        </row>
        <row r="2133">
          <cell r="D2133" t="str">
            <v>2023</v>
          </cell>
        </row>
        <row r="2134">
          <cell r="D2134" t="str">
            <v>2023</v>
          </cell>
        </row>
        <row r="2135">
          <cell r="D2135" t="str">
            <v>2023</v>
          </cell>
        </row>
        <row r="2136">
          <cell r="D2136" t="str">
            <v>2023</v>
          </cell>
        </row>
        <row r="2137">
          <cell r="D2137" t="str">
            <v>2021</v>
          </cell>
        </row>
        <row r="2138">
          <cell r="D2138" t="str">
            <v>2021</v>
          </cell>
        </row>
        <row r="2139">
          <cell r="D2139" t="str">
            <v>2023</v>
          </cell>
        </row>
        <row r="2140">
          <cell r="D2140" t="str">
            <v>2023</v>
          </cell>
        </row>
        <row r="2141">
          <cell r="D2141" t="str">
            <v>2023</v>
          </cell>
        </row>
        <row r="2142">
          <cell r="D2142" t="str">
            <v>2023</v>
          </cell>
        </row>
        <row r="2143">
          <cell r="D2143" t="str">
            <v>2023</v>
          </cell>
        </row>
        <row r="2144">
          <cell r="D2144" t="str">
            <v>2022</v>
          </cell>
        </row>
        <row r="2145">
          <cell r="D2145" t="str">
            <v>2021</v>
          </cell>
        </row>
        <row r="2146">
          <cell r="D2146" t="str">
            <v>2023</v>
          </cell>
        </row>
        <row r="2147">
          <cell r="D2147" t="str">
            <v>2023</v>
          </cell>
        </row>
        <row r="2148">
          <cell r="D2148" t="str">
            <v>2023</v>
          </cell>
        </row>
        <row r="2149">
          <cell r="D2149" t="str">
            <v>2023</v>
          </cell>
        </row>
        <row r="2150">
          <cell r="D2150" t="str">
            <v>2023</v>
          </cell>
        </row>
        <row r="2151">
          <cell r="D2151" t="str">
            <v>2023</v>
          </cell>
        </row>
        <row r="2152">
          <cell r="D2152" t="str">
            <v>2023</v>
          </cell>
        </row>
        <row r="2153">
          <cell r="D2153" t="str">
            <v>2023</v>
          </cell>
        </row>
        <row r="2154">
          <cell r="D2154" t="str">
            <v>2023</v>
          </cell>
        </row>
        <row r="2155">
          <cell r="D2155" t="str">
            <v>2022</v>
          </cell>
        </row>
        <row r="2156">
          <cell r="D2156" t="str">
            <v>2023</v>
          </cell>
        </row>
        <row r="2157">
          <cell r="D2157" t="str">
            <v>2022</v>
          </cell>
        </row>
        <row r="2158">
          <cell r="D2158" t="str">
            <v>2023</v>
          </cell>
        </row>
        <row r="2159">
          <cell r="D2159" t="str">
            <v>2023</v>
          </cell>
        </row>
        <row r="2160">
          <cell r="D2160" t="str">
            <v>2023</v>
          </cell>
        </row>
        <row r="2161">
          <cell r="D2161" t="str">
            <v>2021</v>
          </cell>
        </row>
        <row r="2162">
          <cell r="D2162" t="str">
            <v>2022</v>
          </cell>
        </row>
        <row r="2163">
          <cell r="D2163" t="str">
            <v>2023</v>
          </cell>
        </row>
        <row r="2164">
          <cell r="D2164" t="str">
            <v>2023</v>
          </cell>
        </row>
        <row r="2165">
          <cell r="D2165" t="str">
            <v>2022</v>
          </cell>
        </row>
        <row r="2166">
          <cell r="D2166" t="str">
            <v>2023</v>
          </cell>
        </row>
        <row r="2167">
          <cell r="D2167" t="str">
            <v>2023</v>
          </cell>
        </row>
        <row r="2168">
          <cell r="D2168" t="str">
            <v>2023</v>
          </cell>
        </row>
        <row r="2169">
          <cell r="D2169" t="str">
            <v>2023</v>
          </cell>
        </row>
        <row r="2170">
          <cell r="D2170" t="str">
            <v>2023</v>
          </cell>
        </row>
        <row r="2171">
          <cell r="D2171" t="str">
            <v>2022</v>
          </cell>
        </row>
        <row r="2172">
          <cell r="D2172" t="str">
            <v>2023</v>
          </cell>
        </row>
        <row r="2173">
          <cell r="D2173" t="str">
            <v>2023</v>
          </cell>
        </row>
        <row r="2174">
          <cell r="D2174" t="str">
            <v>2023</v>
          </cell>
        </row>
        <row r="2175">
          <cell r="D2175" t="str">
            <v>2021</v>
          </cell>
        </row>
        <row r="2176">
          <cell r="D2176" t="str">
            <v>2023</v>
          </cell>
        </row>
        <row r="2177">
          <cell r="D2177" t="str">
            <v>2023</v>
          </cell>
        </row>
        <row r="2178">
          <cell r="D2178" t="str">
            <v>2022</v>
          </cell>
        </row>
        <row r="2179">
          <cell r="D2179" t="str">
            <v>2023</v>
          </cell>
        </row>
        <row r="2180">
          <cell r="D2180" t="str">
            <v>2021</v>
          </cell>
        </row>
        <row r="2181">
          <cell r="D2181" t="str">
            <v>2023</v>
          </cell>
        </row>
        <row r="2182">
          <cell r="D2182" t="str">
            <v>2023</v>
          </cell>
        </row>
        <row r="2183">
          <cell r="D2183" t="str">
            <v>2023</v>
          </cell>
        </row>
        <row r="2184">
          <cell r="D2184" t="str">
            <v>2023</v>
          </cell>
        </row>
        <row r="2185">
          <cell r="D2185" t="str">
            <v>2023</v>
          </cell>
        </row>
        <row r="2186">
          <cell r="D2186" t="str">
            <v>2023</v>
          </cell>
        </row>
        <row r="2187">
          <cell r="D2187" t="str">
            <v>2023</v>
          </cell>
        </row>
        <row r="2188">
          <cell r="D2188" t="str">
            <v>2023</v>
          </cell>
        </row>
        <row r="2189">
          <cell r="D2189" t="str">
            <v>2022</v>
          </cell>
        </row>
        <row r="2190">
          <cell r="D2190" t="str">
            <v>2022</v>
          </cell>
        </row>
        <row r="2191">
          <cell r="D2191" t="str">
            <v>2021</v>
          </cell>
        </row>
        <row r="2192">
          <cell r="D2192" t="str">
            <v>2023</v>
          </cell>
        </row>
        <row r="2193">
          <cell r="D2193" t="str">
            <v>2023</v>
          </cell>
        </row>
        <row r="2194">
          <cell r="D2194" t="str">
            <v>2021</v>
          </cell>
        </row>
        <row r="2195">
          <cell r="D2195" t="str">
            <v>2023</v>
          </cell>
        </row>
        <row r="2196">
          <cell r="D2196" t="str">
            <v>2023</v>
          </cell>
        </row>
        <row r="2197">
          <cell r="D2197" t="str">
            <v>2023</v>
          </cell>
        </row>
        <row r="2198">
          <cell r="D2198" t="str">
            <v>2023</v>
          </cell>
        </row>
        <row r="2199">
          <cell r="D2199" t="str">
            <v>2023</v>
          </cell>
        </row>
        <row r="2200">
          <cell r="D2200" t="str">
            <v>2021</v>
          </cell>
        </row>
        <row r="2201">
          <cell r="D2201" t="str">
            <v>2021</v>
          </cell>
        </row>
        <row r="2202">
          <cell r="D2202" t="str">
            <v>2023</v>
          </cell>
        </row>
        <row r="2203">
          <cell r="D2203" t="str">
            <v>2021</v>
          </cell>
        </row>
        <row r="2204">
          <cell r="D2204" t="str">
            <v>2023</v>
          </cell>
        </row>
        <row r="2205">
          <cell r="D2205" t="str">
            <v>2021</v>
          </cell>
        </row>
        <row r="2206">
          <cell r="D2206" t="str">
            <v>2023</v>
          </cell>
        </row>
        <row r="2207">
          <cell r="D2207" t="str">
            <v>2023</v>
          </cell>
        </row>
        <row r="2208">
          <cell r="D2208" t="str">
            <v>2023</v>
          </cell>
        </row>
        <row r="2209">
          <cell r="D2209" t="str">
            <v>2023</v>
          </cell>
        </row>
        <row r="2210">
          <cell r="D2210" t="str">
            <v>2023</v>
          </cell>
        </row>
        <row r="2211">
          <cell r="D2211" t="str">
            <v>2023</v>
          </cell>
        </row>
        <row r="2212">
          <cell r="D2212" t="str">
            <v>2021</v>
          </cell>
        </row>
        <row r="2213">
          <cell r="D2213" t="str">
            <v>2023</v>
          </cell>
        </row>
        <row r="2214">
          <cell r="D2214" t="str">
            <v>2023</v>
          </cell>
        </row>
        <row r="2215">
          <cell r="D2215" t="str">
            <v>2022</v>
          </cell>
        </row>
        <row r="2216">
          <cell r="D2216" t="str">
            <v>2023</v>
          </cell>
        </row>
        <row r="2217">
          <cell r="D2217" t="str">
            <v>2021</v>
          </cell>
        </row>
        <row r="2218">
          <cell r="D2218" t="str">
            <v>2023</v>
          </cell>
        </row>
        <row r="2219">
          <cell r="D2219" t="str">
            <v>2023</v>
          </cell>
        </row>
        <row r="2220">
          <cell r="D2220" t="str">
            <v>2021</v>
          </cell>
        </row>
        <row r="2221">
          <cell r="D2221" t="str">
            <v>2023</v>
          </cell>
        </row>
        <row r="2222">
          <cell r="D2222" t="str">
            <v>2023</v>
          </cell>
        </row>
        <row r="2223">
          <cell r="D2223" t="str">
            <v>2021</v>
          </cell>
        </row>
        <row r="2224">
          <cell r="D2224" t="str">
            <v>2021</v>
          </cell>
        </row>
        <row r="2225">
          <cell r="D2225" t="str">
            <v>2023</v>
          </cell>
        </row>
        <row r="2226">
          <cell r="D2226" t="str">
            <v>2023</v>
          </cell>
        </row>
        <row r="2227">
          <cell r="D2227" t="str">
            <v>2023</v>
          </cell>
        </row>
        <row r="2228">
          <cell r="D2228" t="str">
            <v>2023</v>
          </cell>
        </row>
        <row r="2229">
          <cell r="D2229" t="str">
            <v>2023</v>
          </cell>
        </row>
        <row r="2230">
          <cell r="D2230" t="str">
            <v>2022</v>
          </cell>
        </row>
        <row r="2231">
          <cell r="D2231" t="str">
            <v>2021</v>
          </cell>
        </row>
        <row r="2232">
          <cell r="D2232" t="str">
            <v>2023</v>
          </cell>
        </row>
        <row r="2233">
          <cell r="D2233" t="str">
            <v>2023</v>
          </cell>
        </row>
        <row r="2234">
          <cell r="D2234" t="str">
            <v>2021</v>
          </cell>
        </row>
        <row r="2235">
          <cell r="D2235" t="str">
            <v>2023</v>
          </cell>
        </row>
        <row r="2236">
          <cell r="D2236" t="str">
            <v>2023</v>
          </cell>
        </row>
        <row r="2237">
          <cell r="D2237" t="str">
            <v>2023</v>
          </cell>
        </row>
        <row r="2238">
          <cell r="D2238" t="str">
            <v>2021</v>
          </cell>
        </row>
        <row r="2239">
          <cell r="D2239" t="str">
            <v>2023</v>
          </cell>
        </row>
        <row r="2240">
          <cell r="D2240" t="str">
            <v>2023</v>
          </cell>
        </row>
        <row r="2241">
          <cell r="D2241" t="str">
            <v>2023</v>
          </cell>
        </row>
        <row r="2242">
          <cell r="D2242" t="str">
            <v>2021</v>
          </cell>
        </row>
        <row r="2243">
          <cell r="D2243" t="str">
            <v>2021</v>
          </cell>
        </row>
        <row r="2244">
          <cell r="D2244" t="str">
            <v>2023</v>
          </cell>
        </row>
        <row r="2245">
          <cell r="D2245" t="str">
            <v>2023</v>
          </cell>
        </row>
        <row r="2246">
          <cell r="D2246" t="str">
            <v>2022</v>
          </cell>
        </row>
        <row r="2247">
          <cell r="D2247" t="str">
            <v>2023</v>
          </cell>
        </row>
        <row r="2248">
          <cell r="D2248" t="str">
            <v>2022</v>
          </cell>
        </row>
        <row r="2249">
          <cell r="D2249" t="str">
            <v>2023</v>
          </cell>
        </row>
        <row r="2250">
          <cell r="D2250" t="str">
            <v>2023</v>
          </cell>
        </row>
        <row r="2251">
          <cell r="D2251" t="str">
            <v>2021</v>
          </cell>
        </row>
        <row r="2252">
          <cell r="D2252" t="str">
            <v>2022</v>
          </cell>
        </row>
        <row r="2253">
          <cell r="D2253" t="str">
            <v>2023</v>
          </cell>
        </row>
        <row r="2254">
          <cell r="D2254" t="str">
            <v>2023</v>
          </cell>
        </row>
        <row r="2255">
          <cell r="D2255" t="str">
            <v>2023</v>
          </cell>
        </row>
        <row r="2256">
          <cell r="D2256" t="str">
            <v>2022</v>
          </cell>
        </row>
        <row r="2257">
          <cell r="D2257" t="str">
            <v>2023</v>
          </cell>
        </row>
        <row r="2258">
          <cell r="D2258" t="str">
            <v>2023</v>
          </cell>
        </row>
        <row r="2259">
          <cell r="D2259" t="str">
            <v>2023</v>
          </cell>
        </row>
        <row r="2260">
          <cell r="D2260" t="str">
            <v>2021</v>
          </cell>
        </row>
        <row r="2261">
          <cell r="D2261" t="str">
            <v>2023</v>
          </cell>
        </row>
        <row r="2262">
          <cell r="D2262" t="str">
            <v>2022</v>
          </cell>
        </row>
        <row r="2263">
          <cell r="D2263" t="str">
            <v>2022</v>
          </cell>
        </row>
        <row r="2264">
          <cell r="D2264" t="str">
            <v>2023</v>
          </cell>
        </row>
        <row r="2265">
          <cell r="D2265" t="str">
            <v>2023</v>
          </cell>
        </row>
        <row r="2266">
          <cell r="D2266" t="str">
            <v>2023</v>
          </cell>
        </row>
        <row r="2267">
          <cell r="D2267" t="str">
            <v>2023</v>
          </cell>
        </row>
        <row r="2268">
          <cell r="D2268" t="str">
            <v>2023</v>
          </cell>
        </row>
        <row r="2269">
          <cell r="D2269" t="str">
            <v>2023</v>
          </cell>
        </row>
        <row r="2270">
          <cell r="D2270" t="str">
            <v>2022</v>
          </cell>
        </row>
        <row r="2271">
          <cell r="D2271" t="str">
            <v>2023</v>
          </cell>
        </row>
        <row r="2272">
          <cell r="D2272" t="str">
            <v>2021</v>
          </cell>
        </row>
        <row r="2273">
          <cell r="D2273" t="str">
            <v>2023</v>
          </cell>
        </row>
        <row r="2274">
          <cell r="D2274" t="str">
            <v>2023</v>
          </cell>
        </row>
        <row r="2275">
          <cell r="D2275" t="str">
            <v>2022</v>
          </cell>
        </row>
        <row r="2276">
          <cell r="D2276" t="str">
            <v>2022</v>
          </cell>
        </row>
        <row r="2277">
          <cell r="D2277" t="str">
            <v>2023</v>
          </cell>
        </row>
        <row r="2278">
          <cell r="D2278" t="str">
            <v>2023</v>
          </cell>
        </row>
        <row r="2279">
          <cell r="D2279" t="str">
            <v>2023</v>
          </cell>
        </row>
        <row r="2280">
          <cell r="D2280" t="str">
            <v>2023</v>
          </cell>
        </row>
        <row r="2281">
          <cell r="D2281" t="str">
            <v>2023</v>
          </cell>
        </row>
        <row r="2282">
          <cell r="D2282" t="str">
            <v>2023</v>
          </cell>
        </row>
        <row r="2283">
          <cell r="D2283" t="str">
            <v>2023</v>
          </cell>
        </row>
        <row r="2284">
          <cell r="D2284" t="str">
            <v>2022</v>
          </cell>
        </row>
        <row r="2285">
          <cell r="D2285" t="str">
            <v>2022</v>
          </cell>
        </row>
        <row r="2286">
          <cell r="D2286" t="str">
            <v>2023</v>
          </cell>
        </row>
        <row r="2287">
          <cell r="D2287" t="str">
            <v>2023</v>
          </cell>
        </row>
        <row r="2288">
          <cell r="D2288" t="str">
            <v>2023</v>
          </cell>
        </row>
        <row r="2289">
          <cell r="D2289" t="str">
            <v>2023</v>
          </cell>
        </row>
        <row r="2290">
          <cell r="D2290" t="str">
            <v>2023</v>
          </cell>
        </row>
        <row r="2291">
          <cell r="D2291" t="str">
            <v>2023</v>
          </cell>
        </row>
        <row r="2292">
          <cell r="D2292" t="str">
            <v>2023</v>
          </cell>
        </row>
        <row r="2293">
          <cell r="D2293" t="str">
            <v>2022</v>
          </cell>
        </row>
        <row r="2294">
          <cell r="D2294" t="str">
            <v>2021</v>
          </cell>
        </row>
        <row r="2295">
          <cell r="D2295" t="str">
            <v>2023</v>
          </cell>
        </row>
        <row r="2296">
          <cell r="D2296" t="str">
            <v>2023</v>
          </cell>
        </row>
        <row r="2297">
          <cell r="D2297" t="str">
            <v>2023</v>
          </cell>
        </row>
        <row r="2298">
          <cell r="D2298" t="str">
            <v>2023</v>
          </cell>
        </row>
        <row r="2299">
          <cell r="D2299" t="str">
            <v>2023</v>
          </cell>
        </row>
        <row r="2300">
          <cell r="D2300" t="str">
            <v>2022</v>
          </cell>
        </row>
        <row r="2301">
          <cell r="D2301" t="str">
            <v>2023</v>
          </cell>
        </row>
        <row r="2302">
          <cell r="D2302" t="str">
            <v>2021</v>
          </cell>
        </row>
        <row r="2303">
          <cell r="D2303" t="str">
            <v>2023</v>
          </cell>
        </row>
        <row r="2304">
          <cell r="D2304" t="str">
            <v>2023</v>
          </cell>
        </row>
        <row r="2305">
          <cell r="D2305" t="str">
            <v>2023</v>
          </cell>
        </row>
        <row r="2306">
          <cell r="D2306" t="str">
            <v>2021</v>
          </cell>
        </row>
        <row r="2307">
          <cell r="D2307" t="str">
            <v>2023</v>
          </cell>
        </row>
        <row r="2308">
          <cell r="D2308" t="str">
            <v>2023</v>
          </cell>
        </row>
        <row r="2309">
          <cell r="D2309" t="str">
            <v>2023</v>
          </cell>
        </row>
        <row r="2310">
          <cell r="D2310" t="str">
            <v>2023</v>
          </cell>
        </row>
        <row r="2311">
          <cell r="D2311" t="str">
            <v>2023</v>
          </cell>
        </row>
        <row r="2312">
          <cell r="D2312" t="str">
            <v>2023</v>
          </cell>
        </row>
        <row r="2313">
          <cell r="D2313" t="str">
            <v>2023</v>
          </cell>
        </row>
        <row r="2314">
          <cell r="D2314" t="str">
            <v>2023</v>
          </cell>
        </row>
        <row r="2315">
          <cell r="D2315" t="str">
            <v>2021</v>
          </cell>
        </row>
        <row r="2316">
          <cell r="D2316" t="str">
            <v>2022</v>
          </cell>
        </row>
        <row r="2317">
          <cell r="D2317" t="str">
            <v>2023</v>
          </cell>
        </row>
        <row r="2318">
          <cell r="D2318" t="str">
            <v>2022</v>
          </cell>
        </row>
        <row r="2319">
          <cell r="D2319" t="str">
            <v>2021</v>
          </cell>
        </row>
        <row r="2320">
          <cell r="D2320" t="str">
            <v>2023</v>
          </cell>
        </row>
        <row r="2321">
          <cell r="D2321" t="str">
            <v>2023</v>
          </cell>
        </row>
        <row r="2322">
          <cell r="D2322" t="str">
            <v>2023</v>
          </cell>
        </row>
        <row r="2323">
          <cell r="D2323" t="str">
            <v>2021</v>
          </cell>
        </row>
        <row r="2324">
          <cell r="D2324" t="str">
            <v>2023</v>
          </cell>
        </row>
        <row r="2325">
          <cell r="D2325" t="str">
            <v>2021</v>
          </cell>
        </row>
        <row r="2326">
          <cell r="D2326" t="str">
            <v>2023</v>
          </cell>
        </row>
        <row r="2327">
          <cell r="D2327" t="str">
            <v>2023</v>
          </cell>
        </row>
        <row r="2328">
          <cell r="D2328" t="str">
            <v>2023</v>
          </cell>
        </row>
        <row r="2329">
          <cell r="D2329" t="str">
            <v>2023</v>
          </cell>
        </row>
        <row r="2330">
          <cell r="D2330" t="str">
            <v>2023</v>
          </cell>
        </row>
        <row r="2331">
          <cell r="D2331" t="str">
            <v>2023</v>
          </cell>
        </row>
        <row r="2332">
          <cell r="D2332" t="str">
            <v>2021</v>
          </cell>
        </row>
        <row r="2333">
          <cell r="D2333" t="str">
            <v>2023</v>
          </cell>
        </row>
        <row r="2334">
          <cell r="D2334" t="str">
            <v>2023</v>
          </cell>
        </row>
        <row r="2335">
          <cell r="D2335" t="str">
            <v>2023</v>
          </cell>
        </row>
        <row r="2336">
          <cell r="D2336" t="str">
            <v>2023</v>
          </cell>
        </row>
        <row r="2337">
          <cell r="D2337" t="str">
            <v>2023</v>
          </cell>
        </row>
        <row r="2338">
          <cell r="D2338" t="str">
            <v>2023</v>
          </cell>
        </row>
        <row r="2339">
          <cell r="D2339" t="str">
            <v>2023</v>
          </cell>
        </row>
        <row r="2340">
          <cell r="D2340" t="str">
            <v>2021</v>
          </cell>
        </row>
        <row r="2341">
          <cell r="D2341" t="str">
            <v>2021</v>
          </cell>
        </row>
        <row r="2342">
          <cell r="D2342" t="str">
            <v>2023</v>
          </cell>
        </row>
        <row r="2343">
          <cell r="D2343" t="str">
            <v>2023</v>
          </cell>
        </row>
        <row r="2344">
          <cell r="D2344" t="str">
            <v>2023</v>
          </cell>
        </row>
        <row r="2345">
          <cell r="D2345" t="str">
            <v>2021</v>
          </cell>
        </row>
        <row r="2346">
          <cell r="D2346" t="str">
            <v>2023</v>
          </cell>
        </row>
        <row r="2347">
          <cell r="D2347" t="str">
            <v>2022</v>
          </cell>
        </row>
        <row r="2348">
          <cell r="D2348" t="str">
            <v>2023</v>
          </cell>
        </row>
        <row r="2349">
          <cell r="D2349" t="str">
            <v>2023</v>
          </cell>
        </row>
        <row r="2350">
          <cell r="D2350" t="str">
            <v>2023</v>
          </cell>
        </row>
        <row r="2351">
          <cell r="D2351" t="str">
            <v>2022</v>
          </cell>
        </row>
        <row r="2352">
          <cell r="D2352" t="str">
            <v>2023</v>
          </cell>
        </row>
        <row r="2353">
          <cell r="D2353" t="str">
            <v>2023</v>
          </cell>
        </row>
        <row r="2354">
          <cell r="D2354" t="str">
            <v>2021</v>
          </cell>
        </row>
        <row r="2355">
          <cell r="D2355" t="str">
            <v>2023</v>
          </cell>
        </row>
        <row r="2356">
          <cell r="D2356" t="str">
            <v>2022</v>
          </cell>
        </row>
        <row r="2357">
          <cell r="D2357" t="str">
            <v>2023</v>
          </cell>
        </row>
        <row r="2358">
          <cell r="D2358" t="str">
            <v>2023</v>
          </cell>
        </row>
        <row r="2359">
          <cell r="D2359" t="str">
            <v>2023</v>
          </cell>
        </row>
        <row r="2360">
          <cell r="D2360" t="str">
            <v>2023</v>
          </cell>
        </row>
        <row r="2361">
          <cell r="D2361" t="str">
            <v>2023</v>
          </cell>
        </row>
        <row r="2362">
          <cell r="D2362" t="str">
            <v>2023</v>
          </cell>
        </row>
        <row r="2363">
          <cell r="D2363" t="str">
            <v>2021</v>
          </cell>
        </row>
        <row r="2364">
          <cell r="D2364" t="str">
            <v>2023</v>
          </cell>
        </row>
        <row r="2365">
          <cell r="D2365" t="str">
            <v>2023</v>
          </cell>
        </row>
        <row r="2366">
          <cell r="D2366" t="str">
            <v>2023</v>
          </cell>
        </row>
        <row r="2367">
          <cell r="D2367" t="str">
            <v>2023</v>
          </cell>
        </row>
        <row r="2368">
          <cell r="D2368" t="str">
            <v>2022</v>
          </cell>
        </row>
        <row r="2369">
          <cell r="D2369" t="str">
            <v>2022</v>
          </cell>
        </row>
        <row r="2370">
          <cell r="D2370" t="str">
            <v>2021</v>
          </cell>
        </row>
        <row r="2371">
          <cell r="D2371" t="str">
            <v>2022</v>
          </cell>
        </row>
        <row r="2372">
          <cell r="D2372" t="str">
            <v>2021</v>
          </cell>
        </row>
        <row r="2373">
          <cell r="D2373" t="str">
            <v>2023</v>
          </cell>
        </row>
        <row r="2374">
          <cell r="D2374" t="str">
            <v>2023</v>
          </cell>
        </row>
        <row r="2375">
          <cell r="D2375" t="str">
            <v>2023</v>
          </cell>
        </row>
        <row r="2376">
          <cell r="D2376" t="str">
            <v>2023</v>
          </cell>
        </row>
        <row r="2377">
          <cell r="D2377" t="str">
            <v>2022</v>
          </cell>
        </row>
        <row r="2378">
          <cell r="D2378" t="str">
            <v>2023</v>
          </cell>
        </row>
        <row r="2379">
          <cell r="D2379" t="str">
            <v>2023</v>
          </cell>
        </row>
        <row r="2380">
          <cell r="D2380" t="str">
            <v>2023</v>
          </cell>
        </row>
        <row r="2381">
          <cell r="D2381" t="str">
            <v>2023</v>
          </cell>
        </row>
        <row r="2382">
          <cell r="D2382" t="str">
            <v>2022</v>
          </cell>
        </row>
        <row r="2383">
          <cell r="D2383" t="str">
            <v>2023</v>
          </cell>
        </row>
        <row r="2384">
          <cell r="D2384" t="str">
            <v>2023</v>
          </cell>
        </row>
        <row r="2385">
          <cell r="D2385" t="str">
            <v>2023</v>
          </cell>
        </row>
        <row r="2386">
          <cell r="D2386" t="str">
            <v>2023</v>
          </cell>
        </row>
        <row r="2387">
          <cell r="D2387" t="str">
            <v>2023</v>
          </cell>
        </row>
        <row r="2388">
          <cell r="D2388" t="str">
            <v>2023</v>
          </cell>
        </row>
        <row r="2389">
          <cell r="D2389" t="str">
            <v>2023</v>
          </cell>
        </row>
        <row r="2390">
          <cell r="D2390" t="str">
            <v>2023</v>
          </cell>
        </row>
        <row r="2391">
          <cell r="D2391" t="str">
            <v>2023</v>
          </cell>
        </row>
        <row r="2392">
          <cell r="D2392" t="str">
            <v>2023</v>
          </cell>
        </row>
        <row r="2393">
          <cell r="D2393" t="str">
            <v>2023</v>
          </cell>
        </row>
        <row r="2394">
          <cell r="D2394" t="str">
            <v>2023</v>
          </cell>
        </row>
        <row r="2395">
          <cell r="D2395" t="str">
            <v>2023</v>
          </cell>
        </row>
        <row r="2396">
          <cell r="D2396" t="str">
            <v>2021</v>
          </cell>
        </row>
        <row r="2397">
          <cell r="D2397" t="str">
            <v>2021</v>
          </cell>
        </row>
        <row r="2398">
          <cell r="D2398" t="str">
            <v>2021</v>
          </cell>
        </row>
        <row r="2399">
          <cell r="D2399" t="str">
            <v>2022</v>
          </cell>
        </row>
        <row r="2400">
          <cell r="D2400" t="str">
            <v>2021</v>
          </cell>
        </row>
        <row r="2401">
          <cell r="D2401" t="str">
            <v>2023</v>
          </cell>
        </row>
        <row r="2402">
          <cell r="D2402" t="str">
            <v>2023</v>
          </cell>
        </row>
        <row r="2403">
          <cell r="D2403" t="str">
            <v>2023</v>
          </cell>
        </row>
        <row r="2404">
          <cell r="D2404" t="str">
            <v>2023</v>
          </cell>
        </row>
        <row r="2405">
          <cell r="D2405" t="str">
            <v>2023</v>
          </cell>
        </row>
        <row r="2406">
          <cell r="D2406" t="str">
            <v>2023</v>
          </cell>
        </row>
        <row r="2407">
          <cell r="D2407" t="str">
            <v>2023</v>
          </cell>
        </row>
        <row r="2408">
          <cell r="D2408" t="str">
            <v>2022</v>
          </cell>
        </row>
        <row r="2409">
          <cell r="D2409" t="str">
            <v>2023</v>
          </cell>
        </row>
        <row r="2410">
          <cell r="D2410" t="str">
            <v>2023</v>
          </cell>
        </row>
        <row r="2411">
          <cell r="D2411" t="str">
            <v>2023</v>
          </cell>
        </row>
        <row r="2412">
          <cell r="D2412" t="str">
            <v>2023</v>
          </cell>
        </row>
        <row r="2413">
          <cell r="D2413" t="str">
            <v>2023</v>
          </cell>
        </row>
        <row r="2414">
          <cell r="D2414" t="str">
            <v>2023</v>
          </cell>
        </row>
        <row r="2415">
          <cell r="D2415" t="str">
            <v>2023</v>
          </cell>
        </row>
        <row r="2416">
          <cell r="D2416" t="str">
            <v>2023</v>
          </cell>
        </row>
        <row r="2417">
          <cell r="D2417" t="str">
            <v>2023</v>
          </cell>
        </row>
        <row r="2418">
          <cell r="D2418" t="str">
            <v>2023</v>
          </cell>
        </row>
        <row r="2419">
          <cell r="D2419" t="str">
            <v>2023</v>
          </cell>
        </row>
        <row r="2420">
          <cell r="D2420" t="str">
            <v>2023</v>
          </cell>
        </row>
        <row r="2421">
          <cell r="D2421" t="str">
            <v>2023</v>
          </cell>
        </row>
        <row r="2422">
          <cell r="D2422" t="str">
            <v>2023</v>
          </cell>
        </row>
        <row r="2423">
          <cell r="D2423" t="str">
            <v>2022</v>
          </cell>
        </row>
        <row r="2424">
          <cell r="D2424" t="str">
            <v>2023</v>
          </cell>
        </row>
        <row r="2425">
          <cell r="D2425" t="str">
            <v>2023</v>
          </cell>
        </row>
        <row r="2426">
          <cell r="D2426" t="str">
            <v>2023</v>
          </cell>
        </row>
        <row r="2427">
          <cell r="D2427" t="str">
            <v>2022</v>
          </cell>
        </row>
        <row r="2428">
          <cell r="D2428" t="str">
            <v>2023</v>
          </cell>
        </row>
        <row r="2429">
          <cell r="D2429" t="str">
            <v>2021</v>
          </cell>
        </row>
        <row r="2430">
          <cell r="D2430" t="str">
            <v>2023</v>
          </cell>
        </row>
        <row r="2431">
          <cell r="D2431" t="str">
            <v>2021</v>
          </cell>
        </row>
        <row r="2432">
          <cell r="D2432" t="str">
            <v>2023</v>
          </cell>
        </row>
        <row r="2433">
          <cell r="D2433" t="str">
            <v>2023</v>
          </cell>
        </row>
        <row r="2434">
          <cell r="D2434" t="str">
            <v>2023</v>
          </cell>
        </row>
        <row r="2435">
          <cell r="D2435" t="str">
            <v>2023</v>
          </cell>
        </row>
        <row r="2436">
          <cell r="D2436" t="str">
            <v>2021</v>
          </cell>
        </row>
        <row r="2437">
          <cell r="D2437" t="str">
            <v>2023</v>
          </cell>
        </row>
        <row r="2438">
          <cell r="D2438" t="str">
            <v>2023</v>
          </cell>
        </row>
        <row r="2439">
          <cell r="D2439" t="str">
            <v>2023</v>
          </cell>
        </row>
        <row r="2440">
          <cell r="D2440" t="str">
            <v>2023</v>
          </cell>
        </row>
        <row r="2441">
          <cell r="D2441" t="str">
            <v>2023</v>
          </cell>
        </row>
        <row r="2442">
          <cell r="D2442" t="str">
            <v>2023</v>
          </cell>
        </row>
        <row r="2443">
          <cell r="D2443" t="str">
            <v>2021</v>
          </cell>
        </row>
        <row r="2444">
          <cell r="D2444" t="str">
            <v>2023</v>
          </cell>
        </row>
        <row r="2445">
          <cell r="D2445" t="str">
            <v>2021</v>
          </cell>
        </row>
        <row r="2446">
          <cell r="D2446" t="str">
            <v>2021</v>
          </cell>
        </row>
        <row r="2447">
          <cell r="D2447" t="str">
            <v>2023</v>
          </cell>
        </row>
        <row r="2448">
          <cell r="D2448" t="str">
            <v>2023</v>
          </cell>
        </row>
        <row r="2449">
          <cell r="D2449" t="str">
            <v>2023</v>
          </cell>
        </row>
        <row r="2450">
          <cell r="D2450" t="str">
            <v>2023</v>
          </cell>
        </row>
        <row r="2451">
          <cell r="D2451" t="str">
            <v>2023</v>
          </cell>
        </row>
        <row r="2452">
          <cell r="D2452" t="str">
            <v>2021</v>
          </cell>
        </row>
        <row r="2453">
          <cell r="D2453" t="str">
            <v>2023</v>
          </cell>
        </row>
        <row r="2454">
          <cell r="D2454" t="str">
            <v>2023</v>
          </cell>
        </row>
        <row r="2455">
          <cell r="D2455" t="str">
            <v>2023</v>
          </cell>
        </row>
        <row r="2456">
          <cell r="D2456" t="str">
            <v>2023</v>
          </cell>
        </row>
        <row r="2457">
          <cell r="D2457" t="str">
            <v>2022</v>
          </cell>
        </row>
        <row r="2458">
          <cell r="D2458" t="str">
            <v>2023</v>
          </cell>
        </row>
        <row r="2459">
          <cell r="D2459" t="str">
            <v>2023</v>
          </cell>
        </row>
        <row r="2460">
          <cell r="D2460" t="str">
            <v>2023</v>
          </cell>
        </row>
        <row r="2461">
          <cell r="D2461" t="str">
            <v>2023</v>
          </cell>
        </row>
        <row r="2462">
          <cell r="D2462" t="str">
            <v>2022</v>
          </cell>
        </row>
        <row r="2463">
          <cell r="D2463" t="str">
            <v>2023</v>
          </cell>
        </row>
        <row r="2464">
          <cell r="D2464" t="str">
            <v>2022</v>
          </cell>
        </row>
        <row r="2465">
          <cell r="D2465" t="str">
            <v>2023</v>
          </cell>
        </row>
        <row r="2466">
          <cell r="D2466" t="str">
            <v>2023</v>
          </cell>
        </row>
        <row r="2467">
          <cell r="D2467" t="str">
            <v>2023</v>
          </cell>
        </row>
        <row r="2468">
          <cell r="D2468" t="str">
            <v>2021</v>
          </cell>
        </row>
        <row r="2469">
          <cell r="D2469" t="str">
            <v>2023</v>
          </cell>
        </row>
        <row r="2470">
          <cell r="D2470" t="str">
            <v>2023</v>
          </cell>
        </row>
        <row r="2471">
          <cell r="D2471" t="str">
            <v>2021</v>
          </cell>
        </row>
        <row r="2472">
          <cell r="D2472" t="str">
            <v>2023</v>
          </cell>
        </row>
        <row r="2473">
          <cell r="D2473" t="str">
            <v>2022</v>
          </cell>
        </row>
        <row r="2474">
          <cell r="D2474" t="str">
            <v>2023</v>
          </cell>
        </row>
        <row r="2475">
          <cell r="D2475" t="str">
            <v>2023</v>
          </cell>
        </row>
        <row r="2476">
          <cell r="D2476" t="str">
            <v>2023</v>
          </cell>
        </row>
        <row r="2477">
          <cell r="D2477" t="str">
            <v>2023</v>
          </cell>
        </row>
        <row r="2478">
          <cell r="D2478" t="str">
            <v>2023</v>
          </cell>
        </row>
        <row r="2479">
          <cell r="D2479" t="str">
            <v>2022</v>
          </cell>
        </row>
        <row r="2480">
          <cell r="D2480" t="str">
            <v>2023</v>
          </cell>
        </row>
        <row r="2481">
          <cell r="D2481" t="str">
            <v>2023</v>
          </cell>
        </row>
        <row r="2482">
          <cell r="D2482" t="str">
            <v>2023</v>
          </cell>
        </row>
        <row r="2483">
          <cell r="D2483" t="str">
            <v>2023</v>
          </cell>
        </row>
        <row r="2484">
          <cell r="D2484" t="str">
            <v>2023</v>
          </cell>
        </row>
        <row r="2485">
          <cell r="D2485" t="str">
            <v>2023</v>
          </cell>
        </row>
        <row r="2486">
          <cell r="D2486" t="str">
            <v>2023</v>
          </cell>
        </row>
        <row r="2487">
          <cell r="D2487" t="str">
            <v>2023</v>
          </cell>
        </row>
        <row r="2488">
          <cell r="D2488" t="str">
            <v>2023</v>
          </cell>
        </row>
        <row r="2489">
          <cell r="D2489" t="str">
            <v>2023</v>
          </cell>
        </row>
        <row r="2490">
          <cell r="D2490" t="str">
            <v>2023</v>
          </cell>
        </row>
        <row r="2491">
          <cell r="D2491" t="str">
            <v>2023</v>
          </cell>
        </row>
        <row r="2492">
          <cell r="D2492" t="str">
            <v>2022</v>
          </cell>
        </row>
        <row r="2493">
          <cell r="D2493" t="str">
            <v>2021</v>
          </cell>
        </row>
        <row r="2494">
          <cell r="D2494" t="str">
            <v>2021</v>
          </cell>
        </row>
        <row r="2495">
          <cell r="D2495" t="str">
            <v>2023</v>
          </cell>
        </row>
        <row r="2496">
          <cell r="D2496" t="str">
            <v>2023</v>
          </cell>
        </row>
        <row r="2497">
          <cell r="D2497" t="str">
            <v>2021</v>
          </cell>
        </row>
        <row r="2498">
          <cell r="D2498" t="str">
            <v>2023</v>
          </cell>
        </row>
        <row r="2499">
          <cell r="D2499" t="str">
            <v>2021</v>
          </cell>
        </row>
        <row r="2500">
          <cell r="D2500" t="str">
            <v>2023</v>
          </cell>
        </row>
        <row r="2501">
          <cell r="D2501" t="str">
            <v>2023</v>
          </cell>
        </row>
        <row r="2502">
          <cell r="D2502" t="str">
            <v>2023</v>
          </cell>
        </row>
        <row r="2503">
          <cell r="D2503" t="str">
            <v>2023</v>
          </cell>
        </row>
        <row r="2504">
          <cell r="D2504" t="str">
            <v>2022</v>
          </cell>
        </row>
        <row r="2505">
          <cell r="D2505" t="str">
            <v>2023</v>
          </cell>
        </row>
        <row r="2506">
          <cell r="D2506" t="str">
            <v>2023</v>
          </cell>
        </row>
        <row r="2507">
          <cell r="D2507" t="str">
            <v>2022</v>
          </cell>
        </row>
        <row r="2508">
          <cell r="D2508" t="str">
            <v>2024</v>
          </cell>
        </row>
        <row r="2509">
          <cell r="D2509" t="str">
            <v>2023</v>
          </cell>
        </row>
        <row r="2510">
          <cell r="D2510" t="str">
            <v>2022</v>
          </cell>
        </row>
        <row r="2511">
          <cell r="D2511" t="str">
            <v>2021</v>
          </cell>
        </row>
        <row r="2512">
          <cell r="D2512" t="str">
            <v>2023</v>
          </cell>
        </row>
        <row r="2513">
          <cell r="D2513" t="str">
            <v>2023</v>
          </cell>
        </row>
        <row r="2514">
          <cell r="D2514" t="str">
            <v>2023</v>
          </cell>
        </row>
        <row r="2515">
          <cell r="D2515" t="str">
            <v>2021</v>
          </cell>
        </row>
        <row r="2516">
          <cell r="D2516" t="str">
            <v>2022</v>
          </cell>
        </row>
        <row r="2517">
          <cell r="D2517" t="str">
            <v>2022</v>
          </cell>
        </row>
        <row r="2518">
          <cell r="D2518" t="str">
            <v>2023</v>
          </cell>
        </row>
        <row r="2519">
          <cell r="D2519" t="str">
            <v>2023</v>
          </cell>
        </row>
        <row r="2520">
          <cell r="D2520" t="str">
            <v>2022</v>
          </cell>
        </row>
        <row r="2521">
          <cell r="D2521" t="str">
            <v>2022</v>
          </cell>
        </row>
        <row r="2522">
          <cell r="D2522" t="str">
            <v>2023</v>
          </cell>
        </row>
        <row r="2523">
          <cell r="D2523" t="str">
            <v>2023</v>
          </cell>
        </row>
        <row r="2524">
          <cell r="D2524" t="str">
            <v>2023</v>
          </cell>
        </row>
        <row r="2525">
          <cell r="D2525" t="str">
            <v>2023</v>
          </cell>
        </row>
        <row r="2526">
          <cell r="D2526" t="str">
            <v>2022</v>
          </cell>
        </row>
        <row r="2527">
          <cell r="D2527" t="str">
            <v>2023</v>
          </cell>
        </row>
        <row r="2528">
          <cell r="D2528" t="str">
            <v>2023</v>
          </cell>
        </row>
        <row r="2529">
          <cell r="D2529" t="str">
            <v>2022</v>
          </cell>
        </row>
        <row r="2530">
          <cell r="D2530" t="str">
            <v>2023</v>
          </cell>
        </row>
        <row r="2531">
          <cell r="D2531" t="str">
            <v>2023</v>
          </cell>
        </row>
        <row r="2532">
          <cell r="D2532" t="str">
            <v>2022</v>
          </cell>
        </row>
        <row r="2533">
          <cell r="D2533" t="str">
            <v>2023</v>
          </cell>
        </row>
        <row r="2534">
          <cell r="D2534" t="str">
            <v>2022</v>
          </cell>
        </row>
        <row r="2535">
          <cell r="D2535" t="str">
            <v>2023</v>
          </cell>
        </row>
        <row r="2536">
          <cell r="D2536" t="str">
            <v>2023</v>
          </cell>
        </row>
        <row r="2537">
          <cell r="D2537" t="str">
            <v>2023</v>
          </cell>
        </row>
        <row r="2538">
          <cell r="D2538" t="str">
            <v>2022</v>
          </cell>
        </row>
        <row r="2539">
          <cell r="D2539" t="str">
            <v>2023</v>
          </cell>
        </row>
        <row r="2540">
          <cell r="D2540" t="str">
            <v>2022</v>
          </cell>
        </row>
        <row r="2541">
          <cell r="D2541" t="str">
            <v>2023</v>
          </cell>
        </row>
        <row r="2542">
          <cell r="D2542" t="str">
            <v>2022</v>
          </cell>
        </row>
        <row r="2543">
          <cell r="D2543" t="str">
            <v>2023</v>
          </cell>
        </row>
        <row r="2544">
          <cell r="D2544" t="str">
            <v>2023</v>
          </cell>
        </row>
        <row r="2545">
          <cell r="D2545" t="str">
            <v>2023</v>
          </cell>
        </row>
        <row r="2546">
          <cell r="D2546" t="str">
            <v>2023</v>
          </cell>
        </row>
        <row r="2547">
          <cell r="D2547" t="str">
            <v>2023</v>
          </cell>
        </row>
        <row r="2548">
          <cell r="D2548" t="str">
            <v>2023</v>
          </cell>
        </row>
        <row r="2549">
          <cell r="D2549" t="str">
            <v>2023</v>
          </cell>
        </row>
        <row r="2550">
          <cell r="D2550" t="str">
            <v>2022</v>
          </cell>
        </row>
        <row r="2551">
          <cell r="D2551" t="str">
            <v>2021</v>
          </cell>
        </row>
        <row r="2552">
          <cell r="D2552" t="str">
            <v>2023</v>
          </cell>
        </row>
        <row r="2553">
          <cell r="D2553" t="str">
            <v>2023</v>
          </cell>
        </row>
        <row r="2554">
          <cell r="D2554" t="str">
            <v>2022</v>
          </cell>
        </row>
        <row r="2555">
          <cell r="D2555" t="str">
            <v>2023</v>
          </cell>
        </row>
        <row r="2556">
          <cell r="D2556" t="str">
            <v>2021</v>
          </cell>
        </row>
        <row r="2557">
          <cell r="D2557" t="str">
            <v>2023</v>
          </cell>
        </row>
        <row r="2558">
          <cell r="D2558" t="str">
            <v>2023</v>
          </cell>
        </row>
        <row r="2559">
          <cell r="D2559" t="str">
            <v>2023</v>
          </cell>
        </row>
        <row r="2560">
          <cell r="D2560" t="str">
            <v>2023</v>
          </cell>
        </row>
        <row r="2561">
          <cell r="D2561" t="str">
            <v>2023</v>
          </cell>
        </row>
        <row r="2562">
          <cell r="D2562" t="str">
            <v>2023</v>
          </cell>
        </row>
        <row r="2563">
          <cell r="D2563" t="str">
            <v>2023</v>
          </cell>
        </row>
        <row r="2564">
          <cell r="D2564" t="str">
            <v>2023</v>
          </cell>
        </row>
        <row r="2565">
          <cell r="D2565" t="str">
            <v>2021</v>
          </cell>
        </row>
        <row r="2566">
          <cell r="D2566" t="str">
            <v>2023</v>
          </cell>
        </row>
        <row r="2567">
          <cell r="D2567" t="str">
            <v>2022</v>
          </cell>
        </row>
        <row r="2568">
          <cell r="D2568" t="str">
            <v>2022</v>
          </cell>
        </row>
        <row r="2569">
          <cell r="D2569" t="str">
            <v>2021</v>
          </cell>
        </row>
        <row r="2570">
          <cell r="D2570" t="str">
            <v>2023</v>
          </cell>
        </row>
        <row r="2571">
          <cell r="D2571" t="str">
            <v>2023</v>
          </cell>
        </row>
        <row r="2572">
          <cell r="D2572" t="str">
            <v>2023</v>
          </cell>
        </row>
        <row r="2573">
          <cell r="D2573" t="str">
            <v>2023</v>
          </cell>
        </row>
        <row r="2574">
          <cell r="D2574" t="str">
            <v>2021</v>
          </cell>
        </row>
        <row r="2575">
          <cell r="D2575" t="str">
            <v>2023</v>
          </cell>
        </row>
        <row r="2576">
          <cell r="D2576" t="str">
            <v>2023</v>
          </cell>
        </row>
        <row r="2577">
          <cell r="D2577" t="str">
            <v>2022</v>
          </cell>
        </row>
        <row r="2578">
          <cell r="D2578" t="str">
            <v>2023</v>
          </cell>
        </row>
        <row r="2579">
          <cell r="D2579" t="str">
            <v>2023</v>
          </cell>
        </row>
        <row r="2580">
          <cell r="D2580" t="str">
            <v>2023</v>
          </cell>
        </row>
        <row r="2581">
          <cell r="D2581" t="str">
            <v>2023</v>
          </cell>
        </row>
        <row r="2582">
          <cell r="D2582" t="str">
            <v>2023</v>
          </cell>
        </row>
        <row r="2583">
          <cell r="D2583" t="str">
            <v>2023</v>
          </cell>
        </row>
        <row r="2584">
          <cell r="D2584" t="str">
            <v>2023</v>
          </cell>
        </row>
        <row r="2585">
          <cell r="D2585" t="str">
            <v>2023</v>
          </cell>
        </row>
        <row r="2586">
          <cell r="D2586" t="str">
            <v>2022</v>
          </cell>
        </row>
        <row r="2587">
          <cell r="D2587" t="str">
            <v>2023</v>
          </cell>
        </row>
        <row r="2588">
          <cell r="D2588" t="str">
            <v>2023</v>
          </cell>
        </row>
        <row r="2589">
          <cell r="D2589" t="str">
            <v>2023</v>
          </cell>
        </row>
        <row r="2590">
          <cell r="D2590" t="str">
            <v>2023</v>
          </cell>
        </row>
        <row r="2591">
          <cell r="D2591" t="str">
            <v>2023</v>
          </cell>
        </row>
        <row r="2592">
          <cell r="D2592" t="str">
            <v>2023</v>
          </cell>
        </row>
        <row r="2593">
          <cell r="D2593" t="str">
            <v>2022</v>
          </cell>
        </row>
        <row r="2594">
          <cell r="D2594" t="str">
            <v>2023</v>
          </cell>
        </row>
        <row r="2595">
          <cell r="D2595" t="str">
            <v>2023</v>
          </cell>
        </row>
        <row r="2596">
          <cell r="D2596" t="str">
            <v>2023</v>
          </cell>
        </row>
        <row r="2597">
          <cell r="D2597" t="str">
            <v>2022</v>
          </cell>
        </row>
        <row r="2598">
          <cell r="D2598" t="str">
            <v>2023</v>
          </cell>
        </row>
        <row r="2599">
          <cell r="D2599" t="str">
            <v>2023</v>
          </cell>
        </row>
        <row r="2600">
          <cell r="D2600" t="str">
            <v>2023</v>
          </cell>
        </row>
        <row r="2601">
          <cell r="D2601" t="str">
            <v>2023</v>
          </cell>
        </row>
        <row r="2602">
          <cell r="D2602" t="str">
            <v>2022</v>
          </cell>
        </row>
        <row r="2603">
          <cell r="D2603" t="str">
            <v>2023</v>
          </cell>
        </row>
        <row r="2604">
          <cell r="D2604" t="str">
            <v>2023</v>
          </cell>
        </row>
        <row r="2605">
          <cell r="D2605" t="str">
            <v>2023</v>
          </cell>
        </row>
        <row r="2606">
          <cell r="D2606" t="str">
            <v>2023</v>
          </cell>
        </row>
        <row r="2607">
          <cell r="D2607" t="str">
            <v>2023</v>
          </cell>
        </row>
        <row r="2608">
          <cell r="D2608" t="str">
            <v>2021</v>
          </cell>
        </row>
        <row r="2609">
          <cell r="D2609" t="str">
            <v>2023</v>
          </cell>
        </row>
        <row r="2610">
          <cell r="D2610" t="str">
            <v>2022</v>
          </cell>
        </row>
        <row r="2611">
          <cell r="D2611" t="str">
            <v>2021</v>
          </cell>
        </row>
        <row r="2612">
          <cell r="D2612" t="str">
            <v>2022</v>
          </cell>
        </row>
        <row r="2613">
          <cell r="D2613" t="str">
            <v>2023</v>
          </cell>
        </row>
        <row r="2614">
          <cell r="D2614" t="str">
            <v>2022</v>
          </cell>
        </row>
        <row r="2615">
          <cell r="D2615" t="str">
            <v>2023</v>
          </cell>
        </row>
        <row r="2616">
          <cell r="D2616" t="str">
            <v>2023</v>
          </cell>
        </row>
        <row r="2617">
          <cell r="D2617" t="str">
            <v>2021</v>
          </cell>
        </row>
        <row r="2618">
          <cell r="D2618" t="str">
            <v>2023</v>
          </cell>
        </row>
        <row r="2619">
          <cell r="D2619" t="str">
            <v>2023</v>
          </cell>
        </row>
        <row r="2620">
          <cell r="D2620" t="str">
            <v>2023</v>
          </cell>
        </row>
        <row r="2621">
          <cell r="D2621" t="str">
            <v>2023</v>
          </cell>
        </row>
        <row r="2622">
          <cell r="D2622" t="str">
            <v>2023</v>
          </cell>
        </row>
        <row r="2623">
          <cell r="D2623" t="str">
            <v>2022</v>
          </cell>
        </row>
        <row r="2624">
          <cell r="D2624" t="str">
            <v>2022</v>
          </cell>
        </row>
        <row r="2625">
          <cell r="D2625" t="str">
            <v>2023</v>
          </cell>
        </row>
        <row r="2626">
          <cell r="D2626" t="str">
            <v>2022</v>
          </cell>
        </row>
        <row r="2627">
          <cell r="D2627" t="str">
            <v>2022</v>
          </cell>
        </row>
        <row r="2628">
          <cell r="D2628" t="str">
            <v>2023</v>
          </cell>
        </row>
        <row r="2629">
          <cell r="D2629" t="str">
            <v>2022</v>
          </cell>
        </row>
        <row r="2630">
          <cell r="D2630" t="str">
            <v>2021</v>
          </cell>
        </row>
        <row r="2631">
          <cell r="D2631" t="str">
            <v>2023</v>
          </cell>
        </row>
        <row r="2632">
          <cell r="D2632" t="str">
            <v>2022</v>
          </cell>
        </row>
        <row r="2633">
          <cell r="D2633" t="str">
            <v>2023</v>
          </cell>
        </row>
        <row r="2634">
          <cell r="D2634" t="str">
            <v>2023</v>
          </cell>
        </row>
        <row r="2635">
          <cell r="D2635" t="str">
            <v>2023</v>
          </cell>
        </row>
        <row r="2636">
          <cell r="D2636" t="str">
            <v>2021</v>
          </cell>
        </row>
        <row r="2637">
          <cell r="D2637" t="str">
            <v>2023</v>
          </cell>
        </row>
        <row r="2638">
          <cell r="D2638" t="str">
            <v>2023</v>
          </cell>
        </row>
        <row r="2639">
          <cell r="D2639" t="str">
            <v>2023</v>
          </cell>
        </row>
        <row r="2640">
          <cell r="D2640" t="str">
            <v>2023</v>
          </cell>
        </row>
        <row r="2641">
          <cell r="D2641" t="str">
            <v>2021</v>
          </cell>
        </row>
        <row r="2642">
          <cell r="D2642" t="str">
            <v>2023</v>
          </cell>
        </row>
        <row r="2643">
          <cell r="D2643" t="str">
            <v>2023</v>
          </cell>
        </row>
        <row r="2644">
          <cell r="D2644" t="str">
            <v>2023</v>
          </cell>
        </row>
        <row r="2645">
          <cell r="D2645" t="str">
            <v>2023</v>
          </cell>
        </row>
        <row r="2646">
          <cell r="D2646" t="str">
            <v>2023</v>
          </cell>
        </row>
        <row r="2647">
          <cell r="D2647" t="str">
            <v>2023</v>
          </cell>
        </row>
        <row r="2648">
          <cell r="D2648" t="str">
            <v>2021</v>
          </cell>
        </row>
        <row r="2649">
          <cell r="D2649" t="str">
            <v>2023</v>
          </cell>
        </row>
        <row r="2650">
          <cell r="D2650" t="str">
            <v>2023</v>
          </cell>
        </row>
        <row r="2651">
          <cell r="D2651" t="str">
            <v>2023</v>
          </cell>
        </row>
        <row r="2652">
          <cell r="D2652" t="str">
            <v>2023</v>
          </cell>
        </row>
        <row r="2653">
          <cell r="D2653" t="str">
            <v>2022</v>
          </cell>
        </row>
        <row r="2654">
          <cell r="D2654" t="str">
            <v>2023</v>
          </cell>
        </row>
        <row r="2655">
          <cell r="D2655" t="str">
            <v>2023</v>
          </cell>
        </row>
        <row r="2656">
          <cell r="D2656" t="str">
            <v>2023</v>
          </cell>
        </row>
        <row r="2657">
          <cell r="D2657" t="str">
            <v>2023</v>
          </cell>
        </row>
        <row r="2658">
          <cell r="D2658" t="str">
            <v>2023</v>
          </cell>
        </row>
        <row r="2659">
          <cell r="D2659" t="str">
            <v>2023</v>
          </cell>
        </row>
        <row r="2660">
          <cell r="D2660" t="str">
            <v>2021</v>
          </cell>
        </row>
        <row r="2661">
          <cell r="D2661" t="str">
            <v>2023</v>
          </cell>
        </row>
        <row r="2662">
          <cell r="D2662" t="str">
            <v>2023</v>
          </cell>
        </row>
        <row r="2663">
          <cell r="D2663" t="str">
            <v>2023</v>
          </cell>
        </row>
        <row r="2664">
          <cell r="D2664" t="str">
            <v>2022</v>
          </cell>
        </row>
        <row r="2665">
          <cell r="D2665" t="str">
            <v>2023</v>
          </cell>
        </row>
        <row r="2666">
          <cell r="D2666" t="str">
            <v>2023</v>
          </cell>
        </row>
        <row r="2667">
          <cell r="D2667" t="str">
            <v>2023</v>
          </cell>
        </row>
        <row r="2668">
          <cell r="D2668" t="str">
            <v>2023</v>
          </cell>
        </row>
        <row r="2669">
          <cell r="D2669" t="str">
            <v>2023</v>
          </cell>
        </row>
        <row r="2670">
          <cell r="D2670" t="str">
            <v>2022</v>
          </cell>
        </row>
        <row r="2671">
          <cell r="D2671" t="str">
            <v>2023</v>
          </cell>
        </row>
        <row r="2672">
          <cell r="D2672" t="str">
            <v>2022</v>
          </cell>
        </row>
        <row r="2673">
          <cell r="D2673" t="str">
            <v>2023</v>
          </cell>
        </row>
        <row r="2674">
          <cell r="D2674" t="str">
            <v>2023</v>
          </cell>
        </row>
        <row r="2675">
          <cell r="D2675" t="str">
            <v>2023</v>
          </cell>
        </row>
        <row r="2676">
          <cell r="D2676" t="str">
            <v>2022</v>
          </cell>
        </row>
        <row r="2677">
          <cell r="D2677" t="str">
            <v>2023</v>
          </cell>
        </row>
        <row r="2678">
          <cell r="D2678" t="str">
            <v>2023</v>
          </cell>
        </row>
        <row r="2679">
          <cell r="D2679" t="str">
            <v>2023</v>
          </cell>
        </row>
        <row r="2680">
          <cell r="D2680" t="str">
            <v>2023</v>
          </cell>
        </row>
        <row r="2681">
          <cell r="D2681" t="str">
            <v>2023</v>
          </cell>
        </row>
        <row r="2682">
          <cell r="D2682" t="str">
            <v>2023</v>
          </cell>
        </row>
        <row r="2683">
          <cell r="D2683" t="str">
            <v>2021</v>
          </cell>
        </row>
        <row r="2684">
          <cell r="D2684" t="str">
            <v>2023</v>
          </cell>
        </row>
        <row r="2685">
          <cell r="D2685" t="str">
            <v>2021</v>
          </cell>
        </row>
        <row r="2686">
          <cell r="D2686" t="str">
            <v>2023</v>
          </cell>
        </row>
        <row r="2687">
          <cell r="D2687" t="str">
            <v>2023</v>
          </cell>
        </row>
        <row r="2688">
          <cell r="D2688" t="str">
            <v>2021</v>
          </cell>
        </row>
        <row r="2689">
          <cell r="D2689" t="str">
            <v>2023</v>
          </cell>
        </row>
        <row r="2690">
          <cell r="D2690" t="str">
            <v>2023</v>
          </cell>
        </row>
        <row r="2691">
          <cell r="D2691" t="str">
            <v>2023</v>
          </cell>
        </row>
        <row r="2692">
          <cell r="D2692" t="str">
            <v>2023</v>
          </cell>
        </row>
        <row r="2693">
          <cell r="D2693" t="str">
            <v>2023</v>
          </cell>
        </row>
        <row r="2694">
          <cell r="D2694" t="str">
            <v>2023</v>
          </cell>
        </row>
        <row r="2695">
          <cell r="D2695" t="str">
            <v>2023</v>
          </cell>
        </row>
        <row r="2696">
          <cell r="D2696" t="str">
            <v>2021</v>
          </cell>
        </row>
        <row r="2697">
          <cell r="D2697" t="str">
            <v>2023</v>
          </cell>
        </row>
        <row r="2698">
          <cell r="D2698" t="str">
            <v>2022</v>
          </cell>
        </row>
        <row r="2699">
          <cell r="D2699" t="str">
            <v>2023</v>
          </cell>
        </row>
        <row r="2700">
          <cell r="D2700" t="str">
            <v>2023</v>
          </cell>
        </row>
        <row r="2701">
          <cell r="D2701" t="str">
            <v>2023</v>
          </cell>
        </row>
        <row r="2702">
          <cell r="D2702" t="str">
            <v>2023</v>
          </cell>
        </row>
        <row r="2703">
          <cell r="D2703" t="str">
            <v>2021</v>
          </cell>
        </row>
        <row r="2704">
          <cell r="D2704" t="str">
            <v>2022</v>
          </cell>
        </row>
        <row r="2705">
          <cell r="D2705" t="str">
            <v>2023</v>
          </cell>
        </row>
        <row r="2706">
          <cell r="D2706" t="str">
            <v>2023</v>
          </cell>
        </row>
        <row r="2707">
          <cell r="D2707" t="str">
            <v>2023</v>
          </cell>
        </row>
        <row r="2708">
          <cell r="D2708" t="str">
            <v>2023</v>
          </cell>
        </row>
        <row r="2709">
          <cell r="D2709" t="str">
            <v>2023</v>
          </cell>
        </row>
        <row r="2710">
          <cell r="D2710" t="str">
            <v>2023</v>
          </cell>
        </row>
        <row r="2711">
          <cell r="D2711" t="str">
            <v>2023</v>
          </cell>
        </row>
        <row r="2712">
          <cell r="D2712" t="str">
            <v>2023</v>
          </cell>
        </row>
        <row r="2713">
          <cell r="D2713" t="str">
            <v>2023</v>
          </cell>
        </row>
        <row r="2714">
          <cell r="D2714" t="str">
            <v>2021</v>
          </cell>
        </row>
        <row r="2715">
          <cell r="D2715" t="str">
            <v>2021</v>
          </cell>
        </row>
        <row r="2716">
          <cell r="D2716" t="str">
            <v>2023</v>
          </cell>
        </row>
        <row r="2717">
          <cell r="D2717" t="str">
            <v>2021</v>
          </cell>
        </row>
        <row r="2718">
          <cell r="D2718" t="str">
            <v>2023</v>
          </cell>
        </row>
        <row r="2719">
          <cell r="D2719" t="str">
            <v>2022</v>
          </cell>
        </row>
        <row r="2720">
          <cell r="D2720" t="str">
            <v>2023</v>
          </cell>
        </row>
        <row r="2721">
          <cell r="D2721" t="str">
            <v>2023</v>
          </cell>
        </row>
        <row r="2722">
          <cell r="D2722" t="str">
            <v>2022</v>
          </cell>
        </row>
        <row r="2723">
          <cell r="D2723" t="str">
            <v>2023</v>
          </cell>
        </row>
        <row r="2724">
          <cell r="D2724" t="str">
            <v>2023</v>
          </cell>
        </row>
        <row r="2725">
          <cell r="D2725" t="str">
            <v>2023</v>
          </cell>
        </row>
        <row r="2726">
          <cell r="D2726" t="str">
            <v>2023</v>
          </cell>
        </row>
        <row r="2727">
          <cell r="D2727" t="str">
            <v>2023</v>
          </cell>
        </row>
        <row r="2728">
          <cell r="D2728" t="str">
            <v>2022</v>
          </cell>
        </row>
        <row r="2729">
          <cell r="D2729" t="str">
            <v>2023</v>
          </cell>
        </row>
        <row r="2730">
          <cell r="D2730" t="str">
            <v>2023</v>
          </cell>
        </row>
        <row r="2731">
          <cell r="D2731" t="str">
            <v>2023</v>
          </cell>
        </row>
        <row r="2732">
          <cell r="D2732" t="str">
            <v>2023</v>
          </cell>
        </row>
        <row r="2733">
          <cell r="D2733" t="str">
            <v>2023</v>
          </cell>
        </row>
        <row r="2734">
          <cell r="D2734" t="str">
            <v>2023</v>
          </cell>
        </row>
        <row r="2735">
          <cell r="D2735" t="str">
            <v>2023</v>
          </cell>
        </row>
        <row r="2736">
          <cell r="D2736" t="str">
            <v>2021</v>
          </cell>
        </row>
        <row r="2737">
          <cell r="D2737" t="str">
            <v>2022</v>
          </cell>
        </row>
        <row r="2738">
          <cell r="D2738" t="str">
            <v>2021</v>
          </cell>
        </row>
        <row r="2739">
          <cell r="D2739" t="str">
            <v>2023</v>
          </cell>
        </row>
        <row r="2740">
          <cell r="D2740" t="str">
            <v>2022</v>
          </cell>
        </row>
        <row r="2741">
          <cell r="D2741" t="str">
            <v>2023</v>
          </cell>
        </row>
        <row r="2742">
          <cell r="D2742" t="str">
            <v>2023</v>
          </cell>
        </row>
        <row r="2743">
          <cell r="D2743" t="str">
            <v>2023</v>
          </cell>
        </row>
        <row r="2744">
          <cell r="D2744" t="str">
            <v>2023</v>
          </cell>
        </row>
        <row r="2745">
          <cell r="D2745" t="str">
            <v>2023</v>
          </cell>
        </row>
        <row r="2746">
          <cell r="D2746" t="str">
            <v>2023</v>
          </cell>
        </row>
        <row r="2747">
          <cell r="D2747" t="str">
            <v>2023</v>
          </cell>
        </row>
        <row r="2748">
          <cell r="D2748" t="str">
            <v>2021</v>
          </cell>
        </row>
        <row r="2749">
          <cell r="D2749" t="str">
            <v>2021</v>
          </cell>
        </row>
        <row r="2750">
          <cell r="D2750" t="str">
            <v>2023</v>
          </cell>
        </row>
        <row r="2751">
          <cell r="D2751" t="str">
            <v>2021</v>
          </cell>
        </row>
        <row r="2752">
          <cell r="D2752" t="str">
            <v>2022</v>
          </cell>
        </row>
        <row r="2753">
          <cell r="D2753" t="str">
            <v>2023</v>
          </cell>
        </row>
        <row r="2754">
          <cell r="D2754" t="str">
            <v>2022</v>
          </cell>
        </row>
        <row r="2755">
          <cell r="D2755" t="str">
            <v>2021</v>
          </cell>
        </row>
        <row r="2756">
          <cell r="D2756" t="str">
            <v>2021</v>
          </cell>
        </row>
        <row r="2757">
          <cell r="D2757" t="str">
            <v>2023</v>
          </cell>
        </row>
        <row r="2758">
          <cell r="D2758" t="str">
            <v>2022</v>
          </cell>
        </row>
        <row r="2759">
          <cell r="D2759" t="str">
            <v>2023</v>
          </cell>
        </row>
        <row r="2760">
          <cell r="D2760" t="str">
            <v>2023</v>
          </cell>
        </row>
        <row r="2761">
          <cell r="D2761" t="str">
            <v>2023</v>
          </cell>
        </row>
        <row r="2762">
          <cell r="D2762" t="str">
            <v>2023</v>
          </cell>
        </row>
        <row r="2763">
          <cell r="D2763" t="str">
            <v>2023</v>
          </cell>
        </row>
        <row r="2764">
          <cell r="D2764" t="str">
            <v>2023</v>
          </cell>
        </row>
        <row r="2765">
          <cell r="D2765" t="str">
            <v>2023</v>
          </cell>
        </row>
        <row r="2766">
          <cell r="D2766" t="str">
            <v>2023</v>
          </cell>
        </row>
        <row r="2767">
          <cell r="D2767" t="str">
            <v>2023</v>
          </cell>
        </row>
        <row r="2768">
          <cell r="D2768" t="str">
            <v>2023</v>
          </cell>
        </row>
        <row r="2769">
          <cell r="D2769" t="str">
            <v>2023</v>
          </cell>
        </row>
        <row r="2770">
          <cell r="D2770" t="str">
            <v>2023</v>
          </cell>
        </row>
        <row r="2771">
          <cell r="D2771" t="str">
            <v>2023</v>
          </cell>
        </row>
        <row r="2772">
          <cell r="D2772" t="str">
            <v>2023</v>
          </cell>
        </row>
        <row r="2773">
          <cell r="D2773" t="str">
            <v>2023</v>
          </cell>
        </row>
        <row r="2774">
          <cell r="D2774" t="str">
            <v>2023</v>
          </cell>
        </row>
        <row r="2775">
          <cell r="D2775" t="str">
            <v>2022</v>
          </cell>
        </row>
        <row r="2776">
          <cell r="D2776" t="str">
            <v>2023</v>
          </cell>
        </row>
        <row r="2777">
          <cell r="D2777" t="str">
            <v>2023</v>
          </cell>
        </row>
        <row r="2778">
          <cell r="D2778" t="str">
            <v>2022</v>
          </cell>
        </row>
        <row r="2779">
          <cell r="D2779" t="str">
            <v>2023</v>
          </cell>
        </row>
        <row r="2780">
          <cell r="D2780" t="str">
            <v>2023</v>
          </cell>
        </row>
        <row r="2781">
          <cell r="D2781" t="str">
            <v>2023</v>
          </cell>
        </row>
        <row r="2782">
          <cell r="D2782" t="str">
            <v>2023</v>
          </cell>
        </row>
        <row r="2783">
          <cell r="D2783" t="str">
            <v>2023</v>
          </cell>
        </row>
        <row r="2784">
          <cell r="D2784" t="str">
            <v>2023</v>
          </cell>
        </row>
        <row r="2785">
          <cell r="D2785" t="str">
            <v>2023</v>
          </cell>
        </row>
        <row r="2786">
          <cell r="D2786" t="str">
            <v>2023</v>
          </cell>
        </row>
        <row r="2787">
          <cell r="D2787" t="str">
            <v>2023</v>
          </cell>
        </row>
        <row r="2788">
          <cell r="D2788" t="str">
            <v>2022</v>
          </cell>
        </row>
        <row r="2789">
          <cell r="D2789" t="str">
            <v>2023</v>
          </cell>
        </row>
        <row r="2790">
          <cell r="D2790" t="str">
            <v>2021</v>
          </cell>
        </row>
        <row r="2791">
          <cell r="D2791" t="str">
            <v>2021</v>
          </cell>
        </row>
        <row r="2792">
          <cell r="D2792" t="str">
            <v>2022</v>
          </cell>
        </row>
        <row r="2793">
          <cell r="D2793" t="str">
            <v>2023</v>
          </cell>
        </row>
        <row r="2794">
          <cell r="D2794" t="str">
            <v>2022</v>
          </cell>
        </row>
        <row r="2795">
          <cell r="D2795" t="str">
            <v>2023</v>
          </cell>
        </row>
        <row r="2796">
          <cell r="D2796" t="str">
            <v>2023</v>
          </cell>
        </row>
        <row r="2797">
          <cell r="D2797" t="str">
            <v>2023</v>
          </cell>
        </row>
        <row r="2798">
          <cell r="D2798" t="str">
            <v>2023</v>
          </cell>
        </row>
        <row r="2799">
          <cell r="D2799" t="str">
            <v>2023</v>
          </cell>
        </row>
        <row r="2800">
          <cell r="D2800" t="str">
            <v>2023</v>
          </cell>
        </row>
        <row r="2801">
          <cell r="D2801" t="str">
            <v>2023</v>
          </cell>
        </row>
        <row r="2802">
          <cell r="D2802" t="str">
            <v>2021</v>
          </cell>
        </row>
        <row r="2803">
          <cell r="D2803" t="str">
            <v>2021</v>
          </cell>
        </row>
        <row r="2804">
          <cell r="D2804" t="str">
            <v>2024</v>
          </cell>
        </row>
        <row r="2805">
          <cell r="D2805" t="str">
            <v>2023</v>
          </cell>
        </row>
        <row r="2806">
          <cell r="D2806" t="str">
            <v>2023</v>
          </cell>
        </row>
        <row r="2807">
          <cell r="D2807" t="str">
            <v>2023</v>
          </cell>
        </row>
        <row r="2808">
          <cell r="D2808" t="str">
            <v>2023</v>
          </cell>
        </row>
        <row r="2809">
          <cell r="D2809" t="str">
            <v>2023</v>
          </cell>
        </row>
        <row r="2810">
          <cell r="D2810" t="str">
            <v>2023</v>
          </cell>
        </row>
        <row r="2811">
          <cell r="D2811" t="str">
            <v>2023</v>
          </cell>
        </row>
        <row r="2812">
          <cell r="D2812" t="str">
            <v>2023</v>
          </cell>
        </row>
        <row r="2813">
          <cell r="D2813" t="str">
            <v>2023</v>
          </cell>
        </row>
        <row r="2814">
          <cell r="D2814" t="str">
            <v>2023</v>
          </cell>
        </row>
        <row r="2815">
          <cell r="D2815" t="str">
            <v>2023</v>
          </cell>
        </row>
        <row r="2816">
          <cell r="D2816" t="str">
            <v>2022</v>
          </cell>
        </row>
        <row r="2817">
          <cell r="D2817" t="str">
            <v>2023</v>
          </cell>
        </row>
        <row r="2818">
          <cell r="D2818" t="str">
            <v>2023</v>
          </cell>
        </row>
        <row r="2819">
          <cell r="D2819" t="str">
            <v>2023</v>
          </cell>
        </row>
        <row r="2820">
          <cell r="D2820" t="str">
            <v>2023</v>
          </cell>
        </row>
        <row r="2821">
          <cell r="D2821" t="str">
            <v>2022</v>
          </cell>
        </row>
        <row r="2822">
          <cell r="D2822" t="str">
            <v>2023</v>
          </cell>
        </row>
        <row r="2823">
          <cell r="D2823" t="str">
            <v>2023</v>
          </cell>
        </row>
        <row r="2824">
          <cell r="D2824" t="str">
            <v>2023</v>
          </cell>
        </row>
        <row r="2825">
          <cell r="D2825" t="str">
            <v>2023</v>
          </cell>
        </row>
        <row r="2826">
          <cell r="D2826" t="str">
            <v>2023</v>
          </cell>
        </row>
        <row r="2827">
          <cell r="D2827" t="str">
            <v>2023</v>
          </cell>
        </row>
        <row r="2828">
          <cell r="D2828" t="str">
            <v>2023</v>
          </cell>
        </row>
        <row r="2829">
          <cell r="D2829" t="str">
            <v>2023</v>
          </cell>
        </row>
        <row r="2830">
          <cell r="D2830" t="str">
            <v>2022</v>
          </cell>
        </row>
        <row r="2831">
          <cell r="D2831" t="str">
            <v>2023</v>
          </cell>
        </row>
        <row r="2832">
          <cell r="D2832" t="str">
            <v>2023</v>
          </cell>
        </row>
        <row r="2833">
          <cell r="D2833" t="str">
            <v>2023</v>
          </cell>
        </row>
        <row r="2834">
          <cell r="D2834" t="str">
            <v>2022</v>
          </cell>
        </row>
        <row r="2835">
          <cell r="D2835" t="str">
            <v>2023</v>
          </cell>
        </row>
        <row r="2836">
          <cell r="D2836" t="str">
            <v>2023</v>
          </cell>
        </row>
        <row r="2837">
          <cell r="D2837" t="str">
            <v>2023</v>
          </cell>
        </row>
        <row r="2838">
          <cell r="D2838" t="str">
            <v>2023</v>
          </cell>
        </row>
        <row r="2839">
          <cell r="D2839" t="str">
            <v>2023</v>
          </cell>
        </row>
        <row r="2840">
          <cell r="D2840" t="str">
            <v>2022</v>
          </cell>
        </row>
        <row r="2841">
          <cell r="D2841" t="str">
            <v>2023</v>
          </cell>
        </row>
        <row r="2842">
          <cell r="D2842" t="str">
            <v>2023</v>
          </cell>
        </row>
        <row r="2843">
          <cell r="D2843" t="str">
            <v>2023</v>
          </cell>
        </row>
        <row r="2844">
          <cell r="D2844" t="str">
            <v>2022</v>
          </cell>
        </row>
        <row r="2845">
          <cell r="D2845" t="str">
            <v>2023</v>
          </cell>
        </row>
        <row r="2846">
          <cell r="D2846" t="str">
            <v>2023</v>
          </cell>
        </row>
        <row r="2847">
          <cell r="D2847" t="str">
            <v>2023</v>
          </cell>
        </row>
        <row r="2848">
          <cell r="D2848" t="str">
            <v>2023</v>
          </cell>
        </row>
        <row r="2849">
          <cell r="D2849" t="str">
            <v>2023</v>
          </cell>
        </row>
        <row r="2850">
          <cell r="D2850" t="str">
            <v>2023</v>
          </cell>
        </row>
        <row r="2851">
          <cell r="D2851" t="str">
            <v>2023</v>
          </cell>
        </row>
        <row r="2852">
          <cell r="D2852" t="str">
            <v>2023</v>
          </cell>
        </row>
        <row r="2853">
          <cell r="D2853" t="str">
            <v>2023</v>
          </cell>
        </row>
        <row r="2854">
          <cell r="D2854" t="str">
            <v>2023</v>
          </cell>
        </row>
        <row r="2855">
          <cell r="D2855" t="str">
            <v>2023</v>
          </cell>
        </row>
        <row r="2856">
          <cell r="D2856" t="str">
            <v>2022</v>
          </cell>
        </row>
        <row r="2857">
          <cell r="D2857" t="str">
            <v>2023</v>
          </cell>
        </row>
        <row r="2858">
          <cell r="D2858" t="str">
            <v>2023</v>
          </cell>
        </row>
        <row r="2859">
          <cell r="D2859" t="str">
            <v>2023</v>
          </cell>
        </row>
        <row r="2860">
          <cell r="D2860" t="str">
            <v>2023</v>
          </cell>
        </row>
        <row r="2861">
          <cell r="D2861" t="str">
            <v>2023</v>
          </cell>
        </row>
        <row r="2862">
          <cell r="D2862" t="str">
            <v>2023</v>
          </cell>
        </row>
        <row r="2863">
          <cell r="D2863" t="str">
            <v>2023</v>
          </cell>
        </row>
        <row r="2864">
          <cell r="D2864" t="str">
            <v>2023</v>
          </cell>
        </row>
        <row r="2865">
          <cell r="D2865" t="str">
            <v>2021</v>
          </cell>
        </row>
        <row r="2866">
          <cell r="D2866" t="str">
            <v>2023</v>
          </cell>
        </row>
        <row r="2867">
          <cell r="D2867" t="str">
            <v>2021</v>
          </cell>
        </row>
        <row r="2868">
          <cell r="D2868" t="str">
            <v>2023</v>
          </cell>
        </row>
        <row r="2869">
          <cell r="D2869" t="str">
            <v>2021</v>
          </cell>
        </row>
        <row r="2870">
          <cell r="D2870" t="str">
            <v>2023</v>
          </cell>
        </row>
        <row r="2871">
          <cell r="D2871" t="str">
            <v>2023</v>
          </cell>
        </row>
        <row r="2872">
          <cell r="D2872" t="str">
            <v>2023</v>
          </cell>
        </row>
        <row r="2873">
          <cell r="D2873" t="str">
            <v>2023</v>
          </cell>
        </row>
        <row r="2874">
          <cell r="D2874" t="str">
            <v>2022</v>
          </cell>
        </row>
        <row r="2875">
          <cell r="D2875" t="str">
            <v>2023</v>
          </cell>
        </row>
        <row r="2876">
          <cell r="D2876" t="str">
            <v>2023</v>
          </cell>
        </row>
        <row r="2877">
          <cell r="D2877" t="str">
            <v>2023</v>
          </cell>
        </row>
        <row r="2878">
          <cell r="D2878" t="str">
            <v>2023</v>
          </cell>
        </row>
        <row r="2879">
          <cell r="D2879" t="str">
            <v>2023</v>
          </cell>
        </row>
        <row r="2880">
          <cell r="D2880" t="str">
            <v>2022</v>
          </cell>
        </row>
        <row r="2881">
          <cell r="D2881" t="str">
            <v>2023</v>
          </cell>
        </row>
        <row r="2882">
          <cell r="D2882" t="str">
            <v>2023</v>
          </cell>
        </row>
        <row r="2883">
          <cell r="D2883" t="str">
            <v>2023</v>
          </cell>
        </row>
        <row r="2884">
          <cell r="D2884" t="str">
            <v>2023</v>
          </cell>
        </row>
        <row r="2885">
          <cell r="D2885" t="str">
            <v>2023</v>
          </cell>
        </row>
        <row r="2886">
          <cell r="D2886" t="str">
            <v>2023</v>
          </cell>
        </row>
        <row r="2887">
          <cell r="D2887" t="str">
            <v>2023</v>
          </cell>
        </row>
        <row r="2888">
          <cell r="D2888" t="str">
            <v>2023</v>
          </cell>
        </row>
        <row r="2889">
          <cell r="D2889" t="str">
            <v>2021</v>
          </cell>
        </row>
        <row r="2890">
          <cell r="D2890" t="str">
            <v>2023</v>
          </cell>
        </row>
        <row r="2891">
          <cell r="D2891" t="str">
            <v>2023</v>
          </cell>
        </row>
        <row r="2892">
          <cell r="D2892" t="str">
            <v>2022</v>
          </cell>
        </row>
        <row r="2893">
          <cell r="D2893" t="str">
            <v>2023</v>
          </cell>
        </row>
        <row r="2894">
          <cell r="D2894" t="str">
            <v>2023</v>
          </cell>
        </row>
        <row r="2895">
          <cell r="D2895" t="str">
            <v>2023</v>
          </cell>
        </row>
        <row r="2896">
          <cell r="D2896" t="str">
            <v>2021</v>
          </cell>
        </row>
        <row r="2897">
          <cell r="D2897" t="str">
            <v>2023</v>
          </cell>
        </row>
        <row r="2898">
          <cell r="D2898" t="str">
            <v>2023</v>
          </cell>
        </row>
        <row r="2899">
          <cell r="D2899" t="str">
            <v>2023</v>
          </cell>
        </row>
        <row r="2900">
          <cell r="D2900" t="str">
            <v>2023</v>
          </cell>
        </row>
        <row r="2901">
          <cell r="D2901" t="str">
            <v>2023</v>
          </cell>
        </row>
        <row r="2902">
          <cell r="D2902" t="str">
            <v>2023</v>
          </cell>
        </row>
        <row r="2903">
          <cell r="D2903" t="str">
            <v>2023</v>
          </cell>
        </row>
        <row r="2904">
          <cell r="D2904" t="str">
            <v>2023</v>
          </cell>
        </row>
        <row r="2905">
          <cell r="D2905" t="str">
            <v>2023</v>
          </cell>
        </row>
        <row r="2906">
          <cell r="D2906" t="str">
            <v>2023</v>
          </cell>
        </row>
        <row r="2907">
          <cell r="D2907" t="str">
            <v>2023</v>
          </cell>
        </row>
        <row r="2908">
          <cell r="D2908" t="str">
            <v>2023</v>
          </cell>
        </row>
        <row r="2909">
          <cell r="D2909" t="str">
            <v>2023</v>
          </cell>
        </row>
        <row r="2910">
          <cell r="D2910" t="str">
            <v>2022</v>
          </cell>
        </row>
        <row r="2911">
          <cell r="D2911" t="str">
            <v>2023</v>
          </cell>
        </row>
        <row r="2912">
          <cell r="D2912" t="str">
            <v>2022</v>
          </cell>
        </row>
        <row r="2913">
          <cell r="D2913" t="str">
            <v>2023</v>
          </cell>
        </row>
        <row r="2914">
          <cell r="D2914" t="str">
            <v>2023</v>
          </cell>
        </row>
        <row r="2915">
          <cell r="D2915" t="str">
            <v>2023</v>
          </cell>
        </row>
        <row r="2916">
          <cell r="D2916" t="str">
            <v>2023</v>
          </cell>
        </row>
        <row r="2917">
          <cell r="D2917" t="str">
            <v>2023</v>
          </cell>
        </row>
        <row r="2918">
          <cell r="D2918" t="str">
            <v>2024</v>
          </cell>
        </row>
        <row r="2919">
          <cell r="D2919" t="str">
            <v>2021</v>
          </cell>
        </row>
        <row r="2920">
          <cell r="D2920" t="str">
            <v>2023</v>
          </cell>
        </row>
        <row r="2921">
          <cell r="D2921" t="str">
            <v>2023</v>
          </cell>
        </row>
        <row r="2922">
          <cell r="D2922" t="str">
            <v>2023</v>
          </cell>
        </row>
        <row r="2923">
          <cell r="D2923" t="str">
            <v>2023</v>
          </cell>
        </row>
        <row r="2924">
          <cell r="D2924" t="str">
            <v>2023</v>
          </cell>
        </row>
        <row r="2925">
          <cell r="D2925" t="str">
            <v>2023</v>
          </cell>
        </row>
        <row r="2926">
          <cell r="D2926" t="str">
            <v>2021</v>
          </cell>
        </row>
        <row r="2927">
          <cell r="D2927" t="str">
            <v>2021</v>
          </cell>
        </row>
        <row r="2928">
          <cell r="D2928" t="str">
            <v>2021</v>
          </cell>
        </row>
        <row r="2929">
          <cell r="D2929" t="str">
            <v>2022</v>
          </cell>
        </row>
        <row r="2930">
          <cell r="D2930" t="str">
            <v>2023</v>
          </cell>
        </row>
        <row r="2931">
          <cell r="D2931" t="str">
            <v>2023</v>
          </cell>
        </row>
        <row r="2932">
          <cell r="D2932" t="str">
            <v>2023</v>
          </cell>
        </row>
        <row r="2933">
          <cell r="D2933" t="str">
            <v>2023</v>
          </cell>
        </row>
        <row r="2934">
          <cell r="D2934" t="str">
            <v>2023</v>
          </cell>
        </row>
        <row r="2935">
          <cell r="D2935" t="str">
            <v>2023</v>
          </cell>
        </row>
        <row r="2936">
          <cell r="D2936" t="str">
            <v>2021</v>
          </cell>
        </row>
        <row r="2937">
          <cell r="D2937" t="str">
            <v>2023</v>
          </cell>
        </row>
        <row r="2938">
          <cell r="D2938" t="str">
            <v>2021</v>
          </cell>
        </row>
        <row r="2939">
          <cell r="D2939" t="str">
            <v>2023</v>
          </cell>
        </row>
        <row r="2940">
          <cell r="D2940" t="str">
            <v>2023</v>
          </cell>
        </row>
        <row r="2941">
          <cell r="D2941" t="str">
            <v>2023</v>
          </cell>
        </row>
        <row r="2942">
          <cell r="D2942" t="str">
            <v>2022</v>
          </cell>
        </row>
        <row r="2943">
          <cell r="D2943" t="str">
            <v>2022</v>
          </cell>
        </row>
        <row r="2944">
          <cell r="D2944" t="str">
            <v>2023</v>
          </cell>
        </row>
        <row r="2945">
          <cell r="D2945" t="str">
            <v>2023</v>
          </cell>
        </row>
        <row r="2946">
          <cell r="D2946" t="str">
            <v>2023</v>
          </cell>
        </row>
        <row r="2947">
          <cell r="D2947" t="str">
            <v>2023</v>
          </cell>
        </row>
        <row r="2948">
          <cell r="D2948" t="str">
            <v>2023</v>
          </cell>
        </row>
        <row r="2949">
          <cell r="D2949" t="str">
            <v>2023</v>
          </cell>
        </row>
        <row r="2950">
          <cell r="D2950" t="str">
            <v>2023</v>
          </cell>
        </row>
        <row r="2951">
          <cell r="D2951" t="str">
            <v>2023</v>
          </cell>
        </row>
        <row r="2952">
          <cell r="D2952" t="str">
            <v>2023</v>
          </cell>
        </row>
        <row r="2953">
          <cell r="D2953" t="str">
            <v>2021</v>
          </cell>
        </row>
        <row r="2954">
          <cell r="D2954" t="str">
            <v>2023</v>
          </cell>
        </row>
        <row r="2955">
          <cell r="D2955" t="str">
            <v>2023</v>
          </cell>
        </row>
        <row r="2956">
          <cell r="D2956" t="str">
            <v>2023</v>
          </cell>
        </row>
        <row r="2957">
          <cell r="D2957" t="str">
            <v>2023</v>
          </cell>
        </row>
        <row r="2958">
          <cell r="D2958" t="str">
            <v>2023</v>
          </cell>
        </row>
        <row r="2959">
          <cell r="D2959" t="str">
            <v>2023</v>
          </cell>
        </row>
        <row r="2960">
          <cell r="D2960" t="str">
            <v>2023</v>
          </cell>
        </row>
        <row r="2961">
          <cell r="D2961" t="str">
            <v>2023</v>
          </cell>
        </row>
        <row r="2962">
          <cell r="D2962" t="str">
            <v>2023</v>
          </cell>
        </row>
        <row r="2963">
          <cell r="D2963" t="str">
            <v>2023</v>
          </cell>
        </row>
        <row r="2964">
          <cell r="D2964" t="str">
            <v>2022</v>
          </cell>
        </row>
        <row r="2965">
          <cell r="D2965" t="str">
            <v>2023</v>
          </cell>
        </row>
        <row r="2966">
          <cell r="D2966" t="str">
            <v>2023</v>
          </cell>
        </row>
        <row r="2967">
          <cell r="D2967" t="str">
            <v>2021</v>
          </cell>
        </row>
        <row r="2968">
          <cell r="D2968" t="str">
            <v>2021</v>
          </cell>
        </row>
        <row r="2969">
          <cell r="D2969" t="str">
            <v>2023</v>
          </cell>
        </row>
        <row r="2970">
          <cell r="D2970" t="str">
            <v>2023</v>
          </cell>
        </row>
        <row r="2971">
          <cell r="D2971" t="str">
            <v>2021</v>
          </cell>
        </row>
        <row r="2972">
          <cell r="D2972" t="str">
            <v>2023</v>
          </cell>
        </row>
        <row r="2973">
          <cell r="D2973" t="str">
            <v>2023</v>
          </cell>
        </row>
        <row r="2974">
          <cell r="D2974" t="str">
            <v>2023</v>
          </cell>
        </row>
        <row r="2975">
          <cell r="D2975" t="str">
            <v>2023</v>
          </cell>
        </row>
        <row r="2976">
          <cell r="D2976" t="str">
            <v>2022</v>
          </cell>
        </row>
        <row r="2977">
          <cell r="D2977" t="str">
            <v>2023</v>
          </cell>
        </row>
        <row r="2978">
          <cell r="D2978" t="str">
            <v>2023</v>
          </cell>
        </row>
        <row r="2979">
          <cell r="D2979" t="str">
            <v>2023</v>
          </cell>
        </row>
        <row r="2980">
          <cell r="D2980" t="str">
            <v>2023</v>
          </cell>
        </row>
        <row r="2981">
          <cell r="D2981" t="str">
            <v>2021</v>
          </cell>
        </row>
        <row r="2982">
          <cell r="D2982" t="str">
            <v>2023</v>
          </cell>
        </row>
        <row r="2983">
          <cell r="D2983" t="str">
            <v>2023</v>
          </cell>
        </row>
        <row r="2984">
          <cell r="D2984" t="str">
            <v>2023</v>
          </cell>
        </row>
        <row r="2985">
          <cell r="D2985" t="str">
            <v>2023</v>
          </cell>
        </row>
        <row r="2986">
          <cell r="D2986" t="str">
            <v>2023</v>
          </cell>
        </row>
        <row r="2987">
          <cell r="D2987" t="str">
            <v>2023</v>
          </cell>
        </row>
        <row r="2988">
          <cell r="D2988" t="str">
            <v>2022</v>
          </cell>
        </row>
        <row r="2989">
          <cell r="D2989" t="str">
            <v>2023</v>
          </cell>
        </row>
        <row r="2990">
          <cell r="D2990" t="str">
            <v>2023</v>
          </cell>
        </row>
        <row r="2991">
          <cell r="D2991" t="str">
            <v>2023</v>
          </cell>
        </row>
        <row r="2992">
          <cell r="D2992" t="str">
            <v>2021</v>
          </cell>
        </row>
        <row r="2993">
          <cell r="D2993" t="str">
            <v>2023</v>
          </cell>
        </row>
        <row r="2994">
          <cell r="D2994" t="str">
            <v>2023</v>
          </cell>
        </row>
        <row r="2995">
          <cell r="D2995" t="str">
            <v>2023</v>
          </cell>
        </row>
        <row r="2996">
          <cell r="D2996" t="str">
            <v>2021</v>
          </cell>
        </row>
        <row r="2997">
          <cell r="D2997" t="str">
            <v>2023</v>
          </cell>
        </row>
        <row r="2998">
          <cell r="D2998" t="str">
            <v>2022</v>
          </cell>
        </row>
        <row r="2999">
          <cell r="D2999" t="str">
            <v>2023</v>
          </cell>
        </row>
        <row r="3000">
          <cell r="D3000" t="str">
            <v>2023</v>
          </cell>
        </row>
        <row r="3001">
          <cell r="D3001" t="str">
            <v>2022</v>
          </cell>
        </row>
        <row r="3002">
          <cell r="D3002" t="str">
            <v>2023</v>
          </cell>
        </row>
        <row r="3003">
          <cell r="D3003" t="str">
            <v>2023</v>
          </cell>
        </row>
        <row r="3004">
          <cell r="D3004" t="str">
            <v>2023</v>
          </cell>
        </row>
        <row r="3005">
          <cell r="D3005" t="str">
            <v>2023</v>
          </cell>
        </row>
        <row r="3006">
          <cell r="D3006" t="str">
            <v>2023</v>
          </cell>
        </row>
        <row r="3007">
          <cell r="D3007" t="str">
            <v>2023</v>
          </cell>
        </row>
        <row r="3008">
          <cell r="D3008" t="str">
            <v>2021</v>
          </cell>
        </row>
        <row r="3009">
          <cell r="D3009" t="str">
            <v>2023</v>
          </cell>
        </row>
        <row r="3010">
          <cell r="D3010" t="str">
            <v>2022</v>
          </cell>
        </row>
        <row r="3011">
          <cell r="D3011" t="str">
            <v>2023</v>
          </cell>
        </row>
        <row r="3012">
          <cell r="D3012" t="str">
            <v>2023</v>
          </cell>
        </row>
        <row r="3013">
          <cell r="D3013" t="str">
            <v>2023</v>
          </cell>
        </row>
        <row r="3014">
          <cell r="D3014" t="str">
            <v>2023</v>
          </cell>
        </row>
        <row r="3015">
          <cell r="D3015" t="str">
            <v>2021</v>
          </cell>
        </row>
        <row r="3016">
          <cell r="D3016" t="str">
            <v>2023</v>
          </cell>
        </row>
        <row r="3017">
          <cell r="D3017" t="str">
            <v>2023</v>
          </cell>
        </row>
        <row r="3018">
          <cell r="D3018" t="str">
            <v>2023</v>
          </cell>
        </row>
        <row r="3019">
          <cell r="D3019" t="str">
            <v>2022</v>
          </cell>
        </row>
        <row r="3020">
          <cell r="D3020" t="str">
            <v>2023</v>
          </cell>
        </row>
        <row r="3021">
          <cell r="D3021" t="str">
            <v>2023</v>
          </cell>
        </row>
        <row r="3022">
          <cell r="D3022" t="str">
            <v>2023</v>
          </cell>
        </row>
        <row r="3023">
          <cell r="D3023" t="str">
            <v>2022</v>
          </cell>
        </row>
        <row r="3024">
          <cell r="D3024" t="str">
            <v>2023</v>
          </cell>
        </row>
        <row r="3025">
          <cell r="D3025" t="str">
            <v>2023</v>
          </cell>
        </row>
        <row r="3026">
          <cell r="D3026" t="str">
            <v>2023</v>
          </cell>
        </row>
        <row r="3027">
          <cell r="D3027" t="str">
            <v>2023</v>
          </cell>
        </row>
        <row r="3028">
          <cell r="D3028" t="str">
            <v>2023</v>
          </cell>
        </row>
        <row r="3029">
          <cell r="D3029" t="str">
            <v>2023</v>
          </cell>
        </row>
        <row r="3030">
          <cell r="D3030" t="str">
            <v>2022</v>
          </cell>
        </row>
        <row r="3031">
          <cell r="D3031" t="str">
            <v>2023</v>
          </cell>
        </row>
        <row r="3032">
          <cell r="D3032" t="str">
            <v>2023</v>
          </cell>
        </row>
        <row r="3033">
          <cell r="D3033" t="str">
            <v>2021</v>
          </cell>
        </row>
        <row r="3034">
          <cell r="D3034" t="str">
            <v>2023</v>
          </cell>
        </row>
        <row r="3035">
          <cell r="D3035" t="str">
            <v>2023</v>
          </cell>
        </row>
        <row r="3036">
          <cell r="D3036" t="str">
            <v>2023</v>
          </cell>
        </row>
        <row r="3037">
          <cell r="D3037" t="str">
            <v>2023</v>
          </cell>
        </row>
        <row r="3038">
          <cell r="D3038" t="str">
            <v>2023</v>
          </cell>
        </row>
        <row r="3039">
          <cell r="D3039" t="str">
            <v>2023</v>
          </cell>
        </row>
        <row r="3040">
          <cell r="D3040" t="str">
            <v>2023</v>
          </cell>
        </row>
        <row r="3041">
          <cell r="D3041" t="str">
            <v>2023</v>
          </cell>
        </row>
        <row r="3042">
          <cell r="D3042" t="str">
            <v>2023</v>
          </cell>
        </row>
        <row r="3043">
          <cell r="D3043" t="str">
            <v>2023</v>
          </cell>
        </row>
        <row r="3044">
          <cell r="D3044" t="str">
            <v>2023</v>
          </cell>
        </row>
        <row r="3045">
          <cell r="D3045" t="str">
            <v>2023</v>
          </cell>
        </row>
        <row r="3046">
          <cell r="D3046" t="str">
            <v>2023</v>
          </cell>
        </row>
        <row r="3047">
          <cell r="D3047" t="str">
            <v>2023</v>
          </cell>
        </row>
        <row r="3048">
          <cell r="D3048" t="str">
            <v>2022</v>
          </cell>
        </row>
        <row r="3049">
          <cell r="D3049" t="str">
            <v>2023</v>
          </cell>
        </row>
        <row r="3050">
          <cell r="D3050" t="str">
            <v>2023</v>
          </cell>
        </row>
        <row r="3051">
          <cell r="D3051" t="str">
            <v>2023</v>
          </cell>
        </row>
        <row r="3052">
          <cell r="D3052" t="str">
            <v>2021</v>
          </cell>
        </row>
        <row r="3053">
          <cell r="D3053" t="str">
            <v>2023</v>
          </cell>
        </row>
        <row r="3054">
          <cell r="D3054" t="str">
            <v>2023</v>
          </cell>
        </row>
        <row r="3055">
          <cell r="D3055" t="str">
            <v>2023</v>
          </cell>
        </row>
        <row r="3056">
          <cell r="D3056" t="str">
            <v>2023</v>
          </cell>
        </row>
        <row r="3057">
          <cell r="D3057" t="str">
            <v>2023</v>
          </cell>
        </row>
        <row r="3058">
          <cell r="D3058" t="str">
            <v>2023</v>
          </cell>
        </row>
        <row r="3059">
          <cell r="D3059" t="str">
            <v>2023</v>
          </cell>
        </row>
        <row r="3060">
          <cell r="D3060" t="str">
            <v>2023</v>
          </cell>
        </row>
        <row r="3061">
          <cell r="D3061" t="str">
            <v>2023</v>
          </cell>
        </row>
        <row r="3062">
          <cell r="D3062" t="str">
            <v>2023</v>
          </cell>
        </row>
        <row r="3063">
          <cell r="D3063" t="str">
            <v>2023</v>
          </cell>
        </row>
        <row r="3064">
          <cell r="D3064" t="str">
            <v>2023</v>
          </cell>
        </row>
        <row r="3065">
          <cell r="D3065" t="str">
            <v>2023</v>
          </cell>
        </row>
        <row r="3066">
          <cell r="D3066" t="str">
            <v>2023</v>
          </cell>
        </row>
        <row r="3067">
          <cell r="D3067" t="str">
            <v>2023</v>
          </cell>
        </row>
        <row r="3068">
          <cell r="D3068" t="str">
            <v>2023</v>
          </cell>
        </row>
        <row r="3069">
          <cell r="D3069" t="str">
            <v>2023</v>
          </cell>
        </row>
        <row r="3070">
          <cell r="D3070" t="str">
            <v>2023</v>
          </cell>
        </row>
        <row r="3071">
          <cell r="D3071" t="str">
            <v>2023</v>
          </cell>
        </row>
        <row r="3072">
          <cell r="D3072" t="str">
            <v>2022</v>
          </cell>
        </row>
        <row r="3073">
          <cell r="D3073" t="str">
            <v>2022</v>
          </cell>
        </row>
        <row r="3074">
          <cell r="D3074" t="str">
            <v>2023</v>
          </cell>
        </row>
        <row r="3075">
          <cell r="D3075" t="str">
            <v>2023</v>
          </cell>
        </row>
        <row r="3076">
          <cell r="D3076" t="str">
            <v>2023</v>
          </cell>
        </row>
        <row r="3077">
          <cell r="D3077" t="str">
            <v>2023</v>
          </cell>
        </row>
        <row r="3078">
          <cell r="D3078" t="str">
            <v>2022</v>
          </cell>
        </row>
        <row r="3079">
          <cell r="D3079" t="str">
            <v>2023</v>
          </cell>
        </row>
        <row r="3080">
          <cell r="D3080" t="str">
            <v>2023</v>
          </cell>
        </row>
        <row r="3081">
          <cell r="D3081" t="str">
            <v>2023</v>
          </cell>
        </row>
        <row r="3082">
          <cell r="D3082" t="str">
            <v>2023</v>
          </cell>
        </row>
        <row r="3083">
          <cell r="D3083" t="str">
            <v>2023</v>
          </cell>
        </row>
        <row r="3084">
          <cell r="D3084" t="str">
            <v>2022</v>
          </cell>
        </row>
        <row r="3085">
          <cell r="D3085" t="str">
            <v>2023</v>
          </cell>
        </row>
        <row r="3086">
          <cell r="D3086" t="str">
            <v>2023</v>
          </cell>
        </row>
        <row r="3087">
          <cell r="D3087" t="str">
            <v>2023</v>
          </cell>
        </row>
        <row r="3088">
          <cell r="D3088" t="str">
            <v>2023</v>
          </cell>
        </row>
        <row r="3089">
          <cell r="D3089" t="str">
            <v>2023</v>
          </cell>
        </row>
        <row r="3090">
          <cell r="D3090" t="str">
            <v>2021</v>
          </cell>
        </row>
        <row r="3091">
          <cell r="D3091" t="str">
            <v>2023</v>
          </cell>
        </row>
        <row r="3092">
          <cell r="D3092" t="str">
            <v>2023</v>
          </cell>
        </row>
        <row r="3093">
          <cell r="D3093" t="str">
            <v>2023</v>
          </cell>
        </row>
        <row r="3094">
          <cell r="D3094" t="str">
            <v>2023</v>
          </cell>
        </row>
        <row r="3095">
          <cell r="D3095" t="str">
            <v>2023</v>
          </cell>
        </row>
        <row r="3096">
          <cell r="D3096" t="str">
            <v>2023</v>
          </cell>
        </row>
        <row r="3097">
          <cell r="D3097" t="str">
            <v>2023</v>
          </cell>
        </row>
        <row r="3098">
          <cell r="D3098" t="str">
            <v>2023</v>
          </cell>
        </row>
        <row r="3099">
          <cell r="D3099" t="str">
            <v>2022</v>
          </cell>
        </row>
        <row r="3100">
          <cell r="D3100" t="str">
            <v>2023</v>
          </cell>
        </row>
        <row r="3101">
          <cell r="D3101" t="str">
            <v>2023</v>
          </cell>
        </row>
        <row r="3102">
          <cell r="D3102" t="str">
            <v>2021</v>
          </cell>
        </row>
        <row r="3103">
          <cell r="D3103" t="str">
            <v>2023</v>
          </cell>
        </row>
        <row r="3104">
          <cell r="D3104" t="str">
            <v>2023</v>
          </cell>
        </row>
        <row r="3105">
          <cell r="D3105" t="str">
            <v>2022</v>
          </cell>
        </row>
        <row r="3106">
          <cell r="D3106" t="str">
            <v>2023</v>
          </cell>
        </row>
        <row r="3107">
          <cell r="D3107" t="str">
            <v>2023</v>
          </cell>
        </row>
        <row r="3108">
          <cell r="D3108" t="str">
            <v>2021</v>
          </cell>
        </row>
        <row r="3109">
          <cell r="D3109" t="str">
            <v>2023</v>
          </cell>
        </row>
        <row r="3110">
          <cell r="D3110" t="str">
            <v>2022</v>
          </cell>
        </row>
        <row r="3111">
          <cell r="D3111" t="str">
            <v>2023</v>
          </cell>
        </row>
        <row r="3112">
          <cell r="D3112" t="str">
            <v>2023</v>
          </cell>
        </row>
        <row r="3113">
          <cell r="D3113" t="str">
            <v>2023</v>
          </cell>
        </row>
        <row r="3114">
          <cell r="D3114" t="str">
            <v>2023</v>
          </cell>
        </row>
        <row r="3115">
          <cell r="D3115" t="str">
            <v>2023</v>
          </cell>
        </row>
        <row r="3116">
          <cell r="D3116" t="str">
            <v>2023</v>
          </cell>
        </row>
        <row r="3117">
          <cell r="D3117" t="str">
            <v>2023</v>
          </cell>
        </row>
        <row r="3118">
          <cell r="D3118" t="str">
            <v>2021</v>
          </cell>
        </row>
        <row r="3119">
          <cell r="D3119" t="str">
            <v>2023</v>
          </cell>
        </row>
        <row r="3120">
          <cell r="D3120" t="str">
            <v>2023</v>
          </cell>
        </row>
        <row r="3121">
          <cell r="D3121" t="str">
            <v>2023</v>
          </cell>
        </row>
        <row r="3122">
          <cell r="D3122" t="str">
            <v>2023</v>
          </cell>
        </row>
        <row r="3123">
          <cell r="D3123" t="str">
            <v>2021</v>
          </cell>
        </row>
        <row r="3124">
          <cell r="D3124" t="str">
            <v>2023</v>
          </cell>
        </row>
        <row r="3125">
          <cell r="D3125" t="str">
            <v>2023</v>
          </cell>
        </row>
        <row r="3126">
          <cell r="D3126" t="str">
            <v>2023</v>
          </cell>
        </row>
        <row r="3127">
          <cell r="D3127" t="str">
            <v>2023</v>
          </cell>
        </row>
        <row r="3128">
          <cell r="D3128" t="str">
            <v>2023</v>
          </cell>
        </row>
        <row r="3129">
          <cell r="D3129" t="str">
            <v>2023</v>
          </cell>
        </row>
        <row r="3130">
          <cell r="D3130" t="str">
            <v>2023</v>
          </cell>
        </row>
        <row r="3131">
          <cell r="D3131" t="str">
            <v>2023</v>
          </cell>
        </row>
        <row r="3132">
          <cell r="D3132" t="str">
            <v>2023</v>
          </cell>
        </row>
        <row r="3133">
          <cell r="D3133" t="str">
            <v>2023</v>
          </cell>
        </row>
        <row r="3134">
          <cell r="D3134" t="str">
            <v>2022</v>
          </cell>
        </row>
        <row r="3135">
          <cell r="D3135" t="str">
            <v>2023</v>
          </cell>
        </row>
        <row r="3136">
          <cell r="D3136" t="str">
            <v>2024</v>
          </cell>
        </row>
        <row r="3137">
          <cell r="D3137" t="str">
            <v>2023</v>
          </cell>
        </row>
        <row r="3138">
          <cell r="D3138" t="str">
            <v>2023</v>
          </cell>
        </row>
        <row r="3139">
          <cell r="D3139" t="str">
            <v>2023</v>
          </cell>
        </row>
        <row r="3140">
          <cell r="D3140" t="str">
            <v>2023</v>
          </cell>
        </row>
        <row r="3141">
          <cell r="D3141" t="str">
            <v>2023</v>
          </cell>
        </row>
        <row r="3142">
          <cell r="D3142" t="str">
            <v>2023</v>
          </cell>
        </row>
        <row r="3143">
          <cell r="D3143" t="str">
            <v>2023</v>
          </cell>
        </row>
        <row r="3144">
          <cell r="D3144" t="str">
            <v>2023</v>
          </cell>
        </row>
        <row r="3145">
          <cell r="D3145" t="str">
            <v>2023</v>
          </cell>
        </row>
        <row r="3146">
          <cell r="D3146" t="str">
            <v>2023</v>
          </cell>
        </row>
        <row r="3147">
          <cell r="D3147" t="str">
            <v>2023</v>
          </cell>
        </row>
        <row r="3148">
          <cell r="D3148" t="str">
            <v>2023</v>
          </cell>
        </row>
        <row r="3149">
          <cell r="D3149" t="str">
            <v>2023</v>
          </cell>
        </row>
        <row r="3150">
          <cell r="D3150" t="str">
            <v>2023</v>
          </cell>
        </row>
        <row r="3151">
          <cell r="D3151" t="str">
            <v>2023</v>
          </cell>
        </row>
        <row r="3152">
          <cell r="D3152" t="str">
            <v>2023</v>
          </cell>
        </row>
        <row r="3153">
          <cell r="D3153" t="str">
            <v>2023</v>
          </cell>
        </row>
        <row r="3154">
          <cell r="D3154" t="str">
            <v>2023</v>
          </cell>
        </row>
        <row r="3155">
          <cell r="D3155" t="str">
            <v>2023</v>
          </cell>
        </row>
        <row r="3156">
          <cell r="D3156" t="str">
            <v>2023</v>
          </cell>
        </row>
        <row r="3157">
          <cell r="D3157" t="str">
            <v>2023</v>
          </cell>
        </row>
        <row r="3158">
          <cell r="D3158" t="str">
            <v>2023</v>
          </cell>
        </row>
        <row r="3159">
          <cell r="D3159" t="str">
            <v>2023</v>
          </cell>
        </row>
        <row r="3160">
          <cell r="D3160" t="str">
            <v>2023</v>
          </cell>
        </row>
        <row r="3161">
          <cell r="D3161" t="str">
            <v>2023</v>
          </cell>
        </row>
        <row r="3162">
          <cell r="D3162" t="str">
            <v>2023</v>
          </cell>
        </row>
        <row r="3163">
          <cell r="D3163" t="str">
            <v>2023</v>
          </cell>
        </row>
        <row r="3164">
          <cell r="D3164" t="str">
            <v>2022</v>
          </cell>
        </row>
        <row r="3165">
          <cell r="D3165" t="str">
            <v>2023</v>
          </cell>
        </row>
        <row r="3166">
          <cell r="D3166" t="str">
            <v>2024</v>
          </cell>
        </row>
        <row r="3167">
          <cell r="D3167" t="str">
            <v>2023</v>
          </cell>
        </row>
        <row r="3168">
          <cell r="D3168" t="str">
            <v>2023</v>
          </cell>
        </row>
        <row r="3169">
          <cell r="D3169" t="str">
            <v>2023</v>
          </cell>
        </row>
        <row r="3170">
          <cell r="D3170" t="str">
            <v>2021</v>
          </cell>
        </row>
        <row r="3171">
          <cell r="D3171" t="str">
            <v>2023</v>
          </cell>
        </row>
        <row r="3172">
          <cell r="D3172" t="str">
            <v>2021</v>
          </cell>
        </row>
        <row r="3173">
          <cell r="D3173" t="str">
            <v>2023</v>
          </cell>
        </row>
        <row r="3174">
          <cell r="D3174" t="str">
            <v>2023</v>
          </cell>
        </row>
        <row r="3175">
          <cell r="D3175" t="str">
            <v>2023</v>
          </cell>
        </row>
        <row r="3176">
          <cell r="D3176" t="str">
            <v>2023</v>
          </cell>
        </row>
        <row r="3177">
          <cell r="D3177" t="str">
            <v>2023</v>
          </cell>
        </row>
        <row r="3178">
          <cell r="D3178" t="str">
            <v>2023</v>
          </cell>
        </row>
        <row r="3179">
          <cell r="D3179" t="str">
            <v>2023</v>
          </cell>
        </row>
        <row r="3180">
          <cell r="D3180" t="str">
            <v>2023</v>
          </cell>
        </row>
        <row r="3181">
          <cell r="D3181" t="str">
            <v>2023</v>
          </cell>
        </row>
        <row r="3182">
          <cell r="D3182" t="str">
            <v>2023</v>
          </cell>
        </row>
        <row r="3183">
          <cell r="D3183" t="str">
            <v>2021</v>
          </cell>
        </row>
        <row r="3184">
          <cell r="D3184" t="str">
            <v>2022</v>
          </cell>
        </row>
        <row r="3185">
          <cell r="D3185" t="str">
            <v>2023</v>
          </cell>
        </row>
        <row r="3186">
          <cell r="D3186" t="str">
            <v>2023</v>
          </cell>
        </row>
        <row r="3187">
          <cell r="D3187" t="str">
            <v>2023</v>
          </cell>
        </row>
        <row r="3188">
          <cell r="D3188" t="str">
            <v>2023</v>
          </cell>
        </row>
        <row r="3189">
          <cell r="D3189" t="str">
            <v>2023</v>
          </cell>
        </row>
        <row r="3190">
          <cell r="D3190" t="str">
            <v>2023</v>
          </cell>
        </row>
        <row r="3191">
          <cell r="D3191" t="str">
            <v>2023</v>
          </cell>
        </row>
        <row r="3192">
          <cell r="D3192" t="str">
            <v>2023</v>
          </cell>
        </row>
        <row r="3193">
          <cell r="D3193" t="str">
            <v>2023</v>
          </cell>
        </row>
        <row r="3194">
          <cell r="D3194" t="str">
            <v>2021</v>
          </cell>
        </row>
        <row r="3195">
          <cell r="D3195" t="str">
            <v>2023</v>
          </cell>
        </row>
        <row r="3196">
          <cell r="D3196" t="str">
            <v>2022</v>
          </cell>
        </row>
        <row r="3197">
          <cell r="D3197" t="str">
            <v>2023</v>
          </cell>
        </row>
        <row r="3198">
          <cell r="D3198" t="str">
            <v>2023</v>
          </cell>
        </row>
        <row r="3199">
          <cell r="D3199" t="str">
            <v>2023</v>
          </cell>
        </row>
        <row r="3200">
          <cell r="D3200" t="str">
            <v>2023</v>
          </cell>
        </row>
        <row r="3201">
          <cell r="D3201" t="str">
            <v>2023</v>
          </cell>
        </row>
        <row r="3202">
          <cell r="D3202" t="str">
            <v>2023</v>
          </cell>
        </row>
        <row r="3203">
          <cell r="D3203" t="str">
            <v>2023</v>
          </cell>
        </row>
        <row r="3204">
          <cell r="D3204" t="str">
            <v>2021</v>
          </cell>
        </row>
        <row r="3205">
          <cell r="D3205" t="str">
            <v>2023</v>
          </cell>
        </row>
        <row r="3206">
          <cell r="D3206" t="str">
            <v>2023</v>
          </cell>
        </row>
        <row r="3207">
          <cell r="D3207" t="str">
            <v>2021</v>
          </cell>
        </row>
        <row r="3208">
          <cell r="D3208" t="str">
            <v>2023</v>
          </cell>
        </row>
        <row r="3209">
          <cell r="D3209" t="str">
            <v>2023</v>
          </cell>
        </row>
        <row r="3210">
          <cell r="D3210" t="str">
            <v>2022</v>
          </cell>
        </row>
        <row r="3211">
          <cell r="D3211" t="str">
            <v>2023</v>
          </cell>
        </row>
        <row r="3212">
          <cell r="D3212" t="str">
            <v>2023</v>
          </cell>
        </row>
        <row r="3213">
          <cell r="D3213" t="str">
            <v>2023</v>
          </cell>
        </row>
        <row r="3214">
          <cell r="D3214" t="str">
            <v>2022</v>
          </cell>
        </row>
        <row r="3215">
          <cell r="D3215" t="str">
            <v>2023</v>
          </cell>
        </row>
        <row r="3216">
          <cell r="D3216" t="str">
            <v>2023</v>
          </cell>
        </row>
        <row r="3217">
          <cell r="D3217" t="str">
            <v>2023</v>
          </cell>
        </row>
        <row r="3218">
          <cell r="D3218" t="str">
            <v>2023</v>
          </cell>
        </row>
        <row r="3219">
          <cell r="D3219" t="str">
            <v>2023</v>
          </cell>
        </row>
        <row r="3220">
          <cell r="D3220" t="str">
            <v>2022</v>
          </cell>
        </row>
        <row r="3221">
          <cell r="D3221" t="str">
            <v>2023</v>
          </cell>
        </row>
        <row r="3222">
          <cell r="D3222" t="str">
            <v>2022</v>
          </cell>
        </row>
        <row r="3223">
          <cell r="D3223" t="str">
            <v>2023</v>
          </cell>
        </row>
        <row r="3224">
          <cell r="D3224" t="str">
            <v>2023</v>
          </cell>
        </row>
        <row r="3225">
          <cell r="D3225" t="str">
            <v>2021</v>
          </cell>
        </row>
        <row r="3226">
          <cell r="D3226" t="str">
            <v>2023</v>
          </cell>
        </row>
        <row r="3227">
          <cell r="D3227" t="str">
            <v>2023</v>
          </cell>
        </row>
        <row r="3228">
          <cell r="D3228" t="str">
            <v>2023</v>
          </cell>
        </row>
        <row r="3229">
          <cell r="D3229" t="str">
            <v>2023</v>
          </cell>
        </row>
        <row r="3230">
          <cell r="D3230" t="str">
            <v>2023</v>
          </cell>
        </row>
        <row r="3231">
          <cell r="D3231" t="str">
            <v>2023</v>
          </cell>
        </row>
        <row r="3232">
          <cell r="D3232" t="str">
            <v>2021</v>
          </cell>
        </row>
        <row r="3233">
          <cell r="D3233" t="str">
            <v>2022</v>
          </cell>
        </row>
        <row r="3234">
          <cell r="D3234" t="str">
            <v>2023</v>
          </cell>
        </row>
        <row r="3235">
          <cell r="D3235" t="str">
            <v>2023</v>
          </cell>
        </row>
        <row r="3236">
          <cell r="D3236" t="str">
            <v>2022</v>
          </cell>
        </row>
        <row r="3237">
          <cell r="D3237" t="str">
            <v>2023</v>
          </cell>
        </row>
        <row r="3238">
          <cell r="D3238" t="str">
            <v>2023</v>
          </cell>
        </row>
        <row r="3239">
          <cell r="D3239" t="str">
            <v>2023</v>
          </cell>
        </row>
        <row r="3240">
          <cell r="D3240" t="str">
            <v>2023</v>
          </cell>
        </row>
        <row r="3241">
          <cell r="D3241" t="str">
            <v>2021</v>
          </cell>
        </row>
        <row r="3242">
          <cell r="D3242" t="str">
            <v>2023</v>
          </cell>
        </row>
        <row r="3243">
          <cell r="D3243" t="str">
            <v>2023</v>
          </cell>
        </row>
        <row r="3244">
          <cell r="D3244" t="str">
            <v>2022</v>
          </cell>
        </row>
        <row r="3245">
          <cell r="D3245" t="str">
            <v>2023</v>
          </cell>
        </row>
        <row r="3246">
          <cell r="D3246" t="str">
            <v>2023</v>
          </cell>
        </row>
        <row r="3247">
          <cell r="D3247" t="str">
            <v>2023</v>
          </cell>
        </row>
        <row r="3248">
          <cell r="D3248" t="str">
            <v>2023</v>
          </cell>
        </row>
        <row r="3249">
          <cell r="D3249" t="str">
            <v>2023</v>
          </cell>
        </row>
        <row r="3250">
          <cell r="D3250" t="str">
            <v>2023</v>
          </cell>
        </row>
        <row r="3251">
          <cell r="D3251" t="str">
            <v>2023</v>
          </cell>
        </row>
        <row r="3252">
          <cell r="D3252" t="str">
            <v>2023</v>
          </cell>
        </row>
        <row r="3253">
          <cell r="D3253" t="str">
            <v>2022</v>
          </cell>
        </row>
        <row r="3254">
          <cell r="D3254" t="str">
            <v>2023</v>
          </cell>
        </row>
        <row r="3255">
          <cell r="D3255" t="str">
            <v>2023</v>
          </cell>
        </row>
        <row r="3256">
          <cell r="D3256" t="str">
            <v>2022</v>
          </cell>
        </row>
        <row r="3257">
          <cell r="D3257" t="str">
            <v>2023</v>
          </cell>
        </row>
        <row r="3258">
          <cell r="D3258" t="str">
            <v>2023</v>
          </cell>
        </row>
        <row r="3259">
          <cell r="D3259" t="str">
            <v>2021</v>
          </cell>
        </row>
        <row r="3260">
          <cell r="D3260" t="str">
            <v>2023</v>
          </cell>
        </row>
        <row r="3261">
          <cell r="D3261" t="str">
            <v>2023</v>
          </cell>
        </row>
        <row r="3262">
          <cell r="D3262" t="str">
            <v>2023</v>
          </cell>
        </row>
        <row r="3263">
          <cell r="D3263" t="str">
            <v>2023</v>
          </cell>
        </row>
        <row r="3264">
          <cell r="D3264" t="str">
            <v>2024</v>
          </cell>
        </row>
        <row r="3265">
          <cell r="D3265" t="str">
            <v>2023</v>
          </cell>
        </row>
        <row r="3266">
          <cell r="D3266" t="str">
            <v>2021</v>
          </cell>
        </row>
        <row r="3267">
          <cell r="D3267" t="str">
            <v>2023</v>
          </cell>
        </row>
        <row r="3268">
          <cell r="D3268" t="str">
            <v>2023</v>
          </cell>
        </row>
        <row r="3269">
          <cell r="D3269" t="str">
            <v>2023</v>
          </cell>
        </row>
        <row r="3270">
          <cell r="D3270" t="str">
            <v>2023</v>
          </cell>
        </row>
        <row r="3271">
          <cell r="D3271" t="str">
            <v>2022</v>
          </cell>
        </row>
        <row r="3272">
          <cell r="D3272" t="str">
            <v>2023</v>
          </cell>
        </row>
        <row r="3273">
          <cell r="D3273" t="str">
            <v>2023</v>
          </cell>
        </row>
        <row r="3274">
          <cell r="D3274" t="str">
            <v>2023</v>
          </cell>
        </row>
        <row r="3275">
          <cell r="D3275" t="str">
            <v>2023</v>
          </cell>
        </row>
        <row r="3276">
          <cell r="D3276" t="str">
            <v>2024</v>
          </cell>
        </row>
        <row r="3277">
          <cell r="D3277" t="str">
            <v>2023</v>
          </cell>
        </row>
        <row r="3278">
          <cell r="D3278" t="str">
            <v>2023</v>
          </cell>
        </row>
        <row r="3279">
          <cell r="D3279" t="str">
            <v>2023</v>
          </cell>
        </row>
        <row r="3280">
          <cell r="D3280" t="str">
            <v>2023</v>
          </cell>
        </row>
        <row r="3281">
          <cell r="D3281" t="str">
            <v>2023</v>
          </cell>
        </row>
        <row r="3282">
          <cell r="D3282" t="str">
            <v>2023</v>
          </cell>
        </row>
        <row r="3283">
          <cell r="D3283" t="str">
            <v>2023</v>
          </cell>
        </row>
        <row r="3284">
          <cell r="D3284" t="str">
            <v>2023</v>
          </cell>
        </row>
        <row r="3285">
          <cell r="D3285" t="str">
            <v>2023</v>
          </cell>
        </row>
        <row r="3286">
          <cell r="D3286" t="str">
            <v>2023</v>
          </cell>
        </row>
        <row r="3287">
          <cell r="D3287" t="str">
            <v>2023</v>
          </cell>
        </row>
        <row r="3288">
          <cell r="D3288" t="str">
            <v>2023</v>
          </cell>
        </row>
        <row r="3289">
          <cell r="D3289" t="str">
            <v>2023</v>
          </cell>
        </row>
        <row r="3290">
          <cell r="D3290" t="str">
            <v>2021</v>
          </cell>
        </row>
        <row r="3291">
          <cell r="D3291" t="str">
            <v>2023</v>
          </cell>
        </row>
        <row r="3292">
          <cell r="D3292" t="str">
            <v>2023</v>
          </cell>
        </row>
        <row r="3293">
          <cell r="D3293" t="str">
            <v>2023</v>
          </cell>
        </row>
        <row r="3294">
          <cell r="D3294" t="str">
            <v>2021</v>
          </cell>
        </row>
        <row r="3295">
          <cell r="D3295" t="str">
            <v>2024</v>
          </cell>
        </row>
        <row r="3296">
          <cell r="D3296" t="str">
            <v>2023</v>
          </cell>
        </row>
        <row r="3297">
          <cell r="D3297" t="str">
            <v>2023</v>
          </cell>
        </row>
        <row r="3298">
          <cell r="D3298" t="str">
            <v>2023</v>
          </cell>
        </row>
        <row r="3299">
          <cell r="D3299" t="str">
            <v>2023</v>
          </cell>
        </row>
        <row r="3300">
          <cell r="D3300" t="str">
            <v>2023</v>
          </cell>
        </row>
        <row r="3301">
          <cell r="D3301" t="str">
            <v>2023</v>
          </cell>
        </row>
        <row r="3302">
          <cell r="D3302" t="str">
            <v>2023</v>
          </cell>
        </row>
        <row r="3303">
          <cell r="D3303" t="str">
            <v>2023</v>
          </cell>
        </row>
        <row r="3304">
          <cell r="D3304" t="str">
            <v>2024</v>
          </cell>
        </row>
        <row r="3305">
          <cell r="D3305" t="str">
            <v>2023</v>
          </cell>
        </row>
        <row r="3306">
          <cell r="D3306" t="str">
            <v>2022</v>
          </cell>
        </row>
        <row r="3307">
          <cell r="D3307" t="str">
            <v>2023</v>
          </cell>
        </row>
        <row r="3308">
          <cell r="D3308" t="str">
            <v>2023</v>
          </cell>
        </row>
        <row r="3309">
          <cell r="D3309" t="str">
            <v>2023</v>
          </cell>
        </row>
        <row r="3310">
          <cell r="D3310" t="str">
            <v>2023</v>
          </cell>
        </row>
        <row r="3311">
          <cell r="D3311" t="str">
            <v>2022</v>
          </cell>
        </row>
        <row r="3312">
          <cell r="D3312" t="str">
            <v>2023</v>
          </cell>
        </row>
        <row r="3313">
          <cell r="D3313" t="str">
            <v>2023</v>
          </cell>
        </row>
        <row r="3314">
          <cell r="D3314" t="str">
            <v>2023</v>
          </cell>
        </row>
        <row r="3315">
          <cell r="D3315" t="str">
            <v>2023</v>
          </cell>
        </row>
        <row r="3316">
          <cell r="D3316" t="str">
            <v>2022</v>
          </cell>
        </row>
        <row r="3317">
          <cell r="D3317" t="str">
            <v>2023</v>
          </cell>
        </row>
        <row r="3318">
          <cell r="D3318" t="str">
            <v>2023</v>
          </cell>
        </row>
        <row r="3319">
          <cell r="D3319" t="str">
            <v>2023</v>
          </cell>
        </row>
        <row r="3320">
          <cell r="D3320" t="str">
            <v>2023</v>
          </cell>
        </row>
        <row r="3321">
          <cell r="D3321" t="str">
            <v>2023</v>
          </cell>
        </row>
        <row r="3322">
          <cell r="D3322" t="str">
            <v>2021</v>
          </cell>
        </row>
        <row r="3323">
          <cell r="D3323" t="str">
            <v>2022</v>
          </cell>
        </row>
        <row r="3324">
          <cell r="D3324" t="str">
            <v>2023</v>
          </cell>
        </row>
        <row r="3325">
          <cell r="D3325" t="str">
            <v>2023</v>
          </cell>
        </row>
        <row r="3326">
          <cell r="D3326" t="str">
            <v>2023</v>
          </cell>
        </row>
        <row r="3327">
          <cell r="D3327" t="str">
            <v>2023</v>
          </cell>
        </row>
        <row r="3328">
          <cell r="D3328" t="str">
            <v>2023</v>
          </cell>
        </row>
        <row r="3329">
          <cell r="D3329" t="str">
            <v>2023</v>
          </cell>
        </row>
        <row r="3330">
          <cell r="D3330" t="str">
            <v>2023</v>
          </cell>
        </row>
        <row r="3331">
          <cell r="D3331" t="str">
            <v>2023</v>
          </cell>
        </row>
        <row r="3332">
          <cell r="D3332" t="str">
            <v>2023</v>
          </cell>
        </row>
        <row r="3333">
          <cell r="D3333" t="str">
            <v>2023</v>
          </cell>
        </row>
        <row r="3334">
          <cell r="D3334" t="str">
            <v>2022</v>
          </cell>
        </row>
        <row r="3335">
          <cell r="D3335" t="str">
            <v>2023</v>
          </cell>
        </row>
        <row r="3336">
          <cell r="D3336" t="str">
            <v>2023</v>
          </cell>
        </row>
        <row r="3337">
          <cell r="D3337" t="str">
            <v>2023</v>
          </cell>
        </row>
        <row r="3338">
          <cell r="D3338" t="str">
            <v>2023</v>
          </cell>
        </row>
        <row r="3339">
          <cell r="D3339" t="str">
            <v>2023</v>
          </cell>
        </row>
        <row r="3340">
          <cell r="D3340" t="str">
            <v>2022</v>
          </cell>
        </row>
        <row r="3341">
          <cell r="D3341" t="str">
            <v>2021</v>
          </cell>
        </row>
        <row r="3342">
          <cell r="D3342" t="str">
            <v>2023</v>
          </cell>
        </row>
        <row r="3343">
          <cell r="D3343" t="str">
            <v>2022</v>
          </cell>
        </row>
        <row r="3344">
          <cell r="D3344" t="str">
            <v>2023</v>
          </cell>
        </row>
        <row r="3345">
          <cell r="D3345" t="str">
            <v>2023</v>
          </cell>
        </row>
        <row r="3346">
          <cell r="D3346" t="str">
            <v>2023</v>
          </cell>
        </row>
        <row r="3347">
          <cell r="D3347" t="str">
            <v>2023</v>
          </cell>
        </row>
        <row r="3348">
          <cell r="D3348" t="str">
            <v>2023</v>
          </cell>
        </row>
        <row r="3349">
          <cell r="D3349" t="str">
            <v>2023</v>
          </cell>
        </row>
        <row r="3350">
          <cell r="D3350" t="str">
            <v>2023</v>
          </cell>
        </row>
        <row r="3351">
          <cell r="D3351" t="str">
            <v>2022</v>
          </cell>
        </row>
        <row r="3352">
          <cell r="D3352" t="str">
            <v>2023</v>
          </cell>
        </row>
        <row r="3353">
          <cell r="D3353" t="str">
            <v>2023</v>
          </cell>
        </row>
        <row r="3354">
          <cell r="D3354" t="str">
            <v>2023</v>
          </cell>
        </row>
        <row r="3355">
          <cell r="D3355" t="str">
            <v>2023</v>
          </cell>
        </row>
        <row r="3356">
          <cell r="D3356" t="str">
            <v>2023</v>
          </cell>
        </row>
        <row r="3357">
          <cell r="D3357" t="str">
            <v>2023</v>
          </cell>
        </row>
        <row r="3358">
          <cell r="D3358" t="str">
            <v>2023</v>
          </cell>
        </row>
        <row r="3359">
          <cell r="D3359" t="str">
            <v>2023</v>
          </cell>
        </row>
        <row r="3360">
          <cell r="D3360" t="str">
            <v>2023</v>
          </cell>
        </row>
        <row r="3361">
          <cell r="D3361" t="str">
            <v>2022</v>
          </cell>
        </row>
        <row r="3362">
          <cell r="D3362" t="str">
            <v>2022</v>
          </cell>
        </row>
        <row r="3363">
          <cell r="D3363" t="str">
            <v>2023</v>
          </cell>
        </row>
        <row r="3364">
          <cell r="D3364" t="str">
            <v>2023</v>
          </cell>
        </row>
        <row r="3365">
          <cell r="D3365" t="str">
            <v>2023</v>
          </cell>
        </row>
        <row r="3366">
          <cell r="D3366" t="str">
            <v>2023</v>
          </cell>
        </row>
        <row r="3367">
          <cell r="D3367" t="str">
            <v>2023</v>
          </cell>
        </row>
        <row r="3368">
          <cell r="D3368" t="str">
            <v>2022</v>
          </cell>
        </row>
        <row r="3369">
          <cell r="D3369" t="str">
            <v>2023</v>
          </cell>
        </row>
        <row r="3370">
          <cell r="D3370" t="str">
            <v>2021</v>
          </cell>
        </row>
        <row r="3371">
          <cell r="D3371" t="str">
            <v>2023</v>
          </cell>
        </row>
        <row r="3372">
          <cell r="D3372" t="str">
            <v>2023</v>
          </cell>
        </row>
        <row r="3373">
          <cell r="D3373" t="str">
            <v>2023</v>
          </cell>
        </row>
        <row r="3374">
          <cell r="D3374" t="str">
            <v>2022</v>
          </cell>
        </row>
        <row r="3375">
          <cell r="D3375" t="str">
            <v>2021</v>
          </cell>
        </row>
        <row r="3376">
          <cell r="D3376" t="str">
            <v>2023</v>
          </cell>
        </row>
        <row r="3377">
          <cell r="D3377" t="str">
            <v>2022</v>
          </cell>
        </row>
        <row r="3378">
          <cell r="D3378" t="str">
            <v>2023</v>
          </cell>
        </row>
        <row r="3379">
          <cell r="D3379" t="str">
            <v>2023</v>
          </cell>
        </row>
        <row r="3380">
          <cell r="D3380" t="str">
            <v>2023</v>
          </cell>
        </row>
        <row r="3381">
          <cell r="D3381" t="str">
            <v>2023</v>
          </cell>
        </row>
        <row r="3382">
          <cell r="D3382" t="str">
            <v>2023</v>
          </cell>
        </row>
        <row r="3383">
          <cell r="D3383" t="str">
            <v>2023</v>
          </cell>
        </row>
        <row r="3384">
          <cell r="D3384" t="str">
            <v>2022</v>
          </cell>
        </row>
        <row r="3385">
          <cell r="D3385" t="str">
            <v>2021</v>
          </cell>
        </row>
        <row r="3386">
          <cell r="D3386" t="str">
            <v>2023</v>
          </cell>
        </row>
        <row r="3387">
          <cell r="D3387" t="str">
            <v>2023</v>
          </cell>
        </row>
        <row r="3388">
          <cell r="D3388" t="str">
            <v>2023</v>
          </cell>
        </row>
        <row r="3389">
          <cell r="D3389" t="str">
            <v>2023</v>
          </cell>
        </row>
        <row r="3390">
          <cell r="D3390" t="str">
            <v>2023</v>
          </cell>
        </row>
        <row r="3391">
          <cell r="D3391" t="str">
            <v>2023</v>
          </cell>
        </row>
        <row r="3392">
          <cell r="D3392" t="str">
            <v>2023</v>
          </cell>
        </row>
        <row r="3393">
          <cell r="D3393" t="str">
            <v>2023</v>
          </cell>
        </row>
        <row r="3394">
          <cell r="D3394" t="str">
            <v>2023</v>
          </cell>
        </row>
        <row r="3395">
          <cell r="D3395" t="str">
            <v>2023</v>
          </cell>
        </row>
        <row r="3396">
          <cell r="D3396" t="str">
            <v>2023</v>
          </cell>
        </row>
        <row r="3397">
          <cell r="D3397" t="str">
            <v>2021</v>
          </cell>
        </row>
        <row r="3398">
          <cell r="D3398" t="str">
            <v>2023</v>
          </cell>
        </row>
        <row r="3399">
          <cell r="D3399" t="str">
            <v>2023</v>
          </cell>
        </row>
        <row r="3400">
          <cell r="D3400" t="str">
            <v>2023</v>
          </cell>
        </row>
        <row r="3401">
          <cell r="D3401" t="str">
            <v>2023</v>
          </cell>
        </row>
        <row r="3402">
          <cell r="D3402" t="str">
            <v>2021</v>
          </cell>
        </row>
        <row r="3403">
          <cell r="D3403" t="str">
            <v>2021</v>
          </cell>
        </row>
        <row r="3404">
          <cell r="D3404" t="str">
            <v>2023</v>
          </cell>
        </row>
        <row r="3405">
          <cell r="D3405" t="str">
            <v>2023</v>
          </cell>
        </row>
        <row r="3406">
          <cell r="D3406" t="str">
            <v>2022</v>
          </cell>
        </row>
        <row r="3407">
          <cell r="D3407" t="str">
            <v>2022</v>
          </cell>
        </row>
        <row r="3408">
          <cell r="D3408" t="str">
            <v>2021</v>
          </cell>
        </row>
        <row r="3409">
          <cell r="D3409" t="str">
            <v>2023</v>
          </cell>
        </row>
        <row r="3410">
          <cell r="D3410" t="str">
            <v>2023</v>
          </cell>
        </row>
        <row r="3411">
          <cell r="D3411" t="str">
            <v>2022</v>
          </cell>
        </row>
        <row r="3412">
          <cell r="D3412" t="str">
            <v>2023</v>
          </cell>
        </row>
        <row r="3413">
          <cell r="D3413" t="str">
            <v>2023</v>
          </cell>
        </row>
        <row r="3414">
          <cell r="D3414" t="str">
            <v>2023</v>
          </cell>
        </row>
        <row r="3415">
          <cell r="D3415" t="str">
            <v>2023</v>
          </cell>
        </row>
        <row r="3416">
          <cell r="D3416" t="str">
            <v>2022</v>
          </cell>
        </row>
        <row r="3417">
          <cell r="D3417" t="str">
            <v>2021</v>
          </cell>
        </row>
        <row r="3418">
          <cell r="D3418" t="str">
            <v>2023</v>
          </cell>
        </row>
        <row r="3419">
          <cell r="D3419" t="str">
            <v>2021</v>
          </cell>
        </row>
        <row r="3420">
          <cell r="D3420" t="str">
            <v>2023</v>
          </cell>
        </row>
        <row r="3421">
          <cell r="D3421" t="str">
            <v>2022</v>
          </cell>
        </row>
        <row r="3422">
          <cell r="D3422" t="str">
            <v>2023</v>
          </cell>
        </row>
        <row r="3423">
          <cell r="D3423" t="str">
            <v>2023</v>
          </cell>
        </row>
        <row r="3424">
          <cell r="D3424" t="str">
            <v>2022</v>
          </cell>
        </row>
        <row r="3425">
          <cell r="D3425" t="str">
            <v>2023</v>
          </cell>
        </row>
        <row r="3426">
          <cell r="D3426" t="str">
            <v>2021</v>
          </cell>
        </row>
        <row r="3427">
          <cell r="D3427" t="str">
            <v>2023</v>
          </cell>
        </row>
        <row r="3428">
          <cell r="D3428" t="str">
            <v>2023</v>
          </cell>
        </row>
        <row r="3429">
          <cell r="D3429" t="str">
            <v>2022</v>
          </cell>
        </row>
        <row r="3430">
          <cell r="D3430" t="str">
            <v>2023</v>
          </cell>
        </row>
        <row r="3431">
          <cell r="D3431" t="str">
            <v>2021</v>
          </cell>
        </row>
        <row r="3432">
          <cell r="D3432" t="str">
            <v>2023</v>
          </cell>
        </row>
        <row r="3433">
          <cell r="D3433" t="str">
            <v>2022</v>
          </cell>
        </row>
        <row r="3434">
          <cell r="D3434" t="str">
            <v>2023</v>
          </cell>
        </row>
        <row r="3435">
          <cell r="D3435" t="str">
            <v>2023</v>
          </cell>
        </row>
        <row r="3436">
          <cell r="D3436" t="str">
            <v>2023</v>
          </cell>
        </row>
        <row r="3437">
          <cell r="D3437" t="str">
            <v>2023</v>
          </cell>
        </row>
        <row r="3438">
          <cell r="D3438" t="str">
            <v>2023</v>
          </cell>
        </row>
        <row r="3439">
          <cell r="D3439" t="str">
            <v>2023</v>
          </cell>
        </row>
        <row r="3440">
          <cell r="D3440" t="str">
            <v>2023</v>
          </cell>
        </row>
        <row r="3441">
          <cell r="D3441" t="str">
            <v>2023</v>
          </cell>
        </row>
        <row r="3442">
          <cell r="D3442" t="str">
            <v>2023</v>
          </cell>
        </row>
        <row r="3443">
          <cell r="D3443" t="str">
            <v>2023</v>
          </cell>
        </row>
        <row r="3444">
          <cell r="D3444" t="str">
            <v>2021</v>
          </cell>
        </row>
        <row r="3445">
          <cell r="D3445" t="str">
            <v>2023</v>
          </cell>
        </row>
        <row r="3446">
          <cell r="D3446" t="str">
            <v>2022</v>
          </cell>
        </row>
        <row r="3447">
          <cell r="D3447" t="str">
            <v>2023</v>
          </cell>
        </row>
        <row r="3448">
          <cell r="D3448" t="str">
            <v>2022</v>
          </cell>
        </row>
        <row r="3449">
          <cell r="D3449" t="str">
            <v>2022</v>
          </cell>
        </row>
        <row r="3450">
          <cell r="D3450" t="str">
            <v>2023</v>
          </cell>
        </row>
        <row r="3451">
          <cell r="D3451" t="str">
            <v>2023</v>
          </cell>
        </row>
        <row r="3452">
          <cell r="D3452" t="str">
            <v>2023</v>
          </cell>
        </row>
        <row r="3453">
          <cell r="D3453" t="str">
            <v>2023</v>
          </cell>
        </row>
        <row r="3454">
          <cell r="D3454" t="str">
            <v>2023</v>
          </cell>
        </row>
        <row r="3455">
          <cell r="D3455" t="str">
            <v>2023</v>
          </cell>
        </row>
        <row r="3456">
          <cell r="D3456" t="str">
            <v>2023</v>
          </cell>
        </row>
        <row r="3457">
          <cell r="D3457" t="str">
            <v>2022</v>
          </cell>
        </row>
        <row r="3458">
          <cell r="D3458" t="str">
            <v>2023</v>
          </cell>
        </row>
        <row r="3459">
          <cell r="D3459" t="str">
            <v>2023</v>
          </cell>
        </row>
        <row r="3460">
          <cell r="D3460" t="str">
            <v>2023</v>
          </cell>
        </row>
        <row r="3461">
          <cell r="D3461" t="str">
            <v>2023</v>
          </cell>
        </row>
        <row r="3462">
          <cell r="D3462" t="str">
            <v>2023</v>
          </cell>
        </row>
        <row r="3463">
          <cell r="D3463" t="str">
            <v>2023</v>
          </cell>
        </row>
        <row r="3464">
          <cell r="D3464" t="str">
            <v>2023</v>
          </cell>
        </row>
        <row r="3465">
          <cell r="D3465" t="str">
            <v>2022</v>
          </cell>
        </row>
        <row r="3466">
          <cell r="D3466" t="str">
            <v>2023</v>
          </cell>
        </row>
        <row r="3467">
          <cell r="D3467" t="str">
            <v>2023</v>
          </cell>
        </row>
        <row r="3468">
          <cell r="D3468" t="str">
            <v>2023</v>
          </cell>
        </row>
        <row r="3469">
          <cell r="D3469" t="str">
            <v>2023</v>
          </cell>
        </row>
        <row r="3470">
          <cell r="D3470" t="str">
            <v>2022</v>
          </cell>
        </row>
        <row r="3471">
          <cell r="D3471" t="str">
            <v>2023</v>
          </cell>
        </row>
        <row r="3472">
          <cell r="D3472" t="str">
            <v>2023</v>
          </cell>
        </row>
        <row r="3473">
          <cell r="D3473" t="str">
            <v>2023</v>
          </cell>
        </row>
        <row r="3474">
          <cell r="D3474" t="str">
            <v>2022</v>
          </cell>
        </row>
        <row r="3475">
          <cell r="D3475" t="str">
            <v>2024</v>
          </cell>
        </row>
        <row r="3476">
          <cell r="D3476" t="str">
            <v>2022</v>
          </cell>
        </row>
        <row r="3477">
          <cell r="D3477" t="str">
            <v>2023</v>
          </cell>
        </row>
        <row r="3478">
          <cell r="D3478" t="str">
            <v>2023</v>
          </cell>
        </row>
        <row r="3479">
          <cell r="D3479" t="str">
            <v>2023</v>
          </cell>
        </row>
        <row r="3480">
          <cell r="D3480" t="str">
            <v>2023</v>
          </cell>
        </row>
        <row r="3481">
          <cell r="D3481" t="str">
            <v>2023</v>
          </cell>
        </row>
        <row r="3482">
          <cell r="D3482" t="str">
            <v>2022</v>
          </cell>
        </row>
        <row r="3483">
          <cell r="D3483" t="str">
            <v>2023</v>
          </cell>
        </row>
        <row r="3484">
          <cell r="D3484" t="str">
            <v>2023</v>
          </cell>
        </row>
        <row r="3485">
          <cell r="D3485" t="str">
            <v>2023</v>
          </cell>
        </row>
        <row r="3486">
          <cell r="D3486" t="str">
            <v>2023</v>
          </cell>
        </row>
        <row r="3487">
          <cell r="D3487" t="str">
            <v>2021</v>
          </cell>
        </row>
        <row r="3488">
          <cell r="D3488" t="str">
            <v>2023</v>
          </cell>
        </row>
        <row r="3489">
          <cell r="D3489" t="str">
            <v>2022</v>
          </cell>
        </row>
        <row r="3490">
          <cell r="D3490" t="str">
            <v>2023</v>
          </cell>
        </row>
        <row r="3491">
          <cell r="D3491" t="str">
            <v>2024</v>
          </cell>
        </row>
        <row r="3492">
          <cell r="D3492" t="str">
            <v>2023</v>
          </cell>
        </row>
        <row r="3493">
          <cell r="D3493" t="str">
            <v>2023</v>
          </cell>
        </row>
        <row r="3494">
          <cell r="D3494" t="str">
            <v>2023</v>
          </cell>
        </row>
        <row r="3495">
          <cell r="D3495" t="str">
            <v>2021</v>
          </cell>
        </row>
        <row r="3496">
          <cell r="D3496" t="str">
            <v>2023</v>
          </cell>
        </row>
        <row r="3497">
          <cell r="D3497" t="str">
            <v>2023</v>
          </cell>
        </row>
        <row r="3498">
          <cell r="D3498" t="str">
            <v>2023</v>
          </cell>
        </row>
        <row r="3499">
          <cell r="D3499" t="str">
            <v>2023</v>
          </cell>
        </row>
        <row r="3500">
          <cell r="D3500" t="str">
            <v>2023</v>
          </cell>
        </row>
        <row r="3501">
          <cell r="D3501" t="str">
            <v>2023</v>
          </cell>
        </row>
        <row r="3502">
          <cell r="D3502" t="str">
            <v>2021</v>
          </cell>
        </row>
        <row r="3503">
          <cell r="D3503" t="str">
            <v>2023</v>
          </cell>
        </row>
        <row r="3504">
          <cell r="D3504" t="str">
            <v>2021</v>
          </cell>
        </row>
        <row r="3505">
          <cell r="D3505" t="str">
            <v>2021</v>
          </cell>
        </row>
        <row r="3506">
          <cell r="D3506" t="str">
            <v>2023</v>
          </cell>
        </row>
        <row r="3507">
          <cell r="D3507" t="str">
            <v>2022</v>
          </cell>
        </row>
        <row r="3508">
          <cell r="D3508" t="str">
            <v>2021</v>
          </cell>
        </row>
        <row r="3509">
          <cell r="D3509" t="str">
            <v>2023</v>
          </cell>
        </row>
        <row r="3510">
          <cell r="D3510" t="str">
            <v>2023</v>
          </cell>
        </row>
        <row r="3511">
          <cell r="D3511" t="str">
            <v>2023</v>
          </cell>
        </row>
        <row r="3512">
          <cell r="D3512" t="str">
            <v>2023</v>
          </cell>
        </row>
        <row r="3513">
          <cell r="D3513" t="str">
            <v>2023</v>
          </cell>
        </row>
        <row r="3514">
          <cell r="D3514" t="str">
            <v>2023</v>
          </cell>
        </row>
        <row r="3515">
          <cell r="D3515" t="str">
            <v>2023</v>
          </cell>
        </row>
        <row r="3516">
          <cell r="D3516" t="str">
            <v>2021</v>
          </cell>
        </row>
        <row r="3517">
          <cell r="D3517" t="str">
            <v>2021</v>
          </cell>
        </row>
        <row r="3518">
          <cell r="D3518" t="str">
            <v>2023</v>
          </cell>
        </row>
        <row r="3519">
          <cell r="D3519" t="str">
            <v>2022</v>
          </cell>
        </row>
        <row r="3520">
          <cell r="D3520" t="str">
            <v>2022</v>
          </cell>
        </row>
        <row r="3521">
          <cell r="D3521" t="str">
            <v>2022</v>
          </cell>
        </row>
        <row r="3522">
          <cell r="D3522" t="str">
            <v>2023</v>
          </cell>
        </row>
        <row r="3523">
          <cell r="D3523" t="str">
            <v>2023</v>
          </cell>
        </row>
        <row r="3524">
          <cell r="D3524" t="str">
            <v>2022</v>
          </cell>
        </row>
        <row r="3525">
          <cell r="D3525" t="str">
            <v>2023</v>
          </cell>
        </row>
        <row r="3526">
          <cell r="D3526" t="str">
            <v>2023</v>
          </cell>
        </row>
        <row r="3527">
          <cell r="D3527" t="str">
            <v>2023</v>
          </cell>
        </row>
        <row r="3528">
          <cell r="D3528" t="str">
            <v>2024</v>
          </cell>
        </row>
        <row r="3529">
          <cell r="D3529" t="str">
            <v>2023</v>
          </cell>
        </row>
        <row r="3530">
          <cell r="D3530" t="str">
            <v>2023</v>
          </cell>
        </row>
        <row r="3531">
          <cell r="D3531" t="str">
            <v>2023</v>
          </cell>
        </row>
        <row r="3532">
          <cell r="D3532" t="str">
            <v>2023</v>
          </cell>
        </row>
        <row r="3533">
          <cell r="D3533" t="str">
            <v>2023</v>
          </cell>
        </row>
        <row r="3534">
          <cell r="D3534" t="str">
            <v>2023</v>
          </cell>
        </row>
        <row r="3535">
          <cell r="D3535" t="str">
            <v>2023</v>
          </cell>
        </row>
        <row r="3536">
          <cell r="D3536" t="str">
            <v>2023</v>
          </cell>
        </row>
        <row r="3537">
          <cell r="D3537" t="str">
            <v>2023</v>
          </cell>
        </row>
        <row r="3538">
          <cell r="D3538" t="str">
            <v>2022</v>
          </cell>
        </row>
        <row r="3539">
          <cell r="D3539" t="str">
            <v>2023</v>
          </cell>
        </row>
        <row r="3540">
          <cell r="D3540" t="str">
            <v>2023</v>
          </cell>
        </row>
        <row r="3541">
          <cell r="D3541" t="str">
            <v>2023</v>
          </cell>
        </row>
        <row r="3542">
          <cell r="D3542" t="str">
            <v>2022</v>
          </cell>
        </row>
        <row r="3543">
          <cell r="D3543" t="str">
            <v>2022</v>
          </cell>
        </row>
        <row r="3544">
          <cell r="D3544" t="str">
            <v>2023</v>
          </cell>
        </row>
        <row r="3545">
          <cell r="D3545" t="str">
            <v>2021</v>
          </cell>
        </row>
        <row r="3546">
          <cell r="D3546" t="str">
            <v>2023</v>
          </cell>
        </row>
        <row r="3547">
          <cell r="D3547" t="str">
            <v>2023</v>
          </cell>
        </row>
        <row r="3548">
          <cell r="D3548" t="str">
            <v>2023</v>
          </cell>
        </row>
        <row r="3549">
          <cell r="D3549" t="str">
            <v>2021</v>
          </cell>
        </row>
        <row r="3550">
          <cell r="D3550" t="str">
            <v>2023</v>
          </cell>
        </row>
        <row r="3551">
          <cell r="D3551" t="str">
            <v>2023</v>
          </cell>
        </row>
        <row r="3552">
          <cell r="D3552" t="str">
            <v>2023</v>
          </cell>
        </row>
        <row r="3553">
          <cell r="D3553" t="str">
            <v>2023</v>
          </cell>
        </row>
        <row r="3554">
          <cell r="D3554" t="str">
            <v>2023</v>
          </cell>
        </row>
        <row r="3555">
          <cell r="D3555" t="str">
            <v>2023</v>
          </cell>
        </row>
        <row r="3556">
          <cell r="D3556" t="str">
            <v>2023</v>
          </cell>
        </row>
        <row r="3557">
          <cell r="D3557" t="str">
            <v>2021</v>
          </cell>
        </row>
        <row r="3558">
          <cell r="D3558" t="str">
            <v>2023</v>
          </cell>
        </row>
        <row r="3559">
          <cell r="D3559" t="str">
            <v>2023</v>
          </cell>
        </row>
        <row r="3560">
          <cell r="D3560" t="str">
            <v>2023</v>
          </cell>
        </row>
        <row r="3561">
          <cell r="D3561" t="str">
            <v>2023</v>
          </cell>
        </row>
        <row r="3562">
          <cell r="D3562" t="str">
            <v>2023</v>
          </cell>
        </row>
        <row r="3563">
          <cell r="D3563" t="str">
            <v>2023</v>
          </cell>
        </row>
        <row r="3564">
          <cell r="D3564" t="str">
            <v>2023</v>
          </cell>
        </row>
        <row r="3565">
          <cell r="D3565" t="str">
            <v>2023</v>
          </cell>
        </row>
        <row r="3566">
          <cell r="D3566" t="str">
            <v>2021</v>
          </cell>
        </row>
        <row r="3567">
          <cell r="D3567" t="str">
            <v>2023</v>
          </cell>
        </row>
        <row r="3568">
          <cell r="D3568" t="str">
            <v>2022</v>
          </cell>
        </row>
        <row r="3569">
          <cell r="D3569" t="str">
            <v>2022</v>
          </cell>
        </row>
        <row r="3570">
          <cell r="D3570" t="str">
            <v>2023</v>
          </cell>
        </row>
        <row r="3571">
          <cell r="D3571" t="str">
            <v>2023</v>
          </cell>
        </row>
        <row r="3572">
          <cell r="D3572" t="str">
            <v>2023</v>
          </cell>
        </row>
        <row r="3573">
          <cell r="D3573" t="str">
            <v>2023</v>
          </cell>
        </row>
        <row r="3574">
          <cell r="D3574" t="str">
            <v>2023</v>
          </cell>
        </row>
        <row r="3575">
          <cell r="D3575" t="str">
            <v>2023</v>
          </cell>
        </row>
        <row r="3576">
          <cell r="D3576" t="str">
            <v>2023</v>
          </cell>
        </row>
        <row r="3577">
          <cell r="D3577" t="str">
            <v>2023</v>
          </cell>
        </row>
        <row r="3578">
          <cell r="D3578" t="str">
            <v>2021</v>
          </cell>
        </row>
        <row r="3579">
          <cell r="D3579" t="str">
            <v>2023</v>
          </cell>
        </row>
        <row r="3580">
          <cell r="D3580" t="str">
            <v>2023</v>
          </cell>
        </row>
        <row r="3581">
          <cell r="D3581" t="str">
            <v>2023</v>
          </cell>
        </row>
        <row r="3582">
          <cell r="D3582" t="str">
            <v>2023</v>
          </cell>
        </row>
        <row r="3583">
          <cell r="D3583" t="str">
            <v>2023</v>
          </cell>
        </row>
        <row r="3584">
          <cell r="D3584" t="str">
            <v>2022</v>
          </cell>
        </row>
        <row r="3585">
          <cell r="D3585" t="str">
            <v>2023</v>
          </cell>
        </row>
        <row r="3586">
          <cell r="D3586" t="str">
            <v>2023</v>
          </cell>
        </row>
        <row r="3587">
          <cell r="D3587" t="str">
            <v>2023</v>
          </cell>
        </row>
        <row r="3588">
          <cell r="D3588" t="str">
            <v>2023</v>
          </cell>
        </row>
        <row r="3589">
          <cell r="D3589" t="str">
            <v>2023</v>
          </cell>
        </row>
        <row r="3590">
          <cell r="D3590" t="str">
            <v>2023</v>
          </cell>
        </row>
        <row r="3591">
          <cell r="D3591" t="str">
            <v>2023</v>
          </cell>
        </row>
        <row r="3592">
          <cell r="D3592" t="str">
            <v>2023</v>
          </cell>
        </row>
        <row r="3593">
          <cell r="D3593" t="str">
            <v>2023</v>
          </cell>
        </row>
        <row r="3594">
          <cell r="D3594" t="str">
            <v>2023</v>
          </cell>
        </row>
        <row r="3595">
          <cell r="D3595" t="str">
            <v>2023</v>
          </cell>
        </row>
        <row r="3596">
          <cell r="D3596" t="str">
            <v>2022</v>
          </cell>
        </row>
        <row r="3597">
          <cell r="D3597" t="str">
            <v>2022</v>
          </cell>
        </row>
        <row r="3598">
          <cell r="D3598" t="str">
            <v>2023</v>
          </cell>
        </row>
        <row r="3599">
          <cell r="D3599" t="str">
            <v>2023</v>
          </cell>
        </row>
        <row r="3600">
          <cell r="D3600" t="str">
            <v>2022</v>
          </cell>
        </row>
        <row r="3601">
          <cell r="D3601" t="str">
            <v>2023</v>
          </cell>
        </row>
        <row r="3602">
          <cell r="D3602" t="str">
            <v>2021</v>
          </cell>
        </row>
        <row r="3603">
          <cell r="D3603" t="str">
            <v>2023</v>
          </cell>
        </row>
        <row r="3604">
          <cell r="D3604" t="str">
            <v>2023</v>
          </cell>
        </row>
        <row r="3605">
          <cell r="D3605" t="str">
            <v>2023</v>
          </cell>
        </row>
        <row r="3606">
          <cell r="D3606" t="str">
            <v>2023</v>
          </cell>
        </row>
        <row r="3607">
          <cell r="D3607" t="str">
            <v>2023</v>
          </cell>
        </row>
        <row r="3608">
          <cell r="D3608" t="str">
            <v>2023</v>
          </cell>
        </row>
        <row r="3609">
          <cell r="D3609" t="str">
            <v>2022</v>
          </cell>
        </row>
        <row r="3610">
          <cell r="D3610" t="str">
            <v>2023</v>
          </cell>
        </row>
        <row r="3611">
          <cell r="D3611" t="str">
            <v>2023</v>
          </cell>
        </row>
        <row r="3612">
          <cell r="D3612" t="str">
            <v>2023</v>
          </cell>
        </row>
        <row r="3613">
          <cell r="D3613" t="str">
            <v>2023</v>
          </cell>
        </row>
        <row r="3614">
          <cell r="D3614" t="str">
            <v>2023</v>
          </cell>
        </row>
        <row r="3615">
          <cell r="D3615" t="str">
            <v>2023</v>
          </cell>
        </row>
        <row r="3616">
          <cell r="D3616" t="str">
            <v>2023</v>
          </cell>
        </row>
        <row r="3617">
          <cell r="D3617" t="str">
            <v>2023</v>
          </cell>
        </row>
        <row r="3618">
          <cell r="D3618" t="str">
            <v>2022</v>
          </cell>
        </row>
        <row r="3619">
          <cell r="D3619" t="str">
            <v>2023</v>
          </cell>
        </row>
        <row r="3620">
          <cell r="D3620" t="str">
            <v>2022</v>
          </cell>
        </row>
        <row r="3621">
          <cell r="D3621" t="str">
            <v>2023</v>
          </cell>
        </row>
        <row r="3622">
          <cell r="D3622" t="str">
            <v>2023</v>
          </cell>
        </row>
        <row r="3623">
          <cell r="D3623" t="str">
            <v>2023</v>
          </cell>
        </row>
        <row r="3624">
          <cell r="D3624" t="str">
            <v>2023</v>
          </cell>
        </row>
        <row r="3625">
          <cell r="D3625" t="str">
            <v>2023</v>
          </cell>
        </row>
        <row r="3626">
          <cell r="D3626" t="str">
            <v>2023</v>
          </cell>
        </row>
        <row r="3627">
          <cell r="D3627" t="str">
            <v>2023</v>
          </cell>
        </row>
        <row r="3628">
          <cell r="D3628" t="str">
            <v>2023</v>
          </cell>
        </row>
        <row r="3629">
          <cell r="D3629" t="str">
            <v>2023</v>
          </cell>
        </row>
        <row r="3630">
          <cell r="D3630" t="str">
            <v>2021</v>
          </cell>
        </row>
        <row r="3631">
          <cell r="D3631" t="str">
            <v>2022</v>
          </cell>
        </row>
        <row r="3632">
          <cell r="D3632" t="str">
            <v>2023</v>
          </cell>
        </row>
        <row r="3633">
          <cell r="D3633" t="str">
            <v>2023</v>
          </cell>
        </row>
        <row r="3634">
          <cell r="D3634" t="str">
            <v>2023</v>
          </cell>
        </row>
        <row r="3635">
          <cell r="D3635" t="str">
            <v>2023</v>
          </cell>
        </row>
        <row r="3636">
          <cell r="D3636" t="str">
            <v>2021</v>
          </cell>
        </row>
        <row r="3637">
          <cell r="D3637" t="str">
            <v>2023</v>
          </cell>
        </row>
        <row r="3638">
          <cell r="D3638" t="str">
            <v>2023</v>
          </cell>
        </row>
        <row r="3639">
          <cell r="D3639" t="str">
            <v>2023</v>
          </cell>
        </row>
        <row r="3640">
          <cell r="D3640" t="str">
            <v>2023</v>
          </cell>
        </row>
        <row r="3641">
          <cell r="D3641" t="str">
            <v>2023</v>
          </cell>
        </row>
        <row r="3642">
          <cell r="D3642" t="str">
            <v>2021</v>
          </cell>
        </row>
        <row r="3643">
          <cell r="D3643" t="str">
            <v>2023</v>
          </cell>
        </row>
        <row r="3644">
          <cell r="D3644" t="str">
            <v>2023</v>
          </cell>
        </row>
        <row r="3645">
          <cell r="D3645" t="str">
            <v>2023</v>
          </cell>
        </row>
        <row r="3646">
          <cell r="D3646" t="str">
            <v>2023</v>
          </cell>
        </row>
        <row r="3647">
          <cell r="D3647" t="str">
            <v>2023</v>
          </cell>
        </row>
        <row r="3648">
          <cell r="D3648" t="str">
            <v>2023</v>
          </cell>
        </row>
        <row r="3649">
          <cell r="D3649" t="str">
            <v>2021</v>
          </cell>
        </row>
        <row r="3650">
          <cell r="D3650" t="str">
            <v>2023</v>
          </cell>
        </row>
        <row r="3651">
          <cell r="D3651" t="str">
            <v>2023</v>
          </cell>
        </row>
        <row r="3652">
          <cell r="D3652" t="str">
            <v>2023</v>
          </cell>
        </row>
        <row r="3653">
          <cell r="D3653" t="str">
            <v>2022</v>
          </cell>
        </row>
        <row r="3654">
          <cell r="D3654" t="str">
            <v>2022</v>
          </cell>
        </row>
        <row r="3655">
          <cell r="D3655" t="str">
            <v>2023</v>
          </cell>
        </row>
        <row r="3656">
          <cell r="D3656" t="str">
            <v>2023</v>
          </cell>
        </row>
        <row r="3657">
          <cell r="D3657" t="str">
            <v>2023</v>
          </cell>
        </row>
        <row r="3658">
          <cell r="D3658" t="str">
            <v>2023</v>
          </cell>
        </row>
        <row r="3659">
          <cell r="D3659" t="str">
            <v>2023</v>
          </cell>
        </row>
        <row r="3660">
          <cell r="D3660" t="str">
            <v>2023</v>
          </cell>
        </row>
        <row r="3661">
          <cell r="D3661" t="str">
            <v>2023</v>
          </cell>
        </row>
        <row r="3662">
          <cell r="D3662" t="str">
            <v>2022</v>
          </cell>
        </row>
        <row r="3663">
          <cell r="D3663" t="str">
            <v>2023</v>
          </cell>
        </row>
        <row r="3664">
          <cell r="D3664" t="str">
            <v>2023</v>
          </cell>
        </row>
        <row r="3665">
          <cell r="D3665" t="str">
            <v>2022</v>
          </cell>
        </row>
        <row r="3666">
          <cell r="D3666" t="str">
            <v>2023</v>
          </cell>
        </row>
        <row r="3667">
          <cell r="D3667" t="str">
            <v>2023</v>
          </cell>
        </row>
        <row r="3668">
          <cell r="D3668" t="str">
            <v>2023</v>
          </cell>
        </row>
        <row r="3669">
          <cell r="D3669" t="str">
            <v>2023</v>
          </cell>
        </row>
        <row r="3670">
          <cell r="D3670" t="str">
            <v>2023</v>
          </cell>
        </row>
        <row r="3671">
          <cell r="D3671" t="str">
            <v>2023</v>
          </cell>
        </row>
        <row r="3672">
          <cell r="D3672" t="str">
            <v>2023</v>
          </cell>
        </row>
        <row r="3673">
          <cell r="D3673" t="str">
            <v>2023</v>
          </cell>
        </row>
        <row r="3674">
          <cell r="D3674" t="str">
            <v>2023</v>
          </cell>
        </row>
        <row r="3675">
          <cell r="D3675" t="str">
            <v>2021</v>
          </cell>
        </row>
        <row r="3676">
          <cell r="D3676" t="str">
            <v>2023</v>
          </cell>
        </row>
        <row r="3677">
          <cell r="D3677" t="str">
            <v>2023</v>
          </cell>
        </row>
        <row r="3678">
          <cell r="D3678" t="str">
            <v>2023</v>
          </cell>
        </row>
        <row r="3679">
          <cell r="D3679" t="str">
            <v>2023</v>
          </cell>
        </row>
        <row r="3680">
          <cell r="D3680" t="str">
            <v>2023</v>
          </cell>
        </row>
        <row r="3681">
          <cell r="D3681" t="str">
            <v>2023</v>
          </cell>
        </row>
        <row r="3682">
          <cell r="D3682" t="str">
            <v>2021</v>
          </cell>
        </row>
        <row r="3683">
          <cell r="D3683" t="str">
            <v>2023</v>
          </cell>
        </row>
        <row r="3684">
          <cell r="D3684" t="str">
            <v>2022</v>
          </cell>
        </row>
        <row r="3685">
          <cell r="D3685" t="str">
            <v>2021</v>
          </cell>
        </row>
        <row r="3686">
          <cell r="D3686" t="str">
            <v>2023</v>
          </cell>
        </row>
        <row r="3687">
          <cell r="D3687" t="str">
            <v>2021</v>
          </cell>
        </row>
        <row r="3688">
          <cell r="D3688" t="str">
            <v>2022</v>
          </cell>
        </row>
        <row r="3689">
          <cell r="D3689" t="str">
            <v>2023</v>
          </cell>
        </row>
        <row r="3690">
          <cell r="D3690" t="str">
            <v>2023</v>
          </cell>
        </row>
        <row r="3691">
          <cell r="D3691" t="str">
            <v>2023</v>
          </cell>
        </row>
        <row r="3692">
          <cell r="D3692" t="str">
            <v>2023</v>
          </cell>
        </row>
        <row r="3693">
          <cell r="D3693" t="str">
            <v>2023</v>
          </cell>
        </row>
        <row r="3694">
          <cell r="D3694" t="str">
            <v>2023</v>
          </cell>
        </row>
        <row r="3695">
          <cell r="D3695" t="str">
            <v>2023</v>
          </cell>
        </row>
        <row r="3696">
          <cell r="D3696" t="str">
            <v>2023</v>
          </cell>
        </row>
        <row r="3697">
          <cell r="D3697" t="str">
            <v>2023</v>
          </cell>
        </row>
        <row r="3698">
          <cell r="D3698" t="str">
            <v>2023</v>
          </cell>
        </row>
        <row r="3699">
          <cell r="D3699" t="str">
            <v>2023</v>
          </cell>
        </row>
        <row r="3700">
          <cell r="D3700" t="str">
            <v>2021</v>
          </cell>
        </row>
        <row r="3701">
          <cell r="D3701" t="str">
            <v>2023</v>
          </cell>
        </row>
        <row r="3702">
          <cell r="D3702" t="str">
            <v>2022</v>
          </cell>
        </row>
        <row r="3703">
          <cell r="D3703" t="str">
            <v>2023</v>
          </cell>
        </row>
        <row r="3704">
          <cell r="D3704" t="str">
            <v>2023</v>
          </cell>
        </row>
        <row r="3705">
          <cell r="D3705" t="str">
            <v>2023</v>
          </cell>
        </row>
        <row r="3706">
          <cell r="D3706" t="str">
            <v>2023</v>
          </cell>
        </row>
        <row r="3707">
          <cell r="D3707" t="str">
            <v>2023</v>
          </cell>
        </row>
        <row r="3708">
          <cell r="D3708" t="str">
            <v>2023</v>
          </cell>
        </row>
        <row r="3709">
          <cell r="D3709" t="str">
            <v>2023</v>
          </cell>
        </row>
        <row r="3710">
          <cell r="D3710" t="str">
            <v>2023</v>
          </cell>
        </row>
        <row r="3711">
          <cell r="D3711" t="str">
            <v>2023</v>
          </cell>
        </row>
        <row r="3712">
          <cell r="D3712" t="str">
            <v>2022</v>
          </cell>
        </row>
        <row r="3713">
          <cell r="D3713" t="str">
            <v>2023</v>
          </cell>
        </row>
        <row r="3714">
          <cell r="D3714" t="str">
            <v>2023</v>
          </cell>
        </row>
        <row r="3715">
          <cell r="D3715" t="str">
            <v>2023</v>
          </cell>
        </row>
        <row r="3716">
          <cell r="D3716" t="str">
            <v>2023</v>
          </cell>
        </row>
        <row r="3717">
          <cell r="D3717" t="str">
            <v>2023</v>
          </cell>
        </row>
        <row r="3718">
          <cell r="D3718" t="str">
            <v>2023</v>
          </cell>
        </row>
        <row r="3719">
          <cell r="D3719" t="str">
            <v>2022</v>
          </cell>
        </row>
        <row r="3720">
          <cell r="D3720" t="str">
            <v>2023</v>
          </cell>
        </row>
        <row r="3721">
          <cell r="D3721" t="str">
            <v>2023</v>
          </cell>
        </row>
        <row r="3722">
          <cell r="D3722" t="str">
            <v>2023</v>
          </cell>
        </row>
        <row r="3723">
          <cell r="D3723" t="str">
            <v>2023</v>
          </cell>
        </row>
        <row r="3724">
          <cell r="D3724" t="str">
            <v>2023</v>
          </cell>
        </row>
        <row r="3725">
          <cell r="D3725" t="str">
            <v>2023</v>
          </cell>
        </row>
        <row r="3726">
          <cell r="D3726" t="str">
            <v>2023</v>
          </cell>
        </row>
        <row r="3727">
          <cell r="D3727" t="str">
            <v>2023</v>
          </cell>
        </row>
        <row r="3728">
          <cell r="D3728" t="str">
            <v>2023</v>
          </cell>
        </row>
        <row r="3729">
          <cell r="D3729" t="str">
            <v>2023</v>
          </cell>
        </row>
        <row r="3730">
          <cell r="D3730" t="str">
            <v>2021</v>
          </cell>
        </row>
        <row r="3731">
          <cell r="D3731" t="str">
            <v>2023</v>
          </cell>
        </row>
        <row r="3732">
          <cell r="D3732" t="str">
            <v>2022</v>
          </cell>
        </row>
        <row r="3733">
          <cell r="D3733" t="str">
            <v>2023</v>
          </cell>
        </row>
        <row r="3734">
          <cell r="D3734" t="str">
            <v>2023</v>
          </cell>
        </row>
        <row r="3735">
          <cell r="D3735" t="str">
            <v>2023</v>
          </cell>
        </row>
        <row r="3736">
          <cell r="D3736" t="str">
            <v>2021</v>
          </cell>
        </row>
        <row r="3737">
          <cell r="D3737" t="str">
            <v>2023</v>
          </cell>
        </row>
        <row r="3738">
          <cell r="D3738" t="str">
            <v>2023</v>
          </cell>
        </row>
        <row r="3739">
          <cell r="D3739" t="str">
            <v>2023</v>
          </cell>
        </row>
        <row r="3740">
          <cell r="D3740" t="str">
            <v>2023</v>
          </cell>
        </row>
        <row r="3741">
          <cell r="D3741" t="str">
            <v>2023</v>
          </cell>
        </row>
        <row r="3742">
          <cell r="D3742" t="str">
            <v>2023</v>
          </cell>
        </row>
        <row r="3743">
          <cell r="D3743" t="str">
            <v>2021</v>
          </cell>
        </row>
        <row r="3744">
          <cell r="D3744" t="str">
            <v>2023</v>
          </cell>
        </row>
        <row r="3745">
          <cell r="D3745" t="str">
            <v>2023</v>
          </cell>
        </row>
        <row r="3746">
          <cell r="D3746" t="str">
            <v>2023</v>
          </cell>
        </row>
        <row r="3747">
          <cell r="D3747" t="str">
            <v>2021</v>
          </cell>
        </row>
        <row r="3748">
          <cell r="D3748" t="str">
            <v>2023</v>
          </cell>
        </row>
        <row r="3749">
          <cell r="D3749" t="str">
            <v>2021</v>
          </cell>
        </row>
        <row r="3750">
          <cell r="D3750" t="str">
            <v>2023</v>
          </cell>
        </row>
        <row r="3751">
          <cell r="D3751" t="str">
            <v>2023</v>
          </cell>
        </row>
        <row r="3752">
          <cell r="D3752" t="str">
            <v>2023</v>
          </cell>
        </row>
        <row r="3753">
          <cell r="D3753" t="str">
            <v>2022</v>
          </cell>
        </row>
        <row r="3754">
          <cell r="D3754" t="str">
            <v>2023</v>
          </cell>
        </row>
        <row r="3755">
          <cell r="D3755" t="str">
            <v>2023</v>
          </cell>
        </row>
        <row r="3756">
          <cell r="D3756" t="str">
            <v>2023</v>
          </cell>
        </row>
        <row r="3757">
          <cell r="D3757" t="str">
            <v>2023</v>
          </cell>
        </row>
        <row r="3758">
          <cell r="D3758" t="str">
            <v>2021</v>
          </cell>
        </row>
        <row r="3759">
          <cell r="D3759" t="str">
            <v>2023</v>
          </cell>
        </row>
        <row r="3760">
          <cell r="D3760" t="str">
            <v>2023</v>
          </cell>
        </row>
        <row r="3761">
          <cell r="D3761" t="str">
            <v>2023</v>
          </cell>
        </row>
        <row r="3762">
          <cell r="D3762" t="str">
            <v>2023</v>
          </cell>
        </row>
        <row r="3763">
          <cell r="D3763" t="str">
            <v>2022</v>
          </cell>
        </row>
        <row r="3764">
          <cell r="D3764" t="str">
            <v>2023</v>
          </cell>
        </row>
        <row r="3765">
          <cell r="D3765" t="str">
            <v>2021</v>
          </cell>
        </row>
        <row r="3766">
          <cell r="D3766" t="str">
            <v>2023</v>
          </cell>
        </row>
        <row r="3767">
          <cell r="D3767" t="str">
            <v>2023</v>
          </cell>
        </row>
        <row r="3768">
          <cell r="D3768" t="str">
            <v>2023</v>
          </cell>
        </row>
        <row r="3769">
          <cell r="D3769" t="str">
            <v>2023</v>
          </cell>
        </row>
        <row r="3770">
          <cell r="D3770" t="str">
            <v>2023</v>
          </cell>
        </row>
        <row r="3771">
          <cell r="D3771" t="str">
            <v>2023</v>
          </cell>
        </row>
        <row r="3772">
          <cell r="D3772" t="str">
            <v>2023</v>
          </cell>
        </row>
        <row r="3773">
          <cell r="D3773" t="str">
            <v>2023</v>
          </cell>
        </row>
        <row r="3774">
          <cell r="D3774" t="str">
            <v>2023</v>
          </cell>
        </row>
        <row r="3775">
          <cell r="D3775" t="str">
            <v>2021</v>
          </cell>
        </row>
        <row r="3776">
          <cell r="D3776" t="str">
            <v>2023</v>
          </cell>
        </row>
        <row r="3777">
          <cell r="D3777" t="str">
            <v>2023</v>
          </cell>
        </row>
        <row r="3778">
          <cell r="D3778" t="str">
            <v>2022</v>
          </cell>
        </row>
        <row r="3779">
          <cell r="D3779" t="str">
            <v>2023</v>
          </cell>
        </row>
        <row r="3780">
          <cell r="D3780" t="str">
            <v>2023</v>
          </cell>
        </row>
        <row r="3781">
          <cell r="D3781" t="str">
            <v>2023</v>
          </cell>
        </row>
        <row r="3782">
          <cell r="D3782" t="str">
            <v>2023</v>
          </cell>
        </row>
        <row r="3783">
          <cell r="D3783" t="str">
            <v>2023</v>
          </cell>
        </row>
        <row r="3784">
          <cell r="D3784" t="str">
            <v>2023</v>
          </cell>
        </row>
        <row r="3785">
          <cell r="D3785" t="str">
            <v>2022</v>
          </cell>
        </row>
        <row r="3786">
          <cell r="D3786" t="str">
            <v>2023</v>
          </cell>
        </row>
        <row r="3787">
          <cell r="D3787" t="str">
            <v>2023</v>
          </cell>
        </row>
        <row r="3788">
          <cell r="D3788" t="str">
            <v>2023</v>
          </cell>
        </row>
        <row r="3789">
          <cell r="D3789" t="str">
            <v>2022</v>
          </cell>
        </row>
        <row r="3790">
          <cell r="D3790" t="str">
            <v>2023</v>
          </cell>
        </row>
        <row r="3791">
          <cell r="D3791" t="str">
            <v>2023</v>
          </cell>
        </row>
        <row r="3792">
          <cell r="D3792" t="str">
            <v>2022</v>
          </cell>
        </row>
        <row r="3793">
          <cell r="D3793" t="str">
            <v>2023</v>
          </cell>
        </row>
        <row r="3794">
          <cell r="D3794" t="str">
            <v>2023</v>
          </cell>
        </row>
        <row r="3795">
          <cell r="D3795" t="str">
            <v>2023</v>
          </cell>
        </row>
        <row r="3796">
          <cell r="D3796" t="str">
            <v>2021</v>
          </cell>
        </row>
        <row r="3797">
          <cell r="D3797" t="str">
            <v>2023</v>
          </cell>
        </row>
        <row r="3798">
          <cell r="D3798" t="str">
            <v>2021</v>
          </cell>
        </row>
        <row r="3799">
          <cell r="D3799" t="str">
            <v>2021</v>
          </cell>
        </row>
        <row r="3800">
          <cell r="D3800" t="str">
            <v>2023</v>
          </cell>
        </row>
        <row r="3801">
          <cell r="D3801" t="str">
            <v>2023</v>
          </cell>
        </row>
        <row r="3802">
          <cell r="D3802" t="str">
            <v>2023</v>
          </cell>
        </row>
        <row r="3803">
          <cell r="D3803" t="str">
            <v>2023</v>
          </cell>
        </row>
        <row r="3804">
          <cell r="D3804" t="str">
            <v>2023</v>
          </cell>
        </row>
        <row r="3805">
          <cell r="D3805" t="str">
            <v>2021</v>
          </cell>
        </row>
        <row r="3806">
          <cell r="D3806" t="str">
            <v>2021</v>
          </cell>
        </row>
        <row r="3807">
          <cell r="D3807" t="str">
            <v>2023</v>
          </cell>
        </row>
        <row r="3808">
          <cell r="D3808" t="str">
            <v>2023</v>
          </cell>
        </row>
        <row r="3809">
          <cell r="D3809" t="str">
            <v>2023</v>
          </cell>
        </row>
        <row r="3810">
          <cell r="D3810" t="str">
            <v>2023</v>
          </cell>
        </row>
        <row r="3811">
          <cell r="D3811" t="str">
            <v>2023</v>
          </cell>
        </row>
        <row r="3812">
          <cell r="D3812" t="str">
            <v>2022</v>
          </cell>
        </row>
        <row r="3813">
          <cell r="D3813" t="str">
            <v>2024</v>
          </cell>
        </row>
        <row r="3814">
          <cell r="D3814" t="str">
            <v>2023</v>
          </cell>
        </row>
        <row r="3815">
          <cell r="D3815" t="str">
            <v>2023</v>
          </cell>
        </row>
        <row r="3816">
          <cell r="D3816" t="str">
            <v>2023</v>
          </cell>
        </row>
        <row r="3817">
          <cell r="D3817" t="str">
            <v>2023</v>
          </cell>
        </row>
        <row r="3818">
          <cell r="D3818" t="str">
            <v>2022</v>
          </cell>
        </row>
        <row r="3819">
          <cell r="D3819" t="str">
            <v>2023</v>
          </cell>
        </row>
        <row r="3820">
          <cell r="D3820" t="str">
            <v>2023</v>
          </cell>
        </row>
        <row r="3821">
          <cell r="D3821" t="str">
            <v>2022</v>
          </cell>
        </row>
        <row r="3822">
          <cell r="D3822" t="str">
            <v>2023</v>
          </cell>
        </row>
        <row r="3823">
          <cell r="D3823" t="str">
            <v>2023</v>
          </cell>
        </row>
        <row r="3824">
          <cell r="D3824" t="str">
            <v>2023</v>
          </cell>
        </row>
        <row r="3825">
          <cell r="D3825" t="str">
            <v>2022</v>
          </cell>
        </row>
        <row r="3826">
          <cell r="D3826" t="str">
            <v>2023</v>
          </cell>
        </row>
        <row r="3827">
          <cell r="D3827" t="str">
            <v>2023</v>
          </cell>
        </row>
        <row r="3828">
          <cell r="D3828" t="str">
            <v>2023</v>
          </cell>
        </row>
        <row r="3829">
          <cell r="D3829" t="str">
            <v>2023</v>
          </cell>
        </row>
        <row r="3830">
          <cell r="D3830" t="str">
            <v>2023</v>
          </cell>
        </row>
        <row r="3831">
          <cell r="D3831" t="str">
            <v>2023</v>
          </cell>
        </row>
        <row r="3832">
          <cell r="D3832" t="str">
            <v>2022</v>
          </cell>
        </row>
        <row r="3833">
          <cell r="D3833" t="str">
            <v>2023</v>
          </cell>
        </row>
        <row r="3834">
          <cell r="D3834" t="str">
            <v>2023</v>
          </cell>
        </row>
        <row r="3835">
          <cell r="D3835" t="str">
            <v>2023</v>
          </cell>
        </row>
        <row r="3836">
          <cell r="D3836" t="str">
            <v>2023</v>
          </cell>
        </row>
        <row r="3837">
          <cell r="D3837" t="str">
            <v>2023</v>
          </cell>
        </row>
        <row r="3838">
          <cell r="D3838" t="str">
            <v>2023</v>
          </cell>
        </row>
        <row r="3839">
          <cell r="D3839" t="str">
            <v>2023</v>
          </cell>
        </row>
        <row r="3840">
          <cell r="D3840" t="str">
            <v>2021</v>
          </cell>
        </row>
        <row r="3841">
          <cell r="D3841" t="str">
            <v>2023</v>
          </cell>
        </row>
        <row r="3842">
          <cell r="D3842" t="str">
            <v>2022</v>
          </cell>
        </row>
        <row r="3843">
          <cell r="D3843" t="str">
            <v>2021</v>
          </cell>
        </row>
        <row r="3844">
          <cell r="D3844" t="str">
            <v>2023</v>
          </cell>
        </row>
        <row r="3845">
          <cell r="D3845" t="str">
            <v>2023</v>
          </cell>
        </row>
        <row r="3846">
          <cell r="D3846" t="str">
            <v>2022</v>
          </cell>
        </row>
        <row r="3847">
          <cell r="D3847" t="str">
            <v>2022</v>
          </cell>
        </row>
        <row r="3848">
          <cell r="D3848" t="str">
            <v>2022</v>
          </cell>
        </row>
        <row r="3849">
          <cell r="D3849" t="str">
            <v>2022</v>
          </cell>
        </row>
        <row r="3850">
          <cell r="D3850" t="str">
            <v>2023</v>
          </cell>
        </row>
        <row r="3851">
          <cell r="D3851" t="str">
            <v>2023</v>
          </cell>
        </row>
        <row r="3852">
          <cell r="D3852" t="str">
            <v>2023</v>
          </cell>
        </row>
        <row r="3853">
          <cell r="D3853" t="str">
            <v>2023</v>
          </cell>
        </row>
        <row r="3854">
          <cell r="D3854" t="str">
            <v>2023</v>
          </cell>
        </row>
        <row r="3855">
          <cell r="D3855" t="str">
            <v>2021</v>
          </cell>
        </row>
        <row r="3856">
          <cell r="D3856" t="str">
            <v>2023</v>
          </cell>
        </row>
        <row r="3857">
          <cell r="D3857" t="str">
            <v>2023</v>
          </cell>
        </row>
        <row r="3858">
          <cell r="D3858" t="str">
            <v>2023</v>
          </cell>
        </row>
        <row r="3859">
          <cell r="D3859" t="str">
            <v>2023</v>
          </cell>
        </row>
        <row r="3860">
          <cell r="D3860" t="str">
            <v>2023</v>
          </cell>
        </row>
        <row r="3861">
          <cell r="D3861" t="str">
            <v>2023</v>
          </cell>
        </row>
        <row r="3862">
          <cell r="D3862" t="str">
            <v>2023</v>
          </cell>
        </row>
        <row r="3863">
          <cell r="D3863" t="str">
            <v>2023</v>
          </cell>
        </row>
        <row r="3864">
          <cell r="D3864" t="str">
            <v>2023</v>
          </cell>
        </row>
        <row r="3865">
          <cell r="D3865" t="str">
            <v>2023</v>
          </cell>
        </row>
        <row r="3866">
          <cell r="D3866" t="str">
            <v>2021</v>
          </cell>
        </row>
        <row r="3867">
          <cell r="D3867" t="str">
            <v>2023</v>
          </cell>
        </row>
        <row r="3868">
          <cell r="D3868" t="str">
            <v>2023</v>
          </cell>
        </row>
        <row r="3869">
          <cell r="D3869" t="str">
            <v>2023</v>
          </cell>
        </row>
        <row r="3870">
          <cell r="D3870" t="str">
            <v>2023</v>
          </cell>
        </row>
        <row r="3871">
          <cell r="D3871" t="str">
            <v>2023</v>
          </cell>
        </row>
        <row r="3872">
          <cell r="D3872" t="str">
            <v>2023</v>
          </cell>
        </row>
        <row r="3873">
          <cell r="D3873" t="str">
            <v>2023</v>
          </cell>
        </row>
        <row r="3874">
          <cell r="D3874" t="str">
            <v>2023</v>
          </cell>
        </row>
        <row r="3875">
          <cell r="D3875" t="str">
            <v>2023</v>
          </cell>
        </row>
        <row r="3876">
          <cell r="D3876" t="str">
            <v>2023</v>
          </cell>
        </row>
        <row r="3877">
          <cell r="D3877" t="str">
            <v>2023</v>
          </cell>
        </row>
        <row r="3878">
          <cell r="D3878" t="str">
            <v>2023</v>
          </cell>
        </row>
        <row r="3879">
          <cell r="D3879" t="str">
            <v>2023</v>
          </cell>
        </row>
        <row r="3880">
          <cell r="D3880" t="str">
            <v>2023</v>
          </cell>
        </row>
        <row r="3881">
          <cell r="D3881" t="str">
            <v>2023</v>
          </cell>
        </row>
        <row r="3882">
          <cell r="D3882" t="str">
            <v>2023</v>
          </cell>
        </row>
        <row r="3883">
          <cell r="D3883" t="str">
            <v>2023</v>
          </cell>
        </row>
        <row r="3884">
          <cell r="D3884" t="str">
            <v>2023</v>
          </cell>
        </row>
        <row r="3885">
          <cell r="D3885" t="str">
            <v>2021</v>
          </cell>
        </row>
        <row r="3886">
          <cell r="D3886" t="str">
            <v>2023</v>
          </cell>
        </row>
        <row r="3887">
          <cell r="D3887" t="str">
            <v>2023</v>
          </cell>
        </row>
        <row r="3888">
          <cell r="D3888" t="str">
            <v>2023</v>
          </cell>
        </row>
        <row r="3889">
          <cell r="D3889" t="str">
            <v>2023</v>
          </cell>
        </row>
        <row r="3890">
          <cell r="D3890" t="str">
            <v>2023</v>
          </cell>
        </row>
        <row r="3891">
          <cell r="D3891" t="str">
            <v>2022</v>
          </cell>
        </row>
        <row r="3892">
          <cell r="D3892" t="str">
            <v>2023</v>
          </cell>
        </row>
        <row r="3893">
          <cell r="D3893" t="str">
            <v>2023</v>
          </cell>
        </row>
        <row r="3894">
          <cell r="D3894" t="str">
            <v>2023</v>
          </cell>
        </row>
        <row r="3895">
          <cell r="D3895" t="str">
            <v>2023</v>
          </cell>
        </row>
        <row r="3896">
          <cell r="D3896" t="str">
            <v>2023</v>
          </cell>
        </row>
        <row r="3897">
          <cell r="D3897" t="str">
            <v>2023</v>
          </cell>
        </row>
        <row r="3898">
          <cell r="D3898" t="str">
            <v>2023</v>
          </cell>
        </row>
        <row r="3899">
          <cell r="D3899" t="str">
            <v>2023</v>
          </cell>
        </row>
        <row r="3900">
          <cell r="D3900" t="str">
            <v>2023</v>
          </cell>
        </row>
        <row r="3901">
          <cell r="D3901" t="str">
            <v>2023</v>
          </cell>
        </row>
        <row r="3902">
          <cell r="D3902" t="str">
            <v>2023</v>
          </cell>
        </row>
        <row r="3903">
          <cell r="D3903" t="str">
            <v>2023</v>
          </cell>
        </row>
        <row r="3904">
          <cell r="D3904" t="str">
            <v>2023</v>
          </cell>
        </row>
        <row r="3905">
          <cell r="D3905" t="str">
            <v>2022</v>
          </cell>
        </row>
        <row r="3906">
          <cell r="D3906" t="str">
            <v>2023</v>
          </cell>
        </row>
        <row r="3907">
          <cell r="D3907" t="str">
            <v>2023</v>
          </cell>
        </row>
        <row r="3908">
          <cell r="D3908" t="str">
            <v>2023</v>
          </cell>
        </row>
        <row r="3909">
          <cell r="D3909" t="str">
            <v>2023</v>
          </cell>
        </row>
        <row r="3910">
          <cell r="D3910" t="str">
            <v>2023</v>
          </cell>
        </row>
        <row r="3911">
          <cell r="D3911" t="str">
            <v>2023</v>
          </cell>
        </row>
        <row r="3912">
          <cell r="D3912" t="str">
            <v>2023</v>
          </cell>
        </row>
        <row r="3913">
          <cell r="D3913" t="str">
            <v>2023</v>
          </cell>
        </row>
        <row r="3914">
          <cell r="D3914" t="str">
            <v>2023</v>
          </cell>
        </row>
        <row r="3915">
          <cell r="D3915" t="str">
            <v>2023</v>
          </cell>
        </row>
        <row r="3916">
          <cell r="D3916" t="str">
            <v>2023</v>
          </cell>
        </row>
        <row r="3917">
          <cell r="D3917" t="str">
            <v>2023</v>
          </cell>
        </row>
        <row r="3918">
          <cell r="D3918" t="str">
            <v>2022</v>
          </cell>
        </row>
        <row r="3919">
          <cell r="D3919" t="str">
            <v>2023</v>
          </cell>
        </row>
        <row r="3920">
          <cell r="D3920" t="str">
            <v>2023</v>
          </cell>
        </row>
        <row r="3921">
          <cell r="D3921" t="str">
            <v>2023</v>
          </cell>
        </row>
        <row r="3922">
          <cell r="D3922" t="str">
            <v>2023</v>
          </cell>
        </row>
        <row r="3923">
          <cell r="D3923" t="str">
            <v>2023</v>
          </cell>
        </row>
        <row r="3924">
          <cell r="D3924" t="str">
            <v>2023</v>
          </cell>
        </row>
        <row r="3925">
          <cell r="D3925" t="str">
            <v>2023</v>
          </cell>
        </row>
        <row r="3926">
          <cell r="D3926" t="str">
            <v>2023</v>
          </cell>
        </row>
        <row r="3927">
          <cell r="D3927" t="str">
            <v>2023</v>
          </cell>
        </row>
        <row r="3928">
          <cell r="D3928" t="str">
            <v>2023</v>
          </cell>
        </row>
        <row r="3929">
          <cell r="D3929" t="str">
            <v>2022</v>
          </cell>
        </row>
        <row r="3930">
          <cell r="D3930" t="str">
            <v>2023</v>
          </cell>
        </row>
        <row r="3931">
          <cell r="D3931" t="str">
            <v>2023</v>
          </cell>
        </row>
        <row r="3932">
          <cell r="D3932" t="str">
            <v>2023</v>
          </cell>
        </row>
        <row r="3933">
          <cell r="D3933" t="str">
            <v>2023</v>
          </cell>
        </row>
        <row r="3934">
          <cell r="D3934" t="str">
            <v>2021</v>
          </cell>
        </row>
        <row r="3935">
          <cell r="D3935" t="str">
            <v>2023</v>
          </cell>
        </row>
        <row r="3936">
          <cell r="D3936" t="str">
            <v>2023</v>
          </cell>
        </row>
        <row r="3937">
          <cell r="D3937" t="str">
            <v>2023</v>
          </cell>
        </row>
        <row r="3938">
          <cell r="D3938" t="str">
            <v>2023</v>
          </cell>
        </row>
        <row r="3939">
          <cell r="D3939" t="str">
            <v>2021</v>
          </cell>
        </row>
        <row r="3940">
          <cell r="D3940" t="str">
            <v>2023</v>
          </cell>
        </row>
        <row r="3941">
          <cell r="D3941" t="str">
            <v>2022</v>
          </cell>
        </row>
        <row r="3942">
          <cell r="D3942" t="str">
            <v>2023</v>
          </cell>
        </row>
        <row r="3943">
          <cell r="D3943" t="str">
            <v>2023</v>
          </cell>
        </row>
        <row r="3944">
          <cell r="D3944" t="str">
            <v>2023</v>
          </cell>
        </row>
        <row r="3945">
          <cell r="D3945" t="str">
            <v>2023</v>
          </cell>
        </row>
        <row r="3946">
          <cell r="D3946" t="str">
            <v>2023</v>
          </cell>
        </row>
        <row r="3947">
          <cell r="D3947" t="str">
            <v>2022</v>
          </cell>
        </row>
        <row r="3948">
          <cell r="D3948" t="str">
            <v>2023</v>
          </cell>
        </row>
        <row r="3949">
          <cell r="D3949" t="str">
            <v>2023</v>
          </cell>
        </row>
        <row r="3950">
          <cell r="D3950" t="str">
            <v>2023</v>
          </cell>
        </row>
        <row r="3951">
          <cell r="D3951" t="str">
            <v>2022</v>
          </cell>
        </row>
        <row r="3952">
          <cell r="D3952" t="str">
            <v>2023</v>
          </cell>
        </row>
        <row r="3953">
          <cell r="D3953" t="str">
            <v>2023</v>
          </cell>
        </row>
        <row r="3954">
          <cell r="D3954" t="str">
            <v>2021</v>
          </cell>
        </row>
        <row r="3955">
          <cell r="D3955" t="str">
            <v>2023</v>
          </cell>
        </row>
        <row r="3956">
          <cell r="D3956" t="str">
            <v>2023</v>
          </cell>
        </row>
        <row r="3957">
          <cell r="D3957" t="str">
            <v>2022</v>
          </cell>
        </row>
        <row r="3958">
          <cell r="D3958" t="str">
            <v>2023</v>
          </cell>
        </row>
        <row r="3959">
          <cell r="D3959" t="str">
            <v>2022</v>
          </cell>
        </row>
        <row r="3960">
          <cell r="D3960" t="str">
            <v>2023</v>
          </cell>
        </row>
        <row r="3961">
          <cell r="D3961" t="str">
            <v>2023</v>
          </cell>
        </row>
        <row r="3962">
          <cell r="D3962" t="str">
            <v>2023</v>
          </cell>
        </row>
        <row r="3963">
          <cell r="D3963" t="str">
            <v>2023</v>
          </cell>
        </row>
        <row r="3964">
          <cell r="D3964" t="str">
            <v>2023</v>
          </cell>
        </row>
        <row r="3965">
          <cell r="D3965" t="str">
            <v>2023</v>
          </cell>
        </row>
        <row r="3966">
          <cell r="D3966" t="str">
            <v>2022</v>
          </cell>
        </row>
        <row r="3967">
          <cell r="D3967" t="str">
            <v>2023</v>
          </cell>
        </row>
        <row r="3968">
          <cell r="D3968" t="str">
            <v>2023</v>
          </cell>
        </row>
        <row r="3969">
          <cell r="D3969" t="str">
            <v>2023</v>
          </cell>
        </row>
        <row r="3970">
          <cell r="D3970" t="str">
            <v>2023</v>
          </cell>
        </row>
        <row r="3971">
          <cell r="D3971" t="str">
            <v>2023</v>
          </cell>
        </row>
        <row r="3972">
          <cell r="D3972" t="str">
            <v>2023</v>
          </cell>
        </row>
        <row r="3973">
          <cell r="D3973" t="str">
            <v>2023</v>
          </cell>
        </row>
        <row r="3974">
          <cell r="D3974" t="str">
            <v>2023</v>
          </cell>
        </row>
        <row r="3975">
          <cell r="D3975" t="str">
            <v>2023</v>
          </cell>
        </row>
        <row r="3976">
          <cell r="D3976" t="str">
            <v>2023</v>
          </cell>
        </row>
        <row r="3977">
          <cell r="D3977" t="str">
            <v>2023</v>
          </cell>
        </row>
        <row r="3978">
          <cell r="D3978" t="str">
            <v>2021</v>
          </cell>
        </row>
        <row r="3979">
          <cell r="D3979" t="str">
            <v>2022</v>
          </cell>
        </row>
        <row r="3980">
          <cell r="D3980" t="str">
            <v>2023</v>
          </cell>
        </row>
        <row r="3981">
          <cell r="D3981" t="str">
            <v>2023</v>
          </cell>
        </row>
        <row r="3982">
          <cell r="D3982" t="str">
            <v>2023</v>
          </cell>
        </row>
        <row r="3983">
          <cell r="D3983" t="str">
            <v>2023</v>
          </cell>
        </row>
        <row r="3984">
          <cell r="D3984" t="str">
            <v>2023</v>
          </cell>
        </row>
        <row r="3985">
          <cell r="D3985" t="str">
            <v>2023</v>
          </cell>
        </row>
        <row r="3986">
          <cell r="D3986" t="str">
            <v>2021</v>
          </cell>
        </row>
        <row r="3987">
          <cell r="D3987" t="str">
            <v>2023</v>
          </cell>
        </row>
        <row r="3988">
          <cell r="D3988" t="str">
            <v>2022</v>
          </cell>
        </row>
        <row r="3989">
          <cell r="D3989" t="str">
            <v>2022</v>
          </cell>
        </row>
        <row r="3990">
          <cell r="D3990" t="str">
            <v>2023</v>
          </cell>
        </row>
        <row r="3991">
          <cell r="D3991" t="str">
            <v>2023</v>
          </cell>
        </row>
        <row r="3992">
          <cell r="D3992" t="str">
            <v>2022</v>
          </cell>
        </row>
        <row r="3993">
          <cell r="D3993" t="str">
            <v>2023</v>
          </cell>
        </row>
        <row r="3994">
          <cell r="D3994" t="str">
            <v>2022</v>
          </cell>
        </row>
        <row r="3995">
          <cell r="D3995" t="str">
            <v>2023</v>
          </cell>
        </row>
        <row r="3996">
          <cell r="D3996" t="str">
            <v>2023</v>
          </cell>
        </row>
        <row r="3997">
          <cell r="D3997" t="str">
            <v>2023</v>
          </cell>
        </row>
        <row r="3998">
          <cell r="D3998" t="str">
            <v>2021</v>
          </cell>
        </row>
        <row r="3999">
          <cell r="D3999" t="str">
            <v>2023</v>
          </cell>
        </row>
        <row r="4000">
          <cell r="D4000" t="str">
            <v>2023</v>
          </cell>
        </row>
        <row r="4001">
          <cell r="D4001" t="str">
            <v>2023</v>
          </cell>
        </row>
        <row r="4002">
          <cell r="D4002" t="str">
            <v>2023</v>
          </cell>
        </row>
        <row r="4003">
          <cell r="D4003" t="str">
            <v>2023</v>
          </cell>
        </row>
        <row r="4004">
          <cell r="D4004" t="str">
            <v>2022</v>
          </cell>
        </row>
        <row r="4005">
          <cell r="D4005" t="str">
            <v>2023</v>
          </cell>
        </row>
        <row r="4006">
          <cell r="D4006" t="str">
            <v>2023</v>
          </cell>
        </row>
        <row r="4007">
          <cell r="D4007" t="str">
            <v>2023</v>
          </cell>
        </row>
        <row r="4008">
          <cell r="D4008" t="str">
            <v>2023</v>
          </cell>
        </row>
        <row r="4009">
          <cell r="D4009" t="str">
            <v>2023</v>
          </cell>
        </row>
        <row r="4010">
          <cell r="D4010" t="str">
            <v>2023</v>
          </cell>
        </row>
        <row r="4011">
          <cell r="D4011" t="str">
            <v>2023</v>
          </cell>
        </row>
        <row r="4012">
          <cell r="D4012" t="str">
            <v>2023</v>
          </cell>
        </row>
        <row r="4013">
          <cell r="D4013" t="str">
            <v>2023</v>
          </cell>
        </row>
        <row r="4014">
          <cell r="D4014" t="str">
            <v>2023</v>
          </cell>
        </row>
        <row r="4015">
          <cell r="D4015" t="str">
            <v>2023</v>
          </cell>
        </row>
        <row r="4016">
          <cell r="D4016" t="str">
            <v>2023</v>
          </cell>
        </row>
        <row r="4017">
          <cell r="D4017" t="str">
            <v>2023</v>
          </cell>
        </row>
        <row r="4018">
          <cell r="D4018" t="str">
            <v>2021</v>
          </cell>
        </row>
        <row r="4019">
          <cell r="D4019" t="str">
            <v>2023</v>
          </cell>
        </row>
        <row r="4020">
          <cell r="D4020" t="str">
            <v>2023</v>
          </cell>
        </row>
        <row r="4021">
          <cell r="D4021" t="str">
            <v>2023</v>
          </cell>
        </row>
        <row r="4022">
          <cell r="D4022" t="str">
            <v>2023</v>
          </cell>
        </row>
        <row r="4023">
          <cell r="D4023" t="str">
            <v>2023</v>
          </cell>
        </row>
        <row r="4024">
          <cell r="D4024" t="str">
            <v>2023</v>
          </cell>
        </row>
        <row r="4025">
          <cell r="D4025" t="str">
            <v>2023</v>
          </cell>
        </row>
        <row r="4026">
          <cell r="D4026" t="str">
            <v>2023</v>
          </cell>
        </row>
        <row r="4027">
          <cell r="D4027" t="str">
            <v>2023</v>
          </cell>
        </row>
        <row r="4028">
          <cell r="D4028" t="str">
            <v>2023</v>
          </cell>
        </row>
        <row r="4029">
          <cell r="D4029" t="str">
            <v>2023</v>
          </cell>
        </row>
        <row r="4030">
          <cell r="D4030" t="str">
            <v>2022</v>
          </cell>
        </row>
        <row r="4031">
          <cell r="D4031" t="str">
            <v>2023</v>
          </cell>
        </row>
        <row r="4032">
          <cell r="D4032" t="str">
            <v>2023</v>
          </cell>
        </row>
        <row r="4033">
          <cell r="D4033" t="str">
            <v>2023</v>
          </cell>
        </row>
        <row r="4034">
          <cell r="D4034" t="str">
            <v>2022</v>
          </cell>
        </row>
        <row r="4035">
          <cell r="D4035" t="str">
            <v>2023</v>
          </cell>
        </row>
        <row r="4036">
          <cell r="D4036" t="str">
            <v>2023</v>
          </cell>
        </row>
        <row r="4037">
          <cell r="D4037" t="str">
            <v>2023</v>
          </cell>
        </row>
        <row r="4038">
          <cell r="D4038" t="str">
            <v>2023</v>
          </cell>
        </row>
        <row r="4039">
          <cell r="D4039" t="str">
            <v>2023</v>
          </cell>
        </row>
        <row r="4040">
          <cell r="D4040" t="str">
            <v>2023</v>
          </cell>
        </row>
        <row r="4041">
          <cell r="D4041" t="str">
            <v>2023</v>
          </cell>
        </row>
        <row r="4042">
          <cell r="D4042" t="str">
            <v>2023</v>
          </cell>
        </row>
        <row r="4043">
          <cell r="D4043" t="str">
            <v>2023</v>
          </cell>
        </row>
        <row r="4044">
          <cell r="D4044" t="str">
            <v>2023</v>
          </cell>
        </row>
        <row r="4045">
          <cell r="D4045" t="str">
            <v>2023</v>
          </cell>
        </row>
        <row r="4046">
          <cell r="D4046" t="str">
            <v>2023</v>
          </cell>
        </row>
        <row r="4047">
          <cell r="D4047" t="str">
            <v>2023</v>
          </cell>
        </row>
        <row r="4048">
          <cell r="D4048" t="str">
            <v>2022</v>
          </cell>
        </row>
        <row r="4049">
          <cell r="D4049" t="str">
            <v>2022</v>
          </cell>
        </row>
        <row r="4050">
          <cell r="D4050" t="str">
            <v>2023</v>
          </cell>
        </row>
        <row r="4051">
          <cell r="D4051" t="str">
            <v>2023</v>
          </cell>
        </row>
        <row r="4052">
          <cell r="D4052" t="str">
            <v>2023</v>
          </cell>
        </row>
        <row r="4053">
          <cell r="D4053" t="str">
            <v>2023</v>
          </cell>
        </row>
        <row r="4054">
          <cell r="D4054" t="str">
            <v>2023</v>
          </cell>
        </row>
        <row r="4055">
          <cell r="D4055" t="str">
            <v>2022</v>
          </cell>
        </row>
        <row r="4056">
          <cell r="D4056" t="str">
            <v>2023</v>
          </cell>
        </row>
        <row r="4057">
          <cell r="D4057" t="str">
            <v>2023</v>
          </cell>
        </row>
        <row r="4058">
          <cell r="D4058" t="str">
            <v>2023</v>
          </cell>
        </row>
        <row r="4059">
          <cell r="D4059" t="str">
            <v>2023</v>
          </cell>
        </row>
        <row r="4060">
          <cell r="D4060" t="str">
            <v>2023</v>
          </cell>
        </row>
        <row r="4061">
          <cell r="D4061" t="str">
            <v>2023</v>
          </cell>
        </row>
        <row r="4062">
          <cell r="D4062" t="str">
            <v>2023</v>
          </cell>
        </row>
        <row r="4063">
          <cell r="D4063" t="str">
            <v>2023</v>
          </cell>
        </row>
        <row r="4064">
          <cell r="D4064" t="str">
            <v>2022</v>
          </cell>
        </row>
        <row r="4065">
          <cell r="D4065" t="str">
            <v>2022</v>
          </cell>
        </row>
        <row r="4066">
          <cell r="D4066" t="str">
            <v>2023</v>
          </cell>
        </row>
        <row r="4067">
          <cell r="D4067" t="str">
            <v>2022</v>
          </cell>
        </row>
        <row r="4068">
          <cell r="D4068" t="str">
            <v>2023</v>
          </cell>
        </row>
        <row r="4069">
          <cell r="D4069" t="str">
            <v>2023</v>
          </cell>
        </row>
        <row r="4070">
          <cell r="D4070" t="str">
            <v>2023</v>
          </cell>
        </row>
        <row r="4071">
          <cell r="D4071" t="str">
            <v>2023</v>
          </cell>
        </row>
        <row r="4072">
          <cell r="D4072" t="str">
            <v>2023</v>
          </cell>
        </row>
        <row r="4073">
          <cell r="D4073" t="str">
            <v>2023</v>
          </cell>
        </row>
        <row r="4074">
          <cell r="D4074" t="str">
            <v>2023</v>
          </cell>
        </row>
        <row r="4075">
          <cell r="D4075" t="str">
            <v>2023</v>
          </cell>
        </row>
        <row r="4076">
          <cell r="D4076" t="str">
            <v>2023</v>
          </cell>
        </row>
        <row r="4077">
          <cell r="D4077" t="str">
            <v>2022</v>
          </cell>
        </row>
        <row r="4078">
          <cell r="D4078" t="str">
            <v>2023</v>
          </cell>
        </row>
        <row r="4079">
          <cell r="D4079" t="str">
            <v>2023</v>
          </cell>
        </row>
        <row r="4080">
          <cell r="D4080" t="str">
            <v>2023</v>
          </cell>
        </row>
        <row r="4081">
          <cell r="D4081" t="str">
            <v>2023</v>
          </cell>
        </row>
        <row r="4082">
          <cell r="D4082" t="str">
            <v>2023</v>
          </cell>
        </row>
        <row r="4083">
          <cell r="D4083" t="str">
            <v>2022</v>
          </cell>
        </row>
        <row r="4084">
          <cell r="D4084" t="str">
            <v>2022</v>
          </cell>
        </row>
        <row r="4085">
          <cell r="D4085" t="str">
            <v>2021</v>
          </cell>
        </row>
        <row r="4086">
          <cell r="D4086" t="str">
            <v>2023</v>
          </cell>
        </row>
        <row r="4087">
          <cell r="D4087" t="str">
            <v>2023</v>
          </cell>
        </row>
        <row r="4088">
          <cell r="D4088" t="str">
            <v>2023</v>
          </cell>
        </row>
        <row r="4089">
          <cell r="D4089" t="str">
            <v>2023</v>
          </cell>
        </row>
        <row r="4090">
          <cell r="D4090" t="str">
            <v>2023</v>
          </cell>
        </row>
        <row r="4091">
          <cell r="D4091" t="str">
            <v>2023</v>
          </cell>
        </row>
        <row r="4092">
          <cell r="D4092" t="str">
            <v>2023</v>
          </cell>
        </row>
        <row r="4093">
          <cell r="D4093" t="str">
            <v>2023</v>
          </cell>
        </row>
        <row r="4094">
          <cell r="D4094" t="str">
            <v>2023</v>
          </cell>
        </row>
        <row r="4095">
          <cell r="D4095" t="str">
            <v>2023</v>
          </cell>
        </row>
        <row r="4096">
          <cell r="D4096" t="str">
            <v>2022</v>
          </cell>
        </row>
        <row r="4097">
          <cell r="D4097" t="str">
            <v>2023</v>
          </cell>
        </row>
        <row r="4098">
          <cell r="D4098" t="str">
            <v>2023</v>
          </cell>
        </row>
        <row r="4099">
          <cell r="D4099" t="str">
            <v>2023</v>
          </cell>
        </row>
        <row r="4100">
          <cell r="D4100" t="str">
            <v>2023</v>
          </cell>
        </row>
        <row r="4101">
          <cell r="D4101" t="str">
            <v>2023</v>
          </cell>
        </row>
        <row r="4102">
          <cell r="D4102" t="str">
            <v>2023</v>
          </cell>
        </row>
        <row r="4103">
          <cell r="D4103" t="str">
            <v>2023</v>
          </cell>
        </row>
        <row r="4104">
          <cell r="D4104" t="str">
            <v>2023</v>
          </cell>
        </row>
        <row r="4105">
          <cell r="D4105" t="str">
            <v>2023</v>
          </cell>
        </row>
        <row r="4106">
          <cell r="D4106" t="str">
            <v>2023</v>
          </cell>
        </row>
        <row r="4107">
          <cell r="D4107" t="str">
            <v>2023</v>
          </cell>
        </row>
        <row r="4108">
          <cell r="D4108" t="str">
            <v>2022</v>
          </cell>
        </row>
        <row r="4109">
          <cell r="D4109" t="str">
            <v>2023</v>
          </cell>
        </row>
        <row r="4110">
          <cell r="D4110" t="str">
            <v>2022</v>
          </cell>
        </row>
        <row r="4111">
          <cell r="D4111" t="str">
            <v>2023</v>
          </cell>
        </row>
        <row r="4112">
          <cell r="D4112" t="str">
            <v>2023</v>
          </cell>
        </row>
        <row r="4113">
          <cell r="D4113" t="str">
            <v>2023</v>
          </cell>
        </row>
        <row r="4114">
          <cell r="D4114" t="str">
            <v>2023</v>
          </cell>
        </row>
        <row r="4115">
          <cell r="D4115" t="str">
            <v>2021</v>
          </cell>
        </row>
        <row r="4116">
          <cell r="D4116" t="str">
            <v>2023</v>
          </cell>
        </row>
        <row r="4117">
          <cell r="D4117" t="str">
            <v>2023</v>
          </cell>
        </row>
        <row r="4118">
          <cell r="D4118" t="str">
            <v>2021</v>
          </cell>
        </row>
        <row r="4119">
          <cell r="D4119" t="str">
            <v>2023</v>
          </cell>
        </row>
        <row r="4120">
          <cell r="D4120" t="str">
            <v>2023</v>
          </cell>
        </row>
        <row r="4121">
          <cell r="D4121" t="str">
            <v>2023</v>
          </cell>
        </row>
        <row r="4122">
          <cell r="D4122" t="str">
            <v>2022</v>
          </cell>
        </row>
        <row r="4123">
          <cell r="D4123" t="str">
            <v>2023</v>
          </cell>
        </row>
        <row r="4124">
          <cell r="D4124" t="str">
            <v>2023</v>
          </cell>
        </row>
        <row r="4125">
          <cell r="D4125" t="str">
            <v>2023</v>
          </cell>
        </row>
        <row r="4126">
          <cell r="D4126" t="str">
            <v>2023</v>
          </cell>
        </row>
        <row r="4127">
          <cell r="D4127" t="str">
            <v>2023</v>
          </cell>
        </row>
        <row r="4128">
          <cell r="D4128" t="str">
            <v>2023</v>
          </cell>
        </row>
        <row r="4129">
          <cell r="D4129" t="str">
            <v>2022</v>
          </cell>
        </row>
        <row r="4130">
          <cell r="D4130" t="str">
            <v>2021</v>
          </cell>
        </row>
        <row r="4131">
          <cell r="D4131" t="str">
            <v>2023</v>
          </cell>
        </row>
        <row r="4132">
          <cell r="D4132" t="str">
            <v>2023</v>
          </cell>
        </row>
        <row r="4133">
          <cell r="D4133" t="str">
            <v>2023</v>
          </cell>
        </row>
        <row r="4134">
          <cell r="D4134" t="str">
            <v>2023</v>
          </cell>
        </row>
        <row r="4135">
          <cell r="D4135" t="str">
            <v>2023</v>
          </cell>
        </row>
        <row r="4136">
          <cell r="D4136" t="str">
            <v>2023</v>
          </cell>
        </row>
        <row r="4137">
          <cell r="D4137" t="str">
            <v>2023</v>
          </cell>
        </row>
        <row r="4138">
          <cell r="D4138" t="str">
            <v>2023</v>
          </cell>
        </row>
        <row r="4139">
          <cell r="D4139" t="str">
            <v>2023</v>
          </cell>
        </row>
        <row r="4140">
          <cell r="D4140" t="str">
            <v>2023</v>
          </cell>
        </row>
        <row r="4141">
          <cell r="D4141" t="str">
            <v>2023</v>
          </cell>
        </row>
        <row r="4142">
          <cell r="D4142" t="str">
            <v>2023</v>
          </cell>
        </row>
        <row r="4143">
          <cell r="D4143" t="str">
            <v>2022</v>
          </cell>
        </row>
        <row r="4144">
          <cell r="D4144" t="str">
            <v>2023</v>
          </cell>
        </row>
        <row r="4145">
          <cell r="D4145" t="str">
            <v>2023</v>
          </cell>
        </row>
        <row r="4146">
          <cell r="D4146" t="str">
            <v>2022</v>
          </cell>
        </row>
        <row r="4147">
          <cell r="D4147" t="str">
            <v>2023</v>
          </cell>
        </row>
        <row r="4148">
          <cell r="D4148" t="str">
            <v>2024</v>
          </cell>
        </row>
        <row r="4149">
          <cell r="D4149" t="str">
            <v>2022</v>
          </cell>
        </row>
        <row r="4150">
          <cell r="D4150" t="str">
            <v>2023</v>
          </cell>
        </row>
        <row r="4151">
          <cell r="D4151" t="str">
            <v>2023</v>
          </cell>
        </row>
        <row r="4152">
          <cell r="D4152" t="str">
            <v>2023</v>
          </cell>
        </row>
        <row r="4153">
          <cell r="D4153" t="str">
            <v>2023</v>
          </cell>
        </row>
        <row r="4154">
          <cell r="D4154" t="str">
            <v>2023</v>
          </cell>
        </row>
        <row r="4155">
          <cell r="D4155" t="str">
            <v>2023</v>
          </cell>
        </row>
        <row r="4156">
          <cell r="D4156" t="str">
            <v>2023</v>
          </cell>
        </row>
        <row r="4157">
          <cell r="D4157" t="str">
            <v>2023</v>
          </cell>
        </row>
        <row r="4158">
          <cell r="D4158" t="str">
            <v>2023</v>
          </cell>
        </row>
        <row r="4159">
          <cell r="D4159" t="str">
            <v>2021</v>
          </cell>
        </row>
        <row r="4160">
          <cell r="D4160" t="str">
            <v>2023</v>
          </cell>
        </row>
        <row r="4161">
          <cell r="D4161" t="str">
            <v>2022</v>
          </cell>
        </row>
        <row r="4162">
          <cell r="D4162" t="str">
            <v>2023</v>
          </cell>
        </row>
        <row r="4163">
          <cell r="D4163" t="str">
            <v>2023</v>
          </cell>
        </row>
        <row r="4164">
          <cell r="D4164" t="str">
            <v>2021</v>
          </cell>
        </row>
        <row r="4165">
          <cell r="D4165" t="str">
            <v>2023</v>
          </cell>
        </row>
        <row r="4166">
          <cell r="D4166" t="str">
            <v>2023</v>
          </cell>
        </row>
        <row r="4167">
          <cell r="D4167" t="str">
            <v>2023</v>
          </cell>
        </row>
        <row r="4168">
          <cell r="D4168" t="str">
            <v>2023</v>
          </cell>
        </row>
        <row r="4169">
          <cell r="D4169" t="str">
            <v>2022</v>
          </cell>
        </row>
        <row r="4170">
          <cell r="D4170" t="str">
            <v>2023</v>
          </cell>
        </row>
        <row r="4171">
          <cell r="D4171" t="str">
            <v>2023</v>
          </cell>
        </row>
        <row r="4172">
          <cell r="D4172" t="str">
            <v>2022</v>
          </cell>
        </row>
        <row r="4173">
          <cell r="D4173" t="str">
            <v>2023</v>
          </cell>
        </row>
        <row r="4174">
          <cell r="D4174" t="str">
            <v>2023</v>
          </cell>
        </row>
        <row r="4175">
          <cell r="D4175" t="str">
            <v>2023</v>
          </cell>
        </row>
        <row r="4176">
          <cell r="D4176" t="str">
            <v>2023</v>
          </cell>
        </row>
        <row r="4177">
          <cell r="D4177" t="str">
            <v>2023</v>
          </cell>
        </row>
        <row r="4178">
          <cell r="D4178" t="str">
            <v>2022</v>
          </cell>
        </row>
        <row r="4179">
          <cell r="D4179" t="str">
            <v>2023</v>
          </cell>
        </row>
        <row r="4180">
          <cell r="D4180" t="str">
            <v>2023</v>
          </cell>
        </row>
        <row r="4181">
          <cell r="D4181" t="str">
            <v>2023</v>
          </cell>
        </row>
        <row r="4182">
          <cell r="D4182" t="str">
            <v>2023</v>
          </cell>
        </row>
        <row r="4183">
          <cell r="D4183" t="str">
            <v>2023</v>
          </cell>
        </row>
        <row r="4184">
          <cell r="D4184" t="str">
            <v>2023</v>
          </cell>
        </row>
        <row r="4185">
          <cell r="D4185" t="str">
            <v>2023</v>
          </cell>
        </row>
        <row r="4186">
          <cell r="D4186" t="str">
            <v>2023</v>
          </cell>
        </row>
        <row r="4187">
          <cell r="D4187" t="str">
            <v>2023</v>
          </cell>
        </row>
        <row r="4188">
          <cell r="D4188" t="str">
            <v>2023</v>
          </cell>
        </row>
        <row r="4189">
          <cell r="D4189" t="str">
            <v>2023</v>
          </cell>
        </row>
        <row r="4190">
          <cell r="D4190" t="str">
            <v>2023</v>
          </cell>
        </row>
        <row r="4191">
          <cell r="D4191" t="str">
            <v>2023</v>
          </cell>
        </row>
        <row r="4192">
          <cell r="D4192" t="str">
            <v>2023</v>
          </cell>
        </row>
        <row r="4193">
          <cell r="D4193" t="str">
            <v>2022</v>
          </cell>
        </row>
        <row r="4194">
          <cell r="D4194" t="str">
            <v>2023</v>
          </cell>
        </row>
        <row r="4195">
          <cell r="D4195" t="str">
            <v>2022</v>
          </cell>
        </row>
        <row r="4196">
          <cell r="D4196" t="str">
            <v>2023</v>
          </cell>
        </row>
        <row r="4197">
          <cell r="D4197" t="str">
            <v>2021</v>
          </cell>
        </row>
        <row r="4198">
          <cell r="D4198" t="str">
            <v>2023</v>
          </cell>
        </row>
        <row r="4199">
          <cell r="D4199" t="str">
            <v>2023</v>
          </cell>
        </row>
        <row r="4200">
          <cell r="D4200" t="str">
            <v>2023</v>
          </cell>
        </row>
        <row r="4201">
          <cell r="D4201" t="str">
            <v>2021</v>
          </cell>
        </row>
        <row r="4202">
          <cell r="D4202" t="str">
            <v>2023</v>
          </cell>
        </row>
        <row r="4203">
          <cell r="D4203" t="str">
            <v>2023</v>
          </cell>
        </row>
        <row r="4204">
          <cell r="D4204" t="str">
            <v>2023</v>
          </cell>
        </row>
        <row r="4205">
          <cell r="D4205" t="str">
            <v>2023</v>
          </cell>
        </row>
        <row r="4206">
          <cell r="D4206" t="str">
            <v>2023</v>
          </cell>
        </row>
        <row r="4207">
          <cell r="D4207" t="str">
            <v>2023</v>
          </cell>
        </row>
        <row r="4208">
          <cell r="D4208" t="str">
            <v>2023</v>
          </cell>
        </row>
        <row r="4209">
          <cell r="D4209" t="str">
            <v>2023</v>
          </cell>
        </row>
        <row r="4210">
          <cell r="D4210" t="str">
            <v>2023</v>
          </cell>
        </row>
        <row r="4211">
          <cell r="D4211" t="str">
            <v>2023</v>
          </cell>
        </row>
        <row r="4212">
          <cell r="D4212" t="str">
            <v>2023</v>
          </cell>
        </row>
        <row r="4213">
          <cell r="D4213" t="str">
            <v>2023</v>
          </cell>
        </row>
        <row r="4214">
          <cell r="D4214" t="str">
            <v>2023</v>
          </cell>
        </row>
        <row r="4215">
          <cell r="D4215" t="str">
            <v>2023</v>
          </cell>
        </row>
        <row r="4216">
          <cell r="D4216" t="str">
            <v>2023</v>
          </cell>
        </row>
        <row r="4217">
          <cell r="D4217" t="str">
            <v>2023</v>
          </cell>
        </row>
        <row r="4218">
          <cell r="D4218" t="str">
            <v>2023</v>
          </cell>
        </row>
        <row r="4219">
          <cell r="D4219" t="str">
            <v>2023</v>
          </cell>
        </row>
        <row r="4220">
          <cell r="D4220" t="str">
            <v>2021</v>
          </cell>
        </row>
        <row r="4221">
          <cell r="D4221" t="str">
            <v>2023</v>
          </cell>
        </row>
        <row r="4222">
          <cell r="D4222" t="str">
            <v>2023</v>
          </cell>
        </row>
        <row r="4223">
          <cell r="D4223" t="str">
            <v>2022</v>
          </cell>
        </row>
        <row r="4224">
          <cell r="D4224" t="str">
            <v>2023</v>
          </cell>
        </row>
        <row r="4225">
          <cell r="D4225" t="str">
            <v>2023</v>
          </cell>
        </row>
        <row r="4226">
          <cell r="D4226" t="str">
            <v>2023</v>
          </cell>
        </row>
        <row r="4227">
          <cell r="D4227" t="str">
            <v>2023</v>
          </cell>
        </row>
        <row r="4228">
          <cell r="D4228" t="str">
            <v>2023</v>
          </cell>
        </row>
        <row r="4229">
          <cell r="D4229" t="str">
            <v>2023</v>
          </cell>
        </row>
        <row r="4230">
          <cell r="D4230" t="str">
            <v>2023</v>
          </cell>
        </row>
        <row r="4231">
          <cell r="D4231" t="str">
            <v>2023</v>
          </cell>
        </row>
        <row r="4232">
          <cell r="D4232" t="str">
            <v>2023</v>
          </cell>
        </row>
        <row r="4233">
          <cell r="D4233" t="str">
            <v>2023</v>
          </cell>
        </row>
        <row r="4234">
          <cell r="D4234" t="str">
            <v>2022</v>
          </cell>
        </row>
        <row r="4235">
          <cell r="D4235" t="str">
            <v>2023</v>
          </cell>
        </row>
        <row r="4236">
          <cell r="D4236" t="str">
            <v>2023</v>
          </cell>
        </row>
        <row r="4237">
          <cell r="D4237" t="str">
            <v>2023</v>
          </cell>
        </row>
        <row r="4238">
          <cell r="D4238" t="str">
            <v>2023</v>
          </cell>
        </row>
        <row r="4239">
          <cell r="D4239" t="str">
            <v>2023</v>
          </cell>
        </row>
        <row r="4240">
          <cell r="D4240" t="str">
            <v>2023</v>
          </cell>
        </row>
        <row r="4241">
          <cell r="D4241" t="str">
            <v>2021</v>
          </cell>
        </row>
        <row r="4242">
          <cell r="D4242" t="str">
            <v>2023</v>
          </cell>
        </row>
        <row r="4243">
          <cell r="D4243" t="str">
            <v>2023</v>
          </cell>
        </row>
        <row r="4244">
          <cell r="D4244" t="str">
            <v>2021</v>
          </cell>
        </row>
        <row r="4245">
          <cell r="D4245" t="str">
            <v>2023</v>
          </cell>
        </row>
        <row r="4246">
          <cell r="D4246" t="str">
            <v>2021</v>
          </cell>
        </row>
        <row r="4247">
          <cell r="D4247" t="str">
            <v>2023</v>
          </cell>
        </row>
        <row r="4248">
          <cell r="D4248" t="str">
            <v>2023</v>
          </cell>
        </row>
        <row r="4249">
          <cell r="D4249" t="str">
            <v>2023</v>
          </cell>
        </row>
        <row r="4250">
          <cell r="D4250" t="str">
            <v>2023</v>
          </cell>
        </row>
        <row r="4251">
          <cell r="D4251" t="str">
            <v>2023</v>
          </cell>
        </row>
        <row r="4252">
          <cell r="D4252" t="str">
            <v>2023</v>
          </cell>
        </row>
        <row r="4253">
          <cell r="D4253" t="str">
            <v>2023</v>
          </cell>
        </row>
        <row r="4254">
          <cell r="D4254" t="str">
            <v>2023</v>
          </cell>
        </row>
        <row r="4255">
          <cell r="D4255" t="str">
            <v>2023</v>
          </cell>
        </row>
        <row r="4256">
          <cell r="D4256" t="str">
            <v>2022</v>
          </cell>
        </row>
        <row r="4257">
          <cell r="D4257" t="str">
            <v>2023</v>
          </cell>
        </row>
        <row r="4258">
          <cell r="D4258" t="str">
            <v>2023</v>
          </cell>
        </row>
        <row r="4259">
          <cell r="D4259" t="str">
            <v>2023</v>
          </cell>
        </row>
        <row r="4260">
          <cell r="D4260" t="str">
            <v>2023</v>
          </cell>
        </row>
        <row r="4261">
          <cell r="D4261" t="str">
            <v>2023</v>
          </cell>
        </row>
        <row r="4262">
          <cell r="D4262" t="str">
            <v>2023</v>
          </cell>
        </row>
        <row r="4263">
          <cell r="D4263" t="str">
            <v>2023</v>
          </cell>
        </row>
        <row r="4264">
          <cell r="D4264" t="str">
            <v>2023</v>
          </cell>
        </row>
        <row r="4265">
          <cell r="D4265" t="str">
            <v>2022</v>
          </cell>
        </row>
        <row r="4266">
          <cell r="D4266" t="str">
            <v>2022</v>
          </cell>
        </row>
        <row r="4267">
          <cell r="D4267" t="str">
            <v>2023</v>
          </cell>
        </row>
        <row r="4268">
          <cell r="D4268" t="str">
            <v>2023</v>
          </cell>
        </row>
        <row r="4269">
          <cell r="D4269" t="str">
            <v>2023</v>
          </cell>
        </row>
        <row r="4270">
          <cell r="D4270" t="str">
            <v>2022</v>
          </cell>
        </row>
        <row r="4271">
          <cell r="D4271" t="str">
            <v>2023</v>
          </cell>
        </row>
        <row r="4272">
          <cell r="D4272" t="str">
            <v>2023</v>
          </cell>
        </row>
        <row r="4273">
          <cell r="D4273" t="str">
            <v>2023</v>
          </cell>
        </row>
        <row r="4274">
          <cell r="D4274" t="str">
            <v>2023</v>
          </cell>
        </row>
        <row r="4275">
          <cell r="D4275" t="str">
            <v>2023</v>
          </cell>
        </row>
        <row r="4276">
          <cell r="D4276" t="str">
            <v>2023</v>
          </cell>
        </row>
        <row r="4277">
          <cell r="D4277" t="str">
            <v>2023</v>
          </cell>
        </row>
        <row r="4278">
          <cell r="D4278" t="str">
            <v>2023</v>
          </cell>
        </row>
        <row r="4279">
          <cell r="D4279" t="str">
            <v>2022</v>
          </cell>
        </row>
        <row r="4280">
          <cell r="D4280" t="str">
            <v>2023</v>
          </cell>
        </row>
        <row r="4281">
          <cell r="D4281" t="str">
            <v>2023</v>
          </cell>
        </row>
        <row r="4282">
          <cell r="D4282" t="str">
            <v>2023</v>
          </cell>
        </row>
        <row r="4283">
          <cell r="D4283" t="str">
            <v>2023</v>
          </cell>
        </row>
        <row r="4284">
          <cell r="D4284" t="str">
            <v>2023</v>
          </cell>
        </row>
        <row r="4285">
          <cell r="D4285" t="str">
            <v>2023</v>
          </cell>
        </row>
        <row r="4286">
          <cell r="D4286" t="str">
            <v>2023</v>
          </cell>
        </row>
        <row r="4287">
          <cell r="D4287" t="str">
            <v>2023</v>
          </cell>
        </row>
        <row r="4288">
          <cell r="D4288" t="str">
            <v>2023</v>
          </cell>
        </row>
        <row r="4289">
          <cell r="D4289" t="str">
            <v>2023</v>
          </cell>
        </row>
        <row r="4290">
          <cell r="D4290" t="str">
            <v>2021</v>
          </cell>
        </row>
        <row r="4291">
          <cell r="D4291" t="str">
            <v>2023</v>
          </cell>
        </row>
        <row r="4292">
          <cell r="D4292" t="str">
            <v>2023</v>
          </cell>
        </row>
        <row r="4293">
          <cell r="D4293" t="str">
            <v>2023</v>
          </cell>
        </row>
        <row r="4294">
          <cell r="D4294" t="str">
            <v>2023</v>
          </cell>
        </row>
        <row r="4295">
          <cell r="D4295" t="str">
            <v>2022</v>
          </cell>
        </row>
        <row r="4296">
          <cell r="D4296" t="str">
            <v>2023</v>
          </cell>
        </row>
        <row r="4297">
          <cell r="D4297" t="str">
            <v>2023</v>
          </cell>
        </row>
        <row r="4298">
          <cell r="D4298" t="str">
            <v>2023</v>
          </cell>
        </row>
        <row r="4299">
          <cell r="D4299" t="str">
            <v>2023</v>
          </cell>
        </row>
        <row r="4300">
          <cell r="D4300" t="str">
            <v>2023</v>
          </cell>
        </row>
        <row r="4301">
          <cell r="D4301" t="str">
            <v>2023</v>
          </cell>
        </row>
        <row r="4302">
          <cell r="D4302" t="str">
            <v>2023</v>
          </cell>
        </row>
        <row r="4303">
          <cell r="D4303" t="str">
            <v>2023</v>
          </cell>
        </row>
        <row r="4304">
          <cell r="D4304" t="str">
            <v>2023</v>
          </cell>
        </row>
        <row r="4305">
          <cell r="D4305" t="str">
            <v>2023</v>
          </cell>
        </row>
        <row r="4306">
          <cell r="D4306" t="str">
            <v>2023</v>
          </cell>
        </row>
        <row r="4307">
          <cell r="D4307" t="str">
            <v>2024</v>
          </cell>
        </row>
        <row r="4308">
          <cell r="D4308" t="str">
            <v>2023</v>
          </cell>
        </row>
        <row r="4309">
          <cell r="D4309" t="str">
            <v>2023</v>
          </cell>
        </row>
        <row r="4310">
          <cell r="D4310" t="str">
            <v>2023</v>
          </cell>
        </row>
        <row r="4311">
          <cell r="D4311" t="str">
            <v>2023</v>
          </cell>
        </row>
        <row r="4312">
          <cell r="D4312" t="str">
            <v>2023</v>
          </cell>
        </row>
        <row r="4313">
          <cell r="D4313" t="str">
            <v>2023</v>
          </cell>
        </row>
        <row r="4314">
          <cell r="D4314" t="str">
            <v>2023</v>
          </cell>
        </row>
        <row r="4315">
          <cell r="D4315" t="str">
            <v>2021</v>
          </cell>
        </row>
        <row r="4316">
          <cell r="D4316" t="str">
            <v>2023</v>
          </cell>
        </row>
        <row r="4317">
          <cell r="D4317" t="str">
            <v>2023</v>
          </cell>
        </row>
        <row r="4318">
          <cell r="D4318" t="str">
            <v>2021</v>
          </cell>
        </row>
        <row r="4319">
          <cell r="D4319" t="str">
            <v>2023</v>
          </cell>
        </row>
        <row r="4320">
          <cell r="D4320" t="str">
            <v>2022</v>
          </cell>
        </row>
        <row r="4321">
          <cell r="D4321" t="str">
            <v>2022</v>
          </cell>
        </row>
        <row r="4322">
          <cell r="D4322" t="str">
            <v>2023</v>
          </cell>
        </row>
        <row r="4323">
          <cell r="D4323" t="str">
            <v>2023</v>
          </cell>
        </row>
        <row r="4324">
          <cell r="D4324" t="str">
            <v>2023</v>
          </cell>
        </row>
        <row r="4325">
          <cell r="D4325" t="str">
            <v>2023</v>
          </cell>
        </row>
        <row r="4326">
          <cell r="D4326" t="str">
            <v>2023</v>
          </cell>
        </row>
        <row r="4327">
          <cell r="D4327" t="str">
            <v>2023</v>
          </cell>
        </row>
        <row r="4328">
          <cell r="D4328" t="str">
            <v>2023</v>
          </cell>
        </row>
        <row r="4329">
          <cell r="D4329" t="str">
            <v>2023</v>
          </cell>
        </row>
        <row r="4330">
          <cell r="D4330" t="str">
            <v>2023</v>
          </cell>
        </row>
        <row r="4331">
          <cell r="D4331" t="str">
            <v>2023</v>
          </cell>
        </row>
        <row r="4332">
          <cell r="D4332" t="str">
            <v>2023</v>
          </cell>
        </row>
        <row r="4333">
          <cell r="D4333" t="str">
            <v>2022</v>
          </cell>
        </row>
        <row r="4334">
          <cell r="D4334" t="str">
            <v>2023</v>
          </cell>
        </row>
        <row r="4335">
          <cell r="D4335" t="str">
            <v>2023</v>
          </cell>
        </row>
        <row r="4336">
          <cell r="D4336" t="str">
            <v>2023</v>
          </cell>
        </row>
        <row r="4337">
          <cell r="D4337" t="str">
            <v>2023</v>
          </cell>
        </row>
        <row r="4338">
          <cell r="D4338" t="str">
            <v>2021</v>
          </cell>
        </row>
        <row r="4339">
          <cell r="D4339" t="str">
            <v>2023</v>
          </cell>
        </row>
        <row r="4340">
          <cell r="D4340" t="str">
            <v>2023</v>
          </cell>
        </row>
        <row r="4341">
          <cell r="D4341" t="str">
            <v>2023</v>
          </cell>
        </row>
        <row r="4342">
          <cell r="D4342" t="str">
            <v>2023</v>
          </cell>
        </row>
        <row r="4343">
          <cell r="D4343" t="str">
            <v>2023</v>
          </cell>
        </row>
        <row r="4344">
          <cell r="D4344" t="str">
            <v>2023</v>
          </cell>
        </row>
        <row r="4345">
          <cell r="D4345" t="str">
            <v>2023</v>
          </cell>
        </row>
        <row r="4346">
          <cell r="D4346" t="str">
            <v>2023</v>
          </cell>
        </row>
        <row r="4347">
          <cell r="D4347" t="str">
            <v>2023</v>
          </cell>
        </row>
        <row r="4348">
          <cell r="D4348" t="str">
            <v>2022</v>
          </cell>
        </row>
        <row r="4349">
          <cell r="D4349" t="str">
            <v>2023</v>
          </cell>
        </row>
        <row r="4350">
          <cell r="D4350" t="str">
            <v>2023</v>
          </cell>
        </row>
        <row r="4351">
          <cell r="D4351" t="str">
            <v>2023</v>
          </cell>
        </row>
        <row r="4352">
          <cell r="D4352" t="str">
            <v>2023</v>
          </cell>
        </row>
        <row r="4353">
          <cell r="D4353" t="str">
            <v>2023</v>
          </cell>
        </row>
        <row r="4354">
          <cell r="D4354" t="str">
            <v>2023</v>
          </cell>
        </row>
        <row r="4355">
          <cell r="D4355" t="str">
            <v>2023</v>
          </cell>
        </row>
        <row r="4356">
          <cell r="D4356" t="str">
            <v>2023</v>
          </cell>
        </row>
        <row r="4357">
          <cell r="D4357" t="str">
            <v>2023</v>
          </cell>
        </row>
        <row r="4358">
          <cell r="D4358" t="str">
            <v>2021</v>
          </cell>
        </row>
        <row r="4359">
          <cell r="D4359" t="str">
            <v>2023</v>
          </cell>
        </row>
        <row r="4360">
          <cell r="D4360" t="str">
            <v>2023</v>
          </cell>
        </row>
        <row r="4361">
          <cell r="D4361" t="str">
            <v>2023</v>
          </cell>
        </row>
        <row r="4362">
          <cell r="D4362" t="str">
            <v>2023</v>
          </cell>
        </row>
        <row r="4363">
          <cell r="D4363" t="str">
            <v>2021</v>
          </cell>
        </row>
        <row r="4364">
          <cell r="D4364" t="str">
            <v>2023</v>
          </cell>
        </row>
        <row r="4365">
          <cell r="D4365" t="str">
            <v>2023</v>
          </cell>
        </row>
        <row r="4366">
          <cell r="D4366" t="str">
            <v>2023</v>
          </cell>
        </row>
        <row r="4367">
          <cell r="D4367" t="str">
            <v>2023</v>
          </cell>
        </row>
        <row r="4368">
          <cell r="D4368" t="str">
            <v>2023</v>
          </cell>
        </row>
        <row r="4369">
          <cell r="D4369" t="str">
            <v>2022</v>
          </cell>
        </row>
        <row r="4370">
          <cell r="D4370" t="str">
            <v>2023</v>
          </cell>
        </row>
        <row r="4371">
          <cell r="D4371" t="str">
            <v>2023</v>
          </cell>
        </row>
        <row r="4372">
          <cell r="D4372" t="str">
            <v>2023</v>
          </cell>
        </row>
        <row r="4373">
          <cell r="D4373" t="str">
            <v>2023</v>
          </cell>
        </row>
        <row r="4374">
          <cell r="D4374" t="str">
            <v>2023</v>
          </cell>
        </row>
        <row r="4375">
          <cell r="D4375" t="str">
            <v>2023</v>
          </cell>
        </row>
        <row r="4376">
          <cell r="D4376" t="str">
            <v>2023</v>
          </cell>
        </row>
        <row r="4377">
          <cell r="D4377" t="str">
            <v>2023</v>
          </cell>
        </row>
        <row r="4378">
          <cell r="D4378" t="str">
            <v>2023</v>
          </cell>
        </row>
        <row r="4379">
          <cell r="D4379" t="str">
            <v>2023</v>
          </cell>
        </row>
        <row r="4380">
          <cell r="D4380" t="str">
            <v>2023</v>
          </cell>
        </row>
        <row r="4381">
          <cell r="D4381" t="str">
            <v>2023</v>
          </cell>
        </row>
        <row r="4382">
          <cell r="D4382" t="str">
            <v>2022</v>
          </cell>
        </row>
        <row r="4383">
          <cell r="D4383" t="str">
            <v>2023</v>
          </cell>
        </row>
        <row r="4384">
          <cell r="D4384" t="str">
            <v>2023</v>
          </cell>
        </row>
        <row r="4385">
          <cell r="D4385" t="str">
            <v>2023</v>
          </cell>
        </row>
        <row r="4386">
          <cell r="D4386" t="str">
            <v>2023</v>
          </cell>
        </row>
        <row r="4387">
          <cell r="D4387" t="str">
            <v>2023</v>
          </cell>
        </row>
        <row r="4388">
          <cell r="D4388" t="str">
            <v>2023</v>
          </cell>
        </row>
        <row r="4389">
          <cell r="D4389" t="str">
            <v>2021</v>
          </cell>
        </row>
        <row r="4390">
          <cell r="D4390" t="str">
            <v>2021</v>
          </cell>
        </row>
        <row r="4391">
          <cell r="D4391" t="str">
            <v>2023</v>
          </cell>
        </row>
        <row r="4392">
          <cell r="D4392" t="str">
            <v>2023</v>
          </cell>
        </row>
        <row r="4393">
          <cell r="D4393" t="str">
            <v>2023</v>
          </cell>
        </row>
        <row r="4394">
          <cell r="D4394" t="str">
            <v>2023</v>
          </cell>
        </row>
        <row r="4395">
          <cell r="D4395" t="str">
            <v>2022</v>
          </cell>
        </row>
        <row r="4396">
          <cell r="D4396" t="str">
            <v>2023</v>
          </cell>
        </row>
        <row r="4397">
          <cell r="D4397" t="str">
            <v>2023</v>
          </cell>
        </row>
        <row r="4398">
          <cell r="D4398" t="str">
            <v>2023</v>
          </cell>
        </row>
        <row r="4399">
          <cell r="D4399" t="str">
            <v>2023</v>
          </cell>
        </row>
        <row r="4400">
          <cell r="D4400" t="str">
            <v>2022</v>
          </cell>
        </row>
        <row r="4401">
          <cell r="D4401" t="str">
            <v>2023</v>
          </cell>
        </row>
        <row r="4402">
          <cell r="D4402" t="str">
            <v>2023</v>
          </cell>
        </row>
        <row r="4403">
          <cell r="D4403" t="str">
            <v>2023</v>
          </cell>
        </row>
        <row r="4404">
          <cell r="D4404" t="str">
            <v>2023</v>
          </cell>
        </row>
        <row r="4405">
          <cell r="D4405" t="str">
            <v>2023</v>
          </cell>
        </row>
        <row r="4406">
          <cell r="D4406" t="str">
            <v>2023</v>
          </cell>
        </row>
        <row r="4407">
          <cell r="D4407" t="str">
            <v>2023</v>
          </cell>
        </row>
        <row r="4408">
          <cell r="D4408" t="str">
            <v>2023</v>
          </cell>
        </row>
        <row r="4409">
          <cell r="D4409" t="str">
            <v>2023</v>
          </cell>
        </row>
        <row r="4410">
          <cell r="D4410" t="str">
            <v>2023</v>
          </cell>
        </row>
        <row r="4411">
          <cell r="D4411" t="str">
            <v>2023</v>
          </cell>
        </row>
        <row r="4412">
          <cell r="D4412" t="str">
            <v>2023</v>
          </cell>
        </row>
        <row r="4413">
          <cell r="D4413" t="str">
            <v>2023</v>
          </cell>
        </row>
        <row r="4414">
          <cell r="D4414" t="str">
            <v>2023</v>
          </cell>
        </row>
        <row r="4415">
          <cell r="D4415" t="str">
            <v>2023</v>
          </cell>
        </row>
        <row r="4416">
          <cell r="D4416" t="str">
            <v>2023</v>
          </cell>
        </row>
        <row r="4417">
          <cell r="D4417" t="str">
            <v>2022</v>
          </cell>
        </row>
        <row r="4418">
          <cell r="D4418" t="str">
            <v>2023</v>
          </cell>
        </row>
        <row r="4419">
          <cell r="D4419" t="str">
            <v>2023</v>
          </cell>
        </row>
        <row r="4420">
          <cell r="D4420" t="str">
            <v>2023</v>
          </cell>
        </row>
        <row r="4421">
          <cell r="D4421" t="str">
            <v>2021</v>
          </cell>
        </row>
        <row r="4422">
          <cell r="D4422" t="str">
            <v>2023</v>
          </cell>
        </row>
        <row r="4423">
          <cell r="D4423" t="str">
            <v>2023</v>
          </cell>
        </row>
        <row r="4424">
          <cell r="D4424" t="str">
            <v>2023</v>
          </cell>
        </row>
        <row r="4425">
          <cell r="D4425" t="str">
            <v>2023</v>
          </cell>
        </row>
        <row r="4426">
          <cell r="D4426" t="str">
            <v>2023</v>
          </cell>
        </row>
        <row r="4427">
          <cell r="D4427" t="str">
            <v>2023</v>
          </cell>
        </row>
        <row r="4428">
          <cell r="D4428" t="str">
            <v>2023</v>
          </cell>
        </row>
        <row r="4429">
          <cell r="D4429" t="str">
            <v>2023</v>
          </cell>
        </row>
        <row r="4430">
          <cell r="D4430" t="str">
            <v>2023</v>
          </cell>
        </row>
        <row r="4431">
          <cell r="D4431" t="str">
            <v>2023</v>
          </cell>
        </row>
        <row r="4432">
          <cell r="D4432" t="str">
            <v>2023</v>
          </cell>
        </row>
        <row r="4433">
          <cell r="D4433" t="str">
            <v>2023</v>
          </cell>
        </row>
        <row r="4434">
          <cell r="D4434" t="str">
            <v>2023</v>
          </cell>
        </row>
        <row r="4435">
          <cell r="D4435" t="str">
            <v>2023</v>
          </cell>
        </row>
        <row r="4436">
          <cell r="D4436" t="str">
            <v>2023</v>
          </cell>
        </row>
        <row r="4437">
          <cell r="D4437" t="str">
            <v>2023</v>
          </cell>
        </row>
        <row r="4438">
          <cell r="D4438" t="str">
            <v>2023</v>
          </cell>
        </row>
        <row r="4439">
          <cell r="D4439" t="str">
            <v>2023</v>
          </cell>
        </row>
        <row r="4440">
          <cell r="D4440" t="str">
            <v>2023</v>
          </cell>
        </row>
        <row r="4441">
          <cell r="D4441" t="str">
            <v>2021</v>
          </cell>
        </row>
        <row r="4442">
          <cell r="D4442" t="str">
            <v>2023</v>
          </cell>
        </row>
        <row r="4443">
          <cell r="D4443" t="str">
            <v>2023</v>
          </cell>
        </row>
        <row r="4444">
          <cell r="D4444" t="str">
            <v>2023</v>
          </cell>
        </row>
        <row r="4445">
          <cell r="D4445" t="str">
            <v>2022</v>
          </cell>
        </row>
        <row r="4446">
          <cell r="D4446" t="str">
            <v>2023</v>
          </cell>
        </row>
        <row r="4447">
          <cell r="D4447" t="str">
            <v>2023</v>
          </cell>
        </row>
        <row r="4448">
          <cell r="D4448" t="str">
            <v>2023</v>
          </cell>
        </row>
        <row r="4449">
          <cell r="D4449" t="str">
            <v>2023</v>
          </cell>
        </row>
        <row r="4450">
          <cell r="D4450" t="str">
            <v>2023</v>
          </cell>
        </row>
        <row r="4451">
          <cell r="D4451" t="str">
            <v>2023</v>
          </cell>
        </row>
        <row r="4452">
          <cell r="D4452" t="str">
            <v>2023</v>
          </cell>
        </row>
        <row r="4453">
          <cell r="D4453" t="str">
            <v>2023</v>
          </cell>
        </row>
        <row r="4454">
          <cell r="D4454" t="str">
            <v>2022</v>
          </cell>
        </row>
        <row r="4455">
          <cell r="D4455" t="str">
            <v>2023</v>
          </cell>
        </row>
        <row r="4456">
          <cell r="D4456" t="str">
            <v>2023</v>
          </cell>
        </row>
        <row r="4457">
          <cell r="D4457" t="str">
            <v>2023</v>
          </cell>
        </row>
        <row r="4458">
          <cell r="D4458" t="str">
            <v>2023</v>
          </cell>
        </row>
        <row r="4459">
          <cell r="D4459" t="str">
            <v>2023</v>
          </cell>
        </row>
        <row r="4460">
          <cell r="D4460" t="str">
            <v>2023</v>
          </cell>
        </row>
        <row r="4461">
          <cell r="D4461" t="str">
            <v>2023</v>
          </cell>
        </row>
        <row r="4462">
          <cell r="D4462" t="str">
            <v>2023</v>
          </cell>
        </row>
        <row r="4463">
          <cell r="D4463" t="str">
            <v>2023</v>
          </cell>
        </row>
        <row r="4464">
          <cell r="D4464" t="str">
            <v>2023</v>
          </cell>
        </row>
        <row r="4465">
          <cell r="D4465" t="str">
            <v>2022</v>
          </cell>
        </row>
        <row r="4466">
          <cell r="D4466" t="str">
            <v>2023</v>
          </cell>
        </row>
        <row r="4467">
          <cell r="D4467" t="str">
            <v>2023</v>
          </cell>
        </row>
        <row r="4468">
          <cell r="D4468" t="str">
            <v>2023</v>
          </cell>
        </row>
        <row r="4469">
          <cell r="D4469" t="str">
            <v>2021</v>
          </cell>
        </row>
        <row r="4470">
          <cell r="D4470" t="str">
            <v>2023</v>
          </cell>
        </row>
        <row r="4471">
          <cell r="D4471" t="str">
            <v>2023</v>
          </cell>
        </row>
        <row r="4472">
          <cell r="D4472" t="str">
            <v>2023</v>
          </cell>
        </row>
        <row r="4473">
          <cell r="D4473" t="str">
            <v>2023</v>
          </cell>
        </row>
        <row r="4474">
          <cell r="D4474" t="str">
            <v>2023</v>
          </cell>
        </row>
        <row r="4475">
          <cell r="D4475" t="str">
            <v>2023</v>
          </cell>
        </row>
        <row r="4476">
          <cell r="D4476" t="str">
            <v>2023</v>
          </cell>
        </row>
        <row r="4477">
          <cell r="D4477" t="str">
            <v>2022</v>
          </cell>
        </row>
        <row r="4478">
          <cell r="D4478" t="str">
            <v>2023</v>
          </cell>
        </row>
        <row r="4479">
          <cell r="D4479" t="str">
            <v>2022</v>
          </cell>
        </row>
        <row r="4480">
          <cell r="D4480" t="str">
            <v>2023</v>
          </cell>
        </row>
        <row r="4481">
          <cell r="D4481" t="str">
            <v>2023</v>
          </cell>
        </row>
        <row r="4482">
          <cell r="D4482" t="str">
            <v>2023</v>
          </cell>
        </row>
        <row r="4483">
          <cell r="D4483" t="str">
            <v>2023</v>
          </cell>
        </row>
        <row r="4484">
          <cell r="D4484" t="str">
            <v>2021</v>
          </cell>
        </row>
        <row r="4485">
          <cell r="D4485" t="str">
            <v>2023</v>
          </cell>
        </row>
        <row r="4486">
          <cell r="D4486" t="str">
            <v>2023</v>
          </cell>
        </row>
        <row r="4487">
          <cell r="D4487" t="str">
            <v>2023</v>
          </cell>
        </row>
        <row r="4488">
          <cell r="D4488" t="str">
            <v>2022</v>
          </cell>
        </row>
        <row r="4489">
          <cell r="D4489" t="str">
            <v>2023</v>
          </cell>
        </row>
        <row r="4490">
          <cell r="D4490" t="str">
            <v>2023</v>
          </cell>
        </row>
        <row r="4491">
          <cell r="D4491" t="str">
            <v>2023</v>
          </cell>
        </row>
        <row r="4492">
          <cell r="D4492" t="str">
            <v>2023</v>
          </cell>
        </row>
        <row r="4493">
          <cell r="D4493" t="str">
            <v>2021</v>
          </cell>
        </row>
        <row r="4494">
          <cell r="D4494" t="str">
            <v>2023</v>
          </cell>
        </row>
        <row r="4495">
          <cell r="D4495" t="str">
            <v>2023</v>
          </cell>
        </row>
        <row r="4496">
          <cell r="D4496" t="str">
            <v>2023</v>
          </cell>
        </row>
        <row r="4497">
          <cell r="D4497" t="str">
            <v>2023</v>
          </cell>
        </row>
        <row r="4498">
          <cell r="D4498" t="str">
            <v>2023</v>
          </cell>
        </row>
        <row r="4499">
          <cell r="D4499" t="str">
            <v>2023</v>
          </cell>
        </row>
        <row r="4500">
          <cell r="D4500" t="str">
            <v>2021</v>
          </cell>
        </row>
        <row r="4501">
          <cell r="D4501" t="str">
            <v>2023</v>
          </cell>
        </row>
        <row r="4502">
          <cell r="D4502" t="str">
            <v>2023</v>
          </cell>
        </row>
        <row r="4503">
          <cell r="D4503" t="str">
            <v>2023</v>
          </cell>
        </row>
        <row r="4504">
          <cell r="D4504" t="str">
            <v>2023</v>
          </cell>
        </row>
        <row r="4505">
          <cell r="D4505" t="str">
            <v>2023</v>
          </cell>
        </row>
        <row r="4506">
          <cell r="D4506" t="str">
            <v>2023</v>
          </cell>
        </row>
        <row r="4507">
          <cell r="D4507" t="str">
            <v>2023</v>
          </cell>
        </row>
        <row r="4508">
          <cell r="D4508" t="str">
            <v>2023</v>
          </cell>
        </row>
        <row r="4509">
          <cell r="D4509" t="str">
            <v>2023</v>
          </cell>
        </row>
        <row r="4510">
          <cell r="D4510" t="str">
            <v>2023</v>
          </cell>
        </row>
        <row r="4511">
          <cell r="D4511" t="str">
            <v>2023</v>
          </cell>
        </row>
        <row r="4512">
          <cell r="D4512" t="str">
            <v>2023</v>
          </cell>
        </row>
        <row r="4513">
          <cell r="D4513" t="str">
            <v>2023</v>
          </cell>
        </row>
        <row r="4514">
          <cell r="D4514" t="str">
            <v>2023</v>
          </cell>
        </row>
        <row r="4515">
          <cell r="D4515" t="str">
            <v>2023</v>
          </cell>
        </row>
        <row r="4516">
          <cell r="D4516" t="str">
            <v>2023</v>
          </cell>
        </row>
        <row r="4517">
          <cell r="D4517" t="str">
            <v>2023</v>
          </cell>
        </row>
        <row r="4518">
          <cell r="D4518" t="str">
            <v>2022</v>
          </cell>
        </row>
        <row r="4519">
          <cell r="D4519" t="str">
            <v>2024</v>
          </cell>
        </row>
        <row r="4520">
          <cell r="D4520" t="str">
            <v>2023</v>
          </cell>
        </row>
        <row r="4521">
          <cell r="D4521" t="str">
            <v>2023</v>
          </cell>
        </row>
        <row r="4522">
          <cell r="D4522" t="str">
            <v>2023</v>
          </cell>
        </row>
        <row r="4523">
          <cell r="D4523" t="str">
            <v>2023</v>
          </cell>
        </row>
        <row r="4524">
          <cell r="D4524" t="str">
            <v>2023</v>
          </cell>
        </row>
        <row r="4525">
          <cell r="D4525" t="str">
            <v>2021</v>
          </cell>
        </row>
        <row r="4526">
          <cell r="D4526" t="str">
            <v>2022</v>
          </cell>
        </row>
        <row r="4527">
          <cell r="D4527" t="str">
            <v>2022</v>
          </cell>
        </row>
        <row r="4528">
          <cell r="D4528" t="str">
            <v>2023</v>
          </cell>
        </row>
        <row r="4529">
          <cell r="D4529" t="str">
            <v>2023</v>
          </cell>
        </row>
        <row r="4530">
          <cell r="D4530" t="str">
            <v>2023</v>
          </cell>
        </row>
        <row r="4531">
          <cell r="D4531" t="str">
            <v>2023</v>
          </cell>
        </row>
        <row r="4532">
          <cell r="D4532" t="str">
            <v>2023</v>
          </cell>
        </row>
        <row r="4533">
          <cell r="D4533" t="str">
            <v>2023</v>
          </cell>
        </row>
        <row r="4534">
          <cell r="D4534" t="str">
            <v>2023</v>
          </cell>
        </row>
        <row r="4535">
          <cell r="D4535" t="str">
            <v>2023</v>
          </cell>
        </row>
        <row r="4536">
          <cell r="D4536" t="str">
            <v>2023</v>
          </cell>
        </row>
        <row r="4537">
          <cell r="D4537" t="str">
            <v>2021</v>
          </cell>
        </row>
        <row r="4538">
          <cell r="D4538" t="str">
            <v>2023</v>
          </cell>
        </row>
        <row r="4539">
          <cell r="D4539" t="str">
            <v>2023</v>
          </cell>
        </row>
        <row r="4540">
          <cell r="D4540" t="str">
            <v>2023</v>
          </cell>
        </row>
        <row r="4541">
          <cell r="D4541" t="str">
            <v>2023</v>
          </cell>
        </row>
        <row r="4542">
          <cell r="D4542" t="str">
            <v>2023</v>
          </cell>
        </row>
        <row r="4543">
          <cell r="D4543" t="str">
            <v>2023</v>
          </cell>
        </row>
        <row r="4544">
          <cell r="D4544" t="str">
            <v>2023</v>
          </cell>
        </row>
        <row r="4545">
          <cell r="D4545" t="str">
            <v>2023</v>
          </cell>
        </row>
        <row r="4546">
          <cell r="D4546" t="str">
            <v>2023</v>
          </cell>
        </row>
        <row r="4547">
          <cell r="D4547" t="str">
            <v>2023</v>
          </cell>
        </row>
        <row r="4548">
          <cell r="D4548" t="str">
            <v>2023</v>
          </cell>
        </row>
        <row r="4549">
          <cell r="D4549" t="str">
            <v>2023</v>
          </cell>
        </row>
        <row r="4550">
          <cell r="D4550" t="str">
            <v>2022</v>
          </cell>
        </row>
        <row r="4551">
          <cell r="D4551" t="str">
            <v>2023</v>
          </cell>
        </row>
        <row r="4552">
          <cell r="D4552" t="str">
            <v>2023</v>
          </cell>
        </row>
        <row r="4553">
          <cell r="D4553" t="str">
            <v>2023</v>
          </cell>
        </row>
        <row r="4554">
          <cell r="D4554" t="str">
            <v>2023</v>
          </cell>
        </row>
        <row r="4555">
          <cell r="D4555" t="str">
            <v>2023</v>
          </cell>
        </row>
        <row r="4556">
          <cell r="D4556" t="str">
            <v>2023</v>
          </cell>
        </row>
        <row r="4557">
          <cell r="D4557" t="str">
            <v>2022</v>
          </cell>
        </row>
        <row r="4558">
          <cell r="D4558" t="str">
            <v>2023</v>
          </cell>
        </row>
        <row r="4559">
          <cell r="D4559" t="str">
            <v>2023</v>
          </cell>
        </row>
        <row r="4560">
          <cell r="D4560" t="str">
            <v>2023</v>
          </cell>
        </row>
        <row r="4561">
          <cell r="D4561" t="str">
            <v>2022</v>
          </cell>
        </row>
        <row r="4562">
          <cell r="D4562" t="str">
            <v>2023</v>
          </cell>
        </row>
        <row r="4563">
          <cell r="D4563" t="str">
            <v>2023</v>
          </cell>
        </row>
        <row r="4564">
          <cell r="D4564" t="str">
            <v>2023</v>
          </cell>
        </row>
        <row r="4565">
          <cell r="D4565" t="str">
            <v>2023</v>
          </cell>
        </row>
        <row r="4566">
          <cell r="D4566" t="str">
            <v>2023</v>
          </cell>
        </row>
        <row r="4567">
          <cell r="D4567" t="str">
            <v>2023</v>
          </cell>
        </row>
        <row r="4568">
          <cell r="D4568" t="str">
            <v>2023</v>
          </cell>
        </row>
        <row r="4569">
          <cell r="D4569" t="str">
            <v>2023</v>
          </cell>
        </row>
        <row r="4570">
          <cell r="D4570" t="str">
            <v>2023</v>
          </cell>
        </row>
        <row r="4571">
          <cell r="D4571" t="str">
            <v>2023</v>
          </cell>
        </row>
        <row r="4572">
          <cell r="D4572" t="str">
            <v>2023</v>
          </cell>
        </row>
        <row r="4573">
          <cell r="D4573" t="str">
            <v>2023</v>
          </cell>
        </row>
        <row r="4574">
          <cell r="D4574" t="str">
            <v>2023</v>
          </cell>
        </row>
        <row r="4575">
          <cell r="D4575" t="str">
            <v>2023</v>
          </cell>
        </row>
        <row r="4576">
          <cell r="D4576" t="str">
            <v>2023</v>
          </cell>
        </row>
        <row r="4577">
          <cell r="D4577" t="str">
            <v>2023</v>
          </cell>
        </row>
        <row r="4578">
          <cell r="D4578" t="str">
            <v>2023</v>
          </cell>
        </row>
        <row r="4579">
          <cell r="D4579" t="str">
            <v>2023</v>
          </cell>
        </row>
        <row r="4580">
          <cell r="D4580" t="str">
            <v>2023</v>
          </cell>
        </row>
        <row r="4581">
          <cell r="D4581" t="str">
            <v>2023</v>
          </cell>
        </row>
        <row r="4582">
          <cell r="D4582" t="str">
            <v>2023</v>
          </cell>
        </row>
        <row r="4583">
          <cell r="D4583" t="str">
            <v>2021</v>
          </cell>
        </row>
        <row r="4584">
          <cell r="D4584" t="str">
            <v>2023</v>
          </cell>
        </row>
        <row r="4585">
          <cell r="D4585" t="str">
            <v>2023</v>
          </cell>
        </row>
        <row r="4586">
          <cell r="D4586" t="str">
            <v>2023</v>
          </cell>
        </row>
        <row r="4587">
          <cell r="D4587" t="str">
            <v>2023</v>
          </cell>
        </row>
        <row r="4588">
          <cell r="D4588" t="str">
            <v>2023</v>
          </cell>
        </row>
        <row r="4589">
          <cell r="D4589" t="str">
            <v>2023</v>
          </cell>
        </row>
        <row r="4590">
          <cell r="D4590" t="str">
            <v>2022</v>
          </cell>
        </row>
        <row r="4591">
          <cell r="D4591" t="str">
            <v>2023</v>
          </cell>
        </row>
        <row r="4592">
          <cell r="D4592" t="str">
            <v>2023</v>
          </cell>
        </row>
        <row r="4593">
          <cell r="D4593" t="str">
            <v>2023</v>
          </cell>
        </row>
        <row r="4594">
          <cell r="D4594" t="str">
            <v>2021</v>
          </cell>
        </row>
        <row r="4595">
          <cell r="D4595" t="str">
            <v>2023</v>
          </cell>
        </row>
        <row r="4596">
          <cell r="D4596" t="str">
            <v>2023</v>
          </cell>
        </row>
        <row r="4597">
          <cell r="D4597" t="str">
            <v>2023</v>
          </cell>
        </row>
        <row r="4598">
          <cell r="D4598" t="str">
            <v>2022</v>
          </cell>
        </row>
        <row r="4599">
          <cell r="D4599" t="str">
            <v>2022</v>
          </cell>
        </row>
        <row r="4600">
          <cell r="D4600" t="str">
            <v>2023</v>
          </cell>
        </row>
        <row r="4601">
          <cell r="D4601" t="str">
            <v>2023</v>
          </cell>
        </row>
        <row r="4602">
          <cell r="D4602" t="str">
            <v>2023</v>
          </cell>
        </row>
        <row r="4603">
          <cell r="D4603" t="str">
            <v>2023</v>
          </cell>
        </row>
        <row r="4604">
          <cell r="D4604" t="str">
            <v>2022</v>
          </cell>
        </row>
        <row r="4605">
          <cell r="D4605" t="str">
            <v>2023</v>
          </cell>
        </row>
        <row r="4606">
          <cell r="D4606" t="str">
            <v>2023</v>
          </cell>
        </row>
        <row r="4607">
          <cell r="D4607" t="str">
            <v>2023</v>
          </cell>
        </row>
        <row r="4608">
          <cell r="D4608" t="str">
            <v>2022</v>
          </cell>
        </row>
        <row r="4609">
          <cell r="D4609" t="str">
            <v>2023</v>
          </cell>
        </row>
        <row r="4610">
          <cell r="D4610" t="str">
            <v>2022</v>
          </cell>
        </row>
        <row r="4611">
          <cell r="D4611" t="str">
            <v>2023</v>
          </cell>
        </row>
        <row r="4612">
          <cell r="D4612" t="str">
            <v>2023</v>
          </cell>
        </row>
        <row r="4613">
          <cell r="D4613" t="str">
            <v>2023</v>
          </cell>
        </row>
        <row r="4614">
          <cell r="D4614" t="str">
            <v>2023</v>
          </cell>
        </row>
        <row r="4615">
          <cell r="D4615" t="str">
            <v>2023</v>
          </cell>
        </row>
        <row r="4616">
          <cell r="D4616" t="str">
            <v>2023</v>
          </cell>
        </row>
        <row r="4617">
          <cell r="D4617" t="str">
            <v>2023</v>
          </cell>
        </row>
        <row r="4618">
          <cell r="D4618" t="str">
            <v>2023</v>
          </cell>
        </row>
        <row r="4619">
          <cell r="D4619" t="str">
            <v>2023</v>
          </cell>
        </row>
        <row r="4620">
          <cell r="D4620" t="str">
            <v>2023</v>
          </cell>
        </row>
        <row r="4621">
          <cell r="D4621" t="str">
            <v>2023</v>
          </cell>
        </row>
        <row r="4622">
          <cell r="D4622" t="str">
            <v>2023</v>
          </cell>
        </row>
        <row r="4623">
          <cell r="D4623" t="str">
            <v>2023</v>
          </cell>
        </row>
        <row r="4624">
          <cell r="D4624" t="str">
            <v>2022</v>
          </cell>
        </row>
        <row r="4625">
          <cell r="D4625" t="str">
            <v>2023</v>
          </cell>
        </row>
        <row r="4626">
          <cell r="D4626" t="str">
            <v>2023</v>
          </cell>
        </row>
        <row r="4627">
          <cell r="D4627" t="str">
            <v>2023</v>
          </cell>
        </row>
        <row r="4628">
          <cell r="D4628" t="str">
            <v>2023</v>
          </cell>
        </row>
        <row r="4629">
          <cell r="D4629" t="str">
            <v>2023</v>
          </cell>
        </row>
        <row r="4630">
          <cell r="D4630" t="str">
            <v>2022</v>
          </cell>
        </row>
        <row r="4631">
          <cell r="D4631" t="str">
            <v>2023</v>
          </cell>
        </row>
        <row r="4632">
          <cell r="D4632" t="str">
            <v>2023</v>
          </cell>
        </row>
        <row r="4633">
          <cell r="D4633" t="str">
            <v>2023</v>
          </cell>
        </row>
        <row r="4634">
          <cell r="D4634" t="str">
            <v>2023</v>
          </cell>
        </row>
        <row r="4635">
          <cell r="D4635" t="str">
            <v>2023</v>
          </cell>
        </row>
        <row r="4636">
          <cell r="D4636" t="str">
            <v>2023</v>
          </cell>
        </row>
        <row r="4637">
          <cell r="D4637" t="str">
            <v>2023</v>
          </cell>
        </row>
        <row r="4638">
          <cell r="D4638" t="str">
            <v>2023</v>
          </cell>
        </row>
        <row r="4639">
          <cell r="D4639" t="str">
            <v>2023</v>
          </cell>
        </row>
        <row r="4640">
          <cell r="D4640" t="str">
            <v>2023</v>
          </cell>
        </row>
        <row r="4641">
          <cell r="D4641" t="str">
            <v>2023</v>
          </cell>
        </row>
        <row r="4642">
          <cell r="D4642" t="str">
            <v>2023</v>
          </cell>
        </row>
        <row r="4643">
          <cell r="D4643" t="str">
            <v>2023</v>
          </cell>
        </row>
        <row r="4644">
          <cell r="D4644" t="str">
            <v>2021</v>
          </cell>
        </row>
        <row r="4645">
          <cell r="D4645" t="str">
            <v>2023</v>
          </cell>
        </row>
        <row r="4646">
          <cell r="D4646" t="str">
            <v>2023</v>
          </cell>
        </row>
        <row r="4647">
          <cell r="D4647" t="str">
            <v>2023</v>
          </cell>
        </row>
        <row r="4648">
          <cell r="D4648" t="str">
            <v>2022</v>
          </cell>
        </row>
        <row r="4649">
          <cell r="D4649" t="str">
            <v>2022</v>
          </cell>
        </row>
        <row r="4650">
          <cell r="D4650" t="str">
            <v>2023</v>
          </cell>
        </row>
        <row r="4651">
          <cell r="D4651" t="str">
            <v>2023</v>
          </cell>
        </row>
        <row r="4652">
          <cell r="D4652" t="str">
            <v>2023</v>
          </cell>
        </row>
        <row r="4653">
          <cell r="D4653" t="str">
            <v>2023</v>
          </cell>
        </row>
        <row r="4654">
          <cell r="D4654" t="str">
            <v>2023</v>
          </cell>
        </row>
        <row r="4655">
          <cell r="D4655" t="str">
            <v>2023</v>
          </cell>
        </row>
        <row r="4656">
          <cell r="D4656" t="str">
            <v>2021</v>
          </cell>
        </row>
        <row r="4657">
          <cell r="D4657" t="str">
            <v>2023</v>
          </cell>
        </row>
        <row r="4658">
          <cell r="D4658" t="str">
            <v>2023</v>
          </cell>
        </row>
        <row r="4659">
          <cell r="D4659" t="str">
            <v>2023</v>
          </cell>
        </row>
        <row r="4660">
          <cell r="D4660" t="str">
            <v>2023</v>
          </cell>
        </row>
        <row r="4661">
          <cell r="D4661" t="str">
            <v>2023</v>
          </cell>
        </row>
        <row r="4662">
          <cell r="D4662" t="str">
            <v>2023</v>
          </cell>
        </row>
        <row r="4663">
          <cell r="D4663" t="str">
            <v>2023</v>
          </cell>
        </row>
        <row r="4664">
          <cell r="D4664" t="str">
            <v>2023</v>
          </cell>
        </row>
        <row r="4665">
          <cell r="D4665" t="str">
            <v>2022</v>
          </cell>
        </row>
        <row r="4666">
          <cell r="D4666" t="str">
            <v>2023</v>
          </cell>
        </row>
        <row r="4667">
          <cell r="D4667" t="str">
            <v>2023</v>
          </cell>
        </row>
        <row r="4668">
          <cell r="D4668" t="str">
            <v>2023</v>
          </cell>
        </row>
        <row r="4669">
          <cell r="D4669" t="str">
            <v>2023</v>
          </cell>
        </row>
        <row r="4670">
          <cell r="D4670" t="str">
            <v>2023</v>
          </cell>
        </row>
        <row r="4671">
          <cell r="D4671" t="str">
            <v>2023</v>
          </cell>
        </row>
        <row r="4672">
          <cell r="D4672" t="str">
            <v>2023</v>
          </cell>
        </row>
        <row r="4673">
          <cell r="D4673" t="str">
            <v>2023</v>
          </cell>
        </row>
        <row r="4674">
          <cell r="D4674" t="str">
            <v>2023</v>
          </cell>
        </row>
        <row r="4675">
          <cell r="D4675" t="str">
            <v>2023</v>
          </cell>
        </row>
        <row r="4676">
          <cell r="D4676" t="str">
            <v>2023</v>
          </cell>
        </row>
        <row r="4677">
          <cell r="D4677" t="str">
            <v>2023</v>
          </cell>
        </row>
        <row r="4678">
          <cell r="D4678" t="str">
            <v>2022</v>
          </cell>
        </row>
        <row r="4679">
          <cell r="D4679" t="str">
            <v>2023</v>
          </cell>
        </row>
        <row r="4680">
          <cell r="D4680" t="str">
            <v>2023</v>
          </cell>
        </row>
        <row r="4681">
          <cell r="D4681" t="str">
            <v>2023</v>
          </cell>
        </row>
        <row r="4682">
          <cell r="D4682" t="str">
            <v>2023</v>
          </cell>
        </row>
        <row r="4683">
          <cell r="D4683" t="str">
            <v>2023</v>
          </cell>
        </row>
        <row r="4684">
          <cell r="D4684" t="str">
            <v>2023</v>
          </cell>
        </row>
        <row r="4685">
          <cell r="D4685" t="str">
            <v>2022</v>
          </cell>
        </row>
        <row r="4686">
          <cell r="D4686" t="str">
            <v>2022</v>
          </cell>
        </row>
        <row r="4687">
          <cell r="D4687" t="str">
            <v>2022</v>
          </cell>
        </row>
        <row r="4688">
          <cell r="D4688" t="str">
            <v>2022</v>
          </cell>
        </row>
        <row r="4689">
          <cell r="D4689" t="str">
            <v>2023</v>
          </cell>
        </row>
        <row r="4690">
          <cell r="D4690" t="str">
            <v>2024</v>
          </cell>
        </row>
        <row r="4691">
          <cell r="D4691" t="str">
            <v>2023</v>
          </cell>
        </row>
        <row r="4692">
          <cell r="D4692" t="str">
            <v>2022</v>
          </cell>
        </row>
        <row r="4693">
          <cell r="D4693" t="str">
            <v>2023</v>
          </cell>
        </row>
        <row r="4694">
          <cell r="D4694" t="str">
            <v>2023</v>
          </cell>
        </row>
        <row r="4695">
          <cell r="D4695" t="str">
            <v>2023</v>
          </cell>
        </row>
        <row r="4696">
          <cell r="D4696" t="str">
            <v>2023</v>
          </cell>
        </row>
        <row r="4697">
          <cell r="D4697" t="str">
            <v>2021</v>
          </cell>
        </row>
        <row r="4698">
          <cell r="D4698" t="str">
            <v>2023</v>
          </cell>
        </row>
        <row r="4699">
          <cell r="D4699" t="str">
            <v>2023</v>
          </cell>
        </row>
        <row r="4700">
          <cell r="D4700" t="str">
            <v>2023</v>
          </cell>
        </row>
        <row r="4701">
          <cell r="D4701" t="str">
            <v>2023</v>
          </cell>
        </row>
        <row r="4702">
          <cell r="D4702" t="str">
            <v>2023</v>
          </cell>
        </row>
        <row r="4703">
          <cell r="D4703" t="str">
            <v>2023</v>
          </cell>
        </row>
        <row r="4704">
          <cell r="D4704" t="str">
            <v>2023</v>
          </cell>
        </row>
        <row r="4705">
          <cell r="D4705" t="str">
            <v>2023</v>
          </cell>
        </row>
        <row r="4706">
          <cell r="D4706" t="str">
            <v>2023</v>
          </cell>
        </row>
        <row r="4707">
          <cell r="D4707" t="str">
            <v>2023</v>
          </cell>
        </row>
        <row r="4708">
          <cell r="D4708" t="str">
            <v>2023</v>
          </cell>
        </row>
        <row r="4709">
          <cell r="D4709" t="str">
            <v>2023</v>
          </cell>
        </row>
        <row r="4710">
          <cell r="D4710" t="str">
            <v>2023</v>
          </cell>
        </row>
        <row r="4711">
          <cell r="D4711" t="str">
            <v>2023</v>
          </cell>
        </row>
        <row r="4712">
          <cell r="D4712" t="str">
            <v>2023</v>
          </cell>
        </row>
        <row r="4713">
          <cell r="D4713" t="str">
            <v>2023</v>
          </cell>
        </row>
        <row r="4714">
          <cell r="D4714" t="str">
            <v>2023</v>
          </cell>
        </row>
        <row r="4715">
          <cell r="D4715" t="str">
            <v>2023</v>
          </cell>
        </row>
        <row r="4716">
          <cell r="D4716" t="str">
            <v>2021</v>
          </cell>
        </row>
        <row r="4717">
          <cell r="D4717" t="str">
            <v>2023</v>
          </cell>
        </row>
        <row r="4718">
          <cell r="D4718" t="str">
            <v>2023</v>
          </cell>
        </row>
        <row r="4719">
          <cell r="D4719" t="str">
            <v>2022</v>
          </cell>
        </row>
        <row r="4720">
          <cell r="D4720" t="str">
            <v>2023</v>
          </cell>
        </row>
        <row r="4721">
          <cell r="D4721" t="str">
            <v>2023</v>
          </cell>
        </row>
        <row r="4722">
          <cell r="D4722" t="str">
            <v>2023</v>
          </cell>
        </row>
        <row r="4723">
          <cell r="D4723" t="str">
            <v>2023</v>
          </cell>
        </row>
        <row r="4724">
          <cell r="D4724" t="str">
            <v>2023</v>
          </cell>
        </row>
        <row r="4725">
          <cell r="D4725" t="str">
            <v>2023</v>
          </cell>
        </row>
        <row r="4726">
          <cell r="D4726" t="str">
            <v>2023</v>
          </cell>
        </row>
        <row r="4727">
          <cell r="D4727" t="str">
            <v>2023</v>
          </cell>
        </row>
        <row r="4728">
          <cell r="D4728" t="str">
            <v>2023</v>
          </cell>
        </row>
        <row r="4729">
          <cell r="D4729" t="str">
            <v>2023</v>
          </cell>
        </row>
        <row r="4730">
          <cell r="D4730" t="str">
            <v>2023</v>
          </cell>
        </row>
        <row r="4731">
          <cell r="D4731" t="str">
            <v>2021</v>
          </cell>
        </row>
        <row r="4732">
          <cell r="D4732" t="str">
            <v>2023</v>
          </cell>
        </row>
        <row r="4733">
          <cell r="D4733" t="str">
            <v>2022</v>
          </cell>
        </row>
        <row r="4734">
          <cell r="D4734" t="str">
            <v>2023</v>
          </cell>
        </row>
        <row r="4735">
          <cell r="D4735" t="str">
            <v>2022</v>
          </cell>
        </row>
        <row r="4736">
          <cell r="D4736" t="str">
            <v>2021</v>
          </cell>
        </row>
        <row r="4737">
          <cell r="D4737" t="str">
            <v>2023</v>
          </cell>
        </row>
        <row r="4738">
          <cell r="D4738" t="str">
            <v>2022</v>
          </cell>
        </row>
        <row r="4739">
          <cell r="D4739" t="str">
            <v>2023</v>
          </cell>
        </row>
        <row r="4740">
          <cell r="D4740" t="str">
            <v>2023</v>
          </cell>
        </row>
        <row r="4741">
          <cell r="D4741" t="str">
            <v>2022</v>
          </cell>
        </row>
        <row r="4742">
          <cell r="D4742" t="str">
            <v>2023</v>
          </cell>
        </row>
        <row r="4743">
          <cell r="D4743" t="str">
            <v>2023</v>
          </cell>
        </row>
        <row r="4744">
          <cell r="D4744" t="str">
            <v>2023</v>
          </cell>
        </row>
        <row r="4745">
          <cell r="D4745" t="str">
            <v>2021</v>
          </cell>
        </row>
        <row r="4746">
          <cell r="D4746" t="str">
            <v>2023</v>
          </cell>
        </row>
        <row r="4747">
          <cell r="D4747" t="str">
            <v>2023</v>
          </cell>
        </row>
        <row r="4748">
          <cell r="D4748" t="str">
            <v>2022</v>
          </cell>
        </row>
        <row r="4749">
          <cell r="D4749" t="str">
            <v>2022</v>
          </cell>
        </row>
        <row r="4750">
          <cell r="D4750" t="str">
            <v>2023</v>
          </cell>
        </row>
        <row r="4751">
          <cell r="D4751" t="str">
            <v>2023</v>
          </cell>
        </row>
        <row r="4752">
          <cell r="D4752" t="str">
            <v>2023</v>
          </cell>
        </row>
        <row r="4753">
          <cell r="D4753" t="str">
            <v>2023</v>
          </cell>
        </row>
        <row r="4754">
          <cell r="D4754" t="str">
            <v>2023</v>
          </cell>
        </row>
        <row r="4755">
          <cell r="D4755" t="str">
            <v>2023</v>
          </cell>
        </row>
        <row r="4756">
          <cell r="D4756" t="str">
            <v>2023</v>
          </cell>
        </row>
        <row r="4757">
          <cell r="D4757" t="str">
            <v>2023</v>
          </cell>
        </row>
        <row r="4758">
          <cell r="D4758" t="str">
            <v>2023</v>
          </cell>
        </row>
        <row r="4759">
          <cell r="D4759" t="str">
            <v>2023</v>
          </cell>
        </row>
        <row r="4760">
          <cell r="D4760" t="str">
            <v>2023</v>
          </cell>
        </row>
        <row r="4761">
          <cell r="D4761" t="str">
            <v>2022</v>
          </cell>
        </row>
        <row r="4762">
          <cell r="D4762" t="str">
            <v>2021</v>
          </cell>
        </row>
        <row r="4763">
          <cell r="D4763" t="str">
            <v>2023</v>
          </cell>
        </row>
        <row r="4764">
          <cell r="D4764" t="str">
            <v>2023</v>
          </cell>
        </row>
        <row r="4765">
          <cell r="D4765" t="str">
            <v>2023</v>
          </cell>
        </row>
        <row r="4766">
          <cell r="D4766" t="str">
            <v>2023</v>
          </cell>
        </row>
        <row r="4767">
          <cell r="D4767" t="str">
            <v>2023</v>
          </cell>
        </row>
        <row r="4768">
          <cell r="D4768" t="str">
            <v>2023</v>
          </cell>
        </row>
        <row r="4769">
          <cell r="D4769" t="str">
            <v>2023</v>
          </cell>
        </row>
        <row r="4770">
          <cell r="D4770" t="str">
            <v>2023</v>
          </cell>
        </row>
        <row r="4771">
          <cell r="D4771" t="str">
            <v>2023</v>
          </cell>
        </row>
        <row r="4772">
          <cell r="D4772" t="str">
            <v>2023</v>
          </cell>
        </row>
        <row r="4773">
          <cell r="D4773" t="str">
            <v>2023</v>
          </cell>
        </row>
        <row r="4774">
          <cell r="D4774" t="str">
            <v>2023</v>
          </cell>
        </row>
        <row r="4775">
          <cell r="D4775" t="str">
            <v>2023</v>
          </cell>
        </row>
        <row r="4776">
          <cell r="D4776" t="str">
            <v>2023</v>
          </cell>
        </row>
        <row r="4777">
          <cell r="D4777" t="str">
            <v>2023</v>
          </cell>
        </row>
        <row r="4778">
          <cell r="D4778" t="str">
            <v>2023</v>
          </cell>
        </row>
        <row r="4779">
          <cell r="D4779" t="str">
            <v>2023</v>
          </cell>
        </row>
        <row r="4780">
          <cell r="D4780" t="str">
            <v>2023</v>
          </cell>
        </row>
        <row r="4781">
          <cell r="D4781" t="str">
            <v>2022</v>
          </cell>
        </row>
        <row r="4782">
          <cell r="D4782" t="str">
            <v>2023</v>
          </cell>
        </row>
        <row r="4783">
          <cell r="D4783" t="str">
            <v>2022</v>
          </cell>
        </row>
        <row r="4784">
          <cell r="D4784" t="str">
            <v>2023</v>
          </cell>
        </row>
        <row r="4785">
          <cell r="D4785" t="str">
            <v>2023</v>
          </cell>
        </row>
        <row r="4786">
          <cell r="D4786" t="str">
            <v>2023</v>
          </cell>
        </row>
        <row r="4787">
          <cell r="D4787" t="str">
            <v>2023</v>
          </cell>
        </row>
        <row r="4788">
          <cell r="D4788" t="str">
            <v>2023</v>
          </cell>
        </row>
        <row r="4789">
          <cell r="D4789" t="str">
            <v>2023</v>
          </cell>
        </row>
        <row r="4790">
          <cell r="D4790" t="str">
            <v>2023</v>
          </cell>
        </row>
        <row r="4791">
          <cell r="D4791" t="str">
            <v>2023</v>
          </cell>
        </row>
        <row r="4792">
          <cell r="D4792" t="str">
            <v>2022</v>
          </cell>
        </row>
        <row r="4793">
          <cell r="D4793" t="str">
            <v>2023</v>
          </cell>
        </row>
        <row r="4794">
          <cell r="D4794" t="str">
            <v>2023</v>
          </cell>
        </row>
        <row r="4795">
          <cell r="D4795" t="str">
            <v>2023</v>
          </cell>
        </row>
        <row r="4796">
          <cell r="D4796" t="str">
            <v>2023</v>
          </cell>
        </row>
        <row r="4797">
          <cell r="D4797" t="str">
            <v>2022</v>
          </cell>
        </row>
        <row r="4798">
          <cell r="D4798" t="str">
            <v>2023</v>
          </cell>
        </row>
        <row r="4799">
          <cell r="D4799" t="str">
            <v>2022</v>
          </cell>
        </row>
        <row r="4800">
          <cell r="D4800" t="str">
            <v>2023</v>
          </cell>
        </row>
        <row r="4801">
          <cell r="D4801" t="str">
            <v>2023</v>
          </cell>
        </row>
        <row r="4802">
          <cell r="D4802" t="str">
            <v>2021</v>
          </cell>
        </row>
        <row r="4803">
          <cell r="D4803" t="str">
            <v>2022</v>
          </cell>
        </row>
        <row r="4804">
          <cell r="D4804" t="str">
            <v>2023</v>
          </cell>
        </row>
        <row r="4805">
          <cell r="D4805" t="str">
            <v>2023</v>
          </cell>
        </row>
        <row r="4806">
          <cell r="D4806" t="str">
            <v>2023</v>
          </cell>
        </row>
        <row r="4807">
          <cell r="D4807" t="str">
            <v>2023</v>
          </cell>
        </row>
        <row r="4808">
          <cell r="D4808" t="str">
            <v>2023</v>
          </cell>
        </row>
        <row r="4809">
          <cell r="D4809" t="str">
            <v>2024</v>
          </cell>
        </row>
        <row r="4810">
          <cell r="D4810" t="str">
            <v>2022</v>
          </cell>
        </row>
        <row r="4811">
          <cell r="D4811" t="str">
            <v>2023</v>
          </cell>
        </row>
        <row r="4812">
          <cell r="D4812" t="str">
            <v>2023</v>
          </cell>
        </row>
        <row r="4813">
          <cell r="D4813" t="str">
            <v>2023</v>
          </cell>
        </row>
        <row r="4814">
          <cell r="D4814" t="str">
            <v>2023</v>
          </cell>
        </row>
        <row r="4815">
          <cell r="D4815" t="str">
            <v>2023</v>
          </cell>
        </row>
        <row r="4816">
          <cell r="D4816" t="str">
            <v>2023</v>
          </cell>
        </row>
        <row r="4817">
          <cell r="D4817" t="str">
            <v>2023</v>
          </cell>
        </row>
        <row r="4818">
          <cell r="D4818" t="str">
            <v>2023</v>
          </cell>
        </row>
        <row r="4819">
          <cell r="D4819" t="str">
            <v>2022</v>
          </cell>
        </row>
        <row r="4820">
          <cell r="D4820" t="str">
            <v>2023</v>
          </cell>
        </row>
        <row r="4821">
          <cell r="D4821" t="str">
            <v>2023</v>
          </cell>
        </row>
        <row r="4822">
          <cell r="D4822" t="str">
            <v>2023</v>
          </cell>
        </row>
        <row r="4823">
          <cell r="D4823" t="str">
            <v>2023</v>
          </cell>
        </row>
        <row r="4824">
          <cell r="D4824" t="str">
            <v>2023</v>
          </cell>
        </row>
        <row r="4825">
          <cell r="D4825" t="str">
            <v>2023</v>
          </cell>
        </row>
        <row r="4826">
          <cell r="D4826" t="str">
            <v>2023</v>
          </cell>
        </row>
        <row r="4827">
          <cell r="D4827" t="str">
            <v>2023</v>
          </cell>
        </row>
        <row r="4828">
          <cell r="D4828" t="str">
            <v>2022</v>
          </cell>
        </row>
        <row r="4829">
          <cell r="D4829" t="str">
            <v>2023</v>
          </cell>
        </row>
        <row r="4830">
          <cell r="D4830" t="str">
            <v>2023</v>
          </cell>
        </row>
        <row r="4831">
          <cell r="D4831" t="str">
            <v>2023</v>
          </cell>
        </row>
        <row r="4832">
          <cell r="D4832" t="str">
            <v>2023</v>
          </cell>
        </row>
        <row r="4833">
          <cell r="D4833" t="str">
            <v>2023</v>
          </cell>
        </row>
        <row r="4834">
          <cell r="D4834" t="str">
            <v>2023</v>
          </cell>
        </row>
        <row r="4835">
          <cell r="D4835" t="str">
            <v>2023</v>
          </cell>
        </row>
        <row r="4836">
          <cell r="D4836" t="str">
            <v>2023</v>
          </cell>
        </row>
        <row r="4837">
          <cell r="D4837" t="str">
            <v>2023</v>
          </cell>
        </row>
        <row r="4838">
          <cell r="D4838" t="str">
            <v>2023</v>
          </cell>
        </row>
        <row r="4839">
          <cell r="D4839" t="str">
            <v>2023</v>
          </cell>
        </row>
        <row r="4840">
          <cell r="D4840" t="str">
            <v>2023</v>
          </cell>
        </row>
        <row r="4841">
          <cell r="D4841" t="str">
            <v>2023</v>
          </cell>
        </row>
        <row r="4842">
          <cell r="D4842" t="str">
            <v>2023</v>
          </cell>
        </row>
        <row r="4843">
          <cell r="D4843" t="str">
            <v>2023</v>
          </cell>
        </row>
        <row r="4844">
          <cell r="D4844" t="str">
            <v>2021</v>
          </cell>
        </row>
        <row r="4845">
          <cell r="D4845" t="str">
            <v>2023</v>
          </cell>
        </row>
        <row r="4846">
          <cell r="D4846" t="str">
            <v>2023</v>
          </cell>
        </row>
        <row r="4847">
          <cell r="D4847" t="str">
            <v>2023</v>
          </cell>
        </row>
        <row r="4848">
          <cell r="D4848" t="str">
            <v>2023</v>
          </cell>
        </row>
        <row r="4849">
          <cell r="D4849" t="str">
            <v>2023</v>
          </cell>
        </row>
        <row r="4850">
          <cell r="D4850" t="str">
            <v>2022</v>
          </cell>
        </row>
        <row r="4851">
          <cell r="D4851" t="str">
            <v>2023</v>
          </cell>
        </row>
        <row r="4852">
          <cell r="D4852" t="str">
            <v>2022</v>
          </cell>
        </row>
        <row r="4853">
          <cell r="D4853" t="str">
            <v>2023</v>
          </cell>
        </row>
        <row r="4854">
          <cell r="D4854" t="str">
            <v>2023</v>
          </cell>
        </row>
        <row r="4855">
          <cell r="D4855" t="str">
            <v>2023</v>
          </cell>
        </row>
        <row r="4856">
          <cell r="D4856" t="str">
            <v>2023</v>
          </cell>
        </row>
        <row r="4857">
          <cell r="D4857" t="str">
            <v>2023</v>
          </cell>
        </row>
        <row r="4858">
          <cell r="D4858" t="str">
            <v>2023</v>
          </cell>
        </row>
        <row r="4859">
          <cell r="D4859" t="str">
            <v>2023</v>
          </cell>
        </row>
        <row r="4860">
          <cell r="D4860" t="str">
            <v>2023</v>
          </cell>
        </row>
        <row r="4861">
          <cell r="D4861" t="str">
            <v>2023</v>
          </cell>
        </row>
        <row r="4862">
          <cell r="D4862" t="str">
            <v>2023</v>
          </cell>
        </row>
        <row r="4863">
          <cell r="D4863" t="str">
            <v>2023</v>
          </cell>
        </row>
        <row r="4864">
          <cell r="D4864" t="str">
            <v>2022</v>
          </cell>
        </row>
        <row r="4865">
          <cell r="D4865" t="str">
            <v>2023</v>
          </cell>
        </row>
        <row r="4866">
          <cell r="D4866" t="str">
            <v>2023</v>
          </cell>
        </row>
        <row r="4867">
          <cell r="D4867" t="str">
            <v>2023</v>
          </cell>
        </row>
        <row r="4868">
          <cell r="D4868" t="str">
            <v>2023</v>
          </cell>
        </row>
        <row r="4869">
          <cell r="D4869" t="str">
            <v>2023</v>
          </cell>
        </row>
        <row r="4870">
          <cell r="D4870" t="str">
            <v>2023</v>
          </cell>
        </row>
        <row r="4871">
          <cell r="D4871" t="str">
            <v>2023</v>
          </cell>
        </row>
        <row r="4872">
          <cell r="D4872" t="str">
            <v>2023</v>
          </cell>
        </row>
        <row r="4873">
          <cell r="D4873" t="str">
            <v>2023</v>
          </cell>
        </row>
        <row r="4874">
          <cell r="D4874" t="str">
            <v>2023</v>
          </cell>
        </row>
        <row r="4875">
          <cell r="D4875" t="str">
            <v>2023</v>
          </cell>
        </row>
        <row r="4876">
          <cell r="D4876" t="str">
            <v>2022</v>
          </cell>
        </row>
        <row r="4877">
          <cell r="D4877" t="str">
            <v>2023</v>
          </cell>
        </row>
        <row r="4878">
          <cell r="D4878" t="str">
            <v>2023</v>
          </cell>
        </row>
        <row r="4879">
          <cell r="D4879" t="str">
            <v>2024</v>
          </cell>
        </row>
        <row r="4880">
          <cell r="D4880" t="str">
            <v>2021</v>
          </cell>
        </row>
        <row r="4881">
          <cell r="D4881" t="str">
            <v>2023</v>
          </cell>
        </row>
        <row r="4882">
          <cell r="D4882" t="str">
            <v>2023</v>
          </cell>
        </row>
        <row r="4883">
          <cell r="D4883" t="str">
            <v>2023</v>
          </cell>
        </row>
        <row r="4884">
          <cell r="D4884" t="str">
            <v>2023</v>
          </cell>
        </row>
        <row r="4885">
          <cell r="D4885" t="str">
            <v>2023</v>
          </cell>
        </row>
        <row r="4886">
          <cell r="D4886" t="str">
            <v>2023</v>
          </cell>
        </row>
        <row r="4887">
          <cell r="D4887" t="str">
            <v>2023</v>
          </cell>
        </row>
        <row r="4888">
          <cell r="D4888" t="str">
            <v>2023</v>
          </cell>
        </row>
        <row r="4889">
          <cell r="D4889" t="str">
            <v>2023</v>
          </cell>
        </row>
        <row r="4890">
          <cell r="D4890" t="str">
            <v>2023</v>
          </cell>
        </row>
        <row r="4891">
          <cell r="D4891" t="str">
            <v>2023</v>
          </cell>
        </row>
        <row r="4892">
          <cell r="D4892" t="str">
            <v>2023</v>
          </cell>
        </row>
        <row r="4893">
          <cell r="D4893" t="str">
            <v>2023</v>
          </cell>
        </row>
        <row r="4894">
          <cell r="D4894" t="str">
            <v>2023</v>
          </cell>
        </row>
        <row r="4895">
          <cell r="D4895" t="str">
            <v>2022</v>
          </cell>
        </row>
        <row r="4896">
          <cell r="D4896" t="str">
            <v>2023</v>
          </cell>
        </row>
        <row r="4897">
          <cell r="D4897" t="str">
            <v>2023</v>
          </cell>
        </row>
        <row r="4898">
          <cell r="D4898" t="str">
            <v>2021</v>
          </cell>
        </row>
        <row r="4899">
          <cell r="D4899" t="str">
            <v>2023</v>
          </cell>
        </row>
        <row r="4900">
          <cell r="D4900" t="str">
            <v>2023</v>
          </cell>
        </row>
        <row r="4901">
          <cell r="D4901" t="str">
            <v>2023</v>
          </cell>
        </row>
        <row r="4902">
          <cell r="D4902" t="str">
            <v>2023</v>
          </cell>
        </row>
        <row r="4903">
          <cell r="D4903" t="str">
            <v>2023</v>
          </cell>
        </row>
        <row r="4904">
          <cell r="D4904" t="str">
            <v>2023</v>
          </cell>
        </row>
        <row r="4905">
          <cell r="D4905" t="str">
            <v>2021</v>
          </cell>
        </row>
        <row r="4906">
          <cell r="D4906" t="str">
            <v>2023</v>
          </cell>
        </row>
        <row r="4907">
          <cell r="D4907" t="str">
            <v>2022</v>
          </cell>
        </row>
        <row r="4908">
          <cell r="D4908" t="str">
            <v>2023</v>
          </cell>
        </row>
        <row r="4909">
          <cell r="D4909" t="str">
            <v>2023</v>
          </cell>
        </row>
        <row r="4910">
          <cell r="D4910" t="str">
            <v>2022</v>
          </cell>
        </row>
        <row r="4911">
          <cell r="D4911" t="str">
            <v>2023</v>
          </cell>
        </row>
        <row r="4912">
          <cell r="D4912" t="str">
            <v>2023</v>
          </cell>
        </row>
        <row r="4913">
          <cell r="D4913" t="str">
            <v>2022</v>
          </cell>
        </row>
        <row r="4914">
          <cell r="D4914" t="str">
            <v>2023</v>
          </cell>
        </row>
        <row r="4915">
          <cell r="D4915" t="str">
            <v>2023</v>
          </cell>
        </row>
        <row r="4916">
          <cell r="D4916" t="str">
            <v>2023</v>
          </cell>
        </row>
        <row r="4917">
          <cell r="D4917" t="str">
            <v>2023</v>
          </cell>
        </row>
        <row r="4918">
          <cell r="D4918" t="str">
            <v>2023</v>
          </cell>
        </row>
        <row r="4919">
          <cell r="D4919" t="str">
            <v>2023</v>
          </cell>
        </row>
        <row r="4920">
          <cell r="D4920" t="str">
            <v>2023</v>
          </cell>
        </row>
        <row r="4921">
          <cell r="D4921" t="str">
            <v>2021</v>
          </cell>
        </row>
        <row r="4922">
          <cell r="D4922" t="str">
            <v>2023</v>
          </cell>
        </row>
        <row r="4923">
          <cell r="D4923" t="str">
            <v>2023</v>
          </cell>
        </row>
        <row r="4924">
          <cell r="D4924" t="str">
            <v>2022</v>
          </cell>
        </row>
        <row r="4925">
          <cell r="D4925" t="str">
            <v>2023</v>
          </cell>
        </row>
        <row r="4926">
          <cell r="D4926" t="str">
            <v>2023</v>
          </cell>
        </row>
        <row r="4927">
          <cell r="D4927" t="str">
            <v>2022</v>
          </cell>
        </row>
        <row r="4928">
          <cell r="D4928" t="str">
            <v>2023</v>
          </cell>
        </row>
        <row r="4929">
          <cell r="D4929" t="str">
            <v>2023</v>
          </cell>
        </row>
        <row r="4930">
          <cell r="D4930" t="str">
            <v>2021</v>
          </cell>
        </row>
        <row r="4931">
          <cell r="D4931" t="str">
            <v>2023</v>
          </cell>
        </row>
        <row r="4932">
          <cell r="D4932" t="str">
            <v>2023</v>
          </cell>
        </row>
        <row r="4933">
          <cell r="D4933" t="str">
            <v>2023</v>
          </cell>
        </row>
        <row r="4934">
          <cell r="D4934" t="str">
            <v>2023</v>
          </cell>
        </row>
        <row r="4935">
          <cell r="D4935" t="str">
            <v>2023</v>
          </cell>
        </row>
        <row r="4936">
          <cell r="D4936" t="str">
            <v>2023</v>
          </cell>
        </row>
        <row r="4937">
          <cell r="D4937" t="str">
            <v>2023</v>
          </cell>
        </row>
        <row r="4938">
          <cell r="D4938" t="str">
            <v>2023</v>
          </cell>
        </row>
        <row r="4939">
          <cell r="D4939" t="str">
            <v>2023</v>
          </cell>
        </row>
        <row r="4940">
          <cell r="D4940" t="str">
            <v>2023</v>
          </cell>
        </row>
        <row r="4941">
          <cell r="D4941" t="str">
            <v>2023</v>
          </cell>
        </row>
        <row r="4942">
          <cell r="D4942" t="str">
            <v>2023</v>
          </cell>
        </row>
        <row r="4943">
          <cell r="D4943" t="str">
            <v>2023</v>
          </cell>
        </row>
        <row r="4944">
          <cell r="D4944" t="str">
            <v>2023</v>
          </cell>
        </row>
        <row r="4945">
          <cell r="D4945" t="str">
            <v>2023</v>
          </cell>
        </row>
        <row r="4946">
          <cell r="D4946" t="str">
            <v>2023</v>
          </cell>
        </row>
        <row r="4947">
          <cell r="D4947" t="str">
            <v>2023</v>
          </cell>
        </row>
        <row r="4948">
          <cell r="D4948" t="str">
            <v>2023</v>
          </cell>
        </row>
        <row r="4949">
          <cell r="D4949" t="str">
            <v>2023</v>
          </cell>
        </row>
        <row r="4950">
          <cell r="D4950" t="str">
            <v>2023</v>
          </cell>
        </row>
        <row r="4951">
          <cell r="D4951" t="str">
            <v>2023</v>
          </cell>
        </row>
        <row r="4952">
          <cell r="D4952" t="str">
            <v>2022</v>
          </cell>
        </row>
        <row r="4953">
          <cell r="D4953" t="str">
            <v>2023</v>
          </cell>
        </row>
        <row r="4954">
          <cell r="D4954" t="str">
            <v>2023</v>
          </cell>
        </row>
        <row r="4955">
          <cell r="D4955" t="str">
            <v>2023</v>
          </cell>
        </row>
        <row r="4956">
          <cell r="D4956" t="str">
            <v>2023</v>
          </cell>
        </row>
        <row r="4957">
          <cell r="D4957" t="str">
            <v>2023</v>
          </cell>
        </row>
        <row r="4958">
          <cell r="D4958" t="str">
            <v>2023</v>
          </cell>
        </row>
        <row r="4959">
          <cell r="D4959" t="str">
            <v>2022</v>
          </cell>
        </row>
        <row r="4960">
          <cell r="D4960" t="str">
            <v>2023</v>
          </cell>
        </row>
        <row r="4961">
          <cell r="D4961" t="str">
            <v>2023</v>
          </cell>
        </row>
        <row r="4962">
          <cell r="D4962" t="str">
            <v>2022</v>
          </cell>
        </row>
        <row r="4963">
          <cell r="D4963" t="str">
            <v>2023</v>
          </cell>
        </row>
        <row r="4964">
          <cell r="D4964" t="str">
            <v>2023</v>
          </cell>
        </row>
        <row r="4965">
          <cell r="D4965" t="str">
            <v>2023</v>
          </cell>
        </row>
        <row r="4966">
          <cell r="D4966" t="str">
            <v>2021</v>
          </cell>
        </row>
        <row r="4967">
          <cell r="D4967" t="str">
            <v>2023</v>
          </cell>
        </row>
        <row r="4968">
          <cell r="D4968" t="str">
            <v>2022</v>
          </cell>
        </row>
        <row r="4969">
          <cell r="D4969" t="str">
            <v>2023</v>
          </cell>
        </row>
        <row r="4970">
          <cell r="D4970" t="str">
            <v>2023</v>
          </cell>
        </row>
        <row r="4971">
          <cell r="D4971" t="str">
            <v>2023</v>
          </cell>
        </row>
        <row r="4972">
          <cell r="D4972" t="str">
            <v>2023</v>
          </cell>
        </row>
        <row r="4973">
          <cell r="D4973" t="str">
            <v>2023</v>
          </cell>
        </row>
        <row r="4974">
          <cell r="D4974" t="str">
            <v>2023</v>
          </cell>
        </row>
        <row r="4975">
          <cell r="D4975" t="str">
            <v>2023</v>
          </cell>
        </row>
        <row r="4976">
          <cell r="D4976" t="str">
            <v>2023</v>
          </cell>
        </row>
        <row r="4977">
          <cell r="D4977" t="str">
            <v>2023</v>
          </cell>
        </row>
        <row r="4978">
          <cell r="D4978" t="str">
            <v>2023</v>
          </cell>
        </row>
        <row r="4979">
          <cell r="D4979" t="str">
            <v>2023</v>
          </cell>
        </row>
        <row r="4980">
          <cell r="D4980" t="str">
            <v>2023</v>
          </cell>
        </row>
        <row r="4981">
          <cell r="D4981" t="str">
            <v>2023</v>
          </cell>
        </row>
        <row r="4982">
          <cell r="D4982" t="str">
            <v>2023</v>
          </cell>
        </row>
        <row r="4983">
          <cell r="D4983" t="str">
            <v>2023</v>
          </cell>
        </row>
        <row r="4984">
          <cell r="D4984" t="str">
            <v>2023</v>
          </cell>
        </row>
        <row r="4985">
          <cell r="D4985" t="str">
            <v>2022</v>
          </cell>
        </row>
        <row r="4986">
          <cell r="D4986" t="str">
            <v>2023</v>
          </cell>
        </row>
        <row r="4987">
          <cell r="D4987" t="str">
            <v>2023</v>
          </cell>
        </row>
        <row r="4988">
          <cell r="D4988" t="str">
            <v>2023</v>
          </cell>
        </row>
        <row r="4989">
          <cell r="D4989" t="str">
            <v>2023</v>
          </cell>
        </row>
        <row r="4990">
          <cell r="D4990" t="str">
            <v>2023</v>
          </cell>
        </row>
        <row r="4991">
          <cell r="D4991" t="str">
            <v>2023</v>
          </cell>
        </row>
        <row r="4992">
          <cell r="D4992" t="str">
            <v>2023</v>
          </cell>
        </row>
        <row r="4993">
          <cell r="D4993" t="str">
            <v>2024</v>
          </cell>
        </row>
        <row r="4994">
          <cell r="D4994" t="str">
            <v>2023</v>
          </cell>
        </row>
        <row r="4995">
          <cell r="D4995" t="str">
            <v>2023</v>
          </cell>
        </row>
        <row r="4996">
          <cell r="D4996" t="str">
            <v>2023</v>
          </cell>
        </row>
        <row r="4997">
          <cell r="D4997" t="str">
            <v>2023</v>
          </cell>
        </row>
        <row r="4998">
          <cell r="D4998" t="str">
            <v>2023</v>
          </cell>
        </row>
        <row r="4999">
          <cell r="D4999" t="str">
            <v>2023</v>
          </cell>
        </row>
        <row r="5000">
          <cell r="D5000" t="str">
            <v>2023</v>
          </cell>
        </row>
        <row r="5001">
          <cell r="D5001" t="str">
            <v>2023</v>
          </cell>
        </row>
        <row r="5002">
          <cell r="D5002" t="str">
            <v>2023</v>
          </cell>
        </row>
        <row r="5003">
          <cell r="D5003" t="str">
            <v>2023</v>
          </cell>
        </row>
        <row r="5004">
          <cell r="D5004" t="str">
            <v>2023</v>
          </cell>
        </row>
        <row r="5005">
          <cell r="D5005" t="str">
            <v>2023</v>
          </cell>
        </row>
        <row r="5006">
          <cell r="D5006" t="str">
            <v>2023</v>
          </cell>
        </row>
        <row r="5007">
          <cell r="D5007" t="str">
            <v>2023</v>
          </cell>
        </row>
        <row r="5008">
          <cell r="D5008" t="str">
            <v>2021</v>
          </cell>
        </row>
        <row r="5009">
          <cell r="D5009" t="str">
            <v>2023</v>
          </cell>
        </row>
        <row r="5010">
          <cell r="D5010" t="str">
            <v>2023</v>
          </cell>
        </row>
        <row r="5011">
          <cell r="D5011" t="str">
            <v>2023</v>
          </cell>
        </row>
        <row r="5012">
          <cell r="D5012" t="str">
            <v>2023</v>
          </cell>
        </row>
        <row r="5013">
          <cell r="D5013" t="str">
            <v>2023</v>
          </cell>
        </row>
        <row r="5014">
          <cell r="D5014" t="str">
            <v>2023</v>
          </cell>
        </row>
        <row r="5015">
          <cell r="D5015" t="str">
            <v>2023</v>
          </cell>
        </row>
        <row r="5016">
          <cell r="D5016" t="str">
            <v>2023</v>
          </cell>
        </row>
        <row r="5017">
          <cell r="D5017" t="str">
            <v>2023</v>
          </cell>
        </row>
        <row r="5018">
          <cell r="D5018" t="str">
            <v>2023</v>
          </cell>
        </row>
        <row r="5019">
          <cell r="D5019" t="str">
            <v>2021</v>
          </cell>
        </row>
        <row r="5020">
          <cell r="D5020" t="str">
            <v>2023</v>
          </cell>
        </row>
        <row r="5021">
          <cell r="D5021" t="str">
            <v>2022</v>
          </cell>
        </row>
        <row r="5022">
          <cell r="D5022" t="str">
            <v>2023</v>
          </cell>
        </row>
        <row r="5023">
          <cell r="D5023" t="str">
            <v>2023</v>
          </cell>
        </row>
        <row r="5024">
          <cell r="D5024" t="str">
            <v>2023</v>
          </cell>
        </row>
        <row r="5025">
          <cell r="D5025" t="str">
            <v>2023</v>
          </cell>
        </row>
        <row r="5026">
          <cell r="D5026" t="str">
            <v>2021</v>
          </cell>
        </row>
        <row r="5027">
          <cell r="D5027" t="str">
            <v>2023</v>
          </cell>
        </row>
        <row r="5028">
          <cell r="D5028" t="str">
            <v>2021</v>
          </cell>
        </row>
        <row r="5029">
          <cell r="D5029" t="str">
            <v>2021</v>
          </cell>
        </row>
        <row r="5030">
          <cell r="D5030" t="str">
            <v>2023</v>
          </cell>
        </row>
        <row r="5031">
          <cell r="D5031" t="str">
            <v>2023</v>
          </cell>
        </row>
        <row r="5032">
          <cell r="D5032" t="str">
            <v>2023</v>
          </cell>
        </row>
        <row r="5033">
          <cell r="D5033" t="str">
            <v>2023</v>
          </cell>
        </row>
        <row r="5034">
          <cell r="D5034" t="str">
            <v>2021</v>
          </cell>
        </row>
        <row r="5035">
          <cell r="D5035" t="str">
            <v>2023</v>
          </cell>
        </row>
        <row r="5036">
          <cell r="D5036" t="str">
            <v>2022</v>
          </cell>
        </row>
        <row r="5037">
          <cell r="D5037" t="str">
            <v>2023</v>
          </cell>
        </row>
        <row r="5038">
          <cell r="D5038" t="str">
            <v>2021</v>
          </cell>
        </row>
        <row r="5039">
          <cell r="D5039" t="str">
            <v>2023</v>
          </cell>
        </row>
        <row r="5040">
          <cell r="D5040" t="str">
            <v>2023</v>
          </cell>
        </row>
        <row r="5041">
          <cell r="D5041" t="str">
            <v>2023</v>
          </cell>
        </row>
        <row r="5042">
          <cell r="D5042" t="str">
            <v>2023</v>
          </cell>
        </row>
        <row r="5043">
          <cell r="D5043" t="str">
            <v>2024</v>
          </cell>
        </row>
        <row r="5044">
          <cell r="D5044" t="str">
            <v>2023</v>
          </cell>
        </row>
        <row r="5045">
          <cell r="D5045" t="str">
            <v>2023</v>
          </cell>
        </row>
        <row r="5046">
          <cell r="D5046" t="str">
            <v>2023</v>
          </cell>
        </row>
        <row r="5047">
          <cell r="D5047" t="str">
            <v>2023</v>
          </cell>
        </row>
        <row r="5048">
          <cell r="D5048" t="str">
            <v>2021</v>
          </cell>
        </row>
        <row r="5049">
          <cell r="D5049" t="str">
            <v>2023</v>
          </cell>
        </row>
        <row r="5050">
          <cell r="D5050" t="str">
            <v>2023</v>
          </cell>
        </row>
        <row r="5051">
          <cell r="D5051" t="str">
            <v>2023</v>
          </cell>
        </row>
        <row r="5052">
          <cell r="D5052" t="str">
            <v>2023</v>
          </cell>
        </row>
        <row r="5053">
          <cell r="D5053" t="str">
            <v>2023</v>
          </cell>
        </row>
        <row r="5054">
          <cell r="D5054" t="str">
            <v>2023</v>
          </cell>
        </row>
        <row r="5055">
          <cell r="D5055" t="str">
            <v>2023</v>
          </cell>
        </row>
        <row r="5056">
          <cell r="D5056" t="str">
            <v>2023</v>
          </cell>
        </row>
        <row r="5057">
          <cell r="D5057" t="str">
            <v>2023</v>
          </cell>
        </row>
        <row r="5058">
          <cell r="D5058" t="str">
            <v>2023</v>
          </cell>
        </row>
        <row r="5059">
          <cell r="D5059" t="str">
            <v>2023</v>
          </cell>
        </row>
        <row r="5060">
          <cell r="D5060" t="str">
            <v>2023</v>
          </cell>
        </row>
        <row r="5061">
          <cell r="D5061" t="str">
            <v>2023</v>
          </cell>
        </row>
        <row r="5062">
          <cell r="D5062" t="str">
            <v>2021</v>
          </cell>
        </row>
        <row r="5063">
          <cell r="D5063" t="str">
            <v>2023</v>
          </cell>
        </row>
        <row r="5064">
          <cell r="D5064" t="str">
            <v>2023</v>
          </cell>
        </row>
        <row r="5065">
          <cell r="D5065" t="str">
            <v>2021</v>
          </cell>
        </row>
        <row r="5066">
          <cell r="D5066" t="str">
            <v>2023</v>
          </cell>
        </row>
        <row r="5067">
          <cell r="D5067" t="str">
            <v>2023</v>
          </cell>
        </row>
        <row r="5068">
          <cell r="D5068" t="str">
            <v>2023</v>
          </cell>
        </row>
        <row r="5069">
          <cell r="D5069" t="str">
            <v>2023</v>
          </cell>
        </row>
        <row r="5070">
          <cell r="D5070" t="str">
            <v>2023</v>
          </cell>
        </row>
        <row r="5071">
          <cell r="D5071" t="str">
            <v>2023</v>
          </cell>
        </row>
        <row r="5072">
          <cell r="D5072" t="str">
            <v>2023</v>
          </cell>
        </row>
        <row r="5073">
          <cell r="D5073" t="str">
            <v>2023</v>
          </cell>
        </row>
        <row r="5074">
          <cell r="D5074" t="str">
            <v>2023</v>
          </cell>
        </row>
        <row r="5075">
          <cell r="D5075" t="str">
            <v>2023</v>
          </cell>
        </row>
        <row r="5076">
          <cell r="D5076" t="str">
            <v>2023</v>
          </cell>
        </row>
        <row r="5077">
          <cell r="D5077" t="str">
            <v>2023</v>
          </cell>
        </row>
        <row r="5078">
          <cell r="D5078" t="str">
            <v>2024</v>
          </cell>
        </row>
        <row r="5079">
          <cell r="D5079" t="str">
            <v>2023</v>
          </cell>
        </row>
        <row r="5080">
          <cell r="D5080" t="str">
            <v>2023</v>
          </cell>
        </row>
        <row r="5081">
          <cell r="D5081" t="str">
            <v>2023</v>
          </cell>
        </row>
        <row r="5082">
          <cell r="D5082" t="str">
            <v>2023</v>
          </cell>
        </row>
        <row r="5083">
          <cell r="D5083" t="str">
            <v>2023</v>
          </cell>
        </row>
        <row r="5084">
          <cell r="D5084" t="str">
            <v>2022</v>
          </cell>
        </row>
        <row r="5085">
          <cell r="D5085" t="str">
            <v>2023</v>
          </cell>
        </row>
        <row r="5086">
          <cell r="D5086" t="str">
            <v>2023</v>
          </cell>
        </row>
        <row r="5087">
          <cell r="D5087" t="str">
            <v>2023</v>
          </cell>
        </row>
        <row r="5088">
          <cell r="D5088" t="str">
            <v>2023</v>
          </cell>
        </row>
        <row r="5089">
          <cell r="D5089" t="str">
            <v>2021</v>
          </cell>
        </row>
        <row r="5090">
          <cell r="D5090" t="str">
            <v>2021</v>
          </cell>
        </row>
        <row r="5091">
          <cell r="D5091" t="str">
            <v>2023</v>
          </cell>
        </row>
        <row r="5092">
          <cell r="D5092" t="str">
            <v>2023</v>
          </cell>
        </row>
        <row r="5093">
          <cell r="D5093" t="str">
            <v>2021</v>
          </cell>
        </row>
        <row r="5094">
          <cell r="D5094" t="str">
            <v>2023</v>
          </cell>
        </row>
        <row r="5095">
          <cell r="D5095" t="str">
            <v>2023</v>
          </cell>
        </row>
        <row r="5096">
          <cell r="D5096" t="str">
            <v>2023</v>
          </cell>
        </row>
        <row r="5097">
          <cell r="D5097" t="str">
            <v>2023</v>
          </cell>
        </row>
        <row r="5098">
          <cell r="D5098" t="str">
            <v>2023</v>
          </cell>
        </row>
        <row r="5099">
          <cell r="D5099" t="str">
            <v>2023</v>
          </cell>
        </row>
        <row r="5100">
          <cell r="D5100" t="str">
            <v>2023</v>
          </cell>
        </row>
        <row r="5101">
          <cell r="D5101" t="str">
            <v>2021</v>
          </cell>
        </row>
        <row r="5102">
          <cell r="D5102" t="str">
            <v>2023</v>
          </cell>
        </row>
        <row r="5103">
          <cell r="D5103" t="str">
            <v>2023</v>
          </cell>
        </row>
        <row r="5104">
          <cell r="D5104" t="str">
            <v>2023</v>
          </cell>
        </row>
        <row r="5105">
          <cell r="D5105" t="str">
            <v>2023</v>
          </cell>
        </row>
        <row r="5106">
          <cell r="D5106" t="str">
            <v>2023</v>
          </cell>
        </row>
        <row r="5107">
          <cell r="D5107" t="str">
            <v>2023</v>
          </cell>
        </row>
        <row r="5108">
          <cell r="D5108" t="str">
            <v>2023</v>
          </cell>
        </row>
        <row r="5109">
          <cell r="D5109" t="str">
            <v>2023</v>
          </cell>
        </row>
        <row r="5110">
          <cell r="D5110" t="str">
            <v>2023</v>
          </cell>
        </row>
        <row r="5111">
          <cell r="D5111" t="str">
            <v>2023</v>
          </cell>
        </row>
        <row r="5112">
          <cell r="D5112" t="str">
            <v>2023</v>
          </cell>
        </row>
        <row r="5113">
          <cell r="D5113" t="str">
            <v>2023</v>
          </cell>
        </row>
        <row r="5114">
          <cell r="D5114" t="str">
            <v>2023</v>
          </cell>
        </row>
        <row r="5115">
          <cell r="D5115" t="str">
            <v>2023</v>
          </cell>
        </row>
        <row r="5116">
          <cell r="D5116" t="str">
            <v>2023</v>
          </cell>
        </row>
        <row r="5117">
          <cell r="D5117" t="str">
            <v>2023</v>
          </cell>
        </row>
        <row r="5118">
          <cell r="D5118" t="str">
            <v>2023</v>
          </cell>
        </row>
        <row r="5119">
          <cell r="D5119" t="str">
            <v>2023</v>
          </cell>
        </row>
        <row r="5120">
          <cell r="D5120" t="str">
            <v>2023</v>
          </cell>
        </row>
        <row r="5121">
          <cell r="D5121" t="str">
            <v>2023</v>
          </cell>
        </row>
        <row r="5122">
          <cell r="D5122" t="str">
            <v>2023</v>
          </cell>
        </row>
        <row r="5123">
          <cell r="D5123" t="str">
            <v>2023</v>
          </cell>
        </row>
        <row r="5124">
          <cell r="D5124" t="str">
            <v>2023</v>
          </cell>
        </row>
        <row r="5125">
          <cell r="D5125" t="str">
            <v>2023</v>
          </cell>
        </row>
        <row r="5126">
          <cell r="D5126" t="str">
            <v>2023</v>
          </cell>
        </row>
        <row r="5127">
          <cell r="D5127" t="str">
            <v>2023</v>
          </cell>
        </row>
        <row r="5128">
          <cell r="D5128" t="str">
            <v>2023</v>
          </cell>
        </row>
        <row r="5129">
          <cell r="D5129" t="str">
            <v>2023</v>
          </cell>
        </row>
        <row r="5130">
          <cell r="D5130" t="str">
            <v>2022</v>
          </cell>
        </row>
        <row r="5131">
          <cell r="D5131" t="str">
            <v>2023</v>
          </cell>
        </row>
        <row r="5132">
          <cell r="D5132" t="str">
            <v>2023</v>
          </cell>
        </row>
        <row r="5133">
          <cell r="D5133" t="str">
            <v>2023</v>
          </cell>
        </row>
        <row r="5134">
          <cell r="D5134" t="str">
            <v>2023</v>
          </cell>
        </row>
        <row r="5135">
          <cell r="D5135" t="str">
            <v>2023</v>
          </cell>
        </row>
        <row r="5136">
          <cell r="D5136" t="str">
            <v>2023</v>
          </cell>
        </row>
        <row r="5137">
          <cell r="D5137" t="str">
            <v>2023</v>
          </cell>
        </row>
        <row r="5138">
          <cell r="D5138" t="str">
            <v>2023</v>
          </cell>
        </row>
        <row r="5139">
          <cell r="D5139" t="str">
            <v>2022</v>
          </cell>
        </row>
        <row r="5140">
          <cell r="D5140" t="str">
            <v>2023</v>
          </cell>
        </row>
        <row r="5141">
          <cell r="D5141" t="str">
            <v>2023</v>
          </cell>
        </row>
        <row r="5142">
          <cell r="D5142" t="str">
            <v>2023</v>
          </cell>
        </row>
        <row r="5143">
          <cell r="D5143" t="str">
            <v>2023</v>
          </cell>
        </row>
        <row r="5144">
          <cell r="D5144" t="str">
            <v>2022</v>
          </cell>
        </row>
        <row r="5145">
          <cell r="D5145" t="str">
            <v>2023</v>
          </cell>
        </row>
        <row r="5146">
          <cell r="D5146" t="str">
            <v>2023</v>
          </cell>
        </row>
        <row r="5147">
          <cell r="D5147" t="str">
            <v>2021</v>
          </cell>
        </row>
        <row r="5148">
          <cell r="D5148" t="str">
            <v>2023</v>
          </cell>
        </row>
        <row r="5149">
          <cell r="D5149" t="str">
            <v>2023</v>
          </cell>
        </row>
        <row r="5150">
          <cell r="D5150" t="str">
            <v>2023</v>
          </cell>
        </row>
        <row r="5151">
          <cell r="D5151" t="str">
            <v>2023</v>
          </cell>
        </row>
        <row r="5152">
          <cell r="D5152" t="str">
            <v>2023</v>
          </cell>
        </row>
        <row r="5153">
          <cell r="D5153" t="str">
            <v>2023</v>
          </cell>
        </row>
        <row r="5154">
          <cell r="D5154" t="str">
            <v>2023</v>
          </cell>
        </row>
        <row r="5155">
          <cell r="D5155" t="str">
            <v>2023</v>
          </cell>
        </row>
        <row r="5156">
          <cell r="D5156" t="str">
            <v>2023</v>
          </cell>
        </row>
        <row r="5157">
          <cell r="D5157" t="str">
            <v>2023</v>
          </cell>
        </row>
        <row r="5158">
          <cell r="D5158" t="str">
            <v>2023</v>
          </cell>
        </row>
        <row r="5159">
          <cell r="D5159" t="str">
            <v>2023</v>
          </cell>
        </row>
        <row r="5160">
          <cell r="D5160" t="str">
            <v>2023</v>
          </cell>
        </row>
        <row r="5161">
          <cell r="D5161" t="str">
            <v>2023</v>
          </cell>
        </row>
        <row r="5162">
          <cell r="D5162" t="str">
            <v>2023</v>
          </cell>
        </row>
        <row r="5163">
          <cell r="D5163" t="str">
            <v>2023</v>
          </cell>
        </row>
        <row r="5164">
          <cell r="D5164" t="str">
            <v>2023</v>
          </cell>
        </row>
        <row r="5165">
          <cell r="D5165" t="str">
            <v>2023</v>
          </cell>
        </row>
        <row r="5166">
          <cell r="D5166" t="str">
            <v>2023</v>
          </cell>
        </row>
        <row r="5167">
          <cell r="D5167" t="str">
            <v>2023</v>
          </cell>
        </row>
        <row r="5168">
          <cell r="D5168" t="str">
            <v>2023</v>
          </cell>
        </row>
        <row r="5169">
          <cell r="D5169" t="str">
            <v>2023</v>
          </cell>
        </row>
        <row r="5170">
          <cell r="D5170" t="str">
            <v>2023</v>
          </cell>
        </row>
        <row r="5171">
          <cell r="D5171" t="str">
            <v>2023</v>
          </cell>
        </row>
        <row r="5172">
          <cell r="D5172" t="str">
            <v>2023</v>
          </cell>
        </row>
        <row r="5173">
          <cell r="D5173" t="str">
            <v>2023</v>
          </cell>
        </row>
        <row r="5174">
          <cell r="D5174" t="str">
            <v>2023</v>
          </cell>
        </row>
        <row r="5175">
          <cell r="D5175" t="str">
            <v>2023</v>
          </cell>
        </row>
        <row r="5176">
          <cell r="D5176" t="str">
            <v>2023</v>
          </cell>
        </row>
        <row r="5177">
          <cell r="D5177" t="str">
            <v>2023</v>
          </cell>
        </row>
        <row r="5178">
          <cell r="D5178" t="str">
            <v>2023</v>
          </cell>
        </row>
        <row r="5179">
          <cell r="D5179" t="str">
            <v>2023</v>
          </cell>
        </row>
        <row r="5180">
          <cell r="D5180" t="str">
            <v>2023</v>
          </cell>
        </row>
        <row r="5181">
          <cell r="D5181" t="str">
            <v>2023</v>
          </cell>
        </row>
        <row r="5182">
          <cell r="D5182" t="str">
            <v>2023</v>
          </cell>
        </row>
        <row r="5183">
          <cell r="D5183" t="str">
            <v>2023</v>
          </cell>
        </row>
        <row r="5184">
          <cell r="D5184" t="str">
            <v>2023</v>
          </cell>
        </row>
        <row r="5185">
          <cell r="D5185" t="str">
            <v>2023</v>
          </cell>
        </row>
        <row r="5186">
          <cell r="D5186" t="str">
            <v>2023</v>
          </cell>
        </row>
        <row r="5187">
          <cell r="D5187" t="str">
            <v>2023</v>
          </cell>
        </row>
        <row r="5188">
          <cell r="D5188" t="str">
            <v>2023</v>
          </cell>
        </row>
        <row r="5189">
          <cell r="D5189" t="str">
            <v>2023</v>
          </cell>
        </row>
        <row r="5190">
          <cell r="D5190" t="str">
            <v>2023</v>
          </cell>
        </row>
        <row r="5191">
          <cell r="D5191" t="str">
            <v>2023</v>
          </cell>
        </row>
        <row r="5192">
          <cell r="D5192" t="str">
            <v>2023</v>
          </cell>
        </row>
        <row r="5193">
          <cell r="D5193" t="str">
            <v>2023</v>
          </cell>
        </row>
        <row r="5194">
          <cell r="D5194" t="str">
            <v>2023</v>
          </cell>
        </row>
        <row r="5195">
          <cell r="D5195" t="str">
            <v>2023</v>
          </cell>
        </row>
        <row r="5196">
          <cell r="D5196" t="str">
            <v>2023</v>
          </cell>
        </row>
        <row r="5197">
          <cell r="D5197" t="str">
            <v>2022</v>
          </cell>
        </row>
        <row r="5198">
          <cell r="D5198" t="str">
            <v>2023</v>
          </cell>
        </row>
        <row r="5199">
          <cell r="D5199" t="str">
            <v>2023</v>
          </cell>
        </row>
        <row r="5200">
          <cell r="D5200" t="str">
            <v>2023</v>
          </cell>
        </row>
        <row r="5201">
          <cell r="D5201" t="str">
            <v>2023</v>
          </cell>
        </row>
        <row r="5202">
          <cell r="D5202" t="str">
            <v>2022</v>
          </cell>
        </row>
        <row r="5203">
          <cell r="D5203" t="str">
            <v>2022</v>
          </cell>
        </row>
        <row r="5204">
          <cell r="D5204" t="str">
            <v>2021</v>
          </cell>
        </row>
        <row r="5205">
          <cell r="D5205" t="str">
            <v>2023</v>
          </cell>
        </row>
        <row r="5206">
          <cell r="D5206" t="str">
            <v>2023</v>
          </cell>
        </row>
        <row r="5207">
          <cell r="D5207" t="str">
            <v>2023</v>
          </cell>
        </row>
        <row r="5208">
          <cell r="D5208" t="str">
            <v>2023</v>
          </cell>
        </row>
        <row r="5209">
          <cell r="D5209" t="str">
            <v>2023</v>
          </cell>
        </row>
        <row r="5210">
          <cell r="D5210" t="str">
            <v>2023</v>
          </cell>
        </row>
        <row r="5211">
          <cell r="D5211" t="str">
            <v>2023</v>
          </cell>
        </row>
        <row r="5212">
          <cell r="D5212" t="str">
            <v>2023</v>
          </cell>
        </row>
        <row r="5213">
          <cell r="D5213" t="str">
            <v>2022</v>
          </cell>
        </row>
        <row r="5214">
          <cell r="D5214" t="str">
            <v>2023</v>
          </cell>
        </row>
        <row r="5215">
          <cell r="D5215" t="str">
            <v>2023</v>
          </cell>
        </row>
        <row r="5216">
          <cell r="D5216" t="str">
            <v>2023</v>
          </cell>
        </row>
        <row r="5217">
          <cell r="D5217" t="str">
            <v>2023</v>
          </cell>
        </row>
        <row r="5218">
          <cell r="D5218" t="str">
            <v>2023</v>
          </cell>
        </row>
        <row r="5219">
          <cell r="D5219" t="str">
            <v>2023</v>
          </cell>
        </row>
        <row r="5220">
          <cell r="D5220" t="str">
            <v>2022</v>
          </cell>
        </row>
        <row r="5221">
          <cell r="D5221" t="str">
            <v>2021</v>
          </cell>
        </row>
        <row r="5222">
          <cell r="D5222" t="str">
            <v>2023</v>
          </cell>
        </row>
        <row r="5223">
          <cell r="D5223" t="str">
            <v>2023</v>
          </cell>
        </row>
        <row r="5224">
          <cell r="D5224" t="str">
            <v>2023</v>
          </cell>
        </row>
        <row r="5225">
          <cell r="D5225" t="str">
            <v>2024</v>
          </cell>
        </row>
        <row r="5226">
          <cell r="D5226" t="str">
            <v>2022</v>
          </cell>
        </row>
        <row r="5227">
          <cell r="D5227" t="str">
            <v>2023</v>
          </cell>
        </row>
        <row r="5228">
          <cell r="D5228" t="str">
            <v>2023</v>
          </cell>
        </row>
        <row r="5229">
          <cell r="D5229" t="str">
            <v>2023</v>
          </cell>
        </row>
        <row r="5230">
          <cell r="D5230" t="str">
            <v>2023</v>
          </cell>
        </row>
        <row r="5231">
          <cell r="D5231" t="str">
            <v>2023</v>
          </cell>
        </row>
        <row r="5232">
          <cell r="D5232" t="str">
            <v>2023</v>
          </cell>
        </row>
        <row r="5233">
          <cell r="D5233" t="str">
            <v>2023</v>
          </cell>
        </row>
        <row r="5234">
          <cell r="D5234" t="str">
            <v>2023</v>
          </cell>
        </row>
        <row r="5235">
          <cell r="D5235" t="str">
            <v>2023</v>
          </cell>
        </row>
        <row r="5236">
          <cell r="D5236" t="str">
            <v>2023</v>
          </cell>
        </row>
        <row r="5237">
          <cell r="D5237" t="str">
            <v>2023</v>
          </cell>
        </row>
        <row r="5238">
          <cell r="D5238" t="str">
            <v>2023</v>
          </cell>
        </row>
        <row r="5239">
          <cell r="D5239" t="str">
            <v>2023</v>
          </cell>
        </row>
        <row r="5240">
          <cell r="D5240" t="str">
            <v>2023</v>
          </cell>
        </row>
        <row r="5241">
          <cell r="D5241" t="str">
            <v>2023</v>
          </cell>
        </row>
        <row r="5242">
          <cell r="D5242" t="str">
            <v>2023</v>
          </cell>
        </row>
        <row r="5243">
          <cell r="D5243" t="str">
            <v>2023</v>
          </cell>
        </row>
        <row r="5244">
          <cell r="D5244" t="str">
            <v>2023</v>
          </cell>
        </row>
        <row r="5245">
          <cell r="D5245" t="str">
            <v>2023</v>
          </cell>
        </row>
        <row r="5246">
          <cell r="D5246" t="str">
            <v>2023</v>
          </cell>
        </row>
        <row r="5247">
          <cell r="D5247" t="str">
            <v>2023</v>
          </cell>
        </row>
        <row r="5248">
          <cell r="D5248" t="str">
            <v>2023</v>
          </cell>
        </row>
        <row r="5249">
          <cell r="D5249" t="str">
            <v>2023</v>
          </cell>
        </row>
        <row r="5250">
          <cell r="D5250" t="str">
            <v>2022</v>
          </cell>
        </row>
        <row r="5251">
          <cell r="D5251" t="str">
            <v>2022</v>
          </cell>
        </row>
        <row r="5252">
          <cell r="D5252" t="str">
            <v>2022</v>
          </cell>
        </row>
        <row r="5253">
          <cell r="D5253" t="str">
            <v>2023</v>
          </cell>
        </row>
        <row r="5254">
          <cell r="D5254" t="str">
            <v>2021</v>
          </cell>
        </row>
        <row r="5255">
          <cell r="D5255" t="str">
            <v>2023</v>
          </cell>
        </row>
        <row r="5256">
          <cell r="D5256" t="str">
            <v>2023</v>
          </cell>
        </row>
        <row r="5257">
          <cell r="D5257" t="str">
            <v>2023</v>
          </cell>
        </row>
        <row r="5258">
          <cell r="D5258" t="str">
            <v>2023</v>
          </cell>
        </row>
        <row r="5259">
          <cell r="D5259" t="str">
            <v>2023</v>
          </cell>
        </row>
        <row r="5260">
          <cell r="D5260" t="str">
            <v>2023</v>
          </cell>
        </row>
        <row r="5261">
          <cell r="D5261" t="str">
            <v>2023</v>
          </cell>
        </row>
        <row r="5262">
          <cell r="D5262" t="str">
            <v>2021</v>
          </cell>
        </row>
        <row r="5263">
          <cell r="D5263" t="str">
            <v>2022</v>
          </cell>
        </row>
        <row r="5264">
          <cell r="D5264" t="str">
            <v>2023</v>
          </cell>
        </row>
        <row r="5265">
          <cell r="D5265" t="str">
            <v>2024</v>
          </cell>
        </row>
        <row r="5266">
          <cell r="D5266" t="str">
            <v>2021</v>
          </cell>
        </row>
        <row r="5267">
          <cell r="D5267" t="str">
            <v>2023</v>
          </cell>
        </row>
        <row r="5268">
          <cell r="D5268" t="str">
            <v>2022</v>
          </cell>
        </row>
        <row r="5269">
          <cell r="D5269" t="str">
            <v>2023</v>
          </cell>
        </row>
        <row r="5270">
          <cell r="D5270" t="str">
            <v>2021</v>
          </cell>
        </row>
        <row r="5271">
          <cell r="D5271" t="str">
            <v>2023</v>
          </cell>
        </row>
        <row r="5272">
          <cell r="D5272" t="str">
            <v>2023</v>
          </cell>
        </row>
        <row r="5273">
          <cell r="D5273" t="str">
            <v>2023</v>
          </cell>
        </row>
        <row r="5274">
          <cell r="D5274" t="str">
            <v>2022</v>
          </cell>
        </row>
        <row r="5275">
          <cell r="D5275" t="str">
            <v>2023</v>
          </cell>
        </row>
        <row r="5276">
          <cell r="D5276" t="str">
            <v>2022</v>
          </cell>
        </row>
        <row r="5277">
          <cell r="D5277" t="str">
            <v>2023</v>
          </cell>
        </row>
        <row r="5278">
          <cell r="D5278" t="str">
            <v>2024</v>
          </cell>
        </row>
        <row r="5279">
          <cell r="D5279" t="str">
            <v>2023</v>
          </cell>
        </row>
        <row r="5280">
          <cell r="D5280" t="str">
            <v>2023</v>
          </cell>
        </row>
        <row r="5281">
          <cell r="D5281" t="str">
            <v>2023</v>
          </cell>
        </row>
        <row r="5282">
          <cell r="D5282" t="str">
            <v>2022</v>
          </cell>
        </row>
        <row r="5283">
          <cell r="D5283" t="str">
            <v>2023</v>
          </cell>
        </row>
        <row r="5284">
          <cell r="D5284" t="str">
            <v>2023</v>
          </cell>
        </row>
        <row r="5285">
          <cell r="D5285" t="str">
            <v>2023</v>
          </cell>
        </row>
        <row r="5286">
          <cell r="D5286" t="str">
            <v>2023</v>
          </cell>
        </row>
        <row r="5287">
          <cell r="D5287" t="str">
            <v>2021</v>
          </cell>
        </row>
        <row r="5288">
          <cell r="D5288" t="str">
            <v>2023</v>
          </cell>
        </row>
        <row r="5289">
          <cell r="D5289" t="str">
            <v>2023</v>
          </cell>
        </row>
        <row r="5290">
          <cell r="D5290" t="str">
            <v>2023</v>
          </cell>
        </row>
        <row r="5291">
          <cell r="D5291" t="str">
            <v>2023</v>
          </cell>
        </row>
        <row r="5292">
          <cell r="D5292" t="str">
            <v>2023</v>
          </cell>
        </row>
        <row r="5293">
          <cell r="D5293" t="str">
            <v>2023</v>
          </cell>
        </row>
        <row r="5294">
          <cell r="D5294" t="str">
            <v>2022</v>
          </cell>
        </row>
        <row r="5295">
          <cell r="D5295" t="str">
            <v>2023</v>
          </cell>
        </row>
        <row r="5296">
          <cell r="D5296" t="str">
            <v>2023</v>
          </cell>
        </row>
        <row r="5297">
          <cell r="D5297" t="str">
            <v>2021</v>
          </cell>
        </row>
        <row r="5298">
          <cell r="D5298" t="str">
            <v>2022</v>
          </cell>
        </row>
        <row r="5299">
          <cell r="D5299" t="str">
            <v>2023</v>
          </cell>
        </row>
        <row r="5300">
          <cell r="D5300" t="str">
            <v>2023</v>
          </cell>
        </row>
        <row r="5301">
          <cell r="D5301" t="str">
            <v>2023</v>
          </cell>
        </row>
        <row r="5302">
          <cell r="D5302" t="str">
            <v>2023</v>
          </cell>
        </row>
        <row r="5303">
          <cell r="D5303" t="str">
            <v>2023</v>
          </cell>
        </row>
        <row r="5304">
          <cell r="D5304" t="str">
            <v>2023</v>
          </cell>
        </row>
        <row r="5305">
          <cell r="D5305" t="str">
            <v>2023</v>
          </cell>
        </row>
        <row r="5306">
          <cell r="D5306" t="str">
            <v>2023</v>
          </cell>
        </row>
        <row r="5307">
          <cell r="D5307" t="str">
            <v>2023</v>
          </cell>
        </row>
        <row r="5308">
          <cell r="D5308" t="str">
            <v>2023</v>
          </cell>
        </row>
        <row r="5309">
          <cell r="D5309" t="str">
            <v>2023</v>
          </cell>
        </row>
        <row r="5310">
          <cell r="D5310" t="str">
            <v>2023</v>
          </cell>
        </row>
        <row r="5311">
          <cell r="D5311" t="str">
            <v>2023</v>
          </cell>
        </row>
        <row r="5312">
          <cell r="D5312" t="str">
            <v>2023</v>
          </cell>
        </row>
        <row r="5313">
          <cell r="D5313" t="str">
            <v>2023</v>
          </cell>
        </row>
        <row r="5314">
          <cell r="D5314" t="str">
            <v>2023</v>
          </cell>
        </row>
        <row r="5315">
          <cell r="D5315" t="str">
            <v>2023</v>
          </cell>
        </row>
        <row r="5316">
          <cell r="D5316" t="str">
            <v>2023</v>
          </cell>
        </row>
        <row r="5317">
          <cell r="D5317" t="str">
            <v>2023</v>
          </cell>
        </row>
        <row r="5318">
          <cell r="D5318" t="str">
            <v>2023</v>
          </cell>
        </row>
        <row r="5319">
          <cell r="D5319" t="str">
            <v>2023</v>
          </cell>
        </row>
        <row r="5320">
          <cell r="D5320" t="str">
            <v>2023</v>
          </cell>
        </row>
        <row r="5321">
          <cell r="D5321" t="str">
            <v>2023</v>
          </cell>
        </row>
        <row r="5322">
          <cell r="D5322" t="str">
            <v>2023</v>
          </cell>
        </row>
        <row r="5323">
          <cell r="D5323" t="str">
            <v>2021</v>
          </cell>
        </row>
        <row r="5324">
          <cell r="D5324" t="str">
            <v>2023</v>
          </cell>
        </row>
        <row r="5325">
          <cell r="D5325" t="str">
            <v>2023</v>
          </cell>
        </row>
        <row r="5326">
          <cell r="D5326" t="str">
            <v>2023</v>
          </cell>
        </row>
        <row r="5327">
          <cell r="D5327" t="str">
            <v>2021</v>
          </cell>
        </row>
        <row r="5328">
          <cell r="D5328" t="str">
            <v>2023</v>
          </cell>
        </row>
        <row r="5329">
          <cell r="D5329" t="str">
            <v>2023</v>
          </cell>
        </row>
        <row r="5330">
          <cell r="D5330" t="str">
            <v>2023</v>
          </cell>
        </row>
        <row r="5331">
          <cell r="D5331" t="str">
            <v>2023</v>
          </cell>
        </row>
        <row r="5332">
          <cell r="D5332" t="str">
            <v>2023</v>
          </cell>
        </row>
        <row r="5333">
          <cell r="D5333" t="str">
            <v>2023</v>
          </cell>
        </row>
        <row r="5334">
          <cell r="D5334" t="str">
            <v>2021</v>
          </cell>
        </row>
        <row r="5335">
          <cell r="D5335" t="str">
            <v>2023</v>
          </cell>
        </row>
        <row r="5336">
          <cell r="D5336" t="str">
            <v>2023</v>
          </cell>
        </row>
        <row r="5337">
          <cell r="D5337" t="str">
            <v>2021</v>
          </cell>
        </row>
        <row r="5338">
          <cell r="D5338" t="str">
            <v>2023</v>
          </cell>
        </row>
        <row r="5339">
          <cell r="D5339" t="str">
            <v>2023</v>
          </cell>
        </row>
        <row r="5340">
          <cell r="D5340" t="str">
            <v>2023</v>
          </cell>
        </row>
        <row r="5341">
          <cell r="D5341" t="str">
            <v>2023</v>
          </cell>
        </row>
        <row r="5342">
          <cell r="D5342" t="str">
            <v>2023</v>
          </cell>
        </row>
        <row r="5343">
          <cell r="D5343" t="str">
            <v>2023</v>
          </cell>
        </row>
        <row r="5344">
          <cell r="D5344" t="str">
            <v>2023</v>
          </cell>
        </row>
        <row r="5345">
          <cell r="D5345" t="str">
            <v>2023</v>
          </cell>
        </row>
        <row r="5346">
          <cell r="D5346" t="str">
            <v>2023</v>
          </cell>
        </row>
        <row r="5347">
          <cell r="D5347" t="str">
            <v>2023</v>
          </cell>
        </row>
        <row r="5348">
          <cell r="D5348" t="str">
            <v>2023</v>
          </cell>
        </row>
        <row r="5349">
          <cell r="D5349" t="str">
            <v>2023</v>
          </cell>
        </row>
        <row r="5350">
          <cell r="D5350" t="str">
            <v>2023</v>
          </cell>
        </row>
        <row r="5351">
          <cell r="D5351" t="str">
            <v>2023</v>
          </cell>
        </row>
        <row r="5352">
          <cell r="D5352" t="str">
            <v>2023</v>
          </cell>
        </row>
        <row r="5353">
          <cell r="D5353" t="str">
            <v>2024</v>
          </cell>
        </row>
        <row r="5354">
          <cell r="D5354" t="str">
            <v>2023</v>
          </cell>
        </row>
        <row r="5355">
          <cell r="D5355" t="str">
            <v>2023</v>
          </cell>
        </row>
        <row r="5356">
          <cell r="D5356" t="str">
            <v>2023</v>
          </cell>
        </row>
        <row r="5357">
          <cell r="D5357" t="str">
            <v>2023</v>
          </cell>
        </row>
        <row r="5358">
          <cell r="D5358" t="str">
            <v>2022</v>
          </cell>
        </row>
        <row r="5359">
          <cell r="D5359" t="str">
            <v>2023</v>
          </cell>
        </row>
        <row r="5360">
          <cell r="D5360" t="str">
            <v>2023</v>
          </cell>
        </row>
        <row r="5361">
          <cell r="D5361" t="str">
            <v>2022</v>
          </cell>
        </row>
        <row r="5362">
          <cell r="D5362" t="str">
            <v>2023</v>
          </cell>
        </row>
        <row r="5363">
          <cell r="D5363" t="str">
            <v>2023</v>
          </cell>
        </row>
        <row r="5364">
          <cell r="D5364" t="str">
            <v>2023</v>
          </cell>
        </row>
        <row r="5365">
          <cell r="D5365" t="str">
            <v>2023</v>
          </cell>
        </row>
        <row r="5366">
          <cell r="D5366" t="str">
            <v>2023</v>
          </cell>
        </row>
        <row r="5367">
          <cell r="D5367" t="str">
            <v>2023</v>
          </cell>
        </row>
        <row r="5368">
          <cell r="D5368" t="str">
            <v>2023</v>
          </cell>
        </row>
        <row r="5369">
          <cell r="D5369" t="str">
            <v>2023</v>
          </cell>
        </row>
        <row r="5370">
          <cell r="D5370" t="str">
            <v>2023</v>
          </cell>
        </row>
        <row r="5371">
          <cell r="D5371" t="str">
            <v>2023</v>
          </cell>
        </row>
        <row r="5372">
          <cell r="D5372" t="str">
            <v>2023</v>
          </cell>
        </row>
        <row r="5373">
          <cell r="D5373" t="str">
            <v>2022</v>
          </cell>
        </row>
        <row r="5374">
          <cell r="D5374" t="str">
            <v>2023</v>
          </cell>
        </row>
        <row r="5375">
          <cell r="D5375" t="str">
            <v>2023</v>
          </cell>
        </row>
        <row r="5376">
          <cell r="D5376" t="str">
            <v>2023</v>
          </cell>
        </row>
        <row r="5377">
          <cell r="D5377" t="str">
            <v>2023</v>
          </cell>
        </row>
        <row r="5378">
          <cell r="D5378" t="str">
            <v>2021</v>
          </cell>
        </row>
        <row r="5379">
          <cell r="D5379" t="str">
            <v>2023</v>
          </cell>
        </row>
        <row r="5380">
          <cell r="D5380" t="str">
            <v>2023</v>
          </cell>
        </row>
        <row r="5381">
          <cell r="D5381" t="str">
            <v>2023</v>
          </cell>
        </row>
        <row r="5382">
          <cell r="D5382" t="str">
            <v>2021</v>
          </cell>
        </row>
        <row r="5383">
          <cell r="D5383" t="str">
            <v>2022</v>
          </cell>
        </row>
        <row r="5384">
          <cell r="D5384" t="str">
            <v>2021</v>
          </cell>
        </row>
        <row r="5385">
          <cell r="D5385" t="str">
            <v>2023</v>
          </cell>
        </row>
        <row r="5386">
          <cell r="D5386" t="str">
            <v>2022</v>
          </cell>
        </row>
        <row r="5387">
          <cell r="D5387" t="str">
            <v>2023</v>
          </cell>
        </row>
        <row r="5388">
          <cell r="D5388" t="str">
            <v>2023</v>
          </cell>
        </row>
        <row r="5389">
          <cell r="D5389" t="str">
            <v>2023</v>
          </cell>
        </row>
        <row r="5390">
          <cell r="D5390" t="str">
            <v>2023</v>
          </cell>
        </row>
        <row r="5391">
          <cell r="D5391" t="str">
            <v>2023</v>
          </cell>
        </row>
        <row r="5392">
          <cell r="D5392" t="str">
            <v>2023</v>
          </cell>
        </row>
        <row r="5393">
          <cell r="D5393" t="str">
            <v>2023</v>
          </cell>
        </row>
        <row r="5394">
          <cell r="D5394" t="str">
            <v>2023</v>
          </cell>
        </row>
        <row r="5395">
          <cell r="D5395" t="str">
            <v>2022</v>
          </cell>
        </row>
        <row r="5396">
          <cell r="D5396" t="str">
            <v>2022</v>
          </cell>
        </row>
        <row r="5397">
          <cell r="D5397" t="str">
            <v>2023</v>
          </cell>
        </row>
        <row r="5398">
          <cell r="D5398" t="str">
            <v>2021</v>
          </cell>
        </row>
        <row r="5399">
          <cell r="D5399" t="str">
            <v>2023</v>
          </cell>
        </row>
        <row r="5400">
          <cell r="D5400" t="str">
            <v>2023</v>
          </cell>
        </row>
        <row r="5401">
          <cell r="D5401" t="str">
            <v>2023</v>
          </cell>
        </row>
        <row r="5402">
          <cell r="D5402" t="str">
            <v>2023</v>
          </cell>
        </row>
        <row r="5403">
          <cell r="D5403" t="str">
            <v>2023</v>
          </cell>
        </row>
        <row r="5404">
          <cell r="D5404" t="str">
            <v>2023</v>
          </cell>
        </row>
        <row r="5405">
          <cell r="D5405" t="str">
            <v>2023</v>
          </cell>
        </row>
        <row r="5406">
          <cell r="D5406" t="str">
            <v>2023</v>
          </cell>
        </row>
        <row r="5407">
          <cell r="D5407" t="str">
            <v>2023</v>
          </cell>
        </row>
        <row r="5408">
          <cell r="D5408" t="str">
            <v>2023</v>
          </cell>
        </row>
        <row r="5409">
          <cell r="D5409" t="str">
            <v>2023</v>
          </cell>
        </row>
        <row r="5410">
          <cell r="D5410" t="str">
            <v>2023</v>
          </cell>
        </row>
        <row r="5411">
          <cell r="D5411" t="str">
            <v>2023</v>
          </cell>
        </row>
        <row r="5412">
          <cell r="D5412" t="str">
            <v>2021</v>
          </cell>
        </row>
        <row r="5413">
          <cell r="D5413" t="str">
            <v>2023</v>
          </cell>
        </row>
        <row r="5414">
          <cell r="D5414" t="str">
            <v>2023</v>
          </cell>
        </row>
        <row r="5415">
          <cell r="D5415" t="str">
            <v>2023</v>
          </cell>
        </row>
        <row r="5416">
          <cell r="D5416" t="str">
            <v>2023</v>
          </cell>
        </row>
        <row r="5417">
          <cell r="D5417" t="str">
            <v>2023</v>
          </cell>
        </row>
        <row r="5418">
          <cell r="D5418" t="str">
            <v>2023</v>
          </cell>
        </row>
        <row r="5419">
          <cell r="D5419" t="str">
            <v>2023</v>
          </cell>
        </row>
        <row r="5420">
          <cell r="D5420" t="str">
            <v>2023</v>
          </cell>
        </row>
        <row r="5421">
          <cell r="D5421" t="str">
            <v>2023</v>
          </cell>
        </row>
        <row r="5422">
          <cell r="D5422" t="str">
            <v>2023</v>
          </cell>
        </row>
        <row r="5423">
          <cell r="D5423" t="str">
            <v>2023</v>
          </cell>
        </row>
        <row r="5424">
          <cell r="D5424" t="str">
            <v>2022</v>
          </cell>
        </row>
        <row r="5425">
          <cell r="D5425" t="str">
            <v>2023</v>
          </cell>
        </row>
        <row r="5426">
          <cell r="D5426" t="str">
            <v>2023</v>
          </cell>
        </row>
        <row r="5427">
          <cell r="D5427" t="str">
            <v>2023</v>
          </cell>
        </row>
        <row r="5428">
          <cell r="D5428" t="str">
            <v>2023</v>
          </cell>
        </row>
        <row r="5429">
          <cell r="D5429" t="str">
            <v>2022</v>
          </cell>
        </row>
        <row r="5430">
          <cell r="D5430" t="str">
            <v>2023</v>
          </cell>
        </row>
        <row r="5431">
          <cell r="D5431" t="str">
            <v>2023</v>
          </cell>
        </row>
        <row r="5432">
          <cell r="D5432" t="str">
            <v>2023</v>
          </cell>
        </row>
        <row r="5433">
          <cell r="D5433" t="str">
            <v>2023</v>
          </cell>
        </row>
        <row r="5434">
          <cell r="D5434" t="str">
            <v>2023</v>
          </cell>
        </row>
        <row r="5435">
          <cell r="D5435" t="str">
            <v>2023</v>
          </cell>
        </row>
        <row r="5436">
          <cell r="D5436" t="str">
            <v>2023</v>
          </cell>
        </row>
        <row r="5437">
          <cell r="D5437" t="str">
            <v>2023</v>
          </cell>
        </row>
        <row r="5438">
          <cell r="D5438" t="str">
            <v>2023</v>
          </cell>
        </row>
        <row r="5439">
          <cell r="D5439" t="str">
            <v>2023</v>
          </cell>
        </row>
        <row r="5440">
          <cell r="D5440" t="str">
            <v>2023</v>
          </cell>
        </row>
        <row r="5441">
          <cell r="D5441" t="str">
            <v>2023</v>
          </cell>
        </row>
        <row r="5442">
          <cell r="D5442" t="str">
            <v>2023</v>
          </cell>
        </row>
        <row r="5443">
          <cell r="D5443" t="str">
            <v>2023</v>
          </cell>
        </row>
        <row r="5444">
          <cell r="D5444" t="str">
            <v>2023</v>
          </cell>
        </row>
        <row r="5445">
          <cell r="D5445" t="str">
            <v>2023</v>
          </cell>
        </row>
        <row r="5446">
          <cell r="D5446" t="str">
            <v>2023</v>
          </cell>
        </row>
        <row r="5447">
          <cell r="D5447" t="str">
            <v>2023</v>
          </cell>
        </row>
        <row r="5448">
          <cell r="D5448" t="str">
            <v>2023</v>
          </cell>
        </row>
        <row r="5449">
          <cell r="D5449" t="str">
            <v>2021</v>
          </cell>
        </row>
        <row r="5450">
          <cell r="D5450" t="str">
            <v>2023</v>
          </cell>
        </row>
        <row r="5451">
          <cell r="D5451" t="str">
            <v>2023</v>
          </cell>
        </row>
        <row r="5452">
          <cell r="D5452" t="str">
            <v>2023</v>
          </cell>
        </row>
        <row r="5453">
          <cell r="D5453" t="str">
            <v>2023</v>
          </cell>
        </row>
        <row r="5454">
          <cell r="D5454" t="str">
            <v>2023</v>
          </cell>
        </row>
        <row r="5455">
          <cell r="D5455" t="str">
            <v>2023</v>
          </cell>
        </row>
        <row r="5456">
          <cell r="D5456" t="str">
            <v>2023</v>
          </cell>
        </row>
        <row r="5457">
          <cell r="D5457" t="str">
            <v>2023</v>
          </cell>
        </row>
        <row r="5458">
          <cell r="D5458" t="str">
            <v>2023</v>
          </cell>
        </row>
        <row r="5459">
          <cell r="D5459" t="str">
            <v>2023</v>
          </cell>
        </row>
        <row r="5460">
          <cell r="D5460" t="str">
            <v>2023</v>
          </cell>
        </row>
        <row r="5461">
          <cell r="D5461" t="str">
            <v>2022</v>
          </cell>
        </row>
        <row r="5462">
          <cell r="D5462" t="str">
            <v>2022</v>
          </cell>
        </row>
        <row r="5463">
          <cell r="D5463" t="str">
            <v>2023</v>
          </cell>
        </row>
        <row r="5464">
          <cell r="D5464" t="str">
            <v>2022</v>
          </cell>
        </row>
        <row r="5465">
          <cell r="D5465" t="str">
            <v>2023</v>
          </cell>
        </row>
        <row r="5466">
          <cell r="D5466" t="str">
            <v>2023</v>
          </cell>
        </row>
        <row r="5467">
          <cell r="D5467" t="str">
            <v>2023</v>
          </cell>
        </row>
        <row r="5468">
          <cell r="D5468" t="str">
            <v>2022</v>
          </cell>
        </row>
        <row r="5469">
          <cell r="D5469" t="str">
            <v>2022</v>
          </cell>
        </row>
        <row r="5470">
          <cell r="D5470" t="str">
            <v>2023</v>
          </cell>
        </row>
        <row r="5471">
          <cell r="D5471" t="str">
            <v>2023</v>
          </cell>
        </row>
        <row r="5472">
          <cell r="D5472" t="str">
            <v>2023</v>
          </cell>
        </row>
        <row r="5473">
          <cell r="D5473" t="str">
            <v>2023</v>
          </cell>
        </row>
        <row r="5474">
          <cell r="D5474" t="str">
            <v>2022</v>
          </cell>
        </row>
        <row r="5475">
          <cell r="D5475" t="str">
            <v>2023</v>
          </cell>
        </row>
        <row r="5476">
          <cell r="D5476" t="str">
            <v>2023</v>
          </cell>
        </row>
        <row r="5477">
          <cell r="D5477" t="str">
            <v>2023</v>
          </cell>
        </row>
        <row r="5478">
          <cell r="D5478" t="str">
            <v>2023</v>
          </cell>
        </row>
        <row r="5479">
          <cell r="D5479" t="str">
            <v>2023</v>
          </cell>
        </row>
        <row r="5480">
          <cell r="D5480" t="str">
            <v>2023</v>
          </cell>
        </row>
        <row r="5481">
          <cell r="D5481" t="str">
            <v>2023</v>
          </cell>
        </row>
        <row r="5482">
          <cell r="D5482" t="str">
            <v>2022</v>
          </cell>
        </row>
        <row r="5483">
          <cell r="D5483" t="str">
            <v>2021</v>
          </cell>
        </row>
        <row r="5484">
          <cell r="D5484" t="str">
            <v>2023</v>
          </cell>
        </row>
        <row r="5485">
          <cell r="D5485" t="str">
            <v>2023</v>
          </cell>
        </row>
        <row r="5486">
          <cell r="D5486" t="str">
            <v>2023</v>
          </cell>
        </row>
        <row r="5487">
          <cell r="D5487" t="str">
            <v>2022</v>
          </cell>
        </row>
        <row r="5488">
          <cell r="D5488" t="str">
            <v>2023</v>
          </cell>
        </row>
        <row r="5489">
          <cell r="D5489" t="str">
            <v>2023</v>
          </cell>
        </row>
        <row r="5490">
          <cell r="D5490" t="str">
            <v>2023</v>
          </cell>
        </row>
        <row r="5491">
          <cell r="D5491" t="str">
            <v>2023</v>
          </cell>
        </row>
        <row r="5492">
          <cell r="D5492" t="str">
            <v>2021</v>
          </cell>
        </row>
        <row r="5493">
          <cell r="D5493" t="str">
            <v>2021</v>
          </cell>
        </row>
        <row r="5494">
          <cell r="D5494" t="str">
            <v>2023</v>
          </cell>
        </row>
        <row r="5495">
          <cell r="D5495" t="str">
            <v>2023</v>
          </cell>
        </row>
        <row r="5496">
          <cell r="D5496" t="str">
            <v>2023</v>
          </cell>
        </row>
        <row r="5497">
          <cell r="D5497" t="str">
            <v>2023</v>
          </cell>
        </row>
        <row r="5498">
          <cell r="D5498" t="str">
            <v>2023</v>
          </cell>
        </row>
        <row r="5499">
          <cell r="D5499" t="str">
            <v>2023</v>
          </cell>
        </row>
        <row r="5500">
          <cell r="D5500" t="str">
            <v>2023</v>
          </cell>
        </row>
        <row r="5501">
          <cell r="D5501" t="str">
            <v>2023</v>
          </cell>
        </row>
        <row r="5502">
          <cell r="D5502" t="str">
            <v>2023</v>
          </cell>
        </row>
        <row r="5503">
          <cell r="D5503" t="str">
            <v>2023</v>
          </cell>
        </row>
        <row r="5504">
          <cell r="D5504" t="str">
            <v>2023</v>
          </cell>
        </row>
        <row r="5505">
          <cell r="D5505" t="str">
            <v>2023</v>
          </cell>
        </row>
        <row r="5506">
          <cell r="D5506" t="str">
            <v>2023</v>
          </cell>
        </row>
        <row r="5507">
          <cell r="D5507" t="str">
            <v>2023</v>
          </cell>
        </row>
        <row r="5508">
          <cell r="D5508" t="str">
            <v>2023</v>
          </cell>
        </row>
        <row r="5509">
          <cell r="D5509" t="str">
            <v>2023</v>
          </cell>
        </row>
        <row r="5510">
          <cell r="D5510" t="str">
            <v>2022</v>
          </cell>
        </row>
        <row r="5511">
          <cell r="D5511" t="str">
            <v>2023</v>
          </cell>
        </row>
        <row r="5512">
          <cell r="D5512" t="str">
            <v>2023</v>
          </cell>
        </row>
        <row r="5513">
          <cell r="D5513" t="str">
            <v>2023</v>
          </cell>
        </row>
        <row r="5514">
          <cell r="D5514" t="str">
            <v>2023</v>
          </cell>
        </row>
        <row r="5515">
          <cell r="D5515" t="str">
            <v>2022</v>
          </cell>
        </row>
        <row r="5516">
          <cell r="D5516" t="str">
            <v>2022</v>
          </cell>
        </row>
        <row r="5517">
          <cell r="D5517" t="str">
            <v>2023</v>
          </cell>
        </row>
        <row r="5518">
          <cell r="D5518" t="str">
            <v>2023</v>
          </cell>
        </row>
        <row r="5519">
          <cell r="D5519" t="str">
            <v>2021</v>
          </cell>
        </row>
        <row r="5520">
          <cell r="D5520" t="str">
            <v>2023</v>
          </cell>
        </row>
        <row r="5521">
          <cell r="D5521" t="str">
            <v>2023</v>
          </cell>
        </row>
        <row r="5522">
          <cell r="D5522" t="str">
            <v>2023</v>
          </cell>
        </row>
        <row r="5523">
          <cell r="D5523" t="str">
            <v>2023</v>
          </cell>
        </row>
        <row r="5524">
          <cell r="D5524" t="str">
            <v>2023</v>
          </cell>
        </row>
        <row r="5525">
          <cell r="D5525" t="str">
            <v>2023</v>
          </cell>
        </row>
        <row r="5526">
          <cell r="D5526" t="str">
            <v>2023</v>
          </cell>
        </row>
        <row r="5527">
          <cell r="D5527" t="str">
            <v>2023</v>
          </cell>
        </row>
        <row r="5528">
          <cell r="D5528" t="str">
            <v>2023</v>
          </cell>
        </row>
        <row r="5529">
          <cell r="D5529" t="str">
            <v>2023</v>
          </cell>
        </row>
        <row r="5530">
          <cell r="D5530" t="str">
            <v>2023</v>
          </cell>
        </row>
        <row r="5531">
          <cell r="D5531" t="str">
            <v>2023</v>
          </cell>
        </row>
        <row r="5532">
          <cell r="D5532" t="str">
            <v>2023</v>
          </cell>
        </row>
        <row r="5533">
          <cell r="D5533" t="str">
            <v>2023</v>
          </cell>
        </row>
        <row r="5534">
          <cell r="D5534" t="str">
            <v>2023</v>
          </cell>
        </row>
        <row r="5535">
          <cell r="D5535" t="str">
            <v>2023</v>
          </cell>
        </row>
        <row r="5536">
          <cell r="D5536" t="str">
            <v>2023</v>
          </cell>
        </row>
        <row r="5537">
          <cell r="D5537" t="str">
            <v>2023</v>
          </cell>
        </row>
        <row r="5538">
          <cell r="D5538" t="str">
            <v>2023</v>
          </cell>
        </row>
        <row r="5539">
          <cell r="D5539" t="str">
            <v>2023</v>
          </cell>
        </row>
        <row r="5540">
          <cell r="D5540" t="str">
            <v>2023</v>
          </cell>
        </row>
        <row r="5541">
          <cell r="D5541" t="str">
            <v>2021</v>
          </cell>
        </row>
        <row r="5542">
          <cell r="D5542" t="str">
            <v>2023</v>
          </cell>
        </row>
        <row r="5543">
          <cell r="D5543" t="str">
            <v>2023</v>
          </cell>
        </row>
        <row r="5544">
          <cell r="D5544" t="str">
            <v>2023</v>
          </cell>
        </row>
        <row r="5545">
          <cell r="D5545" t="str">
            <v>2021</v>
          </cell>
        </row>
        <row r="5546">
          <cell r="D5546" t="str">
            <v>2023</v>
          </cell>
        </row>
        <row r="5547">
          <cell r="D5547" t="str">
            <v>2023</v>
          </cell>
        </row>
        <row r="5548">
          <cell r="D5548" t="str">
            <v>2021</v>
          </cell>
        </row>
        <row r="5549">
          <cell r="D5549" t="str">
            <v>2022</v>
          </cell>
        </row>
        <row r="5550">
          <cell r="D5550" t="str">
            <v>2023</v>
          </cell>
        </row>
        <row r="5551">
          <cell r="D5551" t="str">
            <v>2023</v>
          </cell>
        </row>
        <row r="5552">
          <cell r="D5552" t="str">
            <v>2023</v>
          </cell>
        </row>
        <row r="5553">
          <cell r="D5553" t="str">
            <v>2023</v>
          </cell>
        </row>
        <row r="5554">
          <cell r="D5554" t="str">
            <v>2023</v>
          </cell>
        </row>
        <row r="5555">
          <cell r="D5555" t="str">
            <v>2022</v>
          </cell>
        </row>
        <row r="5556">
          <cell r="D5556" t="str">
            <v>2023</v>
          </cell>
        </row>
        <row r="5557">
          <cell r="D5557" t="str">
            <v>2022</v>
          </cell>
        </row>
        <row r="5558">
          <cell r="D5558" t="str">
            <v>2023</v>
          </cell>
        </row>
        <row r="5559">
          <cell r="D5559" t="str">
            <v>2023</v>
          </cell>
        </row>
        <row r="5560">
          <cell r="D5560" t="str">
            <v>2023</v>
          </cell>
        </row>
        <row r="5561">
          <cell r="D5561" t="str">
            <v>2023</v>
          </cell>
        </row>
        <row r="5562">
          <cell r="D5562" t="str">
            <v>2023</v>
          </cell>
        </row>
        <row r="5563">
          <cell r="D5563" t="str">
            <v>2023</v>
          </cell>
        </row>
        <row r="5564">
          <cell r="D5564" t="str">
            <v>2023</v>
          </cell>
        </row>
        <row r="5565">
          <cell r="D5565" t="str">
            <v>2022</v>
          </cell>
        </row>
        <row r="5566">
          <cell r="D5566" t="str">
            <v>2023</v>
          </cell>
        </row>
        <row r="5567">
          <cell r="D5567" t="str">
            <v>2023</v>
          </cell>
        </row>
        <row r="5568">
          <cell r="D5568" t="str">
            <v>2023</v>
          </cell>
        </row>
        <row r="5569">
          <cell r="D5569" t="str">
            <v>2023</v>
          </cell>
        </row>
        <row r="5570">
          <cell r="D5570" t="str">
            <v>2023</v>
          </cell>
        </row>
        <row r="5571">
          <cell r="D5571" t="str">
            <v>2022</v>
          </cell>
        </row>
        <row r="5572">
          <cell r="D5572" t="str">
            <v>2023</v>
          </cell>
        </row>
        <row r="5573">
          <cell r="D5573" t="str">
            <v>2023</v>
          </cell>
        </row>
        <row r="5574">
          <cell r="D5574" t="str">
            <v>2023</v>
          </cell>
        </row>
        <row r="5575">
          <cell r="D5575" t="str">
            <v>2023</v>
          </cell>
        </row>
        <row r="5576">
          <cell r="D5576" t="str">
            <v>2022</v>
          </cell>
        </row>
        <row r="5577">
          <cell r="D5577" t="str">
            <v>2021</v>
          </cell>
        </row>
        <row r="5578">
          <cell r="D5578" t="str">
            <v>2023</v>
          </cell>
        </row>
        <row r="5579">
          <cell r="D5579" t="str">
            <v>2023</v>
          </cell>
        </row>
        <row r="5580">
          <cell r="D5580" t="str">
            <v>2023</v>
          </cell>
        </row>
        <row r="5581">
          <cell r="D5581" t="str">
            <v>2023</v>
          </cell>
        </row>
        <row r="5582">
          <cell r="D5582" t="str">
            <v>2023</v>
          </cell>
        </row>
        <row r="5583">
          <cell r="D5583" t="str">
            <v>2023</v>
          </cell>
        </row>
        <row r="5584">
          <cell r="D5584" t="str">
            <v>2023</v>
          </cell>
        </row>
        <row r="5585">
          <cell r="D5585" t="str">
            <v>2023</v>
          </cell>
        </row>
        <row r="5586">
          <cell r="D5586" t="str">
            <v>2023</v>
          </cell>
        </row>
        <row r="5587">
          <cell r="D5587" t="str">
            <v>2023</v>
          </cell>
        </row>
        <row r="5588">
          <cell r="D5588" t="str">
            <v>2023</v>
          </cell>
        </row>
        <row r="5589">
          <cell r="D5589" t="str">
            <v>2023</v>
          </cell>
        </row>
        <row r="5590">
          <cell r="D5590" t="str">
            <v>2023</v>
          </cell>
        </row>
        <row r="5591">
          <cell r="D5591" t="str">
            <v>2022</v>
          </cell>
        </row>
        <row r="5592">
          <cell r="D5592" t="str">
            <v>2023</v>
          </cell>
        </row>
        <row r="5593">
          <cell r="D5593" t="str">
            <v>2023</v>
          </cell>
        </row>
        <row r="5594">
          <cell r="D5594" t="str">
            <v>2023</v>
          </cell>
        </row>
        <row r="5595">
          <cell r="D5595" t="str">
            <v>2024</v>
          </cell>
        </row>
        <row r="5596">
          <cell r="D5596" t="str">
            <v>2022</v>
          </cell>
        </row>
        <row r="5597">
          <cell r="D5597" t="str">
            <v>2023</v>
          </cell>
        </row>
        <row r="5598">
          <cell r="D5598" t="str">
            <v>2023</v>
          </cell>
        </row>
        <row r="5599">
          <cell r="D5599" t="str">
            <v>2023</v>
          </cell>
        </row>
        <row r="5600">
          <cell r="D5600" t="str">
            <v>2023</v>
          </cell>
        </row>
        <row r="5601">
          <cell r="D5601" t="str">
            <v>2023</v>
          </cell>
        </row>
        <row r="5602">
          <cell r="D5602" t="str">
            <v>2023</v>
          </cell>
        </row>
        <row r="5603">
          <cell r="D5603" t="str">
            <v>2023</v>
          </cell>
        </row>
        <row r="5604">
          <cell r="D5604" t="str">
            <v>2023</v>
          </cell>
        </row>
        <row r="5605">
          <cell r="D5605" t="str">
            <v>2023</v>
          </cell>
        </row>
        <row r="5606">
          <cell r="D5606" t="str">
            <v>2023</v>
          </cell>
        </row>
        <row r="5607">
          <cell r="D5607" t="str">
            <v>2024</v>
          </cell>
        </row>
        <row r="5608">
          <cell r="D5608" t="str">
            <v>2023</v>
          </cell>
        </row>
        <row r="5609">
          <cell r="D5609" t="str">
            <v>2023</v>
          </cell>
        </row>
        <row r="5610">
          <cell r="D5610" t="str">
            <v>2023</v>
          </cell>
        </row>
        <row r="5611">
          <cell r="D5611" t="str">
            <v>2021</v>
          </cell>
        </row>
        <row r="5612">
          <cell r="D5612" t="str">
            <v>2023</v>
          </cell>
        </row>
        <row r="5613">
          <cell r="D5613" t="str">
            <v>2023</v>
          </cell>
        </row>
        <row r="5614">
          <cell r="D5614" t="str">
            <v>2023</v>
          </cell>
        </row>
        <row r="5615">
          <cell r="D5615" t="str">
            <v>2023</v>
          </cell>
        </row>
        <row r="5616">
          <cell r="D5616" t="str">
            <v>2023</v>
          </cell>
        </row>
        <row r="5617">
          <cell r="D5617" t="str">
            <v>2023</v>
          </cell>
        </row>
        <row r="5618">
          <cell r="D5618" t="str">
            <v>2022</v>
          </cell>
        </row>
        <row r="5619">
          <cell r="D5619" t="str">
            <v>2023</v>
          </cell>
        </row>
        <row r="5620">
          <cell r="D5620" t="str">
            <v>2023</v>
          </cell>
        </row>
        <row r="5621">
          <cell r="D5621" t="str">
            <v>2022</v>
          </cell>
        </row>
        <row r="5622">
          <cell r="D5622" t="str">
            <v>2024</v>
          </cell>
        </row>
        <row r="5623">
          <cell r="D5623" t="str">
            <v>2021</v>
          </cell>
        </row>
        <row r="5624">
          <cell r="D5624" t="str">
            <v>2023</v>
          </cell>
        </row>
        <row r="5625">
          <cell r="D5625" t="str">
            <v>2021</v>
          </cell>
        </row>
        <row r="5626">
          <cell r="D5626" t="str">
            <v>2023</v>
          </cell>
        </row>
        <row r="5627">
          <cell r="D5627" t="str">
            <v>2021</v>
          </cell>
        </row>
        <row r="5628">
          <cell r="D5628" t="str">
            <v>2024</v>
          </cell>
        </row>
        <row r="5629">
          <cell r="D5629" t="str">
            <v>2023</v>
          </cell>
        </row>
        <row r="5630">
          <cell r="D5630" t="str">
            <v>2023</v>
          </cell>
        </row>
        <row r="5631">
          <cell r="D5631" t="str">
            <v>2023</v>
          </cell>
        </row>
        <row r="5632">
          <cell r="D5632" t="str">
            <v>2023</v>
          </cell>
        </row>
        <row r="5633">
          <cell r="D5633" t="str">
            <v>2023</v>
          </cell>
        </row>
        <row r="5634">
          <cell r="D5634" t="str">
            <v>2023</v>
          </cell>
        </row>
        <row r="5635">
          <cell r="D5635" t="str">
            <v>2023</v>
          </cell>
        </row>
        <row r="5636">
          <cell r="D5636" t="str">
            <v>2023</v>
          </cell>
        </row>
        <row r="5637">
          <cell r="D5637" t="str">
            <v>2023</v>
          </cell>
        </row>
        <row r="5638">
          <cell r="D5638" t="str">
            <v>2023</v>
          </cell>
        </row>
        <row r="5639">
          <cell r="D5639" t="str">
            <v>2021</v>
          </cell>
        </row>
        <row r="5640">
          <cell r="D5640" t="str">
            <v>2023</v>
          </cell>
        </row>
        <row r="5641">
          <cell r="D5641" t="str">
            <v>2023</v>
          </cell>
        </row>
        <row r="5642">
          <cell r="D5642" t="str">
            <v>2023</v>
          </cell>
        </row>
        <row r="5643">
          <cell r="D5643" t="str">
            <v>2023</v>
          </cell>
        </row>
        <row r="5644">
          <cell r="D5644" t="str">
            <v>2023</v>
          </cell>
        </row>
        <row r="5645">
          <cell r="D5645" t="str">
            <v>2023</v>
          </cell>
        </row>
        <row r="5646">
          <cell r="D5646" t="str">
            <v>2021</v>
          </cell>
        </row>
        <row r="5647">
          <cell r="D5647" t="str">
            <v>2023</v>
          </cell>
        </row>
        <row r="5648">
          <cell r="D5648" t="str">
            <v>2023</v>
          </cell>
        </row>
        <row r="5649">
          <cell r="D5649" t="str">
            <v>2023</v>
          </cell>
        </row>
        <row r="5650">
          <cell r="D5650" t="str">
            <v>2023</v>
          </cell>
        </row>
        <row r="5651">
          <cell r="D5651" t="str">
            <v>2023</v>
          </cell>
        </row>
        <row r="5652">
          <cell r="D5652" t="str">
            <v>2023</v>
          </cell>
        </row>
        <row r="5653">
          <cell r="D5653" t="str">
            <v>2023</v>
          </cell>
        </row>
        <row r="5654">
          <cell r="D5654" t="str">
            <v>2023</v>
          </cell>
        </row>
        <row r="5655">
          <cell r="D5655" t="str">
            <v>2023</v>
          </cell>
        </row>
        <row r="5656">
          <cell r="D5656" t="str">
            <v>2022</v>
          </cell>
        </row>
        <row r="5657">
          <cell r="D5657" t="str">
            <v>2023</v>
          </cell>
        </row>
        <row r="5658">
          <cell r="D5658" t="str">
            <v>2023</v>
          </cell>
        </row>
        <row r="5659">
          <cell r="D5659" t="str">
            <v>2022</v>
          </cell>
        </row>
        <row r="5660">
          <cell r="D5660" t="str">
            <v>2023</v>
          </cell>
        </row>
        <row r="5661">
          <cell r="D5661" t="str">
            <v>2023</v>
          </cell>
        </row>
        <row r="5662">
          <cell r="D5662" t="str">
            <v>2023</v>
          </cell>
        </row>
        <row r="5663">
          <cell r="D5663" t="str">
            <v>2023</v>
          </cell>
        </row>
        <row r="5664">
          <cell r="D5664" t="str">
            <v>2023</v>
          </cell>
        </row>
        <row r="5665">
          <cell r="D5665" t="str">
            <v>2023</v>
          </cell>
        </row>
        <row r="5666">
          <cell r="D5666" t="str">
            <v>2023</v>
          </cell>
        </row>
        <row r="5667">
          <cell r="D5667" t="str">
            <v>2023</v>
          </cell>
        </row>
        <row r="5668">
          <cell r="D5668" t="str">
            <v>2023</v>
          </cell>
        </row>
        <row r="5669">
          <cell r="D5669" t="str">
            <v>2023</v>
          </cell>
        </row>
        <row r="5670">
          <cell r="D5670" t="str">
            <v>2023</v>
          </cell>
        </row>
        <row r="5671">
          <cell r="D5671" t="str">
            <v>2023</v>
          </cell>
        </row>
        <row r="5672">
          <cell r="D5672" t="str">
            <v>2023</v>
          </cell>
        </row>
        <row r="5673">
          <cell r="D5673" t="str">
            <v>2023</v>
          </cell>
        </row>
        <row r="5674">
          <cell r="D5674" t="str">
            <v>2023</v>
          </cell>
        </row>
        <row r="5675">
          <cell r="D5675" t="str">
            <v>2022</v>
          </cell>
        </row>
        <row r="5676">
          <cell r="D5676" t="str">
            <v>2022</v>
          </cell>
        </row>
        <row r="5677">
          <cell r="D5677" t="str">
            <v>2023</v>
          </cell>
        </row>
        <row r="5678">
          <cell r="D5678" t="str">
            <v>2023</v>
          </cell>
        </row>
        <row r="5679">
          <cell r="D5679" t="str">
            <v>2023</v>
          </cell>
        </row>
        <row r="5680">
          <cell r="D5680" t="str">
            <v>2023</v>
          </cell>
        </row>
        <row r="5681">
          <cell r="D5681" t="str">
            <v>2021</v>
          </cell>
        </row>
        <row r="5682">
          <cell r="D5682" t="str">
            <v>2023</v>
          </cell>
        </row>
        <row r="5683">
          <cell r="D5683" t="str">
            <v>2023</v>
          </cell>
        </row>
        <row r="5684">
          <cell r="D5684" t="str">
            <v>2023</v>
          </cell>
        </row>
        <row r="5685">
          <cell r="D5685" t="str">
            <v>2023</v>
          </cell>
        </row>
        <row r="5686">
          <cell r="D5686" t="str">
            <v>2023</v>
          </cell>
        </row>
        <row r="5687">
          <cell r="D5687" t="str">
            <v>2022</v>
          </cell>
        </row>
        <row r="5688">
          <cell r="D5688" t="str">
            <v>2022</v>
          </cell>
        </row>
        <row r="5689">
          <cell r="D5689" t="str">
            <v>2023</v>
          </cell>
        </row>
        <row r="5690">
          <cell r="D5690" t="str">
            <v>2023</v>
          </cell>
        </row>
        <row r="5691">
          <cell r="D5691" t="str">
            <v>2023</v>
          </cell>
        </row>
        <row r="5692">
          <cell r="D5692" t="str">
            <v>2023</v>
          </cell>
        </row>
        <row r="5693">
          <cell r="D5693" t="str">
            <v>2023</v>
          </cell>
        </row>
        <row r="5694">
          <cell r="D5694" t="str">
            <v>2021</v>
          </cell>
        </row>
        <row r="5695">
          <cell r="D5695" t="str">
            <v>2023</v>
          </cell>
        </row>
        <row r="5696">
          <cell r="D5696" t="str">
            <v>2021</v>
          </cell>
        </row>
        <row r="5697">
          <cell r="D5697" t="str">
            <v>2023</v>
          </cell>
        </row>
        <row r="5698">
          <cell r="D5698" t="str">
            <v>2023</v>
          </cell>
        </row>
        <row r="5699">
          <cell r="D5699" t="str">
            <v>2023</v>
          </cell>
        </row>
        <row r="5700">
          <cell r="D5700" t="str">
            <v>2023</v>
          </cell>
        </row>
        <row r="5701">
          <cell r="D5701" t="str">
            <v>2023</v>
          </cell>
        </row>
        <row r="5702">
          <cell r="D5702" t="str">
            <v>2021</v>
          </cell>
        </row>
        <row r="5703">
          <cell r="D5703" t="str">
            <v>2023</v>
          </cell>
        </row>
        <row r="5704">
          <cell r="D5704" t="str">
            <v>2023</v>
          </cell>
        </row>
        <row r="5705">
          <cell r="D5705" t="str">
            <v>2021</v>
          </cell>
        </row>
        <row r="5706">
          <cell r="D5706" t="str">
            <v>2023</v>
          </cell>
        </row>
        <row r="5707">
          <cell r="D5707" t="str">
            <v>2023</v>
          </cell>
        </row>
        <row r="5708">
          <cell r="D5708" t="str">
            <v>2023</v>
          </cell>
        </row>
        <row r="5709">
          <cell r="D5709" t="str">
            <v>2023</v>
          </cell>
        </row>
        <row r="5710">
          <cell r="D5710" t="str">
            <v>2023</v>
          </cell>
        </row>
        <row r="5711">
          <cell r="D5711" t="str">
            <v>2023</v>
          </cell>
        </row>
        <row r="5712">
          <cell r="D5712" t="str">
            <v>2023</v>
          </cell>
        </row>
        <row r="5713">
          <cell r="D5713" t="str">
            <v>2022</v>
          </cell>
        </row>
        <row r="5714">
          <cell r="D5714" t="str">
            <v>2023</v>
          </cell>
        </row>
        <row r="5715">
          <cell r="D5715" t="str">
            <v>2023</v>
          </cell>
        </row>
        <row r="5716">
          <cell r="D5716" t="str">
            <v>2023</v>
          </cell>
        </row>
        <row r="5717">
          <cell r="D5717" t="str">
            <v>2023</v>
          </cell>
        </row>
        <row r="5718">
          <cell r="D5718" t="str">
            <v>2023</v>
          </cell>
        </row>
        <row r="5719">
          <cell r="D5719" t="str">
            <v>2023</v>
          </cell>
        </row>
        <row r="5720">
          <cell r="D5720" t="str">
            <v>2022</v>
          </cell>
        </row>
        <row r="5721">
          <cell r="D5721" t="str">
            <v>2023</v>
          </cell>
        </row>
        <row r="5722">
          <cell r="D5722" t="str">
            <v>2023</v>
          </cell>
        </row>
        <row r="5723">
          <cell r="D5723" t="str">
            <v>2023</v>
          </cell>
        </row>
        <row r="5724">
          <cell r="D5724" t="str">
            <v>2023</v>
          </cell>
        </row>
        <row r="5725">
          <cell r="D5725" t="str">
            <v>2023</v>
          </cell>
        </row>
        <row r="5726">
          <cell r="D5726" t="str">
            <v>2023</v>
          </cell>
        </row>
        <row r="5727">
          <cell r="D5727" t="str">
            <v>2023</v>
          </cell>
        </row>
        <row r="5728">
          <cell r="D5728" t="str">
            <v>2023</v>
          </cell>
        </row>
        <row r="5729">
          <cell r="D5729" t="str">
            <v>2023</v>
          </cell>
        </row>
        <row r="5730">
          <cell r="D5730" t="str">
            <v>2023</v>
          </cell>
        </row>
        <row r="5731">
          <cell r="D5731" t="str">
            <v>2023</v>
          </cell>
        </row>
        <row r="5732">
          <cell r="D5732" t="str">
            <v>2023</v>
          </cell>
        </row>
        <row r="5733">
          <cell r="D5733" t="str">
            <v>2023</v>
          </cell>
        </row>
        <row r="5734">
          <cell r="D5734" t="str">
            <v>2022</v>
          </cell>
        </row>
        <row r="5735">
          <cell r="D5735" t="str">
            <v>2023</v>
          </cell>
        </row>
        <row r="5736">
          <cell r="D5736" t="str">
            <v>2023</v>
          </cell>
        </row>
        <row r="5737">
          <cell r="D5737" t="str">
            <v>2023</v>
          </cell>
        </row>
        <row r="5738">
          <cell r="D5738" t="str">
            <v>2023</v>
          </cell>
        </row>
        <row r="5739">
          <cell r="D5739" t="str">
            <v>2023</v>
          </cell>
        </row>
        <row r="5740">
          <cell r="D5740" t="str">
            <v>2023</v>
          </cell>
        </row>
        <row r="5741">
          <cell r="D5741" t="str">
            <v>2022</v>
          </cell>
        </row>
        <row r="5742">
          <cell r="D5742" t="str">
            <v>2023</v>
          </cell>
        </row>
        <row r="5743">
          <cell r="D5743" t="str">
            <v>2023</v>
          </cell>
        </row>
        <row r="5744">
          <cell r="D5744" t="str">
            <v>2023</v>
          </cell>
        </row>
        <row r="5745">
          <cell r="D5745" t="str">
            <v>2023</v>
          </cell>
        </row>
        <row r="5746">
          <cell r="D5746" t="str">
            <v>2023</v>
          </cell>
        </row>
        <row r="5747">
          <cell r="D5747" t="str">
            <v>2023</v>
          </cell>
        </row>
        <row r="5748">
          <cell r="D5748" t="str">
            <v>2021</v>
          </cell>
        </row>
        <row r="5749">
          <cell r="D5749" t="str">
            <v>2023</v>
          </cell>
        </row>
        <row r="5750">
          <cell r="D5750" t="str">
            <v>2023</v>
          </cell>
        </row>
        <row r="5751">
          <cell r="D5751" t="str">
            <v>2022</v>
          </cell>
        </row>
        <row r="5752">
          <cell r="D5752" t="str">
            <v>2023</v>
          </cell>
        </row>
        <row r="5753">
          <cell r="D5753" t="str">
            <v>2023</v>
          </cell>
        </row>
        <row r="5754">
          <cell r="D5754" t="str">
            <v>2022</v>
          </cell>
        </row>
        <row r="5755">
          <cell r="D5755" t="str">
            <v>2023</v>
          </cell>
        </row>
        <row r="5756">
          <cell r="D5756" t="str">
            <v>2023</v>
          </cell>
        </row>
        <row r="5757">
          <cell r="D5757" t="str">
            <v>2023</v>
          </cell>
        </row>
        <row r="5758">
          <cell r="D5758" t="str">
            <v>2023</v>
          </cell>
        </row>
        <row r="5759">
          <cell r="D5759" t="str">
            <v>2023</v>
          </cell>
        </row>
        <row r="5760">
          <cell r="D5760" t="str">
            <v>2023</v>
          </cell>
        </row>
        <row r="5761">
          <cell r="D5761" t="str">
            <v>2021</v>
          </cell>
        </row>
        <row r="5762">
          <cell r="D5762" t="str">
            <v>2023</v>
          </cell>
        </row>
        <row r="5763">
          <cell r="D5763" t="str">
            <v>2023</v>
          </cell>
        </row>
        <row r="5764">
          <cell r="D5764" t="str">
            <v>2023</v>
          </cell>
        </row>
        <row r="5765">
          <cell r="D5765" t="str">
            <v>2023</v>
          </cell>
        </row>
        <row r="5766">
          <cell r="D5766" t="str">
            <v>2023</v>
          </cell>
        </row>
        <row r="5767">
          <cell r="D5767" t="str">
            <v>2023</v>
          </cell>
        </row>
        <row r="5768">
          <cell r="D5768" t="str">
            <v>2023</v>
          </cell>
        </row>
        <row r="5769">
          <cell r="D5769" t="str">
            <v>2023</v>
          </cell>
        </row>
        <row r="5770">
          <cell r="D5770" t="str">
            <v>2023</v>
          </cell>
        </row>
        <row r="5771">
          <cell r="D5771" t="str">
            <v>2023</v>
          </cell>
        </row>
        <row r="5772">
          <cell r="D5772" t="str">
            <v>2022</v>
          </cell>
        </row>
        <row r="5773">
          <cell r="D5773" t="str">
            <v>2024</v>
          </cell>
        </row>
        <row r="5774">
          <cell r="D5774" t="str">
            <v>2023</v>
          </cell>
        </row>
        <row r="5775">
          <cell r="D5775" t="str">
            <v>2023</v>
          </cell>
        </row>
        <row r="5776">
          <cell r="D5776" t="str">
            <v>2023</v>
          </cell>
        </row>
        <row r="5777">
          <cell r="D5777" t="str">
            <v>2023</v>
          </cell>
        </row>
        <row r="5778">
          <cell r="D5778" t="str">
            <v>2023</v>
          </cell>
        </row>
        <row r="5779">
          <cell r="D5779" t="str">
            <v>2023</v>
          </cell>
        </row>
        <row r="5780">
          <cell r="D5780" t="str">
            <v>2023</v>
          </cell>
        </row>
        <row r="5781">
          <cell r="D5781" t="str">
            <v>2023</v>
          </cell>
        </row>
        <row r="5782">
          <cell r="D5782" t="str">
            <v>2024</v>
          </cell>
        </row>
        <row r="5783">
          <cell r="D5783" t="str">
            <v>2023</v>
          </cell>
        </row>
        <row r="5784">
          <cell r="D5784" t="str">
            <v>2023</v>
          </cell>
        </row>
        <row r="5785">
          <cell r="D5785" t="str">
            <v>2023</v>
          </cell>
        </row>
        <row r="5786">
          <cell r="D5786" t="str">
            <v>2023</v>
          </cell>
        </row>
        <row r="5787">
          <cell r="D5787" t="str">
            <v>2023</v>
          </cell>
        </row>
        <row r="5788">
          <cell r="D5788" t="str">
            <v>2023</v>
          </cell>
        </row>
        <row r="5789">
          <cell r="D5789" t="str">
            <v>2023</v>
          </cell>
        </row>
        <row r="5790">
          <cell r="D5790" t="str">
            <v>2023</v>
          </cell>
        </row>
        <row r="5791">
          <cell r="D5791" t="str">
            <v>2022</v>
          </cell>
        </row>
        <row r="5792">
          <cell r="D5792" t="str">
            <v>2023</v>
          </cell>
        </row>
        <row r="5793">
          <cell r="D5793" t="str">
            <v>2023</v>
          </cell>
        </row>
        <row r="5794">
          <cell r="D5794" t="str">
            <v>2023</v>
          </cell>
        </row>
        <row r="5795">
          <cell r="D5795" t="str">
            <v>2023</v>
          </cell>
        </row>
        <row r="5796">
          <cell r="D5796" t="str">
            <v>2023</v>
          </cell>
        </row>
        <row r="5797">
          <cell r="D5797" t="str">
            <v>2023</v>
          </cell>
        </row>
        <row r="5798">
          <cell r="D5798" t="str">
            <v>2023</v>
          </cell>
        </row>
        <row r="5799">
          <cell r="D5799" t="str">
            <v>2023</v>
          </cell>
        </row>
        <row r="5800">
          <cell r="D5800" t="str">
            <v>2023</v>
          </cell>
        </row>
        <row r="5801">
          <cell r="D5801" t="str">
            <v>2023</v>
          </cell>
        </row>
        <row r="5802">
          <cell r="D5802" t="str">
            <v>2023</v>
          </cell>
        </row>
        <row r="5803">
          <cell r="D5803" t="str">
            <v>2022</v>
          </cell>
        </row>
        <row r="5804">
          <cell r="D5804" t="str">
            <v>2023</v>
          </cell>
        </row>
        <row r="5805">
          <cell r="D5805" t="str">
            <v>2023</v>
          </cell>
        </row>
        <row r="5806">
          <cell r="D5806" t="str">
            <v>2023</v>
          </cell>
        </row>
        <row r="5807">
          <cell r="D5807" t="str">
            <v>2023</v>
          </cell>
        </row>
        <row r="5808">
          <cell r="D5808" t="str">
            <v>2023</v>
          </cell>
        </row>
        <row r="5809">
          <cell r="D5809" t="str">
            <v>2023</v>
          </cell>
        </row>
        <row r="5810">
          <cell r="D5810" t="str">
            <v>2023</v>
          </cell>
        </row>
        <row r="5811">
          <cell r="D5811" t="str">
            <v>2022</v>
          </cell>
        </row>
        <row r="5812">
          <cell r="D5812" t="str">
            <v>2023</v>
          </cell>
        </row>
        <row r="5813">
          <cell r="D5813" t="str">
            <v>2023</v>
          </cell>
        </row>
        <row r="5814">
          <cell r="D5814" t="str">
            <v>2023</v>
          </cell>
        </row>
        <row r="5815">
          <cell r="D5815" t="str">
            <v>2023</v>
          </cell>
        </row>
        <row r="5816">
          <cell r="D5816" t="str">
            <v>2023</v>
          </cell>
        </row>
        <row r="5817">
          <cell r="D5817" t="str">
            <v>2023</v>
          </cell>
        </row>
        <row r="5818">
          <cell r="D5818" t="str">
            <v>2023</v>
          </cell>
        </row>
        <row r="5819">
          <cell r="D5819" t="str">
            <v>2023</v>
          </cell>
        </row>
        <row r="5820">
          <cell r="D5820" t="str">
            <v>2023</v>
          </cell>
        </row>
        <row r="5821">
          <cell r="D5821" t="str">
            <v>2023</v>
          </cell>
        </row>
        <row r="5822">
          <cell r="D5822" t="str">
            <v>2023</v>
          </cell>
        </row>
        <row r="5823">
          <cell r="D5823" t="str">
            <v>2022</v>
          </cell>
        </row>
        <row r="5824">
          <cell r="D5824" t="str">
            <v>2023</v>
          </cell>
        </row>
        <row r="5825">
          <cell r="D5825" t="str">
            <v>2023</v>
          </cell>
        </row>
        <row r="5826">
          <cell r="D5826" t="str">
            <v>2022</v>
          </cell>
        </row>
        <row r="5827">
          <cell r="D5827" t="str">
            <v>2023</v>
          </cell>
        </row>
        <row r="5828">
          <cell r="D5828" t="str">
            <v>2023</v>
          </cell>
        </row>
        <row r="5829">
          <cell r="D5829" t="str">
            <v>2023</v>
          </cell>
        </row>
        <row r="5830">
          <cell r="D5830" t="str">
            <v>2023</v>
          </cell>
        </row>
        <row r="5831">
          <cell r="D5831" t="str">
            <v>2023</v>
          </cell>
        </row>
        <row r="5832">
          <cell r="D5832" t="str">
            <v>2023</v>
          </cell>
        </row>
        <row r="5833">
          <cell r="D5833" t="str">
            <v>2023</v>
          </cell>
        </row>
        <row r="5834">
          <cell r="D5834" t="str">
            <v>2023</v>
          </cell>
        </row>
        <row r="5835">
          <cell r="D5835" t="str">
            <v>2023</v>
          </cell>
        </row>
        <row r="5836">
          <cell r="D5836" t="str">
            <v>2023</v>
          </cell>
        </row>
        <row r="5837">
          <cell r="D5837" t="str">
            <v>2023</v>
          </cell>
        </row>
        <row r="5838">
          <cell r="D5838" t="str">
            <v>2023</v>
          </cell>
        </row>
        <row r="5839">
          <cell r="D5839" t="str">
            <v>2023</v>
          </cell>
        </row>
        <row r="5840">
          <cell r="D5840" t="str">
            <v>2023</v>
          </cell>
        </row>
        <row r="5841">
          <cell r="D5841" t="str">
            <v>2024</v>
          </cell>
        </row>
        <row r="5842">
          <cell r="D5842" t="str">
            <v>2023</v>
          </cell>
        </row>
        <row r="5843">
          <cell r="D5843" t="str">
            <v>2023</v>
          </cell>
        </row>
        <row r="5844">
          <cell r="D5844" t="str">
            <v>2023</v>
          </cell>
        </row>
        <row r="5845">
          <cell r="D5845" t="str">
            <v>2024</v>
          </cell>
        </row>
        <row r="5846">
          <cell r="D5846" t="str">
            <v>2023</v>
          </cell>
        </row>
        <row r="5847">
          <cell r="D5847" t="str">
            <v>2022</v>
          </cell>
        </row>
        <row r="5848">
          <cell r="D5848" t="str">
            <v>2023</v>
          </cell>
        </row>
        <row r="5849">
          <cell r="D5849" t="str">
            <v>2022</v>
          </cell>
        </row>
        <row r="5850">
          <cell r="D5850" t="str">
            <v>2023</v>
          </cell>
        </row>
        <row r="5851">
          <cell r="D5851" t="str">
            <v>2023</v>
          </cell>
        </row>
        <row r="5852">
          <cell r="D5852" t="str">
            <v>2023</v>
          </cell>
        </row>
        <row r="5853">
          <cell r="D5853" t="str">
            <v>2022</v>
          </cell>
        </row>
        <row r="5854">
          <cell r="D5854" t="str">
            <v>2023</v>
          </cell>
        </row>
        <row r="5855">
          <cell r="D5855" t="str">
            <v>2022</v>
          </cell>
        </row>
        <row r="5856">
          <cell r="D5856" t="str">
            <v>2023</v>
          </cell>
        </row>
        <row r="5857">
          <cell r="D5857" t="str">
            <v>2023</v>
          </cell>
        </row>
        <row r="5858">
          <cell r="D5858" t="str">
            <v>2023</v>
          </cell>
        </row>
        <row r="5859">
          <cell r="D5859" t="str">
            <v>2023</v>
          </cell>
        </row>
        <row r="5860">
          <cell r="D5860" t="str">
            <v>2023</v>
          </cell>
        </row>
        <row r="5861">
          <cell r="D5861" t="str">
            <v>2023</v>
          </cell>
        </row>
        <row r="5862">
          <cell r="D5862" t="str">
            <v>2021</v>
          </cell>
        </row>
        <row r="5863">
          <cell r="D5863" t="str">
            <v>2023</v>
          </cell>
        </row>
        <row r="5864">
          <cell r="D5864" t="str">
            <v>2023</v>
          </cell>
        </row>
        <row r="5865">
          <cell r="D5865" t="str">
            <v>2023</v>
          </cell>
        </row>
        <row r="5866">
          <cell r="D5866" t="str">
            <v>2023</v>
          </cell>
        </row>
        <row r="5867">
          <cell r="D5867" t="str">
            <v>2023</v>
          </cell>
        </row>
        <row r="5868">
          <cell r="D5868" t="str">
            <v>2023</v>
          </cell>
        </row>
        <row r="5869">
          <cell r="D5869" t="str">
            <v>2023</v>
          </cell>
        </row>
        <row r="5870">
          <cell r="D5870" t="str">
            <v>2023</v>
          </cell>
        </row>
        <row r="5871">
          <cell r="D5871" t="str">
            <v>2023</v>
          </cell>
        </row>
        <row r="5872">
          <cell r="D5872" t="str">
            <v>2023</v>
          </cell>
        </row>
        <row r="5873">
          <cell r="D5873" t="str">
            <v>2023</v>
          </cell>
        </row>
        <row r="5874">
          <cell r="D5874" t="str">
            <v>2023</v>
          </cell>
        </row>
        <row r="5875">
          <cell r="D5875" t="str">
            <v>2023</v>
          </cell>
        </row>
        <row r="5876">
          <cell r="D5876" t="str">
            <v>2023</v>
          </cell>
        </row>
        <row r="5877">
          <cell r="D5877" t="str">
            <v>2023</v>
          </cell>
        </row>
        <row r="5878">
          <cell r="D5878" t="str">
            <v>2024</v>
          </cell>
        </row>
        <row r="5879">
          <cell r="D5879" t="str">
            <v>2023</v>
          </cell>
        </row>
        <row r="5880">
          <cell r="D5880" t="str">
            <v>2021</v>
          </cell>
        </row>
        <row r="5881">
          <cell r="D5881" t="str">
            <v>2023</v>
          </cell>
        </row>
        <row r="5882">
          <cell r="D5882" t="str">
            <v>2023</v>
          </cell>
        </row>
        <row r="5883">
          <cell r="D5883" t="str">
            <v>2022</v>
          </cell>
        </row>
        <row r="5884">
          <cell r="D5884" t="str">
            <v>2023</v>
          </cell>
        </row>
        <row r="5885">
          <cell r="D5885" t="str">
            <v>2023</v>
          </cell>
        </row>
        <row r="5886">
          <cell r="D5886" t="str">
            <v>2023</v>
          </cell>
        </row>
        <row r="5887">
          <cell r="D5887" t="str">
            <v>2023</v>
          </cell>
        </row>
        <row r="5888">
          <cell r="D5888" t="str">
            <v>2023</v>
          </cell>
        </row>
        <row r="5889">
          <cell r="D5889" t="str">
            <v>2023</v>
          </cell>
        </row>
        <row r="5890">
          <cell r="D5890" t="str">
            <v>2022</v>
          </cell>
        </row>
        <row r="5891">
          <cell r="D5891" t="str">
            <v>2023</v>
          </cell>
        </row>
        <row r="5892">
          <cell r="D5892" t="str">
            <v>2023</v>
          </cell>
        </row>
        <row r="5893">
          <cell r="D5893" t="str">
            <v>2023</v>
          </cell>
        </row>
        <row r="5894">
          <cell r="D5894" t="str">
            <v>2023</v>
          </cell>
        </row>
        <row r="5895">
          <cell r="D5895" t="str">
            <v>2023</v>
          </cell>
        </row>
        <row r="5896">
          <cell r="D5896" t="str">
            <v>2022</v>
          </cell>
        </row>
        <row r="5897">
          <cell r="D5897" t="str">
            <v>2023</v>
          </cell>
        </row>
        <row r="5898">
          <cell r="D5898" t="str">
            <v>2023</v>
          </cell>
        </row>
        <row r="5899">
          <cell r="D5899" t="str">
            <v>2022</v>
          </cell>
        </row>
        <row r="5900">
          <cell r="D5900" t="str">
            <v>2023</v>
          </cell>
        </row>
        <row r="5901">
          <cell r="D5901" t="str">
            <v>2024</v>
          </cell>
        </row>
        <row r="5902">
          <cell r="D5902" t="str">
            <v>2022</v>
          </cell>
        </row>
        <row r="5903">
          <cell r="D5903" t="str">
            <v>2023</v>
          </cell>
        </row>
        <row r="5904">
          <cell r="D5904" t="str">
            <v>2023</v>
          </cell>
        </row>
        <row r="5905">
          <cell r="D5905" t="str">
            <v>2022</v>
          </cell>
        </row>
        <row r="5906">
          <cell r="D5906" t="str">
            <v>2023</v>
          </cell>
        </row>
        <row r="5907">
          <cell r="D5907" t="str">
            <v>2022</v>
          </cell>
        </row>
        <row r="5908">
          <cell r="D5908" t="str">
            <v>2023</v>
          </cell>
        </row>
        <row r="5909">
          <cell r="D5909" t="str">
            <v>2023</v>
          </cell>
        </row>
        <row r="5910">
          <cell r="D5910" t="str">
            <v>2023</v>
          </cell>
        </row>
        <row r="5911">
          <cell r="D5911" t="str">
            <v>2023</v>
          </cell>
        </row>
        <row r="5912">
          <cell r="D5912" t="str">
            <v>2024</v>
          </cell>
        </row>
        <row r="5913">
          <cell r="D5913" t="str">
            <v>2022</v>
          </cell>
        </row>
        <row r="5914">
          <cell r="D5914" t="str">
            <v>2023</v>
          </cell>
        </row>
        <row r="5915">
          <cell r="D5915" t="str">
            <v>2023</v>
          </cell>
        </row>
        <row r="5916">
          <cell r="D5916" t="str">
            <v>2023</v>
          </cell>
        </row>
        <row r="5917">
          <cell r="D5917" t="str">
            <v>2023</v>
          </cell>
        </row>
        <row r="5918">
          <cell r="D5918" t="str">
            <v>2023</v>
          </cell>
        </row>
        <row r="5919">
          <cell r="D5919" t="str">
            <v>2023</v>
          </cell>
        </row>
        <row r="5920">
          <cell r="D5920" t="str">
            <v>2022</v>
          </cell>
        </row>
        <row r="5921">
          <cell r="D5921" t="str">
            <v>2021</v>
          </cell>
        </row>
        <row r="5922">
          <cell r="D5922" t="str">
            <v>2023</v>
          </cell>
        </row>
        <row r="5923">
          <cell r="D5923" t="str">
            <v>2023</v>
          </cell>
        </row>
        <row r="5924">
          <cell r="D5924" t="str">
            <v>2021</v>
          </cell>
        </row>
        <row r="5925">
          <cell r="D5925" t="str">
            <v>2023</v>
          </cell>
        </row>
        <row r="5926">
          <cell r="D5926" t="str">
            <v>2022</v>
          </cell>
        </row>
        <row r="5927">
          <cell r="D5927" t="str">
            <v>2023</v>
          </cell>
        </row>
        <row r="5928">
          <cell r="D5928" t="str">
            <v>2023</v>
          </cell>
        </row>
        <row r="5929">
          <cell r="D5929" t="str">
            <v>2023</v>
          </cell>
        </row>
        <row r="5930">
          <cell r="D5930" t="str">
            <v>2023</v>
          </cell>
        </row>
        <row r="5931">
          <cell r="D5931" t="str">
            <v>2024</v>
          </cell>
        </row>
        <row r="5932">
          <cell r="D5932" t="str">
            <v>2023</v>
          </cell>
        </row>
        <row r="5933">
          <cell r="D5933" t="str">
            <v>2023</v>
          </cell>
        </row>
        <row r="5934">
          <cell r="D5934" t="str">
            <v>2023</v>
          </cell>
        </row>
        <row r="5935">
          <cell r="D5935" t="str">
            <v>2023</v>
          </cell>
        </row>
        <row r="5936">
          <cell r="D5936" t="str">
            <v>2023</v>
          </cell>
        </row>
        <row r="5937">
          <cell r="D5937" t="str">
            <v>2023</v>
          </cell>
        </row>
        <row r="5938">
          <cell r="D5938" t="str">
            <v>2023</v>
          </cell>
        </row>
        <row r="5939">
          <cell r="D5939" t="str">
            <v>2023</v>
          </cell>
        </row>
        <row r="5940">
          <cell r="D5940" t="str">
            <v>2022</v>
          </cell>
        </row>
        <row r="5941">
          <cell r="D5941" t="str">
            <v>2022</v>
          </cell>
        </row>
        <row r="5942">
          <cell r="D5942" t="str">
            <v>2023</v>
          </cell>
        </row>
        <row r="5943">
          <cell r="D5943" t="str">
            <v>2023</v>
          </cell>
        </row>
        <row r="5944">
          <cell r="D5944" t="str">
            <v>2021</v>
          </cell>
        </row>
        <row r="5945">
          <cell r="D5945" t="str">
            <v>2023</v>
          </cell>
        </row>
        <row r="5946">
          <cell r="D5946" t="str">
            <v>2023</v>
          </cell>
        </row>
        <row r="5947">
          <cell r="D5947" t="str">
            <v>2023</v>
          </cell>
        </row>
        <row r="5948">
          <cell r="D5948" t="str">
            <v>2023</v>
          </cell>
        </row>
        <row r="5949">
          <cell r="D5949" t="str">
            <v>2023</v>
          </cell>
        </row>
        <row r="5950">
          <cell r="D5950" t="str">
            <v>2023</v>
          </cell>
        </row>
        <row r="5951">
          <cell r="D5951" t="str">
            <v>2021</v>
          </cell>
        </row>
        <row r="5952">
          <cell r="D5952" t="str">
            <v>2023</v>
          </cell>
        </row>
        <row r="5953">
          <cell r="D5953" t="str">
            <v>2023</v>
          </cell>
        </row>
        <row r="5954">
          <cell r="D5954" t="str">
            <v>2023</v>
          </cell>
        </row>
        <row r="5955">
          <cell r="D5955" t="str">
            <v>2023</v>
          </cell>
        </row>
        <row r="5956">
          <cell r="D5956" t="str">
            <v>2023</v>
          </cell>
        </row>
        <row r="5957">
          <cell r="D5957" t="str">
            <v>2023</v>
          </cell>
        </row>
        <row r="5958">
          <cell r="D5958" t="str">
            <v>2023</v>
          </cell>
        </row>
        <row r="5959">
          <cell r="D5959" t="str">
            <v>2023</v>
          </cell>
        </row>
        <row r="5960">
          <cell r="D5960" t="str">
            <v>2023</v>
          </cell>
        </row>
        <row r="5961">
          <cell r="D5961" t="str">
            <v>2023</v>
          </cell>
        </row>
        <row r="5962">
          <cell r="D5962" t="str">
            <v>2021</v>
          </cell>
        </row>
        <row r="5963">
          <cell r="D5963" t="str">
            <v>2024</v>
          </cell>
        </row>
        <row r="5964">
          <cell r="D5964" t="str">
            <v>2023</v>
          </cell>
        </row>
        <row r="5965">
          <cell r="D5965" t="str">
            <v>2023</v>
          </cell>
        </row>
        <row r="5966">
          <cell r="D5966" t="str">
            <v>2023</v>
          </cell>
        </row>
        <row r="5967">
          <cell r="D5967" t="str">
            <v>2023</v>
          </cell>
        </row>
        <row r="5968">
          <cell r="D5968" t="str">
            <v>2023</v>
          </cell>
        </row>
        <row r="5969">
          <cell r="D5969" t="str">
            <v>2023</v>
          </cell>
        </row>
        <row r="5970">
          <cell r="D5970" t="str">
            <v>2023</v>
          </cell>
        </row>
        <row r="5971">
          <cell r="D5971" t="str">
            <v>2021</v>
          </cell>
        </row>
        <row r="5972">
          <cell r="D5972" t="str">
            <v>2023</v>
          </cell>
        </row>
        <row r="5973">
          <cell r="D5973" t="str">
            <v>2023</v>
          </cell>
        </row>
        <row r="5974">
          <cell r="D5974" t="str">
            <v>2023</v>
          </cell>
        </row>
        <row r="5975">
          <cell r="D5975" t="str">
            <v>2023</v>
          </cell>
        </row>
        <row r="5976">
          <cell r="D5976" t="str">
            <v>2023</v>
          </cell>
        </row>
        <row r="5977">
          <cell r="D5977" t="str">
            <v>2023</v>
          </cell>
        </row>
        <row r="5978">
          <cell r="D5978" t="str">
            <v>2023</v>
          </cell>
        </row>
        <row r="5979">
          <cell r="D5979" t="str">
            <v>2023</v>
          </cell>
        </row>
        <row r="5980">
          <cell r="D5980" t="str">
            <v>2023</v>
          </cell>
        </row>
        <row r="5981">
          <cell r="D5981" t="str">
            <v>2023</v>
          </cell>
        </row>
        <row r="5982">
          <cell r="D5982" t="str">
            <v>2023</v>
          </cell>
        </row>
        <row r="5983">
          <cell r="D5983" t="str">
            <v>2023</v>
          </cell>
        </row>
        <row r="5984">
          <cell r="D5984" t="str">
            <v>2023</v>
          </cell>
        </row>
        <row r="5985">
          <cell r="D5985" t="str">
            <v>2023</v>
          </cell>
        </row>
        <row r="5986">
          <cell r="D5986" t="str">
            <v>2023</v>
          </cell>
        </row>
        <row r="5987">
          <cell r="D5987" t="str">
            <v>2022</v>
          </cell>
        </row>
        <row r="5988">
          <cell r="D5988" t="str">
            <v>2023</v>
          </cell>
        </row>
        <row r="5989">
          <cell r="D5989" t="str">
            <v>2023</v>
          </cell>
        </row>
        <row r="5990">
          <cell r="D5990" t="str">
            <v>2023</v>
          </cell>
        </row>
        <row r="5991">
          <cell r="D5991" t="str">
            <v>2023</v>
          </cell>
        </row>
        <row r="5992">
          <cell r="D5992" t="str">
            <v>2023</v>
          </cell>
        </row>
        <row r="5993">
          <cell r="D5993" t="str">
            <v>2023</v>
          </cell>
        </row>
        <row r="5994">
          <cell r="D5994" t="str">
            <v>2023</v>
          </cell>
        </row>
        <row r="5995">
          <cell r="D5995" t="str">
            <v>2024</v>
          </cell>
        </row>
        <row r="5996">
          <cell r="D5996" t="str">
            <v>2023</v>
          </cell>
        </row>
        <row r="5997">
          <cell r="D5997" t="str">
            <v>2024</v>
          </cell>
        </row>
        <row r="5998">
          <cell r="D5998" t="str">
            <v>2022</v>
          </cell>
        </row>
        <row r="5999">
          <cell r="D5999" t="str">
            <v>2023</v>
          </cell>
        </row>
        <row r="6000">
          <cell r="D6000" t="str">
            <v>2023</v>
          </cell>
        </row>
        <row r="6001">
          <cell r="D6001" t="str">
            <v>2022</v>
          </cell>
        </row>
        <row r="6002">
          <cell r="D6002" t="str">
            <v>2021</v>
          </cell>
        </row>
        <row r="6003">
          <cell r="D6003" t="str">
            <v>2023</v>
          </cell>
        </row>
        <row r="6004">
          <cell r="D6004" t="str">
            <v>2023</v>
          </cell>
        </row>
        <row r="6005">
          <cell r="D6005" t="str">
            <v>2023</v>
          </cell>
        </row>
        <row r="6006">
          <cell r="D6006" t="str">
            <v>2022</v>
          </cell>
        </row>
        <row r="6007">
          <cell r="D6007" t="str">
            <v>2023</v>
          </cell>
        </row>
        <row r="6008">
          <cell r="D6008" t="str">
            <v>2022</v>
          </cell>
        </row>
        <row r="6009">
          <cell r="D6009" t="str">
            <v>2023</v>
          </cell>
        </row>
        <row r="6010">
          <cell r="D6010" t="str">
            <v>2023</v>
          </cell>
        </row>
        <row r="6011">
          <cell r="D6011" t="str">
            <v>2023</v>
          </cell>
        </row>
        <row r="6012">
          <cell r="D6012" t="str">
            <v>2023</v>
          </cell>
        </row>
        <row r="6013">
          <cell r="D6013" t="str">
            <v>2023</v>
          </cell>
        </row>
        <row r="6014">
          <cell r="D6014" t="str">
            <v>2023</v>
          </cell>
        </row>
        <row r="6015">
          <cell r="D6015" t="str">
            <v>2023</v>
          </cell>
        </row>
        <row r="6016">
          <cell r="D6016" t="str">
            <v>2023</v>
          </cell>
        </row>
        <row r="6017">
          <cell r="D6017" t="str">
            <v>2023</v>
          </cell>
        </row>
        <row r="6018">
          <cell r="D6018" t="str">
            <v>2023</v>
          </cell>
        </row>
        <row r="6019">
          <cell r="D6019" t="str">
            <v>2023</v>
          </cell>
        </row>
        <row r="6020">
          <cell r="D6020" t="str">
            <v>2023</v>
          </cell>
        </row>
        <row r="6021">
          <cell r="D6021" t="str">
            <v>2023</v>
          </cell>
        </row>
        <row r="6022">
          <cell r="D6022" t="str">
            <v>2023</v>
          </cell>
        </row>
        <row r="6023">
          <cell r="D6023" t="str">
            <v>2023</v>
          </cell>
        </row>
        <row r="6024">
          <cell r="D6024" t="str">
            <v>2023</v>
          </cell>
        </row>
        <row r="6025">
          <cell r="D6025" t="str">
            <v>2023</v>
          </cell>
        </row>
        <row r="6026">
          <cell r="D6026" t="str">
            <v>2023</v>
          </cell>
        </row>
        <row r="6027">
          <cell r="D6027" t="str">
            <v>2023</v>
          </cell>
        </row>
        <row r="6028">
          <cell r="D6028" t="str">
            <v>2023</v>
          </cell>
        </row>
        <row r="6029">
          <cell r="D6029" t="str">
            <v>2022</v>
          </cell>
        </row>
        <row r="6030">
          <cell r="D6030" t="str">
            <v>2023</v>
          </cell>
        </row>
        <row r="6031">
          <cell r="D6031" t="str">
            <v>2023</v>
          </cell>
        </row>
        <row r="6032">
          <cell r="D6032" t="str">
            <v>2023</v>
          </cell>
        </row>
        <row r="6033">
          <cell r="D6033" t="str">
            <v>2023</v>
          </cell>
        </row>
        <row r="6034">
          <cell r="D6034" t="str">
            <v>2023</v>
          </cell>
        </row>
        <row r="6035">
          <cell r="D6035" t="str">
            <v>2023</v>
          </cell>
        </row>
        <row r="6036">
          <cell r="D6036" t="str">
            <v>2022</v>
          </cell>
        </row>
        <row r="6037">
          <cell r="D6037" t="str">
            <v>2023</v>
          </cell>
        </row>
        <row r="6038">
          <cell r="D6038" t="str">
            <v>2023</v>
          </cell>
        </row>
        <row r="6039">
          <cell r="D6039" t="str">
            <v>2023</v>
          </cell>
        </row>
        <row r="6040">
          <cell r="D6040" t="str">
            <v>2023</v>
          </cell>
        </row>
        <row r="6041">
          <cell r="D6041" t="str">
            <v>2023</v>
          </cell>
        </row>
        <row r="6042">
          <cell r="D6042" t="str">
            <v>2023</v>
          </cell>
        </row>
        <row r="6043">
          <cell r="D6043" t="str">
            <v>2023</v>
          </cell>
        </row>
        <row r="6044">
          <cell r="D6044" t="str">
            <v>2023</v>
          </cell>
        </row>
        <row r="6045">
          <cell r="D6045" t="str">
            <v>2023</v>
          </cell>
        </row>
        <row r="6046">
          <cell r="D6046" t="str">
            <v>2023</v>
          </cell>
        </row>
        <row r="6047">
          <cell r="D6047" t="str">
            <v>2023</v>
          </cell>
        </row>
        <row r="6048">
          <cell r="D6048" t="str">
            <v>2021</v>
          </cell>
        </row>
        <row r="6049">
          <cell r="D6049" t="str">
            <v>2021</v>
          </cell>
        </row>
        <row r="6050">
          <cell r="D6050" t="str">
            <v>2023</v>
          </cell>
        </row>
        <row r="6051">
          <cell r="D6051" t="str">
            <v>2021</v>
          </cell>
        </row>
        <row r="6052">
          <cell r="D6052" t="str">
            <v>2024</v>
          </cell>
        </row>
        <row r="6053">
          <cell r="D6053" t="str">
            <v>2023</v>
          </cell>
        </row>
        <row r="6054">
          <cell r="D6054" t="str">
            <v>2023</v>
          </cell>
        </row>
        <row r="6055">
          <cell r="D6055" t="str">
            <v>2023</v>
          </cell>
        </row>
        <row r="6056">
          <cell r="D6056" t="str">
            <v>2023</v>
          </cell>
        </row>
        <row r="6057">
          <cell r="D6057" t="str">
            <v>2023</v>
          </cell>
        </row>
        <row r="6058">
          <cell r="D6058" t="str">
            <v>2023</v>
          </cell>
        </row>
        <row r="6059">
          <cell r="D6059" t="str">
            <v>2022</v>
          </cell>
        </row>
        <row r="6060">
          <cell r="D6060" t="str">
            <v>2022</v>
          </cell>
        </row>
        <row r="6061">
          <cell r="D6061" t="str">
            <v>2023</v>
          </cell>
        </row>
        <row r="6062">
          <cell r="D6062" t="str">
            <v>2024</v>
          </cell>
        </row>
        <row r="6063">
          <cell r="D6063" t="str">
            <v>2023</v>
          </cell>
        </row>
        <row r="6064">
          <cell r="D6064" t="str">
            <v>2022</v>
          </cell>
        </row>
        <row r="6065">
          <cell r="D6065" t="str">
            <v>2023</v>
          </cell>
        </row>
        <row r="6066">
          <cell r="D6066" t="str">
            <v>2023</v>
          </cell>
        </row>
        <row r="6067">
          <cell r="D6067" t="str">
            <v>2024</v>
          </cell>
        </row>
        <row r="6068">
          <cell r="D6068" t="str">
            <v>2023</v>
          </cell>
        </row>
        <row r="6069">
          <cell r="D6069" t="str">
            <v>2023</v>
          </cell>
        </row>
        <row r="6070">
          <cell r="D6070" t="str">
            <v>2023</v>
          </cell>
        </row>
        <row r="6071">
          <cell r="D6071" t="str">
            <v>2023</v>
          </cell>
        </row>
        <row r="6072">
          <cell r="D6072" t="str">
            <v>2023</v>
          </cell>
        </row>
        <row r="6073">
          <cell r="D6073" t="str">
            <v>2023</v>
          </cell>
        </row>
        <row r="6074">
          <cell r="D6074" t="str">
            <v>2022</v>
          </cell>
        </row>
        <row r="6075">
          <cell r="D6075" t="str">
            <v>2022</v>
          </cell>
        </row>
        <row r="6076">
          <cell r="D6076" t="str">
            <v>2021</v>
          </cell>
        </row>
        <row r="6077">
          <cell r="D6077" t="str">
            <v>2023</v>
          </cell>
        </row>
        <row r="6078">
          <cell r="D6078" t="str">
            <v>2024</v>
          </cell>
        </row>
        <row r="6079">
          <cell r="D6079" t="str">
            <v>2023</v>
          </cell>
        </row>
        <row r="6080">
          <cell r="D6080" t="str">
            <v>2023</v>
          </cell>
        </row>
        <row r="6081">
          <cell r="D6081" t="str">
            <v>2022</v>
          </cell>
        </row>
        <row r="6082">
          <cell r="D6082" t="str">
            <v>2024</v>
          </cell>
        </row>
        <row r="6083">
          <cell r="D6083" t="str">
            <v>2023</v>
          </cell>
        </row>
        <row r="6084">
          <cell r="D6084" t="str">
            <v>2023</v>
          </cell>
        </row>
        <row r="6085">
          <cell r="D6085" t="str">
            <v>2023</v>
          </cell>
        </row>
        <row r="6086">
          <cell r="D6086" t="str">
            <v>2023</v>
          </cell>
        </row>
        <row r="6087">
          <cell r="D6087" t="str">
            <v>2023</v>
          </cell>
        </row>
        <row r="6088">
          <cell r="D6088" t="str">
            <v>2022</v>
          </cell>
        </row>
        <row r="6089">
          <cell r="D6089" t="str">
            <v>2023</v>
          </cell>
        </row>
        <row r="6090">
          <cell r="D6090" t="str">
            <v>2023</v>
          </cell>
        </row>
        <row r="6091">
          <cell r="D6091" t="str">
            <v>2023</v>
          </cell>
        </row>
        <row r="6092">
          <cell r="D6092" t="str">
            <v>2023</v>
          </cell>
        </row>
        <row r="6093">
          <cell r="D6093" t="str">
            <v>2023</v>
          </cell>
        </row>
        <row r="6094">
          <cell r="D6094" t="str">
            <v>2023</v>
          </cell>
        </row>
        <row r="6095">
          <cell r="D6095" t="str">
            <v>2023</v>
          </cell>
        </row>
        <row r="6096">
          <cell r="D6096" t="str">
            <v>2022</v>
          </cell>
        </row>
        <row r="6097">
          <cell r="D6097" t="str">
            <v>2023</v>
          </cell>
        </row>
        <row r="6098">
          <cell r="D6098" t="str">
            <v>2023</v>
          </cell>
        </row>
        <row r="6099">
          <cell r="D6099" t="str">
            <v>2022</v>
          </cell>
        </row>
        <row r="6100">
          <cell r="D6100" t="str">
            <v>2023</v>
          </cell>
        </row>
        <row r="6101">
          <cell r="D6101" t="str">
            <v>2023</v>
          </cell>
        </row>
        <row r="6102">
          <cell r="D6102" t="str">
            <v>2023</v>
          </cell>
        </row>
        <row r="6103">
          <cell r="D6103" t="str">
            <v>2022</v>
          </cell>
        </row>
        <row r="6104">
          <cell r="D6104" t="str">
            <v>2023</v>
          </cell>
        </row>
        <row r="6105">
          <cell r="D6105" t="str">
            <v>2023</v>
          </cell>
        </row>
        <row r="6106">
          <cell r="D6106" t="str">
            <v>2023</v>
          </cell>
        </row>
        <row r="6107">
          <cell r="D6107" t="str">
            <v>2023</v>
          </cell>
        </row>
        <row r="6108">
          <cell r="D6108" t="str">
            <v>2023</v>
          </cell>
        </row>
        <row r="6109">
          <cell r="D6109" t="str">
            <v>2023</v>
          </cell>
        </row>
        <row r="6110">
          <cell r="D6110" t="str">
            <v>2023</v>
          </cell>
        </row>
        <row r="6111">
          <cell r="D6111" t="str">
            <v>2023</v>
          </cell>
        </row>
        <row r="6112">
          <cell r="D6112" t="str">
            <v>2023</v>
          </cell>
        </row>
        <row r="6113">
          <cell r="D6113" t="str">
            <v>2023</v>
          </cell>
        </row>
        <row r="6114">
          <cell r="D6114" t="str">
            <v>2023</v>
          </cell>
        </row>
        <row r="6115">
          <cell r="D6115" t="str">
            <v>2023</v>
          </cell>
        </row>
        <row r="6116">
          <cell r="D6116" t="str">
            <v>2023</v>
          </cell>
        </row>
        <row r="6117">
          <cell r="D6117" t="str">
            <v>2023</v>
          </cell>
        </row>
        <row r="6118">
          <cell r="D6118" t="str">
            <v>2023</v>
          </cell>
        </row>
        <row r="6119">
          <cell r="D6119" t="str">
            <v>2021</v>
          </cell>
        </row>
        <row r="6120">
          <cell r="D6120" t="str">
            <v>2023</v>
          </cell>
        </row>
        <row r="6121">
          <cell r="D6121" t="str">
            <v>2023</v>
          </cell>
        </row>
        <row r="6122">
          <cell r="D6122" t="str">
            <v>2023</v>
          </cell>
        </row>
        <row r="6123">
          <cell r="D6123" t="str">
            <v>2023</v>
          </cell>
        </row>
        <row r="6124">
          <cell r="D6124" t="str">
            <v>2023</v>
          </cell>
        </row>
        <row r="6125">
          <cell r="D6125" t="str">
            <v>2023</v>
          </cell>
        </row>
        <row r="6126">
          <cell r="D6126" t="str">
            <v>2023</v>
          </cell>
        </row>
        <row r="6127">
          <cell r="D6127" t="str">
            <v>2024</v>
          </cell>
        </row>
        <row r="6128">
          <cell r="D6128" t="str">
            <v>2023</v>
          </cell>
        </row>
        <row r="6129">
          <cell r="D6129" t="str">
            <v>2023</v>
          </cell>
        </row>
        <row r="6130">
          <cell r="D6130" t="str">
            <v>2023</v>
          </cell>
        </row>
        <row r="6131">
          <cell r="D6131" t="str">
            <v>2023</v>
          </cell>
        </row>
        <row r="6132">
          <cell r="D6132" t="str">
            <v>2023</v>
          </cell>
        </row>
        <row r="6133">
          <cell r="D6133" t="str">
            <v>2023</v>
          </cell>
        </row>
        <row r="6134">
          <cell r="D6134" t="str">
            <v>2023</v>
          </cell>
        </row>
        <row r="6135">
          <cell r="D6135" t="str">
            <v>2021</v>
          </cell>
        </row>
        <row r="6136">
          <cell r="D6136" t="str">
            <v>2023</v>
          </cell>
        </row>
        <row r="6137">
          <cell r="D6137" t="str">
            <v>2023</v>
          </cell>
        </row>
        <row r="6138">
          <cell r="D6138" t="str">
            <v>2023</v>
          </cell>
        </row>
        <row r="6139">
          <cell r="D6139" t="str">
            <v>2023</v>
          </cell>
        </row>
        <row r="6140">
          <cell r="D6140" t="str">
            <v>2023</v>
          </cell>
        </row>
        <row r="6141">
          <cell r="D6141" t="str">
            <v>2022</v>
          </cell>
        </row>
        <row r="6142">
          <cell r="D6142" t="str">
            <v>2023</v>
          </cell>
        </row>
        <row r="6143">
          <cell r="D6143" t="str">
            <v>2023</v>
          </cell>
        </row>
        <row r="6144">
          <cell r="D6144" t="str">
            <v>2023</v>
          </cell>
        </row>
        <row r="6145">
          <cell r="D6145" t="str">
            <v>2022</v>
          </cell>
        </row>
        <row r="6146">
          <cell r="D6146" t="str">
            <v>2023</v>
          </cell>
        </row>
        <row r="6147">
          <cell r="D6147" t="str">
            <v>2023</v>
          </cell>
        </row>
        <row r="6148">
          <cell r="D6148" t="str">
            <v>2023</v>
          </cell>
        </row>
        <row r="6149">
          <cell r="D6149" t="str">
            <v>2023</v>
          </cell>
        </row>
        <row r="6150">
          <cell r="D6150" t="str">
            <v>2023</v>
          </cell>
        </row>
        <row r="6151">
          <cell r="D6151" t="str">
            <v>2023</v>
          </cell>
        </row>
        <row r="6152">
          <cell r="D6152" t="str">
            <v>2022</v>
          </cell>
        </row>
        <row r="6153">
          <cell r="D6153" t="str">
            <v>2023</v>
          </cell>
        </row>
        <row r="6154">
          <cell r="D6154" t="str">
            <v>2022</v>
          </cell>
        </row>
        <row r="6155">
          <cell r="D6155" t="str">
            <v>2022</v>
          </cell>
        </row>
        <row r="6156">
          <cell r="D6156" t="str">
            <v>2023</v>
          </cell>
        </row>
        <row r="6157">
          <cell r="D6157" t="str">
            <v>2021</v>
          </cell>
        </row>
        <row r="6158">
          <cell r="D6158" t="str">
            <v>2023</v>
          </cell>
        </row>
        <row r="6159">
          <cell r="D6159" t="str">
            <v>2021</v>
          </cell>
        </row>
        <row r="6160">
          <cell r="D6160" t="str">
            <v>2023</v>
          </cell>
        </row>
        <row r="6161">
          <cell r="D6161" t="str">
            <v>2023</v>
          </cell>
        </row>
        <row r="6162">
          <cell r="D6162" t="str">
            <v>2023</v>
          </cell>
        </row>
        <row r="6163">
          <cell r="D6163" t="str">
            <v>2023</v>
          </cell>
        </row>
        <row r="6164">
          <cell r="D6164" t="str">
            <v>2023</v>
          </cell>
        </row>
        <row r="6165">
          <cell r="D6165" t="str">
            <v>2023</v>
          </cell>
        </row>
        <row r="6166">
          <cell r="D6166" t="str">
            <v>2022</v>
          </cell>
        </row>
        <row r="6167">
          <cell r="D6167" t="str">
            <v>2021</v>
          </cell>
        </row>
        <row r="6168">
          <cell r="D6168" t="str">
            <v>2023</v>
          </cell>
        </row>
        <row r="6169">
          <cell r="D6169" t="str">
            <v>2023</v>
          </cell>
        </row>
        <row r="6170">
          <cell r="D6170" t="str">
            <v>2023</v>
          </cell>
        </row>
        <row r="6171">
          <cell r="D6171" t="str">
            <v>2023</v>
          </cell>
        </row>
        <row r="6172">
          <cell r="D6172" t="str">
            <v>2023</v>
          </cell>
        </row>
        <row r="6173">
          <cell r="D6173" t="str">
            <v>2023</v>
          </cell>
        </row>
        <row r="6174">
          <cell r="D6174" t="str">
            <v>2023</v>
          </cell>
        </row>
        <row r="6175">
          <cell r="D6175" t="str">
            <v>2023</v>
          </cell>
        </row>
        <row r="6176">
          <cell r="D6176" t="str">
            <v>2023</v>
          </cell>
        </row>
        <row r="6177">
          <cell r="D6177" t="str">
            <v>2022</v>
          </cell>
        </row>
        <row r="6178">
          <cell r="D6178" t="str">
            <v>2023</v>
          </cell>
        </row>
        <row r="6179">
          <cell r="D6179" t="str">
            <v>2023</v>
          </cell>
        </row>
        <row r="6180">
          <cell r="D6180" t="str">
            <v>2023</v>
          </cell>
        </row>
        <row r="6181">
          <cell r="D6181" t="str">
            <v>2023</v>
          </cell>
        </row>
        <row r="6182">
          <cell r="D6182" t="str">
            <v>2023</v>
          </cell>
        </row>
        <row r="6183">
          <cell r="D6183" t="str">
            <v>2023</v>
          </cell>
        </row>
        <row r="6184">
          <cell r="D6184" t="str">
            <v>2023</v>
          </cell>
        </row>
        <row r="6185">
          <cell r="D6185" t="str">
            <v>2023</v>
          </cell>
        </row>
        <row r="6186">
          <cell r="D6186" t="str">
            <v>2023</v>
          </cell>
        </row>
        <row r="6187">
          <cell r="D6187" t="str">
            <v>2023</v>
          </cell>
        </row>
        <row r="6188">
          <cell r="D6188" t="str">
            <v>2023</v>
          </cell>
        </row>
        <row r="6189">
          <cell r="D6189" t="str">
            <v>2023</v>
          </cell>
        </row>
        <row r="6190">
          <cell r="D6190" t="str">
            <v>2023</v>
          </cell>
        </row>
        <row r="6191">
          <cell r="D6191" t="str">
            <v>2023</v>
          </cell>
        </row>
        <row r="6192">
          <cell r="D6192" t="str">
            <v>2023</v>
          </cell>
        </row>
        <row r="6193">
          <cell r="D6193" t="str">
            <v>2023</v>
          </cell>
        </row>
        <row r="6194">
          <cell r="D6194" t="str">
            <v>2023</v>
          </cell>
        </row>
        <row r="6195">
          <cell r="D6195" t="str">
            <v>2023</v>
          </cell>
        </row>
        <row r="6196">
          <cell r="D6196" t="str">
            <v>2022</v>
          </cell>
        </row>
        <row r="6197">
          <cell r="D6197" t="str">
            <v>2023</v>
          </cell>
        </row>
        <row r="6198">
          <cell r="D6198" t="str">
            <v>2023</v>
          </cell>
        </row>
        <row r="6199">
          <cell r="D6199" t="str">
            <v>2023</v>
          </cell>
        </row>
        <row r="6200">
          <cell r="D6200" t="str">
            <v>2023</v>
          </cell>
        </row>
        <row r="6201">
          <cell r="D6201" t="str">
            <v>2024</v>
          </cell>
        </row>
        <row r="6202">
          <cell r="D6202" t="str">
            <v>2023</v>
          </cell>
        </row>
        <row r="6203">
          <cell r="D6203" t="str">
            <v>2023</v>
          </cell>
        </row>
        <row r="6204">
          <cell r="D6204" t="str">
            <v>2023</v>
          </cell>
        </row>
        <row r="6205">
          <cell r="D6205" t="str">
            <v>2023</v>
          </cell>
        </row>
        <row r="6206">
          <cell r="D6206" t="str">
            <v>2023</v>
          </cell>
        </row>
        <row r="6207">
          <cell r="D6207" t="str">
            <v>2023</v>
          </cell>
        </row>
        <row r="6208">
          <cell r="D6208" t="str">
            <v>2023</v>
          </cell>
        </row>
        <row r="6209">
          <cell r="D6209" t="str">
            <v>2023</v>
          </cell>
        </row>
        <row r="6210">
          <cell r="D6210" t="str">
            <v>2023</v>
          </cell>
        </row>
        <row r="6211">
          <cell r="D6211" t="str">
            <v>2023</v>
          </cell>
        </row>
        <row r="6212">
          <cell r="D6212" t="str">
            <v>2023</v>
          </cell>
        </row>
        <row r="6213">
          <cell r="D6213" t="str">
            <v>2023</v>
          </cell>
        </row>
        <row r="6214">
          <cell r="D6214" t="str">
            <v>2023</v>
          </cell>
        </row>
        <row r="6215">
          <cell r="D6215" t="str">
            <v>2023</v>
          </cell>
        </row>
        <row r="6216">
          <cell r="D6216" t="str">
            <v>2023</v>
          </cell>
        </row>
        <row r="6217">
          <cell r="D6217" t="str">
            <v>2024</v>
          </cell>
        </row>
        <row r="6218">
          <cell r="D6218" t="str">
            <v>2023</v>
          </cell>
        </row>
        <row r="6219">
          <cell r="D6219" t="str">
            <v>2023</v>
          </cell>
        </row>
        <row r="6220">
          <cell r="D6220" t="str">
            <v>2022</v>
          </cell>
        </row>
        <row r="6221">
          <cell r="D6221" t="str">
            <v>2023</v>
          </cell>
        </row>
        <row r="6222">
          <cell r="D6222" t="str">
            <v>2023</v>
          </cell>
        </row>
        <row r="6223">
          <cell r="D6223" t="str">
            <v>2023</v>
          </cell>
        </row>
        <row r="6224">
          <cell r="D6224" t="str">
            <v>2023</v>
          </cell>
        </row>
        <row r="6225">
          <cell r="D6225" t="str">
            <v>2023</v>
          </cell>
        </row>
        <row r="6226">
          <cell r="D6226" t="str">
            <v>2023</v>
          </cell>
        </row>
        <row r="6227">
          <cell r="D6227" t="str">
            <v>2023</v>
          </cell>
        </row>
        <row r="6228">
          <cell r="D6228" t="str">
            <v>2023</v>
          </cell>
        </row>
        <row r="6229">
          <cell r="D6229" t="str">
            <v>2023</v>
          </cell>
        </row>
        <row r="6230">
          <cell r="D6230" t="str">
            <v>2023</v>
          </cell>
        </row>
        <row r="6231">
          <cell r="D6231" t="str">
            <v>2022</v>
          </cell>
        </row>
        <row r="6232">
          <cell r="D6232" t="str">
            <v>2023</v>
          </cell>
        </row>
        <row r="6233">
          <cell r="D6233" t="str">
            <v>2022</v>
          </cell>
        </row>
        <row r="6234">
          <cell r="D6234" t="str">
            <v>2023</v>
          </cell>
        </row>
        <row r="6235">
          <cell r="D6235" t="str">
            <v>2023</v>
          </cell>
        </row>
        <row r="6236">
          <cell r="D6236" t="str">
            <v>2023</v>
          </cell>
        </row>
        <row r="6237">
          <cell r="D6237" t="str">
            <v>2023</v>
          </cell>
        </row>
        <row r="6238">
          <cell r="D6238" t="str">
            <v>2023</v>
          </cell>
        </row>
        <row r="6239">
          <cell r="D6239" t="str">
            <v>2023</v>
          </cell>
        </row>
        <row r="6240">
          <cell r="D6240" t="str">
            <v>2021</v>
          </cell>
        </row>
        <row r="6241">
          <cell r="D6241" t="str">
            <v>2023</v>
          </cell>
        </row>
        <row r="6242">
          <cell r="D6242" t="str">
            <v>2024</v>
          </cell>
        </row>
        <row r="6243">
          <cell r="D6243" t="str">
            <v>2021</v>
          </cell>
        </row>
        <row r="6244">
          <cell r="D6244" t="str">
            <v>2023</v>
          </cell>
        </row>
        <row r="6245">
          <cell r="D6245" t="str">
            <v>2023</v>
          </cell>
        </row>
        <row r="6246">
          <cell r="D6246" t="str">
            <v>2023</v>
          </cell>
        </row>
        <row r="6247">
          <cell r="D6247" t="str">
            <v>2022</v>
          </cell>
        </row>
        <row r="6248">
          <cell r="D6248" t="str">
            <v>2023</v>
          </cell>
        </row>
        <row r="6249">
          <cell r="D6249" t="str">
            <v>2023</v>
          </cell>
        </row>
        <row r="6250">
          <cell r="D6250" t="str">
            <v>2022</v>
          </cell>
        </row>
        <row r="6251">
          <cell r="D6251" t="str">
            <v>2023</v>
          </cell>
        </row>
        <row r="6252">
          <cell r="D6252" t="str">
            <v>2023</v>
          </cell>
        </row>
        <row r="6253">
          <cell r="D6253" t="str">
            <v>2023</v>
          </cell>
        </row>
        <row r="6254">
          <cell r="D6254" t="str">
            <v>2022</v>
          </cell>
        </row>
        <row r="6255">
          <cell r="D6255" t="str">
            <v>2023</v>
          </cell>
        </row>
        <row r="6256">
          <cell r="D6256" t="str">
            <v>2022</v>
          </cell>
        </row>
        <row r="6257">
          <cell r="D6257" t="str">
            <v>2023</v>
          </cell>
        </row>
        <row r="6258">
          <cell r="D6258" t="str">
            <v>2023</v>
          </cell>
        </row>
        <row r="6259">
          <cell r="D6259" t="str">
            <v>2023</v>
          </cell>
        </row>
        <row r="6260">
          <cell r="D6260" t="str">
            <v>2023</v>
          </cell>
        </row>
        <row r="6261">
          <cell r="D6261" t="str">
            <v>2023</v>
          </cell>
        </row>
        <row r="6262">
          <cell r="D6262" t="str">
            <v>2023</v>
          </cell>
        </row>
        <row r="6263">
          <cell r="D6263" t="str">
            <v>2023</v>
          </cell>
        </row>
        <row r="6264">
          <cell r="D6264" t="str">
            <v>2022</v>
          </cell>
        </row>
        <row r="6265">
          <cell r="D6265" t="str">
            <v>2023</v>
          </cell>
        </row>
        <row r="6266">
          <cell r="D6266" t="str">
            <v>2023</v>
          </cell>
        </row>
        <row r="6267">
          <cell r="D6267" t="str">
            <v>2023</v>
          </cell>
        </row>
        <row r="6268">
          <cell r="D6268" t="str">
            <v>2023</v>
          </cell>
        </row>
        <row r="6269">
          <cell r="D6269" t="str">
            <v>2023</v>
          </cell>
        </row>
        <row r="6270">
          <cell r="D6270" t="str">
            <v>2023</v>
          </cell>
        </row>
        <row r="6271">
          <cell r="D6271" t="str">
            <v>2023</v>
          </cell>
        </row>
        <row r="6272">
          <cell r="D6272" t="str">
            <v>2023</v>
          </cell>
        </row>
        <row r="6273">
          <cell r="D6273" t="str">
            <v>2024</v>
          </cell>
        </row>
        <row r="6274">
          <cell r="D6274" t="str">
            <v>2023</v>
          </cell>
        </row>
        <row r="6275">
          <cell r="D6275" t="str">
            <v>2023</v>
          </cell>
        </row>
        <row r="6276">
          <cell r="D6276" t="str">
            <v>2023</v>
          </cell>
        </row>
        <row r="6277">
          <cell r="D6277" t="str">
            <v>2021</v>
          </cell>
        </row>
        <row r="6278">
          <cell r="D6278" t="str">
            <v>2021</v>
          </cell>
        </row>
        <row r="6279">
          <cell r="D6279" t="str">
            <v>2023</v>
          </cell>
        </row>
        <row r="6280">
          <cell r="D6280" t="str">
            <v>2023</v>
          </cell>
        </row>
        <row r="6281">
          <cell r="D6281" t="str">
            <v>2023</v>
          </cell>
        </row>
        <row r="6282">
          <cell r="D6282" t="str">
            <v>2023</v>
          </cell>
        </row>
        <row r="6283">
          <cell r="D6283" t="str">
            <v>2023</v>
          </cell>
        </row>
        <row r="6284">
          <cell r="D6284" t="str">
            <v>2023</v>
          </cell>
        </row>
        <row r="6285">
          <cell r="D6285" t="str">
            <v>2023</v>
          </cell>
        </row>
        <row r="6286">
          <cell r="D6286" t="str">
            <v>2023</v>
          </cell>
        </row>
        <row r="6287">
          <cell r="D6287" t="str">
            <v>2023</v>
          </cell>
        </row>
        <row r="6288">
          <cell r="D6288" t="str">
            <v>2023</v>
          </cell>
        </row>
        <row r="6289">
          <cell r="D6289" t="str">
            <v>2023</v>
          </cell>
        </row>
        <row r="6290">
          <cell r="D6290" t="str">
            <v>2023</v>
          </cell>
        </row>
        <row r="6291">
          <cell r="D6291" t="str">
            <v>2021</v>
          </cell>
        </row>
        <row r="6292">
          <cell r="D6292" t="str">
            <v>2023</v>
          </cell>
        </row>
        <row r="6293">
          <cell r="D6293" t="str">
            <v>2023</v>
          </cell>
        </row>
        <row r="6294">
          <cell r="D6294" t="str">
            <v>2023</v>
          </cell>
        </row>
        <row r="6295">
          <cell r="D6295" t="str">
            <v>2023</v>
          </cell>
        </row>
        <row r="6296">
          <cell r="D6296" t="str">
            <v>2023</v>
          </cell>
        </row>
        <row r="6297">
          <cell r="D6297" t="str">
            <v>2023</v>
          </cell>
        </row>
        <row r="6298">
          <cell r="D6298" t="str">
            <v>2023</v>
          </cell>
        </row>
        <row r="6299">
          <cell r="D6299" t="str">
            <v>2023</v>
          </cell>
        </row>
        <row r="6300">
          <cell r="D6300" t="str">
            <v>2022</v>
          </cell>
        </row>
        <row r="6301">
          <cell r="D6301" t="str">
            <v>2023</v>
          </cell>
        </row>
        <row r="6302">
          <cell r="D6302" t="str">
            <v>2023</v>
          </cell>
        </row>
        <row r="6303">
          <cell r="D6303" t="str">
            <v>2023</v>
          </cell>
        </row>
        <row r="6304">
          <cell r="D6304" t="str">
            <v>2023</v>
          </cell>
        </row>
        <row r="6305">
          <cell r="D6305" t="str">
            <v>2023</v>
          </cell>
        </row>
        <row r="6306">
          <cell r="D6306" t="str">
            <v>2023</v>
          </cell>
        </row>
        <row r="6307">
          <cell r="D6307" t="str">
            <v>2023</v>
          </cell>
        </row>
        <row r="6308">
          <cell r="D6308" t="str">
            <v>2023</v>
          </cell>
        </row>
        <row r="6309">
          <cell r="D6309" t="str">
            <v>2023</v>
          </cell>
        </row>
        <row r="6310">
          <cell r="D6310" t="str">
            <v>2023</v>
          </cell>
        </row>
        <row r="6311">
          <cell r="D6311" t="str">
            <v>2023</v>
          </cell>
        </row>
        <row r="6312">
          <cell r="D6312" t="str">
            <v>2023</v>
          </cell>
        </row>
        <row r="6313">
          <cell r="D6313" t="str">
            <v>2023</v>
          </cell>
        </row>
        <row r="6314">
          <cell r="D6314" t="str">
            <v>2022</v>
          </cell>
        </row>
        <row r="6315">
          <cell r="D6315" t="str">
            <v>2023</v>
          </cell>
        </row>
        <row r="6316">
          <cell r="D6316" t="str">
            <v>2023</v>
          </cell>
        </row>
        <row r="6317">
          <cell r="D6317" t="str">
            <v>2024</v>
          </cell>
        </row>
        <row r="6318">
          <cell r="D6318" t="str">
            <v>2023</v>
          </cell>
        </row>
        <row r="6319">
          <cell r="D6319" t="str">
            <v>2023</v>
          </cell>
        </row>
        <row r="6320">
          <cell r="D6320" t="str">
            <v>2023</v>
          </cell>
        </row>
        <row r="6321">
          <cell r="D6321" t="str">
            <v>2023</v>
          </cell>
        </row>
        <row r="6322">
          <cell r="D6322" t="str">
            <v>2023</v>
          </cell>
        </row>
        <row r="6323">
          <cell r="D6323" t="str">
            <v>2023</v>
          </cell>
        </row>
        <row r="6324">
          <cell r="D6324" t="str">
            <v>2023</v>
          </cell>
        </row>
        <row r="6325">
          <cell r="D6325" t="str">
            <v>2023</v>
          </cell>
        </row>
        <row r="6326">
          <cell r="D6326" t="str">
            <v>2023</v>
          </cell>
        </row>
        <row r="6327">
          <cell r="D6327" t="str">
            <v>2023</v>
          </cell>
        </row>
        <row r="6328">
          <cell r="D6328" t="str">
            <v>2023</v>
          </cell>
        </row>
        <row r="6329">
          <cell r="D6329" t="str">
            <v>2023</v>
          </cell>
        </row>
        <row r="6330">
          <cell r="D6330" t="str">
            <v>2023</v>
          </cell>
        </row>
        <row r="6331">
          <cell r="D6331" t="str">
            <v>2022</v>
          </cell>
        </row>
        <row r="6332">
          <cell r="D6332" t="str">
            <v>2023</v>
          </cell>
        </row>
        <row r="6333">
          <cell r="D6333" t="str">
            <v>2023</v>
          </cell>
        </row>
        <row r="6334">
          <cell r="D6334" t="str">
            <v>2022</v>
          </cell>
        </row>
        <row r="6335">
          <cell r="D6335" t="str">
            <v>2023</v>
          </cell>
        </row>
        <row r="6336">
          <cell r="D6336" t="str">
            <v>2021</v>
          </cell>
        </row>
        <row r="6337">
          <cell r="D6337" t="str">
            <v>2023</v>
          </cell>
        </row>
        <row r="6338">
          <cell r="D6338" t="str">
            <v>2023</v>
          </cell>
        </row>
        <row r="6339">
          <cell r="D6339" t="str">
            <v>2022</v>
          </cell>
        </row>
        <row r="6340">
          <cell r="D6340" t="str">
            <v>2023</v>
          </cell>
        </row>
        <row r="6341">
          <cell r="D6341" t="str">
            <v>2023</v>
          </cell>
        </row>
        <row r="6342">
          <cell r="D6342" t="str">
            <v>2023</v>
          </cell>
        </row>
        <row r="6343">
          <cell r="D6343" t="str">
            <v>2023</v>
          </cell>
        </row>
        <row r="6344">
          <cell r="D6344" t="str">
            <v>2023</v>
          </cell>
        </row>
        <row r="6345">
          <cell r="D6345" t="str">
            <v>2022</v>
          </cell>
        </row>
        <row r="6346">
          <cell r="D6346" t="str">
            <v>2022</v>
          </cell>
        </row>
        <row r="6347">
          <cell r="D6347" t="str">
            <v>2023</v>
          </cell>
        </row>
        <row r="6348">
          <cell r="D6348" t="str">
            <v>2023</v>
          </cell>
        </row>
        <row r="6349">
          <cell r="D6349" t="str">
            <v>2023</v>
          </cell>
        </row>
        <row r="6350">
          <cell r="D6350" t="str">
            <v>2023</v>
          </cell>
        </row>
        <row r="6351">
          <cell r="D6351" t="str">
            <v>2023</v>
          </cell>
        </row>
        <row r="6352">
          <cell r="D6352" t="str">
            <v>2023</v>
          </cell>
        </row>
        <row r="6353">
          <cell r="D6353" t="str">
            <v>2023</v>
          </cell>
        </row>
        <row r="6354">
          <cell r="D6354" t="str">
            <v>2023</v>
          </cell>
        </row>
        <row r="6355">
          <cell r="D6355" t="str">
            <v>2022</v>
          </cell>
        </row>
        <row r="6356">
          <cell r="D6356" t="str">
            <v>2023</v>
          </cell>
        </row>
        <row r="6357">
          <cell r="D6357" t="str">
            <v>2023</v>
          </cell>
        </row>
        <row r="6358">
          <cell r="D6358" t="str">
            <v>2023</v>
          </cell>
        </row>
        <row r="6359">
          <cell r="D6359" t="str">
            <v>2023</v>
          </cell>
        </row>
        <row r="6360">
          <cell r="D6360" t="str">
            <v>2023</v>
          </cell>
        </row>
        <row r="6361">
          <cell r="D6361" t="str">
            <v>2022</v>
          </cell>
        </row>
        <row r="6362">
          <cell r="D6362" t="str">
            <v>2021</v>
          </cell>
        </row>
        <row r="6363">
          <cell r="D6363" t="str">
            <v>2023</v>
          </cell>
        </row>
        <row r="6364">
          <cell r="D6364" t="str">
            <v>2023</v>
          </cell>
        </row>
        <row r="6365">
          <cell r="D6365" t="str">
            <v>2023</v>
          </cell>
        </row>
        <row r="6366">
          <cell r="D6366" t="str">
            <v>2023</v>
          </cell>
        </row>
        <row r="6367">
          <cell r="D6367" t="str">
            <v>2023</v>
          </cell>
        </row>
        <row r="6368">
          <cell r="D6368" t="str">
            <v>2023</v>
          </cell>
        </row>
        <row r="6369">
          <cell r="D6369" t="str">
            <v>2022</v>
          </cell>
        </row>
        <row r="6370">
          <cell r="D6370" t="str">
            <v>2023</v>
          </cell>
        </row>
        <row r="6371">
          <cell r="D6371" t="str">
            <v>2024</v>
          </cell>
        </row>
        <row r="6372">
          <cell r="D6372" t="str">
            <v>2023</v>
          </cell>
        </row>
        <row r="6373">
          <cell r="D6373" t="str">
            <v>2023</v>
          </cell>
        </row>
        <row r="6374">
          <cell r="D6374" t="str">
            <v>2023</v>
          </cell>
        </row>
        <row r="6375">
          <cell r="D6375" t="str">
            <v>2022</v>
          </cell>
        </row>
        <row r="6376">
          <cell r="D6376" t="str">
            <v>2023</v>
          </cell>
        </row>
        <row r="6377">
          <cell r="D6377" t="str">
            <v>2023</v>
          </cell>
        </row>
        <row r="6378">
          <cell r="D6378" t="str">
            <v>2024</v>
          </cell>
        </row>
        <row r="6379">
          <cell r="D6379" t="str">
            <v>2022</v>
          </cell>
        </row>
        <row r="6380">
          <cell r="D6380" t="str">
            <v>2023</v>
          </cell>
        </row>
        <row r="6381">
          <cell r="D6381" t="str">
            <v>2023</v>
          </cell>
        </row>
        <row r="6382">
          <cell r="D6382" t="str">
            <v>2023</v>
          </cell>
        </row>
        <row r="6383">
          <cell r="D6383" t="str">
            <v>2023</v>
          </cell>
        </row>
        <row r="6384">
          <cell r="D6384" t="str">
            <v>2022</v>
          </cell>
        </row>
        <row r="6385">
          <cell r="D6385" t="str">
            <v>2023</v>
          </cell>
        </row>
        <row r="6386">
          <cell r="D6386" t="str">
            <v>2022</v>
          </cell>
        </row>
        <row r="6387">
          <cell r="D6387" t="str">
            <v>2022</v>
          </cell>
        </row>
        <row r="6388">
          <cell r="D6388" t="str">
            <v>2023</v>
          </cell>
        </row>
        <row r="6389">
          <cell r="D6389" t="str">
            <v>2023</v>
          </cell>
        </row>
        <row r="6390">
          <cell r="D6390" t="str">
            <v>2023</v>
          </cell>
        </row>
        <row r="6391">
          <cell r="D6391" t="str">
            <v>2023</v>
          </cell>
        </row>
        <row r="6392">
          <cell r="D6392" t="str">
            <v>2023</v>
          </cell>
        </row>
        <row r="6393">
          <cell r="D6393" t="str">
            <v>2023</v>
          </cell>
        </row>
        <row r="6394">
          <cell r="D6394" t="str">
            <v>2023</v>
          </cell>
        </row>
        <row r="6395">
          <cell r="D6395" t="str">
            <v>2022</v>
          </cell>
        </row>
        <row r="6396">
          <cell r="D6396" t="str">
            <v>2024</v>
          </cell>
        </row>
        <row r="6397">
          <cell r="D6397" t="str">
            <v>2023</v>
          </cell>
        </row>
        <row r="6398">
          <cell r="D6398" t="str">
            <v>2023</v>
          </cell>
        </row>
        <row r="6399">
          <cell r="D6399" t="str">
            <v>2023</v>
          </cell>
        </row>
        <row r="6400">
          <cell r="D6400" t="str">
            <v>2023</v>
          </cell>
        </row>
        <row r="6401">
          <cell r="D6401" t="str">
            <v>2023</v>
          </cell>
        </row>
        <row r="6402">
          <cell r="D6402" t="str">
            <v>2023</v>
          </cell>
        </row>
        <row r="6403">
          <cell r="D6403" t="str">
            <v>2023</v>
          </cell>
        </row>
        <row r="6404">
          <cell r="D6404" t="str">
            <v>2023</v>
          </cell>
        </row>
        <row r="6405">
          <cell r="D6405" t="str">
            <v>2023</v>
          </cell>
        </row>
        <row r="6406">
          <cell r="D6406" t="str">
            <v>2023</v>
          </cell>
        </row>
        <row r="6407">
          <cell r="D6407" t="str">
            <v>2023</v>
          </cell>
        </row>
        <row r="6408">
          <cell r="D6408" t="str">
            <v>2022</v>
          </cell>
        </row>
        <row r="6409">
          <cell r="D6409" t="str">
            <v>2023</v>
          </cell>
        </row>
        <row r="6410">
          <cell r="D6410" t="str">
            <v>2023</v>
          </cell>
        </row>
        <row r="6411">
          <cell r="D6411" t="str">
            <v>2023</v>
          </cell>
        </row>
        <row r="6412">
          <cell r="D6412" t="str">
            <v>2023</v>
          </cell>
        </row>
        <row r="6413">
          <cell r="D6413" t="str">
            <v>2022</v>
          </cell>
        </row>
        <row r="6414">
          <cell r="D6414" t="str">
            <v>2023</v>
          </cell>
        </row>
        <row r="6415">
          <cell r="D6415" t="str">
            <v>2023</v>
          </cell>
        </row>
        <row r="6416">
          <cell r="D6416" t="str">
            <v>2023</v>
          </cell>
        </row>
        <row r="6417">
          <cell r="D6417" t="str">
            <v>2023</v>
          </cell>
        </row>
        <row r="6418">
          <cell r="D6418" t="str">
            <v>2023</v>
          </cell>
        </row>
        <row r="6419">
          <cell r="D6419" t="str">
            <v>2023</v>
          </cell>
        </row>
        <row r="6420">
          <cell r="D6420" t="str">
            <v>2023</v>
          </cell>
        </row>
        <row r="6421">
          <cell r="D6421" t="str">
            <v>2023</v>
          </cell>
        </row>
        <row r="6422">
          <cell r="D6422" t="str">
            <v>2023</v>
          </cell>
        </row>
        <row r="6423">
          <cell r="D6423" t="str">
            <v>2021</v>
          </cell>
        </row>
        <row r="6424">
          <cell r="D6424" t="str">
            <v>2023</v>
          </cell>
        </row>
        <row r="6425">
          <cell r="D6425" t="str">
            <v>2022</v>
          </cell>
        </row>
        <row r="6426">
          <cell r="D6426" t="str">
            <v>2023</v>
          </cell>
        </row>
        <row r="6427">
          <cell r="D6427" t="str">
            <v>2023</v>
          </cell>
        </row>
        <row r="6428">
          <cell r="D6428" t="str">
            <v>2023</v>
          </cell>
        </row>
        <row r="6429">
          <cell r="D6429" t="str">
            <v>2022</v>
          </cell>
        </row>
        <row r="6430">
          <cell r="D6430" t="str">
            <v>2023</v>
          </cell>
        </row>
        <row r="6431">
          <cell r="D6431" t="str">
            <v>2022</v>
          </cell>
        </row>
        <row r="6432">
          <cell r="D6432" t="str">
            <v>2023</v>
          </cell>
        </row>
        <row r="6433">
          <cell r="D6433" t="str">
            <v>2023</v>
          </cell>
        </row>
        <row r="6434">
          <cell r="D6434" t="str">
            <v>2023</v>
          </cell>
        </row>
        <row r="6435">
          <cell r="D6435" t="str">
            <v>2023</v>
          </cell>
        </row>
        <row r="6436">
          <cell r="D6436" t="str">
            <v>2023</v>
          </cell>
        </row>
        <row r="6437">
          <cell r="D6437" t="str">
            <v>2023</v>
          </cell>
        </row>
        <row r="6438">
          <cell r="D6438" t="str">
            <v>2022</v>
          </cell>
        </row>
        <row r="6439">
          <cell r="D6439" t="str">
            <v>2023</v>
          </cell>
        </row>
        <row r="6440">
          <cell r="D6440" t="str">
            <v>2023</v>
          </cell>
        </row>
        <row r="6441">
          <cell r="D6441" t="str">
            <v>2021</v>
          </cell>
        </row>
        <row r="6442">
          <cell r="D6442" t="str">
            <v>2023</v>
          </cell>
        </row>
        <row r="6443">
          <cell r="D6443" t="str">
            <v>2023</v>
          </cell>
        </row>
        <row r="6444">
          <cell r="D6444" t="str">
            <v>2023</v>
          </cell>
        </row>
        <row r="6445">
          <cell r="D6445" t="str">
            <v>2023</v>
          </cell>
        </row>
        <row r="6446">
          <cell r="D6446" t="str">
            <v>2023</v>
          </cell>
        </row>
        <row r="6447">
          <cell r="D6447" t="str">
            <v>2023</v>
          </cell>
        </row>
        <row r="6448">
          <cell r="D6448" t="str">
            <v>2023</v>
          </cell>
        </row>
        <row r="6449">
          <cell r="D6449" t="str">
            <v>2023</v>
          </cell>
        </row>
        <row r="6450">
          <cell r="D6450" t="str">
            <v>2023</v>
          </cell>
        </row>
        <row r="6451">
          <cell r="D6451" t="str">
            <v>2023</v>
          </cell>
        </row>
        <row r="6452">
          <cell r="D6452" t="str">
            <v>2023</v>
          </cell>
        </row>
        <row r="6453">
          <cell r="D6453" t="str">
            <v>2022</v>
          </cell>
        </row>
        <row r="6454">
          <cell r="D6454" t="str">
            <v>2023</v>
          </cell>
        </row>
        <row r="6455">
          <cell r="D6455" t="str">
            <v>2023</v>
          </cell>
        </row>
        <row r="6456">
          <cell r="D6456" t="str">
            <v>2023</v>
          </cell>
        </row>
        <row r="6457">
          <cell r="D6457" t="str">
            <v>2023</v>
          </cell>
        </row>
        <row r="6458">
          <cell r="D6458" t="str">
            <v>2023</v>
          </cell>
        </row>
        <row r="6459">
          <cell r="D6459" t="str">
            <v>2023</v>
          </cell>
        </row>
        <row r="6460">
          <cell r="D6460" t="str">
            <v>2023</v>
          </cell>
        </row>
        <row r="6461">
          <cell r="D6461" t="str">
            <v>2022</v>
          </cell>
        </row>
        <row r="6462">
          <cell r="D6462" t="str">
            <v>2023</v>
          </cell>
        </row>
        <row r="6463">
          <cell r="D6463" t="str">
            <v>2023</v>
          </cell>
        </row>
        <row r="6464">
          <cell r="D6464" t="str">
            <v>2023</v>
          </cell>
        </row>
        <row r="6465">
          <cell r="D6465" t="str">
            <v>2023</v>
          </cell>
        </row>
        <row r="6466">
          <cell r="D6466" t="str">
            <v>2023</v>
          </cell>
        </row>
        <row r="6467">
          <cell r="D6467" t="str">
            <v>2023</v>
          </cell>
        </row>
        <row r="6468">
          <cell r="D6468" t="str">
            <v>2023</v>
          </cell>
        </row>
        <row r="6469">
          <cell r="D6469" t="str">
            <v>2022</v>
          </cell>
        </row>
        <row r="6470">
          <cell r="D6470" t="str">
            <v>2023</v>
          </cell>
        </row>
        <row r="6471">
          <cell r="D6471" t="str">
            <v>2023</v>
          </cell>
        </row>
        <row r="6472">
          <cell r="D6472" t="str">
            <v>2023</v>
          </cell>
        </row>
        <row r="6473">
          <cell r="D6473" t="str">
            <v>2023</v>
          </cell>
        </row>
        <row r="6474">
          <cell r="D6474" t="str">
            <v>2023</v>
          </cell>
        </row>
        <row r="6475">
          <cell r="D6475" t="str">
            <v>2023</v>
          </cell>
        </row>
        <row r="6476">
          <cell r="D6476" t="str">
            <v>2023</v>
          </cell>
        </row>
        <row r="6477">
          <cell r="D6477" t="str">
            <v>2023</v>
          </cell>
        </row>
        <row r="6478">
          <cell r="D6478" t="str">
            <v>2022</v>
          </cell>
        </row>
        <row r="6479">
          <cell r="D6479" t="str">
            <v>2023</v>
          </cell>
        </row>
        <row r="6480">
          <cell r="D6480" t="str">
            <v>2023</v>
          </cell>
        </row>
        <row r="6481">
          <cell r="D6481" t="str">
            <v>2023</v>
          </cell>
        </row>
        <row r="6482">
          <cell r="D6482" t="str">
            <v>2023</v>
          </cell>
        </row>
        <row r="6483">
          <cell r="D6483" t="str">
            <v>2023</v>
          </cell>
        </row>
        <row r="6484">
          <cell r="D6484" t="str">
            <v>2023</v>
          </cell>
        </row>
        <row r="6485">
          <cell r="D6485" t="str">
            <v>2023</v>
          </cell>
        </row>
        <row r="6486">
          <cell r="D6486" t="str">
            <v>2023</v>
          </cell>
        </row>
        <row r="6487">
          <cell r="D6487" t="str">
            <v>2023</v>
          </cell>
        </row>
        <row r="6488">
          <cell r="D6488" t="str">
            <v>2023</v>
          </cell>
        </row>
        <row r="6489">
          <cell r="D6489" t="str">
            <v>2023</v>
          </cell>
        </row>
        <row r="6490">
          <cell r="D6490" t="str">
            <v>2023</v>
          </cell>
        </row>
        <row r="6491">
          <cell r="D6491" t="str">
            <v>2023</v>
          </cell>
        </row>
        <row r="6492">
          <cell r="D6492" t="str">
            <v>2023</v>
          </cell>
        </row>
        <row r="6493">
          <cell r="D6493" t="str">
            <v>2023</v>
          </cell>
        </row>
        <row r="6494">
          <cell r="D6494" t="str">
            <v>2024</v>
          </cell>
        </row>
        <row r="6495">
          <cell r="D6495" t="str">
            <v>2023</v>
          </cell>
        </row>
        <row r="6496">
          <cell r="D6496" t="str">
            <v>2021</v>
          </cell>
        </row>
        <row r="6497">
          <cell r="D6497" t="str">
            <v>2023</v>
          </cell>
        </row>
        <row r="6498">
          <cell r="D6498" t="str">
            <v>2023</v>
          </cell>
        </row>
        <row r="6499">
          <cell r="D6499" t="str">
            <v>2023</v>
          </cell>
        </row>
        <row r="6500">
          <cell r="D6500" t="str">
            <v>2023</v>
          </cell>
        </row>
        <row r="6501">
          <cell r="D6501" t="str">
            <v>2023</v>
          </cell>
        </row>
        <row r="6502">
          <cell r="D6502" t="str">
            <v>2023</v>
          </cell>
        </row>
        <row r="6503">
          <cell r="D6503" t="str">
            <v>2023</v>
          </cell>
        </row>
        <row r="6504">
          <cell r="D6504" t="str">
            <v>2023</v>
          </cell>
        </row>
        <row r="6505">
          <cell r="D6505" t="str">
            <v>2023</v>
          </cell>
        </row>
        <row r="6506">
          <cell r="D6506" t="str">
            <v>2023</v>
          </cell>
        </row>
        <row r="6507">
          <cell r="D6507" t="str">
            <v>2023</v>
          </cell>
        </row>
        <row r="6508">
          <cell r="D6508" t="str">
            <v>2023</v>
          </cell>
        </row>
        <row r="6509">
          <cell r="D6509" t="str">
            <v>2022</v>
          </cell>
        </row>
        <row r="6510">
          <cell r="D6510" t="str">
            <v>2023</v>
          </cell>
        </row>
        <row r="6511">
          <cell r="D6511" t="str">
            <v>2023</v>
          </cell>
        </row>
        <row r="6512">
          <cell r="D6512" t="str">
            <v>2023</v>
          </cell>
        </row>
        <row r="6513">
          <cell r="D6513" t="str">
            <v>2023</v>
          </cell>
        </row>
        <row r="6514">
          <cell r="D6514" t="str">
            <v>2023</v>
          </cell>
        </row>
        <row r="6515">
          <cell r="D6515" t="str">
            <v>2023</v>
          </cell>
        </row>
        <row r="6516">
          <cell r="D6516" t="str">
            <v>2023</v>
          </cell>
        </row>
        <row r="6517">
          <cell r="D6517" t="str">
            <v>2023</v>
          </cell>
        </row>
        <row r="6518">
          <cell r="D6518" t="str">
            <v>2023</v>
          </cell>
        </row>
        <row r="6519">
          <cell r="D6519" t="str">
            <v>2024</v>
          </cell>
        </row>
        <row r="6520">
          <cell r="D6520" t="str">
            <v>2023</v>
          </cell>
        </row>
        <row r="6521">
          <cell r="D6521" t="str">
            <v>2021</v>
          </cell>
        </row>
        <row r="6522">
          <cell r="D6522" t="str">
            <v>2023</v>
          </cell>
        </row>
        <row r="6523">
          <cell r="D6523" t="str">
            <v>2023</v>
          </cell>
        </row>
        <row r="6524">
          <cell r="D6524" t="str">
            <v>2022</v>
          </cell>
        </row>
        <row r="6525">
          <cell r="D6525" t="str">
            <v>2023</v>
          </cell>
        </row>
        <row r="6526">
          <cell r="D6526" t="str">
            <v>2023</v>
          </cell>
        </row>
        <row r="6527">
          <cell r="D6527" t="str">
            <v>2023</v>
          </cell>
        </row>
        <row r="6528">
          <cell r="D6528" t="str">
            <v>2023</v>
          </cell>
        </row>
        <row r="6529">
          <cell r="D6529" t="str">
            <v>2023</v>
          </cell>
        </row>
        <row r="6530">
          <cell r="D6530" t="str">
            <v>2023</v>
          </cell>
        </row>
        <row r="6531">
          <cell r="D6531" t="str">
            <v>2023</v>
          </cell>
        </row>
        <row r="6532">
          <cell r="D6532" t="str">
            <v>2023</v>
          </cell>
        </row>
        <row r="6533">
          <cell r="D6533" t="str">
            <v>2023</v>
          </cell>
        </row>
        <row r="6534">
          <cell r="D6534" t="str">
            <v>2023</v>
          </cell>
        </row>
        <row r="6535">
          <cell r="D6535" t="str">
            <v>2023</v>
          </cell>
        </row>
        <row r="6536">
          <cell r="D6536" t="str">
            <v>2023</v>
          </cell>
        </row>
        <row r="6537">
          <cell r="D6537" t="str">
            <v>2023</v>
          </cell>
        </row>
        <row r="6538">
          <cell r="D6538" t="str">
            <v>2023</v>
          </cell>
        </row>
        <row r="6539">
          <cell r="D6539" t="str">
            <v>2023</v>
          </cell>
        </row>
        <row r="6540">
          <cell r="D6540" t="str">
            <v>2023</v>
          </cell>
        </row>
        <row r="6541">
          <cell r="D6541" t="str">
            <v>2023</v>
          </cell>
        </row>
        <row r="6542">
          <cell r="D6542" t="str">
            <v>2023</v>
          </cell>
        </row>
        <row r="6543">
          <cell r="D6543" t="str">
            <v>2021</v>
          </cell>
        </row>
        <row r="6544">
          <cell r="D6544" t="str">
            <v>2023</v>
          </cell>
        </row>
        <row r="6545">
          <cell r="D6545" t="str">
            <v>2022</v>
          </cell>
        </row>
        <row r="6546">
          <cell r="D6546" t="str">
            <v>2023</v>
          </cell>
        </row>
        <row r="6547">
          <cell r="D6547" t="str">
            <v>2023</v>
          </cell>
        </row>
        <row r="6548">
          <cell r="D6548" t="str">
            <v>2023</v>
          </cell>
        </row>
        <row r="6549">
          <cell r="D6549" t="str">
            <v>2023</v>
          </cell>
        </row>
        <row r="6550">
          <cell r="D6550" t="str">
            <v>2023</v>
          </cell>
        </row>
        <row r="6551">
          <cell r="D6551" t="str">
            <v>2023</v>
          </cell>
        </row>
        <row r="6552">
          <cell r="D6552" t="str">
            <v>2023</v>
          </cell>
        </row>
        <row r="6553">
          <cell r="D6553" t="str">
            <v>2022</v>
          </cell>
        </row>
        <row r="6554">
          <cell r="D6554" t="str">
            <v>2023</v>
          </cell>
        </row>
        <row r="6555">
          <cell r="D6555" t="str">
            <v>2023</v>
          </cell>
        </row>
        <row r="6556">
          <cell r="D6556" t="str">
            <v>2023</v>
          </cell>
        </row>
        <row r="6557">
          <cell r="D6557" t="str">
            <v>2023</v>
          </cell>
        </row>
        <row r="6558">
          <cell r="D6558" t="str">
            <v>2023</v>
          </cell>
        </row>
        <row r="6559">
          <cell r="D6559" t="str">
            <v>2023</v>
          </cell>
        </row>
        <row r="6560">
          <cell r="D6560" t="str">
            <v>2023</v>
          </cell>
        </row>
        <row r="6561">
          <cell r="D6561" t="str">
            <v>2023</v>
          </cell>
        </row>
        <row r="6562">
          <cell r="D6562" t="str">
            <v>2023</v>
          </cell>
        </row>
        <row r="6563">
          <cell r="D6563" t="str">
            <v>2021</v>
          </cell>
        </row>
        <row r="6564">
          <cell r="D6564" t="str">
            <v>2023</v>
          </cell>
        </row>
        <row r="6565">
          <cell r="D6565" t="str">
            <v>2024</v>
          </cell>
        </row>
        <row r="6566">
          <cell r="D6566" t="str">
            <v>2023</v>
          </cell>
        </row>
        <row r="6567">
          <cell r="D6567" t="str">
            <v>2023</v>
          </cell>
        </row>
        <row r="6568">
          <cell r="D6568" t="str">
            <v>2023</v>
          </cell>
        </row>
        <row r="6569">
          <cell r="D6569" t="str">
            <v>2023</v>
          </cell>
        </row>
        <row r="6570">
          <cell r="D6570" t="str">
            <v>2023</v>
          </cell>
        </row>
        <row r="6571">
          <cell r="D6571" t="str">
            <v>2023</v>
          </cell>
        </row>
        <row r="6572">
          <cell r="D6572" t="str">
            <v>2022</v>
          </cell>
        </row>
        <row r="6573">
          <cell r="D6573" t="str">
            <v>2023</v>
          </cell>
        </row>
        <row r="6574">
          <cell r="D6574" t="str">
            <v>2023</v>
          </cell>
        </row>
        <row r="6575">
          <cell r="D6575" t="str">
            <v>2023</v>
          </cell>
        </row>
        <row r="6576">
          <cell r="D6576" t="str">
            <v>2023</v>
          </cell>
        </row>
        <row r="6577">
          <cell r="D6577" t="str">
            <v>2023</v>
          </cell>
        </row>
        <row r="6578">
          <cell r="D6578" t="str">
            <v>2023</v>
          </cell>
        </row>
        <row r="6579">
          <cell r="D6579" t="str">
            <v>2023</v>
          </cell>
        </row>
        <row r="6580">
          <cell r="D6580" t="str">
            <v>2023</v>
          </cell>
        </row>
        <row r="6581">
          <cell r="D6581" t="str">
            <v>2023</v>
          </cell>
        </row>
        <row r="6582">
          <cell r="D6582" t="str">
            <v>2023</v>
          </cell>
        </row>
        <row r="6583">
          <cell r="D6583" t="str">
            <v>2023</v>
          </cell>
        </row>
        <row r="6584">
          <cell r="D6584" t="str">
            <v>2024</v>
          </cell>
        </row>
        <row r="6585">
          <cell r="D6585" t="str">
            <v>2023</v>
          </cell>
        </row>
        <row r="6586">
          <cell r="D6586" t="str">
            <v>2022</v>
          </cell>
        </row>
        <row r="6587">
          <cell r="D6587" t="str">
            <v>2023</v>
          </cell>
        </row>
        <row r="6588">
          <cell r="D6588" t="str">
            <v>2023</v>
          </cell>
        </row>
        <row r="6589">
          <cell r="D6589" t="str">
            <v>2021</v>
          </cell>
        </row>
        <row r="6590">
          <cell r="D6590" t="str">
            <v>2023</v>
          </cell>
        </row>
        <row r="6591">
          <cell r="D6591" t="str">
            <v>2023</v>
          </cell>
        </row>
        <row r="6592">
          <cell r="D6592" t="str">
            <v>2023</v>
          </cell>
        </row>
        <row r="6593">
          <cell r="D6593" t="str">
            <v>2023</v>
          </cell>
        </row>
        <row r="6594">
          <cell r="D6594" t="str">
            <v>2023</v>
          </cell>
        </row>
        <row r="6595">
          <cell r="D6595" t="str">
            <v>2023</v>
          </cell>
        </row>
        <row r="6596">
          <cell r="D6596" t="str">
            <v>2022</v>
          </cell>
        </row>
        <row r="6597">
          <cell r="D6597" t="str">
            <v>2023</v>
          </cell>
        </row>
        <row r="6598">
          <cell r="D6598" t="str">
            <v>2022</v>
          </cell>
        </row>
        <row r="6599">
          <cell r="D6599" t="str">
            <v>2023</v>
          </cell>
        </row>
        <row r="6600">
          <cell r="D6600" t="str">
            <v>2023</v>
          </cell>
        </row>
        <row r="6601">
          <cell r="D6601" t="str">
            <v>2023</v>
          </cell>
        </row>
        <row r="6602">
          <cell r="D6602" t="str">
            <v>2023</v>
          </cell>
        </row>
        <row r="6603">
          <cell r="D6603" t="str">
            <v>2024</v>
          </cell>
        </row>
        <row r="6604">
          <cell r="D6604" t="str">
            <v>2023</v>
          </cell>
        </row>
        <row r="6605">
          <cell r="D6605" t="str">
            <v>2023</v>
          </cell>
        </row>
        <row r="6606">
          <cell r="D6606" t="str">
            <v>2023</v>
          </cell>
        </row>
        <row r="6607">
          <cell r="D6607" t="str">
            <v>2023</v>
          </cell>
        </row>
        <row r="6608">
          <cell r="D6608" t="str">
            <v>2023</v>
          </cell>
        </row>
        <row r="6609">
          <cell r="D6609" t="str">
            <v>2023</v>
          </cell>
        </row>
        <row r="6610">
          <cell r="D6610" t="str">
            <v>2023</v>
          </cell>
        </row>
        <row r="6611">
          <cell r="D6611" t="str">
            <v>2023</v>
          </cell>
        </row>
        <row r="6612">
          <cell r="D6612" t="str">
            <v>2023</v>
          </cell>
        </row>
        <row r="6613">
          <cell r="D6613" t="str">
            <v>2022</v>
          </cell>
        </row>
        <row r="6614">
          <cell r="D6614" t="str">
            <v>2024</v>
          </cell>
        </row>
        <row r="6615">
          <cell r="D6615" t="str">
            <v>2021</v>
          </cell>
        </row>
        <row r="6616">
          <cell r="D6616" t="str">
            <v>2023</v>
          </cell>
        </row>
        <row r="6617">
          <cell r="D6617" t="str">
            <v>2023</v>
          </cell>
        </row>
        <row r="6618">
          <cell r="D6618" t="str">
            <v>2023</v>
          </cell>
        </row>
        <row r="6619">
          <cell r="D6619" t="str">
            <v>2023</v>
          </cell>
        </row>
        <row r="6620">
          <cell r="D6620" t="str">
            <v>2024</v>
          </cell>
        </row>
        <row r="6621">
          <cell r="D6621" t="str">
            <v>2024</v>
          </cell>
        </row>
        <row r="6622">
          <cell r="D6622" t="str">
            <v>2023</v>
          </cell>
        </row>
        <row r="6623">
          <cell r="D6623" t="str">
            <v>2023</v>
          </cell>
        </row>
        <row r="6624">
          <cell r="D6624" t="str">
            <v>2023</v>
          </cell>
        </row>
        <row r="6625">
          <cell r="D6625" t="str">
            <v>2023</v>
          </cell>
        </row>
        <row r="6626">
          <cell r="D6626" t="str">
            <v>2023</v>
          </cell>
        </row>
        <row r="6627">
          <cell r="D6627" t="str">
            <v>2023</v>
          </cell>
        </row>
        <row r="6628">
          <cell r="D6628" t="str">
            <v>2023</v>
          </cell>
        </row>
        <row r="6629">
          <cell r="D6629" t="str">
            <v>2023</v>
          </cell>
        </row>
        <row r="6630">
          <cell r="D6630" t="str">
            <v>2022</v>
          </cell>
        </row>
        <row r="6631">
          <cell r="D6631" t="str">
            <v>2023</v>
          </cell>
        </row>
        <row r="6632">
          <cell r="D6632" t="str">
            <v>2023</v>
          </cell>
        </row>
        <row r="6633">
          <cell r="D6633" t="str">
            <v>2022</v>
          </cell>
        </row>
        <row r="6634">
          <cell r="D6634" t="str">
            <v>2022</v>
          </cell>
        </row>
        <row r="6635">
          <cell r="D6635" t="str">
            <v>2023</v>
          </cell>
        </row>
        <row r="6636">
          <cell r="D6636" t="str">
            <v>2023</v>
          </cell>
        </row>
        <row r="6637">
          <cell r="D6637" t="str">
            <v>2023</v>
          </cell>
        </row>
        <row r="6638">
          <cell r="D6638" t="str">
            <v>2023</v>
          </cell>
        </row>
        <row r="6639">
          <cell r="D6639" t="str">
            <v>2023</v>
          </cell>
        </row>
        <row r="6640">
          <cell r="D6640" t="str">
            <v>2023</v>
          </cell>
        </row>
        <row r="6641">
          <cell r="D6641" t="str">
            <v>2023</v>
          </cell>
        </row>
        <row r="6642">
          <cell r="D6642" t="str">
            <v>2023</v>
          </cell>
        </row>
        <row r="6643">
          <cell r="D6643" t="str">
            <v>2023</v>
          </cell>
        </row>
        <row r="6644">
          <cell r="D6644" t="str">
            <v>2023</v>
          </cell>
        </row>
        <row r="6645">
          <cell r="D6645" t="str">
            <v>2023</v>
          </cell>
        </row>
        <row r="6646">
          <cell r="D6646" t="str">
            <v>2022</v>
          </cell>
        </row>
        <row r="6647">
          <cell r="D6647" t="str">
            <v>2023</v>
          </cell>
        </row>
        <row r="6648">
          <cell r="D6648" t="str">
            <v>2023</v>
          </cell>
        </row>
        <row r="6649">
          <cell r="D6649" t="str">
            <v>2023</v>
          </cell>
        </row>
        <row r="6650">
          <cell r="D6650" t="str">
            <v>2022</v>
          </cell>
        </row>
        <row r="6651">
          <cell r="D6651" t="str">
            <v>2023</v>
          </cell>
        </row>
        <row r="6652">
          <cell r="D6652" t="str">
            <v>2023</v>
          </cell>
        </row>
        <row r="6653">
          <cell r="D6653" t="str">
            <v>2023</v>
          </cell>
        </row>
        <row r="6654">
          <cell r="D6654" t="str">
            <v>2023</v>
          </cell>
        </row>
        <row r="6655">
          <cell r="D6655" t="str">
            <v>2023</v>
          </cell>
        </row>
        <row r="6656">
          <cell r="D6656" t="str">
            <v>2023</v>
          </cell>
        </row>
        <row r="6657">
          <cell r="D6657" t="str">
            <v>2023</v>
          </cell>
        </row>
        <row r="6658">
          <cell r="D6658" t="str">
            <v>2023</v>
          </cell>
        </row>
        <row r="6659">
          <cell r="D6659" t="str">
            <v>2023</v>
          </cell>
        </row>
        <row r="6660">
          <cell r="D6660" t="str">
            <v>2023</v>
          </cell>
        </row>
        <row r="6661">
          <cell r="D6661" t="str">
            <v>2023</v>
          </cell>
        </row>
        <row r="6662">
          <cell r="D6662" t="str">
            <v>2023</v>
          </cell>
        </row>
        <row r="6663">
          <cell r="D6663" t="str">
            <v>2023</v>
          </cell>
        </row>
        <row r="6664">
          <cell r="D6664" t="str">
            <v>2023</v>
          </cell>
        </row>
        <row r="6665">
          <cell r="D6665" t="str">
            <v>2023</v>
          </cell>
        </row>
        <row r="6666">
          <cell r="D6666" t="str">
            <v>2023</v>
          </cell>
        </row>
        <row r="6667">
          <cell r="D6667" t="str">
            <v>2023</v>
          </cell>
        </row>
        <row r="6668">
          <cell r="D6668" t="str">
            <v>2023</v>
          </cell>
        </row>
        <row r="6669">
          <cell r="D6669" t="str">
            <v>2023</v>
          </cell>
        </row>
        <row r="6670">
          <cell r="D6670" t="str">
            <v>2022</v>
          </cell>
        </row>
        <row r="6671">
          <cell r="D6671" t="str">
            <v>2023</v>
          </cell>
        </row>
        <row r="6672">
          <cell r="D6672" t="str">
            <v>2023</v>
          </cell>
        </row>
        <row r="6673">
          <cell r="D6673" t="str">
            <v>2023</v>
          </cell>
        </row>
        <row r="6674">
          <cell r="D6674" t="str">
            <v>2023</v>
          </cell>
        </row>
        <row r="6675">
          <cell r="D6675" t="str">
            <v>2023</v>
          </cell>
        </row>
        <row r="6676">
          <cell r="D6676" t="str">
            <v>2023</v>
          </cell>
        </row>
        <row r="6677">
          <cell r="D6677" t="str">
            <v>2023</v>
          </cell>
        </row>
        <row r="6678">
          <cell r="D6678" t="str">
            <v>2023</v>
          </cell>
        </row>
        <row r="6679">
          <cell r="D6679" t="str">
            <v>2023</v>
          </cell>
        </row>
        <row r="6680">
          <cell r="D6680" t="str">
            <v>2023</v>
          </cell>
        </row>
        <row r="6681">
          <cell r="D6681" t="str">
            <v>2023</v>
          </cell>
        </row>
        <row r="6682">
          <cell r="D6682" t="str">
            <v>2023</v>
          </cell>
        </row>
        <row r="6683">
          <cell r="D6683" t="str">
            <v>2023</v>
          </cell>
        </row>
        <row r="6684">
          <cell r="D6684" t="str">
            <v>2023</v>
          </cell>
        </row>
        <row r="6685">
          <cell r="D6685" t="str">
            <v>2023</v>
          </cell>
        </row>
        <row r="6686">
          <cell r="D6686" t="str">
            <v>2023</v>
          </cell>
        </row>
        <row r="6687">
          <cell r="D6687" t="str">
            <v>2023</v>
          </cell>
        </row>
        <row r="6688">
          <cell r="D6688" t="str">
            <v>2023</v>
          </cell>
        </row>
        <row r="6689">
          <cell r="D6689" t="str">
            <v>2023</v>
          </cell>
        </row>
        <row r="6690">
          <cell r="D6690" t="str">
            <v>2023</v>
          </cell>
        </row>
        <row r="6691">
          <cell r="D6691" t="str">
            <v>2023</v>
          </cell>
        </row>
        <row r="6692">
          <cell r="D6692" t="str">
            <v>2023</v>
          </cell>
        </row>
        <row r="6693">
          <cell r="D6693" t="str">
            <v>2023</v>
          </cell>
        </row>
        <row r="6694">
          <cell r="D6694" t="str">
            <v>2023</v>
          </cell>
        </row>
        <row r="6695">
          <cell r="D6695" t="str">
            <v>2023</v>
          </cell>
        </row>
        <row r="6696">
          <cell r="D6696" t="str">
            <v>2023</v>
          </cell>
        </row>
        <row r="6697">
          <cell r="D6697" t="str">
            <v>2023</v>
          </cell>
        </row>
        <row r="6698">
          <cell r="D6698" t="str">
            <v>2023</v>
          </cell>
        </row>
        <row r="6699">
          <cell r="D6699" t="str">
            <v>2023</v>
          </cell>
        </row>
        <row r="6700">
          <cell r="D6700" t="str">
            <v>2022</v>
          </cell>
        </row>
        <row r="6701">
          <cell r="D6701" t="str">
            <v>2023</v>
          </cell>
        </row>
        <row r="6702">
          <cell r="D6702" t="str">
            <v>2023</v>
          </cell>
        </row>
        <row r="6703">
          <cell r="D6703" t="str">
            <v>2023</v>
          </cell>
        </row>
        <row r="6704">
          <cell r="D6704" t="str">
            <v>2023</v>
          </cell>
        </row>
        <row r="6705">
          <cell r="D6705" t="str">
            <v>2023</v>
          </cell>
        </row>
        <row r="6706">
          <cell r="D6706" t="str">
            <v>2023</v>
          </cell>
        </row>
        <row r="6707">
          <cell r="D6707" t="str">
            <v>2023</v>
          </cell>
        </row>
        <row r="6708">
          <cell r="D6708" t="str">
            <v>2023</v>
          </cell>
        </row>
        <row r="6709">
          <cell r="D6709" t="str">
            <v>2023</v>
          </cell>
        </row>
        <row r="6710">
          <cell r="D6710" t="str">
            <v>2023</v>
          </cell>
        </row>
        <row r="6711">
          <cell r="D6711" t="str">
            <v>2023</v>
          </cell>
        </row>
        <row r="6712">
          <cell r="D6712" t="str">
            <v>2023</v>
          </cell>
        </row>
        <row r="6713">
          <cell r="D6713" t="str">
            <v>2023</v>
          </cell>
        </row>
        <row r="6714">
          <cell r="D6714" t="str">
            <v>2023</v>
          </cell>
        </row>
        <row r="6715">
          <cell r="D6715" t="str">
            <v>2023</v>
          </cell>
        </row>
        <row r="6716">
          <cell r="D6716" t="str">
            <v>2023</v>
          </cell>
        </row>
        <row r="6717">
          <cell r="D6717" t="str">
            <v>2023</v>
          </cell>
        </row>
        <row r="6718">
          <cell r="D6718" t="str">
            <v>2022</v>
          </cell>
        </row>
        <row r="6719">
          <cell r="D6719" t="str">
            <v>2024</v>
          </cell>
        </row>
        <row r="6720">
          <cell r="D6720" t="str">
            <v>2023</v>
          </cell>
        </row>
        <row r="6721">
          <cell r="D6721" t="str">
            <v>2023</v>
          </cell>
        </row>
        <row r="6722">
          <cell r="D6722" t="str">
            <v>2023</v>
          </cell>
        </row>
        <row r="6723">
          <cell r="D6723" t="str">
            <v>2023</v>
          </cell>
        </row>
        <row r="6724">
          <cell r="D6724" t="str">
            <v>2021</v>
          </cell>
        </row>
        <row r="6725">
          <cell r="D6725" t="str">
            <v>2022</v>
          </cell>
        </row>
        <row r="6726">
          <cell r="D6726" t="str">
            <v>2023</v>
          </cell>
        </row>
        <row r="6727">
          <cell r="D6727" t="str">
            <v>2023</v>
          </cell>
        </row>
        <row r="6728">
          <cell r="D6728" t="str">
            <v>2023</v>
          </cell>
        </row>
        <row r="6729">
          <cell r="D6729" t="str">
            <v>2023</v>
          </cell>
        </row>
        <row r="6730">
          <cell r="D6730" t="str">
            <v>2023</v>
          </cell>
        </row>
        <row r="6731">
          <cell r="D6731" t="str">
            <v>2023</v>
          </cell>
        </row>
        <row r="6732">
          <cell r="D6732" t="str">
            <v>2023</v>
          </cell>
        </row>
        <row r="6733">
          <cell r="D6733" t="str">
            <v>2023</v>
          </cell>
        </row>
        <row r="6734">
          <cell r="D6734" t="str">
            <v>2023</v>
          </cell>
        </row>
        <row r="6735">
          <cell r="D6735" t="str">
            <v>2023</v>
          </cell>
        </row>
        <row r="6736">
          <cell r="D6736" t="str">
            <v>2022</v>
          </cell>
        </row>
        <row r="6737">
          <cell r="D6737" t="str">
            <v>2023</v>
          </cell>
        </row>
        <row r="6738">
          <cell r="D6738" t="str">
            <v>2021</v>
          </cell>
        </row>
        <row r="6739">
          <cell r="D6739" t="str">
            <v>2023</v>
          </cell>
        </row>
        <row r="6740">
          <cell r="D6740" t="str">
            <v>2023</v>
          </cell>
        </row>
        <row r="6741">
          <cell r="D6741" t="str">
            <v>2023</v>
          </cell>
        </row>
        <row r="6742">
          <cell r="D6742" t="str">
            <v>2023</v>
          </cell>
        </row>
        <row r="6743">
          <cell r="D6743" t="str">
            <v>2021</v>
          </cell>
        </row>
        <row r="6744">
          <cell r="D6744" t="str">
            <v>2023</v>
          </cell>
        </row>
        <row r="6745">
          <cell r="D6745" t="str">
            <v>2023</v>
          </cell>
        </row>
        <row r="6746">
          <cell r="D6746" t="str">
            <v>2023</v>
          </cell>
        </row>
        <row r="6747">
          <cell r="D6747" t="str">
            <v>2022</v>
          </cell>
        </row>
        <row r="6748">
          <cell r="D6748" t="str">
            <v>2023</v>
          </cell>
        </row>
        <row r="6749">
          <cell r="D6749" t="str">
            <v>2023</v>
          </cell>
        </row>
        <row r="6750">
          <cell r="D6750" t="str">
            <v>2024</v>
          </cell>
        </row>
        <row r="6751">
          <cell r="D6751" t="str">
            <v>2023</v>
          </cell>
        </row>
        <row r="6752">
          <cell r="D6752" t="str">
            <v>2023</v>
          </cell>
        </row>
        <row r="6753">
          <cell r="D6753" t="str">
            <v>2023</v>
          </cell>
        </row>
        <row r="6754">
          <cell r="D6754" t="str">
            <v>2023</v>
          </cell>
        </row>
        <row r="6755">
          <cell r="D6755" t="str">
            <v>2023</v>
          </cell>
        </row>
        <row r="6756">
          <cell r="D6756" t="str">
            <v>2022</v>
          </cell>
        </row>
        <row r="6757">
          <cell r="D6757" t="str">
            <v>2024</v>
          </cell>
        </row>
        <row r="6758">
          <cell r="D6758" t="str">
            <v>2023</v>
          </cell>
        </row>
        <row r="6759">
          <cell r="D6759" t="str">
            <v>2022</v>
          </cell>
        </row>
        <row r="6760">
          <cell r="D6760" t="str">
            <v>2023</v>
          </cell>
        </row>
        <row r="6761">
          <cell r="D6761" t="str">
            <v>2023</v>
          </cell>
        </row>
        <row r="6762">
          <cell r="D6762" t="str">
            <v>2023</v>
          </cell>
        </row>
        <row r="6763">
          <cell r="D6763" t="str">
            <v>2023</v>
          </cell>
        </row>
        <row r="6764">
          <cell r="D6764" t="str">
            <v>2023</v>
          </cell>
        </row>
        <row r="6765">
          <cell r="D6765" t="str">
            <v>2022</v>
          </cell>
        </row>
        <row r="6766">
          <cell r="D6766" t="str">
            <v>2023</v>
          </cell>
        </row>
        <row r="6767">
          <cell r="D6767" t="str">
            <v>2023</v>
          </cell>
        </row>
        <row r="6768">
          <cell r="D6768" t="str">
            <v>2023</v>
          </cell>
        </row>
        <row r="6769">
          <cell r="D6769" t="str">
            <v>2023</v>
          </cell>
        </row>
        <row r="6770">
          <cell r="D6770" t="str">
            <v>2022</v>
          </cell>
        </row>
        <row r="6771">
          <cell r="D6771" t="str">
            <v>2023</v>
          </cell>
        </row>
        <row r="6772">
          <cell r="D6772" t="str">
            <v>2024</v>
          </cell>
        </row>
        <row r="6773">
          <cell r="D6773" t="str">
            <v>2023</v>
          </cell>
        </row>
        <row r="6774">
          <cell r="D6774" t="str">
            <v>2023</v>
          </cell>
        </row>
        <row r="6775">
          <cell r="D6775" t="str">
            <v>2023</v>
          </cell>
        </row>
        <row r="6776">
          <cell r="D6776" t="str">
            <v>2023</v>
          </cell>
        </row>
        <row r="6777">
          <cell r="D6777" t="str">
            <v>2023</v>
          </cell>
        </row>
        <row r="6778">
          <cell r="D6778" t="str">
            <v>2023</v>
          </cell>
        </row>
        <row r="6779">
          <cell r="D6779" t="str">
            <v>2023</v>
          </cell>
        </row>
        <row r="6780">
          <cell r="D6780" t="str">
            <v>2023</v>
          </cell>
        </row>
        <row r="6781">
          <cell r="D6781" t="str">
            <v>2022</v>
          </cell>
        </row>
        <row r="6782">
          <cell r="D6782" t="str">
            <v>2022</v>
          </cell>
        </row>
        <row r="6783">
          <cell r="D6783" t="str">
            <v>2023</v>
          </cell>
        </row>
        <row r="6784">
          <cell r="D6784" t="str">
            <v>2023</v>
          </cell>
        </row>
        <row r="6785">
          <cell r="D6785" t="str">
            <v>2023</v>
          </cell>
        </row>
        <row r="6786">
          <cell r="D6786" t="str">
            <v>2023</v>
          </cell>
        </row>
        <row r="6787">
          <cell r="D6787" t="str">
            <v>2023</v>
          </cell>
        </row>
        <row r="6788">
          <cell r="D6788" t="str">
            <v>2023</v>
          </cell>
        </row>
        <row r="6789">
          <cell r="D6789" t="str">
            <v>2023</v>
          </cell>
        </row>
        <row r="6790">
          <cell r="D6790" t="str">
            <v>2023</v>
          </cell>
        </row>
        <row r="6791">
          <cell r="D6791" t="str">
            <v>2023</v>
          </cell>
        </row>
        <row r="6792">
          <cell r="D6792" t="str">
            <v>2023</v>
          </cell>
        </row>
        <row r="6793">
          <cell r="D6793" t="str">
            <v>2023</v>
          </cell>
        </row>
        <row r="6794">
          <cell r="D6794" t="str">
            <v>2023</v>
          </cell>
        </row>
        <row r="6795">
          <cell r="D6795" t="str">
            <v>2024</v>
          </cell>
        </row>
        <row r="6796">
          <cell r="D6796" t="str">
            <v>2023</v>
          </cell>
        </row>
        <row r="6797">
          <cell r="D6797" t="str">
            <v>2023</v>
          </cell>
        </row>
        <row r="6798">
          <cell r="D6798" t="str">
            <v>2023</v>
          </cell>
        </row>
        <row r="6799">
          <cell r="D6799" t="str">
            <v>2023</v>
          </cell>
        </row>
        <row r="6800">
          <cell r="D6800" t="str">
            <v>2022</v>
          </cell>
        </row>
        <row r="6801">
          <cell r="D6801" t="str">
            <v>2023</v>
          </cell>
        </row>
        <row r="6802">
          <cell r="D6802" t="str">
            <v>2024</v>
          </cell>
        </row>
        <row r="6803">
          <cell r="D6803" t="str">
            <v>2023</v>
          </cell>
        </row>
        <row r="6804">
          <cell r="D6804" t="str">
            <v>2023</v>
          </cell>
        </row>
        <row r="6805">
          <cell r="D6805" t="str">
            <v>2023</v>
          </cell>
        </row>
        <row r="6806">
          <cell r="D6806" t="str">
            <v>2023</v>
          </cell>
        </row>
        <row r="6807">
          <cell r="D6807" t="str">
            <v>2023</v>
          </cell>
        </row>
        <row r="6808">
          <cell r="D6808" t="str">
            <v>2023</v>
          </cell>
        </row>
        <row r="6809">
          <cell r="D6809" t="str">
            <v>2023</v>
          </cell>
        </row>
        <row r="6810">
          <cell r="D6810" t="str">
            <v>2023</v>
          </cell>
        </row>
        <row r="6811">
          <cell r="D6811" t="str">
            <v>2023</v>
          </cell>
        </row>
        <row r="6812">
          <cell r="D6812" t="str">
            <v>2023</v>
          </cell>
        </row>
        <row r="6813">
          <cell r="D6813" t="str">
            <v>2023</v>
          </cell>
        </row>
        <row r="6814">
          <cell r="D6814" t="str">
            <v>2023</v>
          </cell>
        </row>
        <row r="6815">
          <cell r="D6815" t="str">
            <v>2021</v>
          </cell>
        </row>
        <row r="6816">
          <cell r="D6816" t="str">
            <v>2024</v>
          </cell>
        </row>
        <row r="6817">
          <cell r="D6817" t="str">
            <v>2023</v>
          </cell>
        </row>
        <row r="6818">
          <cell r="D6818" t="str">
            <v>2023</v>
          </cell>
        </row>
        <row r="6819">
          <cell r="D6819" t="str">
            <v>2023</v>
          </cell>
        </row>
        <row r="6820">
          <cell r="D6820" t="str">
            <v>2023</v>
          </cell>
        </row>
        <row r="6821">
          <cell r="D6821" t="str">
            <v>2023</v>
          </cell>
        </row>
        <row r="6822">
          <cell r="D6822" t="str">
            <v>2023</v>
          </cell>
        </row>
        <row r="6823">
          <cell r="D6823" t="str">
            <v>2023</v>
          </cell>
        </row>
        <row r="6824">
          <cell r="D6824" t="str">
            <v>2024</v>
          </cell>
        </row>
        <row r="6825">
          <cell r="D6825" t="str">
            <v>2023</v>
          </cell>
        </row>
        <row r="6826">
          <cell r="D6826" t="str">
            <v>2023</v>
          </cell>
        </row>
        <row r="6827">
          <cell r="D6827" t="str">
            <v>2023</v>
          </cell>
        </row>
        <row r="6828">
          <cell r="D6828" t="str">
            <v>2023</v>
          </cell>
        </row>
        <row r="6829">
          <cell r="D6829" t="str">
            <v>2023</v>
          </cell>
        </row>
        <row r="6830">
          <cell r="D6830" t="str">
            <v>2022</v>
          </cell>
        </row>
        <row r="6831">
          <cell r="D6831" t="str">
            <v>2021</v>
          </cell>
        </row>
        <row r="6832">
          <cell r="D6832" t="str">
            <v>2023</v>
          </cell>
        </row>
        <row r="6833">
          <cell r="D6833" t="str">
            <v>2023</v>
          </cell>
        </row>
        <row r="6834">
          <cell r="D6834" t="str">
            <v>2023</v>
          </cell>
        </row>
        <row r="6835">
          <cell r="D6835" t="str">
            <v>2023</v>
          </cell>
        </row>
        <row r="6836">
          <cell r="D6836" t="str">
            <v>2023</v>
          </cell>
        </row>
        <row r="6837">
          <cell r="D6837" t="str">
            <v>2022</v>
          </cell>
        </row>
        <row r="6838">
          <cell r="D6838" t="str">
            <v>2022</v>
          </cell>
        </row>
        <row r="6839">
          <cell r="D6839" t="str">
            <v>2023</v>
          </cell>
        </row>
        <row r="6840">
          <cell r="D6840" t="str">
            <v>2023</v>
          </cell>
        </row>
        <row r="6841">
          <cell r="D6841" t="str">
            <v>2023</v>
          </cell>
        </row>
        <row r="6842">
          <cell r="D6842" t="str">
            <v>2023</v>
          </cell>
        </row>
        <row r="6843">
          <cell r="D6843" t="str">
            <v>2023</v>
          </cell>
        </row>
        <row r="6844">
          <cell r="D6844" t="str">
            <v>2023</v>
          </cell>
        </row>
        <row r="6845">
          <cell r="D6845" t="str">
            <v>2023</v>
          </cell>
        </row>
        <row r="6846">
          <cell r="D6846" t="str">
            <v>2023</v>
          </cell>
        </row>
        <row r="6847">
          <cell r="D6847" t="str">
            <v>2023</v>
          </cell>
        </row>
        <row r="6848">
          <cell r="D6848" t="str">
            <v>2023</v>
          </cell>
        </row>
        <row r="6849">
          <cell r="D6849" t="str">
            <v>2023</v>
          </cell>
        </row>
        <row r="6850">
          <cell r="D6850" t="str">
            <v>2023</v>
          </cell>
        </row>
        <row r="6851">
          <cell r="D6851" t="str">
            <v>2023</v>
          </cell>
        </row>
        <row r="6852">
          <cell r="D6852" t="str">
            <v>2023</v>
          </cell>
        </row>
        <row r="6853">
          <cell r="D6853" t="str">
            <v>2023</v>
          </cell>
        </row>
        <row r="6854">
          <cell r="D6854" t="str">
            <v>2023</v>
          </cell>
        </row>
        <row r="6855">
          <cell r="D6855" t="str">
            <v>2023</v>
          </cell>
        </row>
        <row r="6856">
          <cell r="D6856" t="str">
            <v>2023</v>
          </cell>
        </row>
        <row r="6857">
          <cell r="D6857" t="str">
            <v>2021</v>
          </cell>
        </row>
        <row r="6858">
          <cell r="D6858" t="str">
            <v>2023</v>
          </cell>
        </row>
        <row r="6859">
          <cell r="D6859" t="str">
            <v>2023</v>
          </cell>
        </row>
        <row r="6860">
          <cell r="D6860" t="str">
            <v>2023</v>
          </cell>
        </row>
        <row r="6861">
          <cell r="D6861" t="str">
            <v>2022</v>
          </cell>
        </row>
        <row r="6862">
          <cell r="D6862" t="str">
            <v>2023</v>
          </cell>
        </row>
        <row r="6863">
          <cell r="D6863" t="str">
            <v>2023</v>
          </cell>
        </row>
        <row r="6864">
          <cell r="D6864" t="str">
            <v>2023</v>
          </cell>
        </row>
        <row r="6865">
          <cell r="D6865" t="str">
            <v>2023</v>
          </cell>
        </row>
        <row r="6866">
          <cell r="D6866" t="str">
            <v>2024</v>
          </cell>
        </row>
        <row r="6867">
          <cell r="D6867" t="str">
            <v>2023</v>
          </cell>
        </row>
        <row r="6868">
          <cell r="D6868" t="str">
            <v>2022</v>
          </cell>
        </row>
        <row r="6869">
          <cell r="D6869" t="str">
            <v>2022</v>
          </cell>
        </row>
        <row r="6870">
          <cell r="D6870" t="str">
            <v>2023</v>
          </cell>
        </row>
        <row r="6871">
          <cell r="D6871" t="str">
            <v>2023</v>
          </cell>
        </row>
        <row r="6872">
          <cell r="D6872" t="str">
            <v>2023</v>
          </cell>
        </row>
        <row r="6873">
          <cell r="D6873" t="str">
            <v>2023</v>
          </cell>
        </row>
        <row r="6874">
          <cell r="D6874" t="str">
            <v>2023</v>
          </cell>
        </row>
        <row r="6875">
          <cell r="D6875" t="str">
            <v>2023</v>
          </cell>
        </row>
        <row r="6876">
          <cell r="D6876" t="str">
            <v>2023</v>
          </cell>
        </row>
        <row r="6877">
          <cell r="D6877" t="str">
            <v>2023</v>
          </cell>
        </row>
        <row r="6878">
          <cell r="D6878" t="str">
            <v>2023</v>
          </cell>
        </row>
        <row r="6879">
          <cell r="D6879" t="str">
            <v>2023</v>
          </cell>
        </row>
        <row r="6880">
          <cell r="D6880" t="str">
            <v>2023</v>
          </cell>
        </row>
        <row r="6881">
          <cell r="D6881" t="str">
            <v>2023</v>
          </cell>
        </row>
        <row r="6882">
          <cell r="D6882" t="str">
            <v>2023</v>
          </cell>
        </row>
        <row r="6883">
          <cell r="D6883" t="str">
            <v>2023</v>
          </cell>
        </row>
        <row r="6884">
          <cell r="D6884" t="str">
            <v>2022</v>
          </cell>
        </row>
        <row r="6885">
          <cell r="D6885" t="str">
            <v>2023</v>
          </cell>
        </row>
        <row r="6886">
          <cell r="D6886" t="str">
            <v>2024</v>
          </cell>
        </row>
        <row r="6887">
          <cell r="D6887" t="str">
            <v>2023</v>
          </cell>
        </row>
        <row r="6888">
          <cell r="D6888" t="str">
            <v>2023</v>
          </cell>
        </row>
        <row r="6889">
          <cell r="D6889" t="str">
            <v>2023</v>
          </cell>
        </row>
        <row r="6890">
          <cell r="D6890" t="str">
            <v>2023</v>
          </cell>
        </row>
        <row r="6891">
          <cell r="D6891" t="str">
            <v>2022</v>
          </cell>
        </row>
        <row r="6892">
          <cell r="D6892" t="str">
            <v>2023</v>
          </cell>
        </row>
        <row r="6893">
          <cell r="D6893" t="str">
            <v>2023</v>
          </cell>
        </row>
        <row r="6894">
          <cell r="D6894" t="str">
            <v>2023</v>
          </cell>
        </row>
        <row r="6895">
          <cell r="D6895" t="str">
            <v>2023</v>
          </cell>
        </row>
        <row r="6896">
          <cell r="D6896" t="str">
            <v>2024</v>
          </cell>
        </row>
        <row r="6897">
          <cell r="D6897" t="str">
            <v>2023</v>
          </cell>
        </row>
        <row r="6898">
          <cell r="D6898" t="str">
            <v>2023</v>
          </cell>
        </row>
        <row r="6899">
          <cell r="D6899" t="str">
            <v>2021</v>
          </cell>
        </row>
        <row r="6900">
          <cell r="D6900" t="str">
            <v>2023</v>
          </cell>
        </row>
        <row r="6901">
          <cell r="D6901" t="str">
            <v>2023</v>
          </cell>
        </row>
        <row r="6902">
          <cell r="D6902" t="str">
            <v>2023</v>
          </cell>
        </row>
        <row r="6903">
          <cell r="D6903" t="str">
            <v>2023</v>
          </cell>
        </row>
        <row r="6904">
          <cell r="D6904" t="str">
            <v>2023</v>
          </cell>
        </row>
        <row r="6905">
          <cell r="D6905" t="str">
            <v>2023</v>
          </cell>
        </row>
        <row r="6906">
          <cell r="D6906" t="str">
            <v>2023</v>
          </cell>
        </row>
        <row r="6907">
          <cell r="D6907" t="str">
            <v>2023</v>
          </cell>
        </row>
        <row r="6908">
          <cell r="D6908" t="str">
            <v>2023</v>
          </cell>
        </row>
        <row r="6909">
          <cell r="D6909" t="str">
            <v>2023</v>
          </cell>
        </row>
        <row r="6910">
          <cell r="D6910" t="str">
            <v>2022</v>
          </cell>
        </row>
        <row r="6911">
          <cell r="D6911" t="str">
            <v>2021</v>
          </cell>
        </row>
        <row r="6912">
          <cell r="D6912" t="str">
            <v>2023</v>
          </cell>
        </row>
        <row r="6913">
          <cell r="D6913" t="str">
            <v>2022</v>
          </cell>
        </row>
        <row r="6914">
          <cell r="D6914" t="str">
            <v>2023</v>
          </cell>
        </row>
        <row r="6915">
          <cell r="D6915" t="str">
            <v>2023</v>
          </cell>
        </row>
        <row r="6916">
          <cell r="D6916" t="str">
            <v>2023</v>
          </cell>
        </row>
        <row r="6917">
          <cell r="D6917" t="str">
            <v>2023</v>
          </cell>
        </row>
        <row r="6918">
          <cell r="D6918" t="str">
            <v>2023</v>
          </cell>
        </row>
        <row r="6919">
          <cell r="D6919" t="str">
            <v>2023</v>
          </cell>
        </row>
        <row r="6920">
          <cell r="D6920" t="str">
            <v>2023</v>
          </cell>
        </row>
        <row r="6921">
          <cell r="D6921" t="str">
            <v>2023</v>
          </cell>
        </row>
        <row r="6922">
          <cell r="D6922" t="str">
            <v>2023</v>
          </cell>
        </row>
        <row r="6923">
          <cell r="D6923" t="str">
            <v>2023</v>
          </cell>
        </row>
        <row r="6924">
          <cell r="D6924" t="str">
            <v>2023</v>
          </cell>
        </row>
        <row r="6925">
          <cell r="D6925" t="str">
            <v>2023</v>
          </cell>
        </row>
        <row r="6926">
          <cell r="D6926" t="str">
            <v>2023</v>
          </cell>
        </row>
        <row r="6927">
          <cell r="D6927" t="str">
            <v>2023</v>
          </cell>
        </row>
        <row r="6928">
          <cell r="D6928" t="str">
            <v>2023</v>
          </cell>
        </row>
        <row r="6929">
          <cell r="D6929" t="str">
            <v>2023</v>
          </cell>
        </row>
        <row r="6930">
          <cell r="D6930" t="str">
            <v>2022</v>
          </cell>
        </row>
        <row r="6931">
          <cell r="D6931" t="str">
            <v>2023</v>
          </cell>
        </row>
        <row r="6932">
          <cell r="D6932" t="str">
            <v>2023</v>
          </cell>
        </row>
        <row r="6933">
          <cell r="D6933" t="str">
            <v>2024</v>
          </cell>
        </row>
        <row r="6934">
          <cell r="D6934" t="str">
            <v>2023</v>
          </cell>
        </row>
        <row r="6935">
          <cell r="D6935" t="str">
            <v>2023</v>
          </cell>
        </row>
        <row r="6936">
          <cell r="D6936" t="str">
            <v>2023</v>
          </cell>
        </row>
        <row r="6937">
          <cell r="D6937" t="str">
            <v>2023</v>
          </cell>
        </row>
        <row r="6938">
          <cell r="D6938" t="str">
            <v>2023</v>
          </cell>
        </row>
        <row r="6939">
          <cell r="D6939" t="str">
            <v>2023</v>
          </cell>
        </row>
        <row r="6940">
          <cell r="D6940" t="str">
            <v>2023</v>
          </cell>
        </row>
        <row r="6941">
          <cell r="D6941" t="str">
            <v>2023</v>
          </cell>
        </row>
        <row r="6942">
          <cell r="D6942" t="str">
            <v>2023</v>
          </cell>
        </row>
        <row r="6943">
          <cell r="D6943" t="str">
            <v>2023</v>
          </cell>
        </row>
        <row r="6944">
          <cell r="D6944" t="str">
            <v>2023</v>
          </cell>
        </row>
        <row r="6945">
          <cell r="D6945" t="str">
            <v>2023</v>
          </cell>
        </row>
        <row r="6946">
          <cell r="D6946" t="str">
            <v>2023</v>
          </cell>
        </row>
        <row r="6947">
          <cell r="D6947" t="str">
            <v>2023</v>
          </cell>
        </row>
        <row r="6948">
          <cell r="D6948" t="str">
            <v>2023</v>
          </cell>
        </row>
        <row r="6949">
          <cell r="D6949" t="str">
            <v>2023</v>
          </cell>
        </row>
        <row r="6950">
          <cell r="D6950" t="str">
            <v>2023</v>
          </cell>
        </row>
        <row r="6951">
          <cell r="D6951" t="str">
            <v>2023</v>
          </cell>
        </row>
        <row r="6952">
          <cell r="D6952" t="str">
            <v>2023</v>
          </cell>
        </row>
        <row r="6953">
          <cell r="D6953" t="str">
            <v>2023</v>
          </cell>
        </row>
        <row r="6954">
          <cell r="D6954" t="str">
            <v>2023</v>
          </cell>
        </row>
        <row r="6955">
          <cell r="D6955" t="str">
            <v>2023</v>
          </cell>
        </row>
        <row r="6956">
          <cell r="D6956" t="str">
            <v>2023</v>
          </cell>
        </row>
        <row r="6957">
          <cell r="D6957" t="str">
            <v>2023</v>
          </cell>
        </row>
        <row r="6958">
          <cell r="D6958" t="str">
            <v>2023</v>
          </cell>
        </row>
        <row r="6959">
          <cell r="D6959" t="str">
            <v>2023</v>
          </cell>
        </row>
        <row r="6960">
          <cell r="D6960" t="str">
            <v>2023</v>
          </cell>
        </row>
        <row r="6961">
          <cell r="D6961" t="str">
            <v>2022</v>
          </cell>
        </row>
        <row r="6962">
          <cell r="D6962" t="str">
            <v>2024</v>
          </cell>
        </row>
        <row r="6963">
          <cell r="D6963" t="str">
            <v>2023</v>
          </cell>
        </row>
        <row r="6964">
          <cell r="D6964" t="str">
            <v>2022</v>
          </cell>
        </row>
        <row r="6965">
          <cell r="D6965" t="str">
            <v>2023</v>
          </cell>
        </row>
        <row r="6966">
          <cell r="D6966" t="str">
            <v>2023</v>
          </cell>
        </row>
        <row r="6967">
          <cell r="D6967" t="str">
            <v>2023</v>
          </cell>
        </row>
        <row r="6968">
          <cell r="D6968" t="str">
            <v>2022</v>
          </cell>
        </row>
        <row r="6969">
          <cell r="D6969" t="str">
            <v>2023</v>
          </cell>
        </row>
        <row r="6970">
          <cell r="D6970" t="str">
            <v>2023</v>
          </cell>
        </row>
        <row r="6971">
          <cell r="D6971" t="str">
            <v>2023</v>
          </cell>
        </row>
        <row r="6972">
          <cell r="D6972" t="str">
            <v>2023</v>
          </cell>
        </row>
        <row r="6973">
          <cell r="D6973" t="str">
            <v>2023</v>
          </cell>
        </row>
        <row r="6974">
          <cell r="D6974" t="str">
            <v>2023</v>
          </cell>
        </row>
        <row r="6975">
          <cell r="D6975" t="str">
            <v>2023</v>
          </cell>
        </row>
        <row r="6976">
          <cell r="D6976" t="str">
            <v>2023</v>
          </cell>
        </row>
        <row r="6977">
          <cell r="D6977" t="str">
            <v>2023</v>
          </cell>
        </row>
        <row r="6978">
          <cell r="D6978" t="str">
            <v>2023</v>
          </cell>
        </row>
        <row r="6979">
          <cell r="D6979" t="str">
            <v>2023</v>
          </cell>
        </row>
        <row r="6980">
          <cell r="D6980" t="str">
            <v>2023</v>
          </cell>
        </row>
        <row r="6981">
          <cell r="D6981" t="str">
            <v>2023</v>
          </cell>
        </row>
        <row r="6982">
          <cell r="D6982" t="str">
            <v>2022</v>
          </cell>
        </row>
        <row r="6983">
          <cell r="D6983" t="str">
            <v>2023</v>
          </cell>
        </row>
        <row r="6984">
          <cell r="D6984" t="str">
            <v>2023</v>
          </cell>
        </row>
        <row r="6985">
          <cell r="D6985" t="str">
            <v>2023</v>
          </cell>
        </row>
        <row r="6986">
          <cell r="D6986" t="str">
            <v>2022</v>
          </cell>
        </row>
        <row r="6987">
          <cell r="D6987" t="str">
            <v>2023</v>
          </cell>
        </row>
        <row r="6988">
          <cell r="D6988" t="str">
            <v>2023</v>
          </cell>
        </row>
        <row r="6989">
          <cell r="D6989" t="str">
            <v>2023</v>
          </cell>
        </row>
        <row r="6990">
          <cell r="D6990" t="str">
            <v>2023</v>
          </cell>
        </row>
        <row r="6991">
          <cell r="D6991" t="str">
            <v>2023</v>
          </cell>
        </row>
        <row r="6992">
          <cell r="D6992" t="str">
            <v>2023</v>
          </cell>
        </row>
        <row r="6993">
          <cell r="D6993" t="str">
            <v>2023</v>
          </cell>
        </row>
        <row r="6994">
          <cell r="D6994" t="str">
            <v>2023</v>
          </cell>
        </row>
        <row r="6995">
          <cell r="D6995" t="str">
            <v>2023</v>
          </cell>
        </row>
        <row r="6996">
          <cell r="D6996" t="str">
            <v>2023</v>
          </cell>
        </row>
        <row r="6997">
          <cell r="D6997" t="str">
            <v>2024</v>
          </cell>
        </row>
        <row r="6998">
          <cell r="D6998" t="str">
            <v>2021</v>
          </cell>
        </row>
        <row r="6999">
          <cell r="D6999" t="str">
            <v>2023</v>
          </cell>
        </row>
        <row r="7000">
          <cell r="D7000" t="str">
            <v>2023</v>
          </cell>
        </row>
        <row r="7001">
          <cell r="D7001" t="str">
            <v>2022</v>
          </cell>
        </row>
        <row r="7002">
          <cell r="D7002" t="str">
            <v>2023</v>
          </cell>
        </row>
        <row r="7003">
          <cell r="D7003" t="str">
            <v>2022</v>
          </cell>
        </row>
        <row r="7004">
          <cell r="D7004" t="str">
            <v>2023</v>
          </cell>
        </row>
        <row r="7005">
          <cell r="D7005" t="str">
            <v>2023</v>
          </cell>
        </row>
        <row r="7006">
          <cell r="D7006" t="str">
            <v>2022</v>
          </cell>
        </row>
        <row r="7007">
          <cell r="D7007" t="str">
            <v>2023</v>
          </cell>
        </row>
        <row r="7008">
          <cell r="D7008" t="str">
            <v>2023</v>
          </cell>
        </row>
        <row r="7009">
          <cell r="D7009" t="str">
            <v>2023</v>
          </cell>
        </row>
        <row r="7010">
          <cell r="D7010" t="str">
            <v>2023</v>
          </cell>
        </row>
        <row r="7011">
          <cell r="D7011" t="str">
            <v>2023</v>
          </cell>
        </row>
        <row r="7012">
          <cell r="D7012" t="str">
            <v>2023</v>
          </cell>
        </row>
        <row r="7013">
          <cell r="D7013" t="str">
            <v>2023</v>
          </cell>
        </row>
        <row r="7014">
          <cell r="D7014" t="str">
            <v>2023</v>
          </cell>
        </row>
        <row r="7015">
          <cell r="D7015" t="str">
            <v>2023</v>
          </cell>
        </row>
        <row r="7016">
          <cell r="D7016" t="str">
            <v>2022</v>
          </cell>
        </row>
        <row r="7017">
          <cell r="D7017" t="str">
            <v>2023</v>
          </cell>
        </row>
        <row r="7018">
          <cell r="D7018" t="str">
            <v>2023</v>
          </cell>
        </row>
        <row r="7019">
          <cell r="D7019" t="str">
            <v>2023</v>
          </cell>
        </row>
        <row r="7020">
          <cell r="D7020" t="str">
            <v>2023</v>
          </cell>
        </row>
        <row r="7021">
          <cell r="D7021" t="str">
            <v>2023</v>
          </cell>
        </row>
        <row r="7022">
          <cell r="D7022" t="str">
            <v>2023</v>
          </cell>
        </row>
        <row r="7023">
          <cell r="D7023" t="str">
            <v>2023</v>
          </cell>
        </row>
        <row r="7024">
          <cell r="D7024" t="str">
            <v>2022</v>
          </cell>
        </row>
        <row r="7025">
          <cell r="D7025" t="str">
            <v>2023</v>
          </cell>
        </row>
        <row r="7026">
          <cell r="D7026" t="str">
            <v>2023</v>
          </cell>
        </row>
        <row r="7027">
          <cell r="D7027" t="str">
            <v>2022</v>
          </cell>
        </row>
        <row r="7028">
          <cell r="D7028" t="str">
            <v>2023</v>
          </cell>
        </row>
        <row r="7029">
          <cell r="D7029" t="str">
            <v>2023</v>
          </cell>
        </row>
        <row r="7030">
          <cell r="D7030" t="str">
            <v>2023</v>
          </cell>
        </row>
        <row r="7031">
          <cell r="D7031" t="str">
            <v>2022</v>
          </cell>
        </row>
        <row r="7032">
          <cell r="D7032" t="str">
            <v>2021</v>
          </cell>
        </row>
        <row r="7033">
          <cell r="D7033" t="str">
            <v>2023</v>
          </cell>
        </row>
        <row r="7034">
          <cell r="D7034" t="str">
            <v>2023</v>
          </cell>
        </row>
        <row r="7035">
          <cell r="D7035" t="str">
            <v>2023</v>
          </cell>
        </row>
        <row r="7036">
          <cell r="D7036" t="str">
            <v>2023</v>
          </cell>
        </row>
        <row r="7037">
          <cell r="D7037" t="str">
            <v>2023</v>
          </cell>
        </row>
        <row r="7038">
          <cell r="D7038" t="str">
            <v>2021</v>
          </cell>
        </row>
        <row r="7039">
          <cell r="D7039" t="str">
            <v>2023</v>
          </cell>
        </row>
        <row r="7040">
          <cell r="D7040" t="str">
            <v>2023</v>
          </cell>
        </row>
        <row r="7041">
          <cell r="D7041" t="str">
            <v>2023</v>
          </cell>
        </row>
        <row r="7042">
          <cell r="D7042" t="str">
            <v>2021</v>
          </cell>
        </row>
        <row r="7043">
          <cell r="D7043" t="str">
            <v>2022</v>
          </cell>
        </row>
        <row r="7044">
          <cell r="D7044" t="str">
            <v>2022</v>
          </cell>
        </row>
        <row r="7045">
          <cell r="D7045" t="str">
            <v>2023</v>
          </cell>
        </row>
        <row r="7046">
          <cell r="D7046" t="str">
            <v>2023</v>
          </cell>
        </row>
        <row r="7047">
          <cell r="D7047" t="str">
            <v>2023</v>
          </cell>
        </row>
        <row r="7048">
          <cell r="D7048" t="str">
            <v>2023</v>
          </cell>
        </row>
        <row r="7049">
          <cell r="D7049" t="str">
            <v>2023</v>
          </cell>
        </row>
        <row r="7050">
          <cell r="D7050" t="str">
            <v>2023</v>
          </cell>
        </row>
        <row r="7051">
          <cell r="D7051" t="str">
            <v>2023</v>
          </cell>
        </row>
        <row r="7052">
          <cell r="D7052" t="str">
            <v>2023</v>
          </cell>
        </row>
        <row r="7053">
          <cell r="D7053" t="str">
            <v>2022</v>
          </cell>
        </row>
        <row r="7054">
          <cell r="D7054" t="str">
            <v>2023</v>
          </cell>
        </row>
        <row r="7055">
          <cell r="D7055" t="str">
            <v>2023</v>
          </cell>
        </row>
        <row r="7056">
          <cell r="D7056" t="str">
            <v>2023</v>
          </cell>
        </row>
        <row r="7057">
          <cell r="D7057" t="str">
            <v>2023</v>
          </cell>
        </row>
        <row r="7058">
          <cell r="D7058" t="str">
            <v>2023</v>
          </cell>
        </row>
        <row r="7059">
          <cell r="D7059" t="str">
            <v>2023</v>
          </cell>
        </row>
        <row r="7060">
          <cell r="D7060" t="str">
            <v>2023</v>
          </cell>
        </row>
        <row r="7061">
          <cell r="D7061" t="str">
            <v>2023</v>
          </cell>
        </row>
        <row r="7062">
          <cell r="D7062" t="str">
            <v>2023</v>
          </cell>
        </row>
        <row r="7063">
          <cell r="D7063" t="str">
            <v>2023</v>
          </cell>
        </row>
        <row r="7064">
          <cell r="D7064" t="str">
            <v>2023</v>
          </cell>
        </row>
        <row r="7065">
          <cell r="D7065" t="str">
            <v>2023</v>
          </cell>
        </row>
        <row r="7066">
          <cell r="D7066" t="str">
            <v>2023</v>
          </cell>
        </row>
        <row r="7067">
          <cell r="D7067" t="str">
            <v>2022</v>
          </cell>
        </row>
        <row r="7068">
          <cell r="D7068" t="str">
            <v>2023</v>
          </cell>
        </row>
        <row r="7069">
          <cell r="D7069" t="str">
            <v>2023</v>
          </cell>
        </row>
        <row r="7070">
          <cell r="D7070" t="str">
            <v>2023</v>
          </cell>
        </row>
        <row r="7071">
          <cell r="D7071" t="str">
            <v>2023</v>
          </cell>
        </row>
        <row r="7072">
          <cell r="D7072" t="str">
            <v>2023</v>
          </cell>
        </row>
        <row r="7073">
          <cell r="D7073" t="str">
            <v>2021</v>
          </cell>
        </row>
        <row r="7074">
          <cell r="D7074" t="str">
            <v>2023</v>
          </cell>
        </row>
        <row r="7075">
          <cell r="D7075" t="str">
            <v>2023</v>
          </cell>
        </row>
        <row r="7076">
          <cell r="D7076" t="str">
            <v>2023</v>
          </cell>
        </row>
        <row r="7077">
          <cell r="D7077" t="str">
            <v>2023</v>
          </cell>
        </row>
        <row r="7078">
          <cell r="D7078" t="str">
            <v>2023</v>
          </cell>
        </row>
        <row r="7079">
          <cell r="D7079" t="str">
            <v>2023</v>
          </cell>
        </row>
        <row r="7080">
          <cell r="D7080" t="str">
            <v>2023</v>
          </cell>
        </row>
        <row r="7081">
          <cell r="D7081" t="str">
            <v>2024</v>
          </cell>
        </row>
        <row r="7082">
          <cell r="D7082" t="str">
            <v>2023</v>
          </cell>
        </row>
        <row r="7083">
          <cell r="D7083" t="str">
            <v>2023</v>
          </cell>
        </row>
        <row r="7084">
          <cell r="D7084" t="str">
            <v>2023</v>
          </cell>
        </row>
        <row r="7085">
          <cell r="D7085" t="str">
            <v>2023</v>
          </cell>
        </row>
        <row r="7086">
          <cell r="D7086" t="str">
            <v>2023</v>
          </cell>
        </row>
        <row r="7087">
          <cell r="D7087" t="str">
            <v>2023</v>
          </cell>
        </row>
        <row r="7088">
          <cell r="D7088" t="str">
            <v>2023</v>
          </cell>
        </row>
        <row r="7089">
          <cell r="D7089" t="str">
            <v>2023</v>
          </cell>
        </row>
        <row r="7090">
          <cell r="D7090" t="str">
            <v>2023</v>
          </cell>
        </row>
        <row r="7091">
          <cell r="D7091" t="str">
            <v>2023</v>
          </cell>
        </row>
        <row r="7092">
          <cell r="D7092" t="str">
            <v>2023</v>
          </cell>
        </row>
        <row r="7093">
          <cell r="D7093" t="str">
            <v>2023</v>
          </cell>
        </row>
        <row r="7094">
          <cell r="D7094" t="str">
            <v>2023</v>
          </cell>
        </row>
        <row r="7095">
          <cell r="D7095" t="str">
            <v>2023</v>
          </cell>
        </row>
        <row r="7096">
          <cell r="D7096" t="str">
            <v>2023</v>
          </cell>
        </row>
        <row r="7097">
          <cell r="D7097" t="str">
            <v>2023</v>
          </cell>
        </row>
        <row r="7098">
          <cell r="D7098" t="str">
            <v>2023</v>
          </cell>
        </row>
        <row r="7099">
          <cell r="D7099" t="str">
            <v>2024</v>
          </cell>
        </row>
        <row r="7100">
          <cell r="D7100" t="str">
            <v>2023</v>
          </cell>
        </row>
        <row r="7101">
          <cell r="D7101" t="str">
            <v>2023</v>
          </cell>
        </row>
        <row r="7102">
          <cell r="D7102" t="str">
            <v>2023</v>
          </cell>
        </row>
        <row r="7103">
          <cell r="D7103" t="str">
            <v>2023</v>
          </cell>
        </row>
        <row r="7104">
          <cell r="D7104" t="str">
            <v>2023</v>
          </cell>
        </row>
        <row r="7105">
          <cell r="D7105" t="str">
            <v>2023</v>
          </cell>
        </row>
        <row r="7106">
          <cell r="D7106" t="str">
            <v>2022</v>
          </cell>
        </row>
        <row r="7107">
          <cell r="D7107" t="str">
            <v>2022</v>
          </cell>
        </row>
        <row r="7108">
          <cell r="D7108" t="str">
            <v>2023</v>
          </cell>
        </row>
        <row r="7109">
          <cell r="D7109" t="str">
            <v>2023</v>
          </cell>
        </row>
        <row r="7110">
          <cell r="D7110" t="str">
            <v>2022</v>
          </cell>
        </row>
        <row r="7111">
          <cell r="D7111" t="str">
            <v>2023</v>
          </cell>
        </row>
        <row r="7112">
          <cell r="D7112" t="str">
            <v>2023</v>
          </cell>
        </row>
        <row r="7113">
          <cell r="D7113" t="str">
            <v>2023</v>
          </cell>
        </row>
        <row r="7114">
          <cell r="D7114" t="str">
            <v>2023</v>
          </cell>
        </row>
        <row r="7115">
          <cell r="D7115" t="str">
            <v>2021</v>
          </cell>
        </row>
        <row r="7116">
          <cell r="D7116" t="str">
            <v>2023</v>
          </cell>
        </row>
        <row r="7117">
          <cell r="D7117" t="str">
            <v>2023</v>
          </cell>
        </row>
        <row r="7118">
          <cell r="D7118" t="str">
            <v>2022</v>
          </cell>
        </row>
        <row r="7119">
          <cell r="D7119" t="str">
            <v>2023</v>
          </cell>
        </row>
        <row r="7120">
          <cell r="D7120" t="str">
            <v>2023</v>
          </cell>
        </row>
        <row r="7121">
          <cell r="D7121" t="str">
            <v>2023</v>
          </cell>
        </row>
        <row r="7122">
          <cell r="D7122" t="str">
            <v>2024</v>
          </cell>
        </row>
        <row r="7123">
          <cell r="D7123" t="str">
            <v>2023</v>
          </cell>
        </row>
        <row r="7124">
          <cell r="D7124" t="str">
            <v>2023</v>
          </cell>
        </row>
        <row r="7125">
          <cell r="D7125" t="str">
            <v>2024</v>
          </cell>
        </row>
        <row r="7126">
          <cell r="D7126" t="str">
            <v>2023</v>
          </cell>
        </row>
        <row r="7127">
          <cell r="D7127" t="str">
            <v>2023</v>
          </cell>
        </row>
        <row r="7128">
          <cell r="D7128" t="str">
            <v>2023</v>
          </cell>
        </row>
        <row r="7129">
          <cell r="D7129" t="str">
            <v>2023</v>
          </cell>
        </row>
        <row r="7130">
          <cell r="D7130" t="str">
            <v>2023</v>
          </cell>
        </row>
        <row r="7131">
          <cell r="D7131" t="str">
            <v>2023</v>
          </cell>
        </row>
        <row r="7132">
          <cell r="D7132" t="str">
            <v>2023</v>
          </cell>
        </row>
        <row r="7133">
          <cell r="D7133" t="str">
            <v>2023</v>
          </cell>
        </row>
        <row r="7134">
          <cell r="D7134" t="str">
            <v>2022</v>
          </cell>
        </row>
        <row r="7135">
          <cell r="D7135" t="str">
            <v>2023</v>
          </cell>
        </row>
        <row r="7136">
          <cell r="D7136" t="str">
            <v>2023</v>
          </cell>
        </row>
        <row r="7137">
          <cell r="D7137" t="str">
            <v>2023</v>
          </cell>
        </row>
        <row r="7138">
          <cell r="D7138" t="str">
            <v>2022</v>
          </cell>
        </row>
        <row r="7139">
          <cell r="D7139" t="str">
            <v>2023</v>
          </cell>
        </row>
        <row r="7140">
          <cell r="D7140" t="str">
            <v>2023</v>
          </cell>
        </row>
        <row r="7141">
          <cell r="D7141" t="str">
            <v>2023</v>
          </cell>
        </row>
        <row r="7142">
          <cell r="D7142" t="str">
            <v>2022</v>
          </cell>
        </row>
        <row r="7143">
          <cell r="D7143" t="str">
            <v>2022</v>
          </cell>
        </row>
        <row r="7144">
          <cell r="D7144" t="str">
            <v>2021</v>
          </cell>
        </row>
        <row r="7145">
          <cell r="D7145" t="str">
            <v>2023</v>
          </cell>
        </row>
        <row r="7146">
          <cell r="D7146" t="str">
            <v>2023</v>
          </cell>
        </row>
        <row r="7147">
          <cell r="D7147" t="str">
            <v>2023</v>
          </cell>
        </row>
        <row r="7148">
          <cell r="D7148" t="str">
            <v>2023</v>
          </cell>
        </row>
        <row r="7149">
          <cell r="D7149" t="str">
            <v>2023</v>
          </cell>
        </row>
        <row r="7150">
          <cell r="D7150" t="str">
            <v>2023</v>
          </cell>
        </row>
        <row r="7151">
          <cell r="D7151" t="str">
            <v>2023</v>
          </cell>
        </row>
        <row r="7152">
          <cell r="D7152" t="str">
            <v>2023</v>
          </cell>
        </row>
        <row r="7153">
          <cell r="D7153" t="str">
            <v>2023</v>
          </cell>
        </row>
        <row r="7154">
          <cell r="D7154" t="str">
            <v>2023</v>
          </cell>
        </row>
        <row r="7155">
          <cell r="D7155" t="str">
            <v>2021</v>
          </cell>
        </row>
        <row r="7156">
          <cell r="D7156" t="str">
            <v>2023</v>
          </cell>
        </row>
        <row r="7157">
          <cell r="D7157" t="str">
            <v>2023</v>
          </cell>
        </row>
        <row r="7158">
          <cell r="D7158" t="str">
            <v>2023</v>
          </cell>
        </row>
        <row r="7159">
          <cell r="D7159" t="str">
            <v>2023</v>
          </cell>
        </row>
        <row r="7160">
          <cell r="D7160" t="str">
            <v>2023</v>
          </cell>
        </row>
        <row r="7161">
          <cell r="D7161" t="str">
            <v>2023</v>
          </cell>
        </row>
        <row r="7162">
          <cell r="D7162" t="str">
            <v>2023</v>
          </cell>
        </row>
        <row r="7163">
          <cell r="D7163" t="str">
            <v>2023</v>
          </cell>
        </row>
        <row r="7164">
          <cell r="D7164" t="str">
            <v>2023</v>
          </cell>
        </row>
        <row r="7165">
          <cell r="D7165" t="str">
            <v>2023</v>
          </cell>
        </row>
        <row r="7166">
          <cell r="D7166" t="str">
            <v>2023</v>
          </cell>
        </row>
        <row r="7167">
          <cell r="D7167" t="str">
            <v>2023</v>
          </cell>
        </row>
        <row r="7168">
          <cell r="D7168" t="str">
            <v>2022</v>
          </cell>
        </row>
        <row r="7169">
          <cell r="D7169" t="str">
            <v>2023</v>
          </cell>
        </row>
        <row r="7170">
          <cell r="D7170" t="str">
            <v>2023</v>
          </cell>
        </row>
        <row r="7171">
          <cell r="D7171" t="str">
            <v>2023</v>
          </cell>
        </row>
        <row r="7172">
          <cell r="D7172" t="str">
            <v>2023</v>
          </cell>
        </row>
        <row r="7173">
          <cell r="D7173" t="str">
            <v>2023</v>
          </cell>
        </row>
        <row r="7174">
          <cell r="D7174" t="str">
            <v>2023</v>
          </cell>
        </row>
        <row r="7175">
          <cell r="D7175" t="str">
            <v>2023</v>
          </cell>
        </row>
        <row r="7176">
          <cell r="D7176" t="str">
            <v>2023</v>
          </cell>
        </row>
        <row r="7177">
          <cell r="D7177" t="str">
            <v>2023</v>
          </cell>
        </row>
        <row r="7178">
          <cell r="D7178" t="str">
            <v>2023</v>
          </cell>
        </row>
        <row r="7179">
          <cell r="D7179" t="str">
            <v>2022</v>
          </cell>
        </row>
        <row r="7180">
          <cell r="D7180" t="str">
            <v>2022</v>
          </cell>
        </row>
        <row r="7181">
          <cell r="D7181" t="str">
            <v>2023</v>
          </cell>
        </row>
        <row r="7182">
          <cell r="D7182" t="str">
            <v>2024</v>
          </cell>
        </row>
        <row r="7183">
          <cell r="D7183" t="str">
            <v>2023</v>
          </cell>
        </row>
        <row r="7184">
          <cell r="D7184" t="str">
            <v>2023</v>
          </cell>
        </row>
        <row r="7185">
          <cell r="D7185" t="str">
            <v>2023</v>
          </cell>
        </row>
        <row r="7186">
          <cell r="D7186" t="str">
            <v>2023</v>
          </cell>
        </row>
        <row r="7187">
          <cell r="D7187" t="str">
            <v>2023</v>
          </cell>
        </row>
        <row r="7188">
          <cell r="D7188" t="str">
            <v>2023</v>
          </cell>
        </row>
        <row r="7189">
          <cell r="D7189" t="str">
            <v>2023</v>
          </cell>
        </row>
        <row r="7190">
          <cell r="D7190" t="str">
            <v>2023</v>
          </cell>
        </row>
        <row r="7191">
          <cell r="D7191" t="str">
            <v>2023</v>
          </cell>
        </row>
        <row r="7192">
          <cell r="D7192" t="str">
            <v>2023</v>
          </cell>
        </row>
        <row r="7193">
          <cell r="D7193" t="str">
            <v>2023</v>
          </cell>
        </row>
        <row r="7194">
          <cell r="D7194" t="str">
            <v>2023</v>
          </cell>
        </row>
        <row r="7195">
          <cell r="D7195" t="str">
            <v>2023</v>
          </cell>
        </row>
        <row r="7196">
          <cell r="D7196" t="str">
            <v>2023</v>
          </cell>
        </row>
        <row r="7197">
          <cell r="D7197" t="str">
            <v>2023</v>
          </cell>
        </row>
        <row r="7198">
          <cell r="D7198" t="str">
            <v>2023</v>
          </cell>
        </row>
        <row r="7199">
          <cell r="D7199" t="str">
            <v>2023</v>
          </cell>
        </row>
        <row r="7200">
          <cell r="D7200" t="str">
            <v>2023</v>
          </cell>
        </row>
        <row r="7201">
          <cell r="D7201" t="str">
            <v>2023</v>
          </cell>
        </row>
        <row r="7202">
          <cell r="D7202" t="str">
            <v>2023</v>
          </cell>
        </row>
        <row r="7203">
          <cell r="D7203" t="str">
            <v>2023</v>
          </cell>
        </row>
        <row r="7204">
          <cell r="D7204" t="str">
            <v>2023</v>
          </cell>
        </row>
        <row r="7205">
          <cell r="D7205" t="str">
            <v>2023</v>
          </cell>
        </row>
        <row r="7206">
          <cell r="D7206" t="str">
            <v>2023</v>
          </cell>
        </row>
        <row r="7207">
          <cell r="D7207" t="str">
            <v>2023</v>
          </cell>
        </row>
        <row r="7208">
          <cell r="D7208" t="str">
            <v>2022</v>
          </cell>
        </row>
        <row r="7209">
          <cell r="D7209" t="str">
            <v>2023</v>
          </cell>
        </row>
        <row r="7210">
          <cell r="D7210" t="str">
            <v>2023</v>
          </cell>
        </row>
        <row r="7211">
          <cell r="D7211" t="str">
            <v>2023</v>
          </cell>
        </row>
        <row r="7212">
          <cell r="D7212" t="str">
            <v>2023</v>
          </cell>
        </row>
        <row r="7213">
          <cell r="D7213" t="str">
            <v>2023</v>
          </cell>
        </row>
        <row r="7214">
          <cell r="D7214" t="str">
            <v>2023</v>
          </cell>
        </row>
        <row r="7215">
          <cell r="D7215" t="str">
            <v>2023</v>
          </cell>
        </row>
        <row r="7216">
          <cell r="D7216" t="str">
            <v>2023</v>
          </cell>
        </row>
        <row r="7217">
          <cell r="D7217" t="str">
            <v>2024</v>
          </cell>
        </row>
        <row r="7218">
          <cell r="D7218" t="str">
            <v>2023</v>
          </cell>
        </row>
        <row r="7219">
          <cell r="D7219" t="str">
            <v>2023</v>
          </cell>
        </row>
        <row r="7220">
          <cell r="D7220" t="str">
            <v>2021</v>
          </cell>
        </row>
        <row r="7221">
          <cell r="D7221" t="str">
            <v>2023</v>
          </cell>
        </row>
        <row r="7222">
          <cell r="D7222" t="str">
            <v>2023</v>
          </cell>
        </row>
        <row r="7223">
          <cell r="D7223" t="str">
            <v>2023</v>
          </cell>
        </row>
        <row r="7224">
          <cell r="D7224" t="str">
            <v>2023</v>
          </cell>
        </row>
        <row r="7225">
          <cell r="D7225" t="str">
            <v>2022</v>
          </cell>
        </row>
        <row r="7226">
          <cell r="D7226" t="str">
            <v>2023</v>
          </cell>
        </row>
        <row r="7227">
          <cell r="D7227" t="str">
            <v>2022</v>
          </cell>
        </row>
        <row r="7228">
          <cell r="D7228" t="str">
            <v>2023</v>
          </cell>
        </row>
        <row r="7229">
          <cell r="D7229" t="str">
            <v>2023</v>
          </cell>
        </row>
        <row r="7230">
          <cell r="D7230" t="str">
            <v>2024</v>
          </cell>
        </row>
        <row r="7231">
          <cell r="D7231" t="str">
            <v>2023</v>
          </cell>
        </row>
        <row r="7232">
          <cell r="D7232" t="str">
            <v>2021</v>
          </cell>
        </row>
        <row r="7233">
          <cell r="D7233" t="str">
            <v>2023</v>
          </cell>
        </row>
        <row r="7234">
          <cell r="D7234" t="str">
            <v>2023</v>
          </cell>
        </row>
        <row r="7235">
          <cell r="D7235" t="str">
            <v>2022</v>
          </cell>
        </row>
        <row r="7236">
          <cell r="D7236" t="str">
            <v>2023</v>
          </cell>
        </row>
        <row r="7237">
          <cell r="D7237" t="str">
            <v>2023</v>
          </cell>
        </row>
        <row r="7238">
          <cell r="D7238" t="str">
            <v>2023</v>
          </cell>
        </row>
        <row r="7239">
          <cell r="D7239" t="str">
            <v>2023</v>
          </cell>
        </row>
        <row r="7240">
          <cell r="D7240" t="str">
            <v>2023</v>
          </cell>
        </row>
        <row r="7241">
          <cell r="D7241" t="str">
            <v>2023</v>
          </cell>
        </row>
        <row r="7242">
          <cell r="D7242" t="str">
            <v>2022</v>
          </cell>
        </row>
        <row r="7243">
          <cell r="D7243" t="str">
            <v>2022</v>
          </cell>
        </row>
        <row r="7244">
          <cell r="D7244" t="str">
            <v>2022</v>
          </cell>
        </row>
        <row r="7245">
          <cell r="D7245" t="str">
            <v>2023</v>
          </cell>
        </row>
        <row r="7246">
          <cell r="D7246" t="str">
            <v>2023</v>
          </cell>
        </row>
        <row r="7247">
          <cell r="D7247" t="str">
            <v>2023</v>
          </cell>
        </row>
        <row r="7248">
          <cell r="D7248" t="str">
            <v>2024</v>
          </cell>
        </row>
        <row r="7249">
          <cell r="D7249" t="str">
            <v>2023</v>
          </cell>
        </row>
        <row r="7250">
          <cell r="D7250" t="str">
            <v>2023</v>
          </cell>
        </row>
        <row r="7251">
          <cell r="D7251" t="str">
            <v>2022</v>
          </cell>
        </row>
        <row r="7252">
          <cell r="D7252" t="str">
            <v>2023</v>
          </cell>
        </row>
        <row r="7253">
          <cell r="D7253" t="str">
            <v>2023</v>
          </cell>
        </row>
        <row r="7254">
          <cell r="D7254" t="str">
            <v>2023</v>
          </cell>
        </row>
        <row r="7255">
          <cell r="D7255" t="str">
            <v>2021</v>
          </cell>
        </row>
        <row r="7256">
          <cell r="D7256" t="str">
            <v>2023</v>
          </cell>
        </row>
        <row r="7257">
          <cell r="D7257" t="str">
            <v>2023</v>
          </cell>
        </row>
        <row r="7258">
          <cell r="D7258" t="str">
            <v>2024</v>
          </cell>
        </row>
        <row r="7259">
          <cell r="D7259" t="str">
            <v>2023</v>
          </cell>
        </row>
        <row r="7260">
          <cell r="D7260" t="str">
            <v>2023</v>
          </cell>
        </row>
        <row r="7261">
          <cell r="D7261" t="str">
            <v>2023</v>
          </cell>
        </row>
        <row r="7262">
          <cell r="D7262" t="str">
            <v>2023</v>
          </cell>
        </row>
        <row r="7263">
          <cell r="D7263" t="str">
            <v>2023</v>
          </cell>
        </row>
        <row r="7264">
          <cell r="D7264" t="str">
            <v>2024</v>
          </cell>
        </row>
        <row r="7265">
          <cell r="D7265" t="str">
            <v>2023</v>
          </cell>
        </row>
        <row r="7266">
          <cell r="D7266" t="str">
            <v>2023</v>
          </cell>
        </row>
        <row r="7267">
          <cell r="D7267" t="str">
            <v>2023</v>
          </cell>
        </row>
        <row r="7268">
          <cell r="D7268" t="str">
            <v>2023</v>
          </cell>
        </row>
        <row r="7269">
          <cell r="D7269" t="str">
            <v>2023</v>
          </cell>
        </row>
        <row r="7270">
          <cell r="D7270" t="str">
            <v>2023</v>
          </cell>
        </row>
        <row r="7271">
          <cell r="D7271" t="str">
            <v>2023</v>
          </cell>
        </row>
        <row r="7272">
          <cell r="D7272" t="str">
            <v>2023</v>
          </cell>
        </row>
        <row r="7273">
          <cell r="D7273" t="str">
            <v>2023</v>
          </cell>
        </row>
        <row r="7274">
          <cell r="D7274" t="str">
            <v>2023</v>
          </cell>
        </row>
        <row r="7275">
          <cell r="D7275" t="str">
            <v>2023</v>
          </cell>
        </row>
        <row r="7276">
          <cell r="D7276" t="str">
            <v>2023</v>
          </cell>
        </row>
        <row r="7277">
          <cell r="D7277" t="str">
            <v>2023</v>
          </cell>
        </row>
        <row r="7278">
          <cell r="D7278" t="str">
            <v>2023</v>
          </cell>
        </row>
        <row r="7279">
          <cell r="D7279" t="str">
            <v>2023</v>
          </cell>
        </row>
        <row r="7280">
          <cell r="D7280" t="str">
            <v>2023</v>
          </cell>
        </row>
        <row r="7281">
          <cell r="D7281" t="str">
            <v>2023</v>
          </cell>
        </row>
        <row r="7282">
          <cell r="D7282" t="str">
            <v>2023</v>
          </cell>
        </row>
        <row r="7283">
          <cell r="D7283" t="str">
            <v>2023</v>
          </cell>
        </row>
        <row r="7284">
          <cell r="D7284" t="str">
            <v>2023</v>
          </cell>
        </row>
        <row r="7285">
          <cell r="D7285" t="str">
            <v>2023</v>
          </cell>
        </row>
        <row r="7286">
          <cell r="D7286" t="str">
            <v>2022</v>
          </cell>
        </row>
        <row r="7287">
          <cell r="D7287" t="str">
            <v>2023</v>
          </cell>
        </row>
        <row r="7288">
          <cell r="D7288" t="str">
            <v>2023</v>
          </cell>
        </row>
        <row r="7289">
          <cell r="D7289" t="str">
            <v>2023</v>
          </cell>
        </row>
        <row r="7290">
          <cell r="D7290" t="str">
            <v>2023</v>
          </cell>
        </row>
        <row r="7291">
          <cell r="D7291" t="str">
            <v>2023</v>
          </cell>
        </row>
        <row r="7292">
          <cell r="D7292" t="str">
            <v>2023</v>
          </cell>
        </row>
        <row r="7293">
          <cell r="D7293" t="str">
            <v>2023</v>
          </cell>
        </row>
        <row r="7294">
          <cell r="D7294" t="str">
            <v>2021</v>
          </cell>
        </row>
        <row r="7295">
          <cell r="D7295" t="str">
            <v>2023</v>
          </cell>
        </row>
        <row r="7296">
          <cell r="D7296" t="str">
            <v>2023</v>
          </cell>
        </row>
        <row r="7297">
          <cell r="D7297" t="str">
            <v>2023</v>
          </cell>
        </row>
        <row r="7298">
          <cell r="D7298" t="str">
            <v>2023</v>
          </cell>
        </row>
        <row r="7299">
          <cell r="D7299" t="str">
            <v>2023</v>
          </cell>
        </row>
        <row r="7300">
          <cell r="D7300" t="str">
            <v>2023</v>
          </cell>
        </row>
        <row r="7301">
          <cell r="D7301" t="str">
            <v>2022</v>
          </cell>
        </row>
        <row r="7302">
          <cell r="D7302" t="str">
            <v>2024</v>
          </cell>
        </row>
        <row r="7303">
          <cell r="D7303" t="str">
            <v>2023</v>
          </cell>
        </row>
        <row r="7304">
          <cell r="D7304" t="str">
            <v>2023</v>
          </cell>
        </row>
        <row r="7305">
          <cell r="D7305" t="str">
            <v>2023</v>
          </cell>
        </row>
        <row r="7306">
          <cell r="D7306" t="str">
            <v>2022</v>
          </cell>
        </row>
        <row r="7307">
          <cell r="D7307" t="str">
            <v>2023</v>
          </cell>
        </row>
        <row r="7308">
          <cell r="D7308" t="str">
            <v>2023</v>
          </cell>
        </row>
        <row r="7309">
          <cell r="D7309" t="str">
            <v>2023</v>
          </cell>
        </row>
        <row r="7310">
          <cell r="D7310" t="str">
            <v>2023</v>
          </cell>
        </row>
        <row r="7311">
          <cell r="D7311" t="str">
            <v>2021</v>
          </cell>
        </row>
        <row r="7312">
          <cell r="D7312" t="str">
            <v>2023</v>
          </cell>
        </row>
        <row r="7313">
          <cell r="D7313" t="str">
            <v>2023</v>
          </cell>
        </row>
        <row r="7314">
          <cell r="D7314" t="str">
            <v>2023</v>
          </cell>
        </row>
        <row r="7315">
          <cell r="D7315" t="str">
            <v>2023</v>
          </cell>
        </row>
        <row r="7316">
          <cell r="D7316" t="str">
            <v>2023</v>
          </cell>
        </row>
        <row r="7317">
          <cell r="D7317" t="str">
            <v>2023</v>
          </cell>
        </row>
        <row r="7318">
          <cell r="D7318" t="str">
            <v>2023</v>
          </cell>
        </row>
        <row r="7319">
          <cell r="D7319" t="str">
            <v>2023</v>
          </cell>
        </row>
        <row r="7320">
          <cell r="D7320" t="str">
            <v>2024</v>
          </cell>
        </row>
        <row r="7321">
          <cell r="D7321" t="str">
            <v>2023</v>
          </cell>
        </row>
        <row r="7322">
          <cell r="D7322" t="str">
            <v>2023</v>
          </cell>
        </row>
        <row r="7323">
          <cell r="D7323" t="str">
            <v>2023</v>
          </cell>
        </row>
        <row r="7324">
          <cell r="D7324" t="str">
            <v>2022</v>
          </cell>
        </row>
        <row r="7325">
          <cell r="D7325" t="str">
            <v>2023</v>
          </cell>
        </row>
        <row r="7326">
          <cell r="D7326" t="str">
            <v>2023</v>
          </cell>
        </row>
        <row r="7327">
          <cell r="D7327" t="str">
            <v>2023</v>
          </cell>
        </row>
        <row r="7328">
          <cell r="D7328" t="str">
            <v>2023</v>
          </cell>
        </row>
        <row r="7329">
          <cell r="D7329" t="str">
            <v>2023</v>
          </cell>
        </row>
        <row r="7330">
          <cell r="D7330" t="str">
            <v>2023</v>
          </cell>
        </row>
        <row r="7331">
          <cell r="D7331" t="str">
            <v>2023</v>
          </cell>
        </row>
        <row r="7332">
          <cell r="D7332" t="str">
            <v>2023</v>
          </cell>
        </row>
        <row r="7333">
          <cell r="D7333" t="str">
            <v>2023</v>
          </cell>
        </row>
        <row r="7334">
          <cell r="D7334" t="str">
            <v>2023</v>
          </cell>
        </row>
        <row r="7335">
          <cell r="D7335" t="str">
            <v>2023</v>
          </cell>
        </row>
        <row r="7336">
          <cell r="D7336" t="str">
            <v>2023</v>
          </cell>
        </row>
        <row r="7337">
          <cell r="D7337" t="str">
            <v>2023</v>
          </cell>
        </row>
        <row r="7338">
          <cell r="D7338" t="str">
            <v>2023</v>
          </cell>
        </row>
        <row r="7339">
          <cell r="D7339" t="str">
            <v>2023</v>
          </cell>
        </row>
        <row r="7340">
          <cell r="D7340" t="str">
            <v>2023</v>
          </cell>
        </row>
        <row r="7341">
          <cell r="D7341" t="str">
            <v>2023</v>
          </cell>
        </row>
        <row r="7342">
          <cell r="D7342" t="str">
            <v>2023</v>
          </cell>
        </row>
        <row r="7343">
          <cell r="D7343" t="str">
            <v>2023</v>
          </cell>
        </row>
        <row r="7344">
          <cell r="D7344" t="str">
            <v>2021</v>
          </cell>
        </row>
        <row r="7345">
          <cell r="D7345" t="str">
            <v>2023</v>
          </cell>
        </row>
        <row r="7346">
          <cell r="D7346" t="str">
            <v>2023</v>
          </cell>
        </row>
        <row r="7347">
          <cell r="D7347" t="str">
            <v>2023</v>
          </cell>
        </row>
        <row r="7348">
          <cell r="D7348" t="str">
            <v>2023</v>
          </cell>
        </row>
        <row r="7349">
          <cell r="D7349" t="str">
            <v>2023</v>
          </cell>
        </row>
        <row r="7350">
          <cell r="D7350" t="str">
            <v>2022</v>
          </cell>
        </row>
        <row r="7351">
          <cell r="D7351" t="str">
            <v>2023</v>
          </cell>
        </row>
        <row r="7352">
          <cell r="D7352" t="str">
            <v>2023</v>
          </cell>
        </row>
        <row r="7353">
          <cell r="D7353" t="str">
            <v>2023</v>
          </cell>
        </row>
        <row r="7354">
          <cell r="D7354" t="str">
            <v>2024</v>
          </cell>
        </row>
        <row r="7355">
          <cell r="D7355" t="str">
            <v>2023</v>
          </cell>
        </row>
        <row r="7356">
          <cell r="D7356" t="str">
            <v>2023</v>
          </cell>
        </row>
        <row r="7357">
          <cell r="D7357" t="str">
            <v>2023</v>
          </cell>
        </row>
        <row r="7358">
          <cell r="D7358" t="str">
            <v>2023</v>
          </cell>
        </row>
        <row r="7359">
          <cell r="D7359" t="str">
            <v>2023</v>
          </cell>
        </row>
        <row r="7360">
          <cell r="D7360" t="str">
            <v>2023</v>
          </cell>
        </row>
        <row r="7361">
          <cell r="D7361" t="str">
            <v>2023</v>
          </cell>
        </row>
        <row r="7362">
          <cell r="D7362" t="str">
            <v>2023</v>
          </cell>
        </row>
        <row r="7363">
          <cell r="D7363" t="str">
            <v>2023</v>
          </cell>
        </row>
        <row r="7364">
          <cell r="D7364" t="str">
            <v>2023</v>
          </cell>
        </row>
        <row r="7365">
          <cell r="D7365" t="str">
            <v>2021</v>
          </cell>
        </row>
        <row r="7366">
          <cell r="D7366" t="str">
            <v>2021</v>
          </cell>
        </row>
        <row r="7367">
          <cell r="D7367" t="str">
            <v>2022</v>
          </cell>
        </row>
        <row r="7368">
          <cell r="D7368" t="str">
            <v>2023</v>
          </cell>
        </row>
        <row r="7369">
          <cell r="D7369" t="str">
            <v>2023</v>
          </cell>
        </row>
        <row r="7370">
          <cell r="D7370" t="str">
            <v>2023</v>
          </cell>
        </row>
        <row r="7371">
          <cell r="D7371" t="str">
            <v>2023</v>
          </cell>
        </row>
        <row r="7372">
          <cell r="D7372" t="str">
            <v>2023</v>
          </cell>
        </row>
        <row r="7373">
          <cell r="D7373" t="str">
            <v>2023</v>
          </cell>
        </row>
        <row r="7374">
          <cell r="D7374" t="str">
            <v>2024</v>
          </cell>
        </row>
        <row r="7375">
          <cell r="D7375" t="str">
            <v>2023</v>
          </cell>
        </row>
        <row r="7376">
          <cell r="D7376" t="str">
            <v>2023</v>
          </cell>
        </row>
        <row r="7377">
          <cell r="D7377" t="str">
            <v>2023</v>
          </cell>
        </row>
        <row r="7378">
          <cell r="D7378" t="str">
            <v>2023</v>
          </cell>
        </row>
        <row r="7379">
          <cell r="D7379" t="str">
            <v>2023</v>
          </cell>
        </row>
        <row r="7380">
          <cell r="D7380" t="str">
            <v>2023</v>
          </cell>
        </row>
        <row r="7381">
          <cell r="D7381" t="str">
            <v>2022</v>
          </cell>
        </row>
        <row r="7382">
          <cell r="D7382" t="str">
            <v>2024</v>
          </cell>
        </row>
        <row r="7383">
          <cell r="D7383" t="str">
            <v>2023</v>
          </cell>
        </row>
        <row r="7384">
          <cell r="D7384" t="str">
            <v>2023</v>
          </cell>
        </row>
        <row r="7385">
          <cell r="D7385" t="str">
            <v>2023</v>
          </cell>
        </row>
        <row r="7386">
          <cell r="D7386" t="str">
            <v>2023</v>
          </cell>
        </row>
        <row r="7387">
          <cell r="D7387" t="str">
            <v>2023</v>
          </cell>
        </row>
        <row r="7388">
          <cell r="D7388" t="str">
            <v>2023</v>
          </cell>
        </row>
        <row r="7389">
          <cell r="D7389" t="str">
            <v>2023</v>
          </cell>
        </row>
        <row r="7390">
          <cell r="D7390" t="str">
            <v>2023</v>
          </cell>
        </row>
        <row r="7391">
          <cell r="D7391" t="str">
            <v>2023</v>
          </cell>
        </row>
        <row r="7392">
          <cell r="D7392" t="str">
            <v>2023</v>
          </cell>
        </row>
        <row r="7393">
          <cell r="D7393" t="str">
            <v>2023</v>
          </cell>
        </row>
        <row r="7394">
          <cell r="D7394" t="str">
            <v>2023</v>
          </cell>
        </row>
        <row r="7395">
          <cell r="D7395" t="str">
            <v>2023</v>
          </cell>
        </row>
        <row r="7396">
          <cell r="D7396" t="str">
            <v>2023</v>
          </cell>
        </row>
        <row r="7397">
          <cell r="D7397" t="str">
            <v>2023</v>
          </cell>
        </row>
        <row r="7398">
          <cell r="D7398" t="str">
            <v>2023</v>
          </cell>
        </row>
        <row r="7399">
          <cell r="D7399" t="str">
            <v>2023</v>
          </cell>
        </row>
        <row r="7400">
          <cell r="D7400" t="str">
            <v>2023</v>
          </cell>
        </row>
        <row r="7401">
          <cell r="D7401" t="str">
            <v>2023</v>
          </cell>
        </row>
        <row r="7402">
          <cell r="D7402" t="str">
            <v>2023</v>
          </cell>
        </row>
        <row r="7403">
          <cell r="D7403" t="str">
            <v>2022</v>
          </cell>
        </row>
        <row r="7404">
          <cell r="D7404" t="str">
            <v>2023</v>
          </cell>
        </row>
        <row r="7405">
          <cell r="D7405" t="str">
            <v>2023</v>
          </cell>
        </row>
        <row r="7406">
          <cell r="D7406" t="str">
            <v>2023</v>
          </cell>
        </row>
        <row r="7407">
          <cell r="D7407" t="str">
            <v>2023</v>
          </cell>
        </row>
        <row r="7408">
          <cell r="D7408" t="str">
            <v>2022</v>
          </cell>
        </row>
        <row r="7409">
          <cell r="D7409" t="str">
            <v>2023</v>
          </cell>
        </row>
        <row r="7410">
          <cell r="D7410" t="str">
            <v>2023</v>
          </cell>
        </row>
        <row r="7411">
          <cell r="D7411" t="str">
            <v>2021</v>
          </cell>
        </row>
        <row r="7412">
          <cell r="D7412" t="str">
            <v>2022</v>
          </cell>
        </row>
        <row r="7413">
          <cell r="D7413" t="str">
            <v>2022</v>
          </cell>
        </row>
        <row r="7414">
          <cell r="D7414" t="str">
            <v>2023</v>
          </cell>
        </row>
        <row r="7415">
          <cell r="D7415" t="str">
            <v>2023</v>
          </cell>
        </row>
        <row r="7416">
          <cell r="D7416" t="str">
            <v>2023</v>
          </cell>
        </row>
        <row r="7417">
          <cell r="D7417" t="str">
            <v>2023</v>
          </cell>
        </row>
        <row r="7418">
          <cell r="D7418" t="str">
            <v>2023</v>
          </cell>
        </row>
        <row r="7419">
          <cell r="D7419" t="str">
            <v>2024</v>
          </cell>
        </row>
        <row r="7420">
          <cell r="D7420" t="str">
            <v>2024</v>
          </cell>
        </row>
        <row r="7421">
          <cell r="D7421" t="str">
            <v>2023</v>
          </cell>
        </row>
        <row r="7422">
          <cell r="D7422" t="str">
            <v>2023</v>
          </cell>
        </row>
        <row r="7423">
          <cell r="D7423" t="str">
            <v>2023</v>
          </cell>
        </row>
        <row r="7424">
          <cell r="D7424" t="str">
            <v>2023</v>
          </cell>
        </row>
        <row r="7425">
          <cell r="D7425" t="str">
            <v>2023</v>
          </cell>
        </row>
        <row r="7426">
          <cell r="D7426" t="str">
            <v>2023</v>
          </cell>
        </row>
        <row r="7427">
          <cell r="D7427" t="str">
            <v>2023</v>
          </cell>
        </row>
        <row r="7428">
          <cell r="D7428" t="str">
            <v>2023</v>
          </cell>
        </row>
        <row r="7429">
          <cell r="D7429" t="str">
            <v>2023</v>
          </cell>
        </row>
        <row r="7430">
          <cell r="D7430" t="str">
            <v>2022</v>
          </cell>
        </row>
        <row r="7431">
          <cell r="D7431" t="str">
            <v>2023</v>
          </cell>
        </row>
        <row r="7432">
          <cell r="D7432" t="str">
            <v>2023</v>
          </cell>
        </row>
        <row r="7433">
          <cell r="D7433" t="str">
            <v>2023</v>
          </cell>
        </row>
        <row r="7434">
          <cell r="D7434" t="str">
            <v>2022</v>
          </cell>
        </row>
        <row r="7435">
          <cell r="D7435" t="str">
            <v>2023</v>
          </cell>
        </row>
        <row r="7436">
          <cell r="D7436" t="str">
            <v>2023</v>
          </cell>
        </row>
        <row r="7437">
          <cell r="D7437" t="str">
            <v>2021</v>
          </cell>
        </row>
        <row r="7438">
          <cell r="D7438" t="str">
            <v>2023</v>
          </cell>
        </row>
        <row r="7439">
          <cell r="D7439" t="str">
            <v>2024</v>
          </cell>
        </row>
        <row r="7440">
          <cell r="D7440" t="str">
            <v>2023</v>
          </cell>
        </row>
        <row r="7441">
          <cell r="D7441" t="str">
            <v>2023</v>
          </cell>
        </row>
        <row r="7442">
          <cell r="D7442" t="str">
            <v>2023</v>
          </cell>
        </row>
        <row r="7443">
          <cell r="D7443" t="str">
            <v>2022</v>
          </cell>
        </row>
        <row r="7444">
          <cell r="D7444" t="str">
            <v>2023</v>
          </cell>
        </row>
        <row r="7445">
          <cell r="D7445" t="str">
            <v>2023</v>
          </cell>
        </row>
        <row r="7446">
          <cell r="D7446" t="str">
            <v>2021</v>
          </cell>
        </row>
        <row r="7447">
          <cell r="D7447" t="str">
            <v>2023</v>
          </cell>
        </row>
        <row r="7448">
          <cell r="D7448" t="str">
            <v>2023</v>
          </cell>
        </row>
        <row r="7449">
          <cell r="D7449" t="str">
            <v>2023</v>
          </cell>
        </row>
        <row r="7450">
          <cell r="D7450" t="str">
            <v>2023</v>
          </cell>
        </row>
        <row r="7451">
          <cell r="D7451" t="str">
            <v>2023</v>
          </cell>
        </row>
        <row r="7452">
          <cell r="D7452" t="str">
            <v>2022</v>
          </cell>
        </row>
        <row r="7453">
          <cell r="D7453" t="str">
            <v>2023</v>
          </cell>
        </row>
        <row r="7454">
          <cell r="D7454" t="str">
            <v>2022</v>
          </cell>
        </row>
        <row r="7455">
          <cell r="D7455" t="str">
            <v>2023</v>
          </cell>
        </row>
        <row r="7456">
          <cell r="D7456" t="str">
            <v>2023</v>
          </cell>
        </row>
        <row r="7457">
          <cell r="D7457" t="str">
            <v>2024</v>
          </cell>
        </row>
        <row r="7458">
          <cell r="D7458" t="str">
            <v>2023</v>
          </cell>
        </row>
        <row r="7459">
          <cell r="D7459" t="str">
            <v>2023</v>
          </cell>
        </row>
        <row r="7460">
          <cell r="D7460" t="str">
            <v>2022</v>
          </cell>
        </row>
        <row r="7461">
          <cell r="D7461" t="str">
            <v>2022</v>
          </cell>
        </row>
        <row r="7462">
          <cell r="D7462" t="str">
            <v>2023</v>
          </cell>
        </row>
        <row r="7463">
          <cell r="D7463" t="str">
            <v>2023</v>
          </cell>
        </row>
        <row r="7464">
          <cell r="D7464" t="str">
            <v>2024</v>
          </cell>
        </row>
        <row r="7465">
          <cell r="D7465" t="str">
            <v>2024</v>
          </cell>
        </row>
        <row r="7466">
          <cell r="D7466" t="str">
            <v>2023</v>
          </cell>
        </row>
        <row r="7467">
          <cell r="D7467" t="str">
            <v>2023</v>
          </cell>
        </row>
        <row r="7468">
          <cell r="D7468" t="str">
            <v>2023</v>
          </cell>
        </row>
        <row r="7469">
          <cell r="D7469" t="str">
            <v>2022</v>
          </cell>
        </row>
        <row r="7470">
          <cell r="D7470" t="str">
            <v>2023</v>
          </cell>
        </row>
        <row r="7471">
          <cell r="D7471" t="str">
            <v>2023</v>
          </cell>
        </row>
        <row r="7472">
          <cell r="D7472" t="str">
            <v>2023</v>
          </cell>
        </row>
        <row r="7473">
          <cell r="D7473" t="str">
            <v>2023</v>
          </cell>
        </row>
        <row r="7474">
          <cell r="D7474" t="str">
            <v>2023</v>
          </cell>
        </row>
        <row r="7475">
          <cell r="D7475" t="str">
            <v>2023</v>
          </cell>
        </row>
        <row r="7476">
          <cell r="D7476" t="str">
            <v>2023</v>
          </cell>
        </row>
        <row r="7477">
          <cell r="D7477" t="str">
            <v>2022</v>
          </cell>
        </row>
        <row r="7478">
          <cell r="D7478" t="str">
            <v>2024</v>
          </cell>
        </row>
        <row r="7479">
          <cell r="D7479" t="str">
            <v>2023</v>
          </cell>
        </row>
        <row r="7480">
          <cell r="D7480" t="str">
            <v>2023</v>
          </cell>
        </row>
        <row r="7481">
          <cell r="D7481" t="str">
            <v>2023</v>
          </cell>
        </row>
        <row r="7482">
          <cell r="D7482" t="str">
            <v>2023</v>
          </cell>
        </row>
        <row r="7483">
          <cell r="D7483" t="str">
            <v>2023</v>
          </cell>
        </row>
        <row r="7484">
          <cell r="D7484" t="str">
            <v>2022</v>
          </cell>
        </row>
        <row r="7485">
          <cell r="D7485" t="str">
            <v>2023</v>
          </cell>
        </row>
        <row r="7486">
          <cell r="D7486" t="str">
            <v>2023</v>
          </cell>
        </row>
        <row r="7487">
          <cell r="D7487" t="str">
            <v>2023</v>
          </cell>
        </row>
        <row r="7488">
          <cell r="D7488" t="str">
            <v>2023</v>
          </cell>
        </row>
        <row r="7489">
          <cell r="D7489" t="str">
            <v>2023</v>
          </cell>
        </row>
        <row r="7490">
          <cell r="D7490" t="str">
            <v>2023</v>
          </cell>
        </row>
        <row r="7491">
          <cell r="D7491" t="str">
            <v>2024</v>
          </cell>
        </row>
        <row r="7492">
          <cell r="D7492" t="str">
            <v>2023</v>
          </cell>
        </row>
        <row r="7493">
          <cell r="D7493" t="str">
            <v>2023</v>
          </cell>
        </row>
        <row r="7494">
          <cell r="D7494" t="str">
            <v>2023</v>
          </cell>
        </row>
        <row r="7495">
          <cell r="D7495" t="str">
            <v>2023</v>
          </cell>
        </row>
        <row r="7496">
          <cell r="D7496" t="str">
            <v>2023</v>
          </cell>
        </row>
        <row r="7497">
          <cell r="D7497" t="str">
            <v>2023</v>
          </cell>
        </row>
        <row r="7498">
          <cell r="D7498" t="str">
            <v>2023</v>
          </cell>
        </row>
        <row r="7499">
          <cell r="D7499" t="str">
            <v>2023</v>
          </cell>
        </row>
        <row r="7500">
          <cell r="D7500" t="str">
            <v>2023</v>
          </cell>
        </row>
        <row r="7501">
          <cell r="D7501" t="str">
            <v>2023</v>
          </cell>
        </row>
        <row r="7502">
          <cell r="D7502" t="str">
            <v>2023</v>
          </cell>
        </row>
        <row r="7503">
          <cell r="D7503" t="str">
            <v>2023</v>
          </cell>
        </row>
        <row r="7504">
          <cell r="D7504" t="str">
            <v>2023</v>
          </cell>
        </row>
        <row r="7505">
          <cell r="D7505" t="str">
            <v>2023</v>
          </cell>
        </row>
        <row r="7506">
          <cell r="D7506" t="str">
            <v>2023</v>
          </cell>
        </row>
        <row r="7507">
          <cell r="D7507" t="str">
            <v>2023</v>
          </cell>
        </row>
        <row r="7508">
          <cell r="D7508" t="str">
            <v>2023</v>
          </cell>
        </row>
        <row r="7509">
          <cell r="D7509" t="str">
            <v>2023</v>
          </cell>
        </row>
        <row r="7510">
          <cell r="D7510" t="str">
            <v>2023</v>
          </cell>
        </row>
        <row r="7511">
          <cell r="D7511" t="str">
            <v>2023</v>
          </cell>
        </row>
        <row r="7512">
          <cell r="D7512" t="str">
            <v>2023</v>
          </cell>
        </row>
        <row r="7513">
          <cell r="D7513" t="str">
            <v>2023</v>
          </cell>
        </row>
        <row r="7514">
          <cell r="D7514" t="str">
            <v>2023</v>
          </cell>
        </row>
        <row r="7515">
          <cell r="D7515" t="str">
            <v>2023</v>
          </cell>
        </row>
        <row r="7516">
          <cell r="D7516" t="str">
            <v>2021</v>
          </cell>
        </row>
        <row r="7517">
          <cell r="D7517" t="str">
            <v>2023</v>
          </cell>
        </row>
        <row r="7518">
          <cell r="D7518" t="str">
            <v>2023</v>
          </cell>
        </row>
        <row r="7519">
          <cell r="D7519" t="str">
            <v>2023</v>
          </cell>
        </row>
        <row r="7520">
          <cell r="D7520" t="str">
            <v>2023</v>
          </cell>
        </row>
        <row r="7521">
          <cell r="D7521" t="str">
            <v>2023</v>
          </cell>
        </row>
        <row r="7522">
          <cell r="D7522" t="str">
            <v>2023</v>
          </cell>
        </row>
        <row r="7523">
          <cell r="D7523" t="str">
            <v>2024</v>
          </cell>
        </row>
        <row r="7524">
          <cell r="D7524" t="str">
            <v>2023</v>
          </cell>
        </row>
        <row r="7525">
          <cell r="D7525" t="str">
            <v>2023</v>
          </cell>
        </row>
        <row r="7526">
          <cell r="D7526" t="str">
            <v>2023</v>
          </cell>
        </row>
        <row r="7527">
          <cell r="D7527" t="str">
            <v>2023</v>
          </cell>
        </row>
        <row r="7528">
          <cell r="D7528" t="str">
            <v>2023</v>
          </cell>
        </row>
        <row r="7529">
          <cell r="D7529" t="str">
            <v>2023</v>
          </cell>
        </row>
        <row r="7530">
          <cell r="D7530" t="str">
            <v>2023</v>
          </cell>
        </row>
        <row r="7531">
          <cell r="D7531" t="str">
            <v>2021</v>
          </cell>
        </row>
        <row r="7532">
          <cell r="D7532" t="str">
            <v>2023</v>
          </cell>
        </row>
        <row r="7533">
          <cell r="D7533" t="str">
            <v>2023</v>
          </cell>
        </row>
        <row r="7534">
          <cell r="D7534" t="str">
            <v>2023</v>
          </cell>
        </row>
        <row r="7535">
          <cell r="D7535" t="str">
            <v>2022</v>
          </cell>
        </row>
        <row r="7536">
          <cell r="D7536" t="str">
            <v>2023</v>
          </cell>
        </row>
        <row r="7537">
          <cell r="D7537" t="str">
            <v>2022</v>
          </cell>
        </row>
        <row r="7538">
          <cell r="D7538" t="str">
            <v>2021</v>
          </cell>
        </row>
        <row r="7539">
          <cell r="D7539" t="str">
            <v>2023</v>
          </cell>
        </row>
        <row r="7540">
          <cell r="D7540" t="str">
            <v>2023</v>
          </cell>
        </row>
        <row r="7541">
          <cell r="D7541" t="str">
            <v>2023</v>
          </cell>
        </row>
        <row r="7542">
          <cell r="D7542" t="str">
            <v>2023</v>
          </cell>
        </row>
        <row r="7543">
          <cell r="D7543" t="str">
            <v>2024</v>
          </cell>
        </row>
        <row r="7544">
          <cell r="D7544" t="str">
            <v>2023</v>
          </cell>
        </row>
        <row r="7545">
          <cell r="D7545" t="str">
            <v>2023</v>
          </cell>
        </row>
        <row r="7546">
          <cell r="D7546" t="str">
            <v>2023</v>
          </cell>
        </row>
        <row r="7547">
          <cell r="D7547" t="str">
            <v>2023</v>
          </cell>
        </row>
        <row r="7548">
          <cell r="D7548" t="str">
            <v>2023</v>
          </cell>
        </row>
        <row r="7549">
          <cell r="D7549" t="str">
            <v>2023</v>
          </cell>
        </row>
        <row r="7550">
          <cell r="D7550" t="str">
            <v>2023</v>
          </cell>
        </row>
        <row r="7551">
          <cell r="D7551" t="str">
            <v>2023</v>
          </cell>
        </row>
        <row r="7552">
          <cell r="D7552" t="str">
            <v>2023</v>
          </cell>
        </row>
        <row r="7553">
          <cell r="D7553" t="str">
            <v>2022</v>
          </cell>
        </row>
        <row r="7554">
          <cell r="D7554" t="str">
            <v>2023</v>
          </cell>
        </row>
        <row r="7555">
          <cell r="D7555" t="str">
            <v>2023</v>
          </cell>
        </row>
        <row r="7556">
          <cell r="D7556" t="str">
            <v>2021</v>
          </cell>
        </row>
        <row r="7557">
          <cell r="D7557" t="str">
            <v>2023</v>
          </cell>
        </row>
        <row r="7558">
          <cell r="D7558" t="str">
            <v>2022</v>
          </cell>
        </row>
        <row r="7559">
          <cell r="D7559" t="str">
            <v>2023</v>
          </cell>
        </row>
        <row r="7560">
          <cell r="D7560" t="str">
            <v>2023</v>
          </cell>
        </row>
        <row r="7561">
          <cell r="D7561" t="str">
            <v>2023</v>
          </cell>
        </row>
        <row r="7562">
          <cell r="D7562" t="str">
            <v>2023</v>
          </cell>
        </row>
        <row r="7563">
          <cell r="D7563" t="str">
            <v>2023</v>
          </cell>
        </row>
        <row r="7564">
          <cell r="D7564" t="str">
            <v>2023</v>
          </cell>
        </row>
        <row r="7565">
          <cell r="D7565" t="str">
            <v>2023</v>
          </cell>
        </row>
        <row r="7566">
          <cell r="D7566" t="str">
            <v>2023</v>
          </cell>
        </row>
        <row r="7567">
          <cell r="D7567" t="str">
            <v>2023</v>
          </cell>
        </row>
        <row r="7568">
          <cell r="D7568" t="str">
            <v>2023</v>
          </cell>
        </row>
        <row r="7569">
          <cell r="D7569" t="str">
            <v>2023</v>
          </cell>
        </row>
        <row r="7570">
          <cell r="D7570" t="str">
            <v>2023</v>
          </cell>
        </row>
        <row r="7571">
          <cell r="D7571" t="str">
            <v>2023</v>
          </cell>
        </row>
        <row r="7572">
          <cell r="D7572" t="str">
            <v>2023</v>
          </cell>
        </row>
        <row r="7573">
          <cell r="D7573" t="str">
            <v>2024</v>
          </cell>
        </row>
        <row r="7574">
          <cell r="D7574" t="str">
            <v>2024</v>
          </cell>
        </row>
        <row r="7575">
          <cell r="D7575" t="str">
            <v>2023</v>
          </cell>
        </row>
        <row r="7576">
          <cell r="D7576" t="str">
            <v>2023</v>
          </cell>
        </row>
        <row r="7577">
          <cell r="D7577" t="str">
            <v>2023</v>
          </cell>
        </row>
        <row r="7578">
          <cell r="D7578" t="str">
            <v>2022</v>
          </cell>
        </row>
        <row r="7579">
          <cell r="D7579" t="str">
            <v>2023</v>
          </cell>
        </row>
        <row r="7580">
          <cell r="D7580" t="str">
            <v>2023</v>
          </cell>
        </row>
        <row r="7581">
          <cell r="D7581" t="str">
            <v>2023</v>
          </cell>
        </row>
        <row r="7582">
          <cell r="D7582" t="str">
            <v>2023</v>
          </cell>
        </row>
        <row r="7583">
          <cell r="D7583" t="str">
            <v>2023</v>
          </cell>
        </row>
        <row r="7584">
          <cell r="D7584" t="str">
            <v>2023</v>
          </cell>
        </row>
        <row r="7585">
          <cell r="D7585" t="str">
            <v>2024</v>
          </cell>
        </row>
        <row r="7586">
          <cell r="D7586" t="str">
            <v>2023</v>
          </cell>
        </row>
        <row r="7587">
          <cell r="D7587" t="str">
            <v>2023</v>
          </cell>
        </row>
        <row r="7588">
          <cell r="D7588" t="str">
            <v>2022</v>
          </cell>
        </row>
        <row r="7589">
          <cell r="D7589" t="str">
            <v>2022</v>
          </cell>
        </row>
        <row r="7590">
          <cell r="D7590" t="str">
            <v>2023</v>
          </cell>
        </row>
        <row r="7591">
          <cell r="D7591" t="str">
            <v>2023</v>
          </cell>
        </row>
        <row r="7592">
          <cell r="D7592" t="str">
            <v>2023</v>
          </cell>
        </row>
        <row r="7593">
          <cell r="D7593" t="str">
            <v>2023</v>
          </cell>
        </row>
        <row r="7594">
          <cell r="D7594" t="str">
            <v>2023</v>
          </cell>
        </row>
        <row r="7595">
          <cell r="D7595" t="str">
            <v>2023</v>
          </cell>
        </row>
        <row r="7596">
          <cell r="D7596" t="str">
            <v>2023</v>
          </cell>
        </row>
        <row r="7597">
          <cell r="D7597" t="str">
            <v>2023</v>
          </cell>
        </row>
        <row r="7598">
          <cell r="D7598" t="str">
            <v>2024</v>
          </cell>
        </row>
        <row r="7599">
          <cell r="D7599" t="str">
            <v>2023</v>
          </cell>
        </row>
        <row r="7600">
          <cell r="D7600" t="str">
            <v>2023</v>
          </cell>
        </row>
        <row r="7601">
          <cell r="D7601" t="str">
            <v>2023</v>
          </cell>
        </row>
        <row r="7602">
          <cell r="D7602" t="str">
            <v>2023</v>
          </cell>
        </row>
        <row r="7603">
          <cell r="D7603" t="str">
            <v>2023</v>
          </cell>
        </row>
        <row r="7604">
          <cell r="D7604" t="str">
            <v>2023</v>
          </cell>
        </row>
        <row r="7605">
          <cell r="D7605" t="str">
            <v>2023</v>
          </cell>
        </row>
        <row r="7606">
          <cell r="D7606" t="str">
            <v>2023</v>
          </cell>
        </row>
        <row r="7607">
          <cell r="D7607" t="str">
            <v>2023</v>
          </cell>
        </row>
        <row r="7608">
          <cell r="D7608" t="str">
            <v>2023</v>
          </cell>
        </row>
        <row r="7609">
          <cell r="D7609" t="str">
            <v>2023</v>
          </cell>
        </row>
        <row r="7610">
          <cell r="D7610" t="str">
            <v>2023</v>
          </cell>
        </row>
        <row r="7611">
          <cell r="D7611" t="str">
            <v>2023</v>
          </cell>
        </row>
        <row r="7612">
          <cell r="D7612" t="str">
            <v>2023</v>
          </cell>
        </row>
        <row r="7613">
          <cell r="D7613" t="str">
            <v>2023</v>
          </cell>
        </row>
        <row r="7614">
          <cell r="D7614" t="str">
            <v>2022</v>
          </cell>
        </row>
        <row r="7615">
          <cell r="D7615" t="str">
            <v>2023</v>
          </cell>
        </row>
        <row r="7616">
          <cell r="D7616" t="str">
            <v>2023</v>
          </cell>
        </row>
        <row r="7617">
          <cell r="D7617" t="str">
            <v>2023</v>
          </cell>
        </row>
        <row r="7618">
          <cell r="D7618" t="str">
            <v>2023</v>
          </cell>
        </row>
        <row r="7619">
          <cell r="D7619" t="str">
            <v>2023</v>
          </cell>
        </row>
        <row r="7620">
          <cell r="D7620" t="str">
            <v>2023</v>
          </cell>
        </row>
        <row r="7621">
          <cell r="D7621" t="str">
            <v>2023</v>
          </cell>
        </row>
        <row r="7622">
          <cell r="D7622" t="str">
            <v>2023</v>
          </cell>
        </row>
        <row r="7623">
          <cell r="D7623" t="str">
            <v>2023</v>
          </cell>
        </row>
        <row r="7624">
          <cell r="D7624" t="str">
            <v>2024</v>
          </cell>
        </row>
        <row r="7625">
          <cell r="D7625" t="str">
            <v>2023</v>
          </cell>
        </row>
        <row r="7626">
          <cell r="D7626" t="str">
            <v>2023</v>
          </cell>
        </row>
        <row r="7627">
          <cell r="D7627" t="str">
            <v>2023</v>
          </cell>
        </row>
        <row r="7628">
          <cell r="D7628" t="str">
            <v>2023</v>
          </cell>
        </row>
        <row r="7629">
          <cell r="D7629" t="str">
            <v>2023</v>
          </cell>
        </row>
        <row r="7630">
          <cell r="D7630" t="str">
            <v>2023</v>
          </cell>
        </row>
        <row r="7631">
          <cell r="D7631" t="str">
            <v>2022</v>
          </cell>
        </row>
        <row r="7632">
          <cell r="D7632" t="str">
            <v>2023</v>
          </cell>
        </row>
        <row r="7633">
          <cell r="D7633" t="str">
            <v>2023</v>
          </cell>
        </row>
        <row r="7634">
          <cell r="D7634" t="str">
            <v>2023</v>
          </cell>
        </row>
        <row r="7635">
          <cell r="D7635" t="str">
            <v>2023</v>
          </cell>
        </row>
        <row r="7636">
          <cell r="D7636" t="str">
            <v>2023</v>
          </cell>
        </row>
        <row r="7637">
          <cell r="D7637" t="str">
            <v>2023</v>
          </cell>
        </row>
        <row r="7638">
          <cell r="D7638" t="str">
            <v>2023</v>
          </cell>
        </row>
        <row r="7639">
          <cell r="D7639" t="str">
            <v>2023</v>
          </cell>
        </row>
        <row r="7640">
          <cell r="D7640" t="str">
            <v>2023</v>
          </cell>
        </row>
        <row r="7641">
          <cell r="D7641" t="str">
            <v>2022</v>
          </cell>
        </row>
        <row r="7642">
          <cell r="D7642" t="str">
            <v>2023</v>
          </cell>
        </row>
        <row r="7643">
          <cell r="D7643" t="str">
            <v>2023</v>
          </cell>
        </row>
        <row r="7644">
          <cell r="D7644" t="str">
            <v>2023</v>
          </cell>
        </row>
        <row r="7645">
          <cell r="D7645" t="str">
            <v>2023</v>
          </cell>
        </row>
        <row r="7646">
          <cell r="D7646" t="str">
            <v>2023</v>
          </cell>
        </row>
        <row r="7647">
          <cell r="D7647" t="str">
            <v>2023</v>
          </cell>
        </row>
        <row r="7648">
          <cell r="D7648" t="str">
            <v>2023</v>
          </cell>
        </row>
        <row r="7649">
          <cell r="D7649" t="str">
            <v>2023</v>
          </cell>
        </row>
        <row r="7650">
          <cell r="D7650" t="str">
            <v>2022</v>
          </cell>
        </row>
        <row r="7651">
          <cell r="D7651" t="str">
            <v>2023</v>
          </cell>
        </row>
        <row r="7652">
          <cell r="D7652" t="str">
            <v>2023</v>
          </cell>
        </row>
        <row r="7653">
          <cell r="D7653" t="str">
            <v>2023</v>
          </cell>
        </row>
        <row r="7654">
          <cell r="D7654" t="str">
            <v>2023</v>
          </cell>
        </row>
        <row r="7655">
          <cell r="D7655" t="str">
            <v>2023</v>
          </cell>
        </row>
        <row r="7656">
          <cell r="D7656" t="str">
            <v>2023</v>
          </cell>
        </row>
        <row r="7657">
          <cell r="D7657" t="str">
            <v>2023</v>
          </cell>
        </row>
        <row r="7658">
          <cell r="D7658" t="str">
            <v>2023</v>
          </cell>
        </row>
        <row r="7659">
          <cell r="D7659" t="str">
            <v>2023</v>
          </cell>
        </row>
        <row r="7660">
          <cell r="D7660" t="str">
            <v>2023</v>
          </cell>
        </row>
        <row r="7661">
          <cell r="D7661" t="str">
            <v>2023</v>
          </cell>
        </row>
        <row r="7662">
          <cell r="D7662" t="str">
            <v>2023</v>
          </cell>
        </row>
        <row r="7663">
          <cell r="D7663" t="str">
            <v>2023</v>
          </cell>
        </row>
        <row r="7664">
          <cell r="D7664" t="str">
            <v>2023</v>
          </cell>
        </row>
        <row r="7665">
          <cell r="D7665" t="str">
            <v>2023</v>
          </cell>
        </row>
        <row r="7666">
          <cell r="D7666" t="str">
            <v>2023</v>
          </cell>
        </row>
        <row r="7667">
          <cell r="D7667" t="str">
            <v>2023</v>
          </cell>
        </row>
        <row r="7668">
          <cell r="D7668" t="str">
            <v>2022</v>
          </cell>
        </row>
        <row r="7669">
          <cell r="D7669" t="str">
            <v>2023</v>
          </cell>
        </row>
        <row r="7670">
          <cell r="D7670" t="str">
            <v>2022</v>
          </cell>
        </row>
        <row r="7671">
          <cell r="D7671" t="str">
            <v>2023</v>
          </cell>
        </row>
        <row r="7672">
          <cell r="D7672" t="str">
            <v>2024</v>
          </cell>
        </row>
        <row r="7673">
          <cell r="D7673" t="str">
            <v>2023</v>
          </cell>
        </row>
        <row r="7674">
          <cell r="D7674" t="str">
            <v>2023</v>
          </cell>
        </row>
        <row r="7675">
          <cell r="D7675" t="str">
            <v>2023</v>
          </cell>
        </row>
        <row r="7676">
          <cell r="D7676" t="str">
            <v>2023</v>
          </cell>
        </row>
        <row r="7677">
          <cell r="D7677" t="str">
            <v>2023</v>
          </cell>
        </row>
        <row r="7678">
          <cell r="D7678" t="str">
            <v>2023</v>
          </cell>
        </row>
        <row r="7679">
          <cell r="D7679" t="str">
            <v>2023</v>
          </cell>
        </row>
        <row r="7680">
          <cell r="D7680" t="str">
            <v>2022</v>
          </cell>
        </row>
        <row r="7681">
          <cell r="D7681" t="str">
            <v>2023</v>
          </cell>
        </row>
        <row r="7682">
          <cell r="D7682" t="str">
            <v>2023</v>
          </cell>
        </row>
        <row r="7683">
          <cell r="D7683" t="str">
            <v>2022</v>
          </cell>
        </row>
        <row r="7684">
          <cell r="D7684" t="str">
            <v>2023</v>
          </cell>
        </row>
        <row r="7685">
          <cell r="D7685" t="str">
            <v>2023</v>
          </cell>
        </row>
        <row r="7686">
          <cell r="D7686" t="str">
            <v>2023</v>
          </cell>
        </row>
        <row r="7687">
          <cell r="D7687" t="str">
            <v>2023</v>
          </cell>
        </row>
        <row r="7688">
          <cell r="D7688" t="str">
            <v>2023</v>
          </cell>
        </row>
        <row r="7689">
          <cell r="D7689" t="str">
            <v>2023</v>
          </cell>
        </row>
        <row r="7690">
          <cell r="D7690" t="str">
            <v>2023</v>
          </cell>
        </row>
        <row r="7691">
          <cell r="D7691" t="str">
            <v>2021</v>
          </cell>
        </row>
        <row r="7692">
          <cell r="D7692" t="str">
            <v>2023</v>
          </cell>
        </row>
        <row r="7693">
          <cell r="D7693" t="str">
            <v>2023</v>
          </cell>
        </row>
        <row r="7694">
          <cell r="D7694" t="str">
            <v>2023</v>
          </cell>
        </row>
        <row r="7695">
          <cell r="D7695" t="str">
            <v>2023</v>
          </cell>
        </row>
        <row r="7696">
          <cell r="D7696" t="str">
            <v>2023</v>
          </cell>
        </row>
        <row r="7697">
          <cell r="D7697" t="str">
            <v>2023</v>
          </cell>
        </row>
        <row r="7698">
          <cell r="D7698" t="str">
            <v>2023</v>
          </cell>
        </row>
        <row r="7699">
          <cell r="D7699" t="str">
            <v>2023</v>
          </cell>
        </row>
        <row r="7700">
          <cell r="D7700" t="str">
            <v>2023</v>
          </cell>
        </row>
        <row r="7701">
          <cell r="D7701" t="str">
            <v>2023</v>
          </cell>
        </row>
        <row r="7702">
          <cell r="D7702" t="str">
            <v>2023</v>
          </cell>
        </row>
        <row r="7703">
          <cell r="D7703" t="str">
            <v>2023</v>
          </cell>
        </row>
        <row r="7704">
          <cell r="D7704" t="str">
            <v>2023</v>
          </cell>
        </row>
        <row r="7705">
          <cell r="D7705" t="str">
            <v>2022</v>
          </cell>
        </row>
        <row r="7706">
          <cell r="D7706" t="str">
            <v>2023</v>
          </cell>
        </row>
        <row r="7707">
          <cell r="D7707" t="str">
            <v>2022</v>
          </cell>
        </row>
        <row r="7708">
          <cell r="D7708" t="str">
            <v>2022</v>
          </cell>
        </row>
        <row r="7709">
          <cell r="D7709" t="str">
            <v>2022</v>
          </cell>
        </row>
        <row r="7710">
          <cell r="D7710" t="str">
            <v>2023</v>
          </cell>
        </row>
        <row r="7711">
          <cell r="D7711" t="str">
            <v>2023</v>
          </cell>
        </row>
        <row r="7712">
          <cell r="D7712" t="str">
            <v>2024</v>
          </cell>
        </row>
        <row r="7713">
          <cell r="D7713" t="str">
            <v>2023</v>
          </cell>
        </row>
        <row r="7714">
          <cell r="D7714" t="str">
            <v>2023</v>
          </cell>
        </row>
        <row r="7715">
          <cell r="D7715" t="str">
            <v>2023</v>
          </cell>
        </row>
        <row r="7716">
          <cell r="D7716" t="str">
            <v>2023</v>
          </cell>
        </row>
        <row r="7717">
          <cell r="D7717" t="str">
            <v>2024</v>
          </cell>
        </row>
        <row r="7718">
          <cell r="D7718" t="str">
            <v>2023</v>
          </cell>
        </row>
        <row r="7719">
          <cell r="D7719" t="str">
            <v>2024</v>
          </cell>
        </row>
        <row r="7720">
          <cell r="D7720" t="str">
            <v>2023</v>
          </cell>
        </row>
        <row r="7721">
          <cell r="D7721" t="str">
            <v>2023</v>
          </cell>
        </row>
        <row r="7722">
          <cell r="D7722" t="str">
            <v>2023</v>
          </cell>
        </row>
        <row r="7723">
          <cell r="D7723" t="str">
            <v>2023</v>
          </cell>
        </row>
        <row r="7724">
          <cell r="D7724" t="str">
            <v>2023</v>
          </cell>
        </row>
        <row r="7725">
          <cell r="D7725" t="str">
            <v>2023</v>
          </cell>
        </row>
        <row r="7726">
          <cell r="D7726" t="str">
            <v>2023</v>
          </cell>
        </row>
        <row r="7727">
          <cell r="D7727" t="str">
            <v>2023</v>
          </cell>
        </row>
        <row r="7728">
          <cell r="D7728" t="str">
            <v>2023</v>
          </cell>
        </row>
        <row r="7729">
          <cell r="D7729" t="str">
            <v>2023</v>
          </cell>
        </row>
        <row r="7730">
          <cell r="D7730" t="str">
            <v>2023</v>
          </cell>
        </row>
        <row r="7731">
          <cell r="D7731" t="str">
            <v>2023</v>
          </cell>
        </row>
        <row r="7732">
          <cell r="D7732" t="str">
            <v>2023</v>
          </cell>
        </row>
        <row r="7733">
          <cell r="D7733" t="str">
            <v>2023</v>
          </cell>
        </row>
        <row r="7734">
          <cell r="D7734" t="str">
            <v>2023</v>
          </cell>
        </row>
        <row r="7735">
          <cell r="D7735" t="str">
            <v>2023</v>
          </cell>
        </row>
        <row r="7736">
          <cell r="D7736" t="str">
            <v>2023</v>
          </cell>
        </row>
        <row r="7737">
          <cell r="D7737" t="str">
            <v>2023</v>
          </cell>
        </row>
        <row r="7738">
          <cell r="D7738" t="str">
            <v>2023</v>
          </cell>
        </row>
        <row r="7739">
          <cell r="D7739" t="str">
            <v>2023</v>
          </cell>
        </row>
        <row r="7740">
          <cell r="D7740" t="str">
            <v>2023</v>
          </cell>
        </row>
        <row r="7741">
          <cell r="D7741" t="str">
            <v>2021</v>
          </cell>
        </row>
        <row r="7742">
          <cell r="D7742" t="str">
            <v>2023</v>
          </cell>
        </row>
        <row r="7743">
          <cell r="D7743" t="str">
            <v>2023</v>
          </cell>
        </row>
        <row r="7744">
          <cell r="D7744" t="str">
            <v>2023</v>
          </cell>
        </row>
        <row r="7745">
          <cell r="D7745" t="str">
            <v>2023</v>
          </cell>
        </row>
        <row r="7746">
          <cell r="D7746" t="str">
            <v>2023</v>
          </cell>
        </row>
        <row r="7747">
          <cell r="D7747" t="str">
            <v>2021</v>
          </cell>
        </row>
        <row r="7748">
          <cell r="D7748" t="str">
            <v>2023</v>
          </cell>
        </row>
        <row r="7749">
          <cell r="D7749" t="str">
            <v>2023</v>
          </cell>
        </row>
        <row r="7750">
          <cell r="D7750" t="str">
            <v>2023</v>
          </cell>
        </row>
        <row r="7751">
          <cell r="D7751" t="str">
            <v>2023</v>
          </cell>
        </row>
        <row r="7752">
          <cell r="D7752" t="str">
            <v>2023</v>
          </cell>
        </row>
        <row r="7753">
          <cell r="D7753" t="str">
            <v>2023</v>
          </cell>
        </row>
        <row r="7754">
          <cell r="D7754" t="str">
            <v>2022</v>
          </cell>
        </row>
        <row r="7755">
          <cell r="D7755" t="str">
            <v>2023</v>
          </cell>
        </row>
        <row r="7756">
          <cell r="D7756" t="str">
            <v>2023</v>
          </cell>
        </row>
        <row r="7757">
          <cell r="D7757" t="str">
            <v>2023</v>
          </cell>
        </row>
        <row r="7758">
          <cell r="D7758" t="str">
            <v>2023</v>
          </cell>
        </row>
        <row r="7759">
          <cell r="D7759" t="str">
            <v>2023</v>
          </cell>
        </row>
        <row r="7760">
          <cell r="D7760" t="str">
            <v>2023</v>
          </cell>
        </row>
        <row r="7761">
          <cell r="D7761" t="str">
            <v>2023</v>
          </cell>
        </row>
        <row r="7762">
          <cell r="D7762" t="str">
            <v>2023</v>
          </cell>
        </row>
        <row r="7763">
          <cell r="D7763" t="str">
            <v>2023</v>
          </cell>
        </row>
        <row r="7764">
          <cell r="D7764" t="str">
            <v>2023</v>
          </cell>
        </row>
        <row r="7765">
          <cell r="D7765" t="str">
            <v>2024</v>
          </cell>
        </row>
        <row r="7766">
          <cell r="D7766" t="str">
            <v>2022</v>
          </cell>
        </row>
        <row r="7767">
          <cell r="D7767" t="str">
            <v>2023</v>
          </cell>
        </row>
        <row r="7768">
          <cell r="D7768" t="str">
            <v>2023</v>
          </cell>
        </row>
        <row r="7769">
          <cell r="D7769" t="str">
            <v>2023</v>
          </cell>
        </row>
        <row r="7770">
          <cell r="D7770" t="str">
            <v>2023</v>
          </cell>
        </row>
        <row r="7771">
          <cell r="D7771" t="str">
            <v>2023</v>
          </cell>
        </row>
        <row r="7772">
          <cell r="D7772" t="str">
            <v>2023</v>
          </cell>
        </row>
        <row r="7773">
          <cell r="D7773" t="str">
            <v>2023</v>
          </cell>
        </row>
        <row r="7774">
          <cell r="D7774" t="str">
            <v>2023</v>
          </cell>
        </row>
        <row r="7775">
          <cell r="D7775" t="str">
            <v>2023</v>
          </cell>
        </row>
        <row r="7776">
          <cell r="D7776" t="str">
            <v>2023</v>
          </cell>
        </row>
        <row r="7777">
          <cell r="D7777" t="str">
            <v>2023</v>
          </cell>
        </row>
        <row r="7778">
          <cell r="D7778" t="str">
            <v>2023</v>
          </cell>
        </row>
        <row r="7779">
          <cell r="D7779" t="str">
            <v>2023</v>
          </cell>
        </row>
        <row r="7780">
          <cell r="D7780" t="str">
            <v>2023</v>
          </cell>
        </row>
        <row r="7781">
          <cell r="D7781" t="str">
            <v>2023</v>
          </cell>
        </row>
        <row r="7782">
          <cell r="D7782" t="str">
            <v>2023</v>
          </cell>
        </row>
        <row r="7783">
          <cell r="D7783" t="str">
            <v>2023</v>
          </cell>
        </row>
        <row r="7784">
          <cell r="D7784" t="str">
            <v>2023</v>
          </cell>
        </row>
        <row r="7785">
          <cell r="D7785" t="str">
            <v>2023</v>
          </cell>
        </row>
        <row r="7786">
          <cell r="D7786" t="str">
            <v>2022</v>
          </cell>
        </row>
        <row r="7787">
          <cell r="D7787" t="str">
            <v>2024</v>
          </cell>
        </row>
        <row r="7788">
          <cell r="D7788" t="str">
            <v>2023</v>
          </cell>
        </row>
        <row r="7789">
          <cell r="D7789" t="str">
            <v>2023</v>
          </cell>
        </row>
        <row r="7790">
          <cell r="D7790" t="str">
            <v>2023</v>
          </cell>
        </row>
        <row r="7791">
          <cell r="D7791" t="str">
            <v>2023</v>
          </cell>
        </row>
        <row r="7792">
          <cell r="D7792" t="str">
            <v>2023</v>
          </cell>
        </row>
        <row r="7793">
          <cell r="D7793" t="str">
            <v>2023</v>
          </cell>
        </row>
        <row r="7794">
          <cell r="D7794" t="str">
            <v>2023</v>
          </cell>
        </row>
        <row r="7795">
          <cell r="D7795" t="str">
            <v>2023</v>
          </cell>
        </row>
        <row r="7796">
          <cell r="D7796" t="str">
            <v>2023</v>
          </cell>
        </row>
        <row r="7797">
          <cell r="D7797" t="str">
            <v>2023</v>
          </cell>
        </row>
        <row r="7798">
          <cell r="D7798" t="str">
            <v>2022</v>
          </cell>
        </row>
        <row r="7799">
          <cell r="D7799" t="str">
            <v>2023</v>
          </cell>
        </row>
        <row r="7800">
          <cell r="D7800" t="str">
            <v>2023</v>
          </cell>
        </row>
        <row r="7801">
          <cell r="D7801" t="str">
            <v>2023</v>
          </cell>
        </row>
        <row r="7802">
          <cell r="D7802" t="str">
            <v>2023</v>
          </cell>
        </row>
        <row r="7803">
          <cell r="D7803" t="str">
            <v>2023</v>
          </cell>
        </row>
        <row r="7804">
          <cell r="D7804" t="str">
            <v>2023</v>
          </cell>
        </row>
        <row r="7805">
          <cell r="D7805" t="str">
            <v>2023</v>
          </cell>
        </row>
        <row r="7806">
          <cell r="D7806" t="str">
            <v>2023</v>
          </cell>
        </row>
        <row r="7807">
          <cell r="D7807" t="str">
            <v>2023</v>
          </cell>
        </row>
        <row r="7808">
          <cell r="D7808" t="str">
            <v>2023</v>
          </cell>
        </row>
        <row r="7809">
          <cell r="D7809" t="str">
            <v>2023</v>
          </cell>
        </row>
        <row r="7810">
          <cell r="D7810" t="str">
            <v>2023</v>
          </cell>
        </row>
        <row r="7811">
          <cell r="D7811" t="str">
            <v>2023</v>
          </cell>
        </row>
        <row r="7812">
          <cell r="D7812" t="str">
            <v>2023</v>
          </cell>
        </row>
        <row r="7813">
          <cell r="D7813" t="str">
            <v>2023</v>
          </cell>
        </row>
        <row r="7814">
          <cell r="D7814" t="str">
            <v>2022</v>
          </cell>
        </row>
        <row r="7815">
          <cell r="D7815" t="str">
            <v>2023</v>
          </cell>
        </row>
        <row r="7816">
          <cell r="D7816" t="str">
            <v>2023</v>
          </cell>
        </row>
        <row r="7817">
          <cell r="D7817" t="str">
            <v>2023</v>
          </cell>
        </row>
        <row r="7818">
          <cell r="D7818" t="str">
            <v>2023</v>
          </cell>
        </row>
        <row r="7819">
          <cell r="D7819" t="str">
            <v>2022</v>
          </cell>
        </row>
        <row r="7820">
          <cell r="D7820" t="str">
            <v>2024</v>
          </cell>
        </row>
        <row r="7821">
          <cell r="D7821" t="str">
            <v>2023</v>
          </cell>
        </row>
        <row r="7822">
          <cell r="D7822" t="str">
            <v>2023</v>
          </cell>
        </row>
        <row r="7823">
          <cell r="D7823" t="str">
            <v>2022</v>
          </cell>
        </row>
        <row r="7824">
          <cell r="D7824" t="str">
            <v>2023</v>
          </cell>
        </row>
        <row r="7825">
          <cell r="D7825" t="str">
            <v>2022</v>
          </cell>
        </row>
        <row r="7826">
          <cell r="D7826" t="str">
            <v>2024</v>
          </cell>
        </row>
        <row r="7827">
          <cell r="D7827" t="str">
            <v>2023</v>
          </cell>
        </row>
        <row r="7828">
          <cell r="D7828" t="str">
            <v>2023</v>
          </cell>
        </row>
        <row r="7829">
          <cell r="D7829" t="str">
            <v>2023</v>
          </cell>
        </row>
        <row r="7830">
          <cell r="D7830" t="str">
            <v>2022</v>
          </cell>
        </row>
        <row r="7831">
          <cell r="D7831" t="str">
            <v>2023</v>
          </cell>
        </row>
        <row r="7832">
          <cell r="D7832" t="str">
            <v>2023</v>
          </cell>
        </row>
        <row r="7833">
          <cell r="D7833" t="str">
            <v>2023</v>
          </cell>
        </row>
        <row r="7834">
          <cell r="D7834" t="str">
            <v>2023</v>
          </cell>
        </row>
        <row r="7835">
          <cell r="D7835" t="str">
            <v>2023</v>
          </cell>
        </row>
        <row r="7836">
          <cell r="D7836" t="str">
            <v>2024</v>
          </cell>
        </row>
        <row r="7837">
          <cell r="D7837" t="str">
            <v>2023</v>
          </cell>
        </row>
        <row r="7838">
          <cell r="D7838" t="str">
            <v>2023</v>
          </cell>
        </row>
        <row r="7839">
          <cell r="D7839" t="str">
            <v>2023</v>
          </cell>
        </row>
        <row r="7840">
          <cell r="D7840" t="str">
            <v>2023</v>
          </cell>
        </row>
        <row r="7841">
          <cell r="D7841" t="str">
            <v>2023</v>
          </cell>
        </row>
        <row r="7842">
          <cell r="D7842" t="str">
            <v>2024</v>
          </cell>
        </row>
        <row r="7843">
          <cell r="D7843" t="str">
            <v>2023</v>
          </cell>
        </row>
        <row r="7844">
          <cell r="D7844" t="str">
            <v>2023</v>
          </cell>
        </row>
        <row r="7845">
          <cell r="D7845" t="str">
            <v>2023</v>
          </cell>
        </row>
        <row r="7846">
          <cell r="D7846" t="str">
            <v>2023</v>
          </cell>
        </row>
        <row r="7847">
          <cell r="D7847" t="str">
            <v>2023</v>
          </cell>
        </row>
        <row r="7848">
          <cell r="D7848" t="str">
            <v>2023</v>
          </cell>
        </row>
        <row r="7849">
          <cell r="D7849" t="str">
            <v>2023</v>
          </cell>
        </row>
        <row r="7850">
          <cell r="D7850" t="str">
            <v>2022</v>
          </cell>
        </row>
        <row r="7851">
          <cell r="D7851" t="str">
            <v>2024</v>
          </cell>
        </row>
        <row r="7852">
          <cell r="D7852" t="str">
            <v>2023</v>
          </cell>
        </row>
        <row r="7853">
          <cell r="D7853" t="str">
            <v>2023</v>
          </cell>
        </row>
        <row r="7854">
          <cell r="D7854" t="str">
            <v>2022</v>
          </cell>
        </row>
        <row r="7855">
          <cell r="D7855" t="str">
            <v>2022</v>
          </cell>
        </row>
        <row r="7856">
          <cell r="D7856" t="str">
            <v>2023</v>
          </cell>
        </row>
        <row r="7857">
          <cell r="D7857" t="str">
            <v>2023</v>
          </cell>
        </row>
        <row r="7858">
          <cell r="D7858" t="str">
            <v>2023</v>
          </cell>
        </row>
        <row r="7859">
          <cell r="D7859" t="str">
            <v>2022</v>
          </cell>
        </row>
        <row r="7860">
          <cell r="D7860" t="str">
            <v>2024</v>
          </cell>
        </row>
        <row r="7861">
          <cell r="D7861" t="str">
            <v>2023</v>
          </cell>
        </row>
        <row r="7862">
          <cell r="D7862" t="str">
            <v>2023</v>
          </cell>
        </row>
        <row r="7863">
          <cell r="D7863" t="str">
            <v>2023</v>
          </cell>
        </row>
        <row r="7864">
          <cell r="D7864" t="str">
            <v>2023</v>
          </cell>
        </row>
        <row r="7865">
          <cell r="D7865" t="str">
            <v>2023</v>
          </cell>
        </row>
        <row r="7866">
          <cell r="D7866" t="str">
            <v>2023</v>
          </cell>
        </row>
        <row r="7867">
          <cell r="D7867" t="str">
            <v>2023</v>
          </cell>
        </row>
        <row r="7868">
          <cell r="D7868" t="str">
            <v>2023</v>
          </cell>
        </row>
        <row r="7869">
          <cell r="D7869" t="str">
            <v>2023</v>
          </cell>
        </row>
        <row r="7870">
          <cell r="D7870" t="str">
            <v>2023</v>
          </cell>
        </row>
        <row r="7871">
          <cell r="D7871" t="str">
            <v>2022</v>
          </cell>
        </row>
        <row r="7872">
          <cell r="D7872" t="str">
            <v>2022</v>
          </cell>
        </row>
        <row r="7873">
          <cell r="D7873" t="str">
            <v>2023</v>
          </cell>
        </row>
        <row r="7874">
          <cell r="D7874" t="str">
            <v>2021</v>
          </cell>
        </row>
        <row r="7875">
          <cell r="D7875" t="str">
            <v>2023</v>
          </cell>
        </row>
        <row r="7876">
          <cell r="D7876" t="str">
            <v>2023</v>
          </cell>
        </row>
        <row r="7877">
          <cell r="D7877" t="str">
            <v>2022</v>
          </cell>
        </row>
        <row r="7878">
          <cell r="D7878" t="str">
            <v>2023</v>
          </cell>
        </row>
        <row r="7879">
          <cell r="D7879" t="str">
            <v>2023</v>
          </cell>
        </row>
        <row r="7880">
          <cell r="D7880" t="str">
            <v>2023</v>
          </cell>
        </row>
        <row r="7881">
          <cell r="D7881" t="str">
            <v>2022</v>
          </cell>
        </row>
        <row r="7882">
          <cell r="D7882" t="str">
            <v>2023</v>
          </cell>
        </row>
        <row r="7883">
          <cell r="D7883" t="str">
            <v>2023</v>
          </cell>
        </row>
        <row r="7884">
          <cell r="D7884" t="str">
            <v>2023</v>
          </cell>
        </row>
        <row r="7885">
          <cell r="D7885" t="str">
            <v>2023</v>
          </cell>
        </row>
        <row r="7886">
          <cell r="D7886" t="str">
            <v>2023</v>
          </cell>
        </row>
        <row r="7887">
          <cell r="D7887" t="str">
            <v>2023</v>
          </cell>
        </row>
        <row r="7888">
          <cell r="D7888" t="str">
            <v>2023</v>
          </cell>
        </row>
        <row r="7889">
          <cell r="D7889" t="str">
            <v>2023</v>
          </cell>
        </row>
        <row r="7890">
          <cell r="D7890" t="str">
            <v>2021</v>
          </cell>
        </row>
        <row r="7891">
          <cell r="D7891" t="str">
            <v>2023</v>
          </cell>
        </row>
        <row r="7892">
          <cell r="D7892" t="str">
            <v>2023</v>
          </cell>
        </row>
        <row r="7893">
          <cell r="D7893" t="str">
            <v>2024</v>
          </cell>
        </row>
        <row r="7894">
          <cell r="D7894" t="str">
            <v>2022</v>
          </cell>
        </row>
        <row r="7895">
          <cell r="D7895" t="str">
            <v>2023</v>
          </cell>
        </row>
        <row r="7896">
          <cell r="D7896" t="str">
            <v>2022</v>
          </cell>
        </row>
        <row r="7897">
          <cell r="D7897" t="str">
            <v>2023</v>
          </cell>
        </row>
        <row r="7898">
          <cell r="D7898" t="str">
            <v>2023</v>
          </cell>
        </row>
        <row r="7899">
          <cell r="D7899" t="str">
            <v>2023</v>
          </cell>
        </row>
        <row r="7900">
          <cell r="D7900" t="str">
            <v>2023</v>
          </cell>
        </row>
        <row r="7901">
          <cell r="D7901" t="str">
            <v>2023</v>
          </cell>
        </row>
        <row r="7902">
          <cell r="D7902" t="str">
            <v>2023</v>
          </cell>
        </row>
        <row r="7903">
          <cell r="D7903" t="str">
            <v>2023</v>
          </cell>
        </row>
        <row r="7904">
          <cell r="D7904" t="str">
            <v>2023</v>
          </cell>
        </row>
        <row r="7905">
          <cell r="D7905" t="str">
            <v>2023</v>
          </cell>
        </row>
        <row r="7906">
          <cell r="D7906" t="str">
            <v>2023</v>
          </cell>
        </row>
        <row r="7907">
          <cell r="D7907" t="str">
            <v>2023</v>
          </cell>
        </row>
        <row r="7908">
          <cell r="D7908" t="str">
            <v>2023</v>
          </cell>
        </row>
        <row r="7909">
          <cell r="D7909" t="str">
            <v>2023</v>
          </cell>
        </row>
        <row r="7910">
          <cell r="D7910" t="str">
            <v>2023</v>
          </cell>
        </row>
        <row r="7911">
          <cell r="D7911" t="str">
            <v>2023</v>
          </cell>
        </row>
        <row r="7912">
          <cell r="D7912" t="str">
            <v>2023</v>
          </cell>
        </row>
        <row r="7913">
          <cell r="D7913" t="str">
            <v>2023</v>
          </cell>
        </row>
        <row r="7914">
          <cell r="D7914" t="str">
            <v>2021</v>
          </cell>
        </row>
        <row r="7915">
          <cell r="D7915" t="str">
            <v>2023</v>
          </cell>
        </row>
        <row r="7916">
          <cell r="D7916" t="str">
            <v>2023</v>
          </cell>
        </row>
        <row r="7917">
          <cell r="D7917" t="str">
            <v>2023</v>
          </cell>
        </row>
        <row r="7918">
          <cell r="D7918" t="str">
            <v>2023</v>
          </cell>
        </row>
        <row r="7919">
          <cell r="D7919" t="str">
            <v>2023</v>
          </cell>
        </row>
        <row r="7920">
          <cell r="D7920" t="str">
            <v>2023</v>
          </cell>
        </row>
        <row r="7921">
          <cell r="D7921" t="str">
            <v>2023</v>
          </cell>
        </row>
        <row r="7922">
          <cell r="D7922" t="str">
            <v>2022</v>
          </cell>
        </row>
        <row r="7923">
          <cell r="D7923" t="str">
            <v>2023</v>
          </cell>
        </row>
        <row r="7924">
          <cell r="D7924" t="str">
            <v>2023</v>
          </cell>
        </row>
        <row r="7925">
          <cell r="D7925" t="str">
            <v>2023</v>
          </cell>
        </row>
        <row r="7926">
          <cell r="D7926" t="str">
            <v>2023</v>
          </cell>
        </row>
        <row r="7927">
          <cell r="D7927" t="str">
            <v>2023</v>
          </cell>
        </row>
        <row r="7928">
          <cell r="D7928" t="str">
            <v>2023</v>
          </cell>
        </row>
        <row r="7929">
          <cell r="D7929" t="str">
            <v>2024</v>
          </cell>
        </row>
        <row r="7930">
          <cell r="D7930" t="str">
            <v>2024</v>
          </cell>
        </row>
        <row r="7931">
          <cell r="D7931" t="str">
            <v>2023</v>
          </cell>
        </row>
        <row r="7932">
          <cell r="D7932" t="str">
            <v>2023</v>
          </cell>
        </row>
        <row r="7933">
          <cell r="D7933" t="str">
            <v>2023</v>
          </cell>
        </row>
        <row r="7934">
          <cell r="D7934" t="str">
            <v>2023</v>
          </cell>
        </row>
        <row r="7935">
          <cell r="D7935" t="str">
            <v>2023</v>
          </cell>
        </row>
        <row r="7936">
          <cell r="D7936" t="str">
            <v>2023</v>
          </cell>
        </row>
        <row r="7937">
          <cell r="D7937" t="str">
            <v>2023</v>
          </cell>
        </row>
        <row r="7938">
          <cell r="D7938" t="str">
            <v>2023</v>
          </cell>
        </row>
        <row r="7939">
          <cell r="D7939" t="str">
            <v>2023</v>
          </cell>
        </row>
        <row r="7940">
          <cell r="D7940" t="str">
            <v>2023</v>
          </cell>
        </row>
        <row r="7941">
          <cell r="D7941" t="str">
            <v>2023</v>
          </cell>
        </row>
        <row r="7942">
          <cell r="D7942" t="str">
            <v>2023</v>
          </cell>
        </row>
        <row r="7943">
          <cell r="D7943" t="str">
            <v>2022</v>
          </cell>
        </row>
        <row r="7944">
          <cell r="D7944" t="str">
            <v>2022</v>
          </cell>
        </row>
        <row r="7945">
          <cell r="D7945" t="str">
            <v>2024</v>
          </cell>
        </row>
        <row r="7946">
          <cell r="D7946" t="str">
            <v>2023</v>
          </cell>
        </row>
        <row r="7947">
          <cell r="D7947" t="str">
            <v>2023</v>
          </cell>
        </row>
        <row r="7948">
          <cell r="D7948" t="str">
            <v>2023</v>
          </cell>
        </row>
        <row r="7949">
          <cell r="D7949" t="str">
            <v>2023</v>
          </cell>
        </row>
        <row r="7950">
          <cell r="D7950" t="str">
            <v>2023</v>
          </cell>
        </row>
        <row r="7951">
          <cell r="D7951" t="str">
            <v>2023</v>
          </cell>
        </row>
        <row r="7952">
          <cell r="D7952" t="str">
            <v>2023</v>
          </cell>
        </row>
        <row r="7953">
          <cell r="D7953" t="str">
            <v>2021</v>
          </cell>
        </row>
        <row r="7954">
          <cell r="D7954" t="str">
            <v>2023</v>
          </cell>
        </row>
        <row r="7955">
          <cell r="D7955" t="str">
            <v>2023</v>
          </cell>
        </row>
        <row r="7956">
          <cell r="D7956" t="str">
            <v>2023</v>
          </cell>
        </row>
        <row r="7957">
          <cell r="D7957" t="str">
            <v>2023</v>
          </cell>
        </row>
        <row r="7958">
          <cell r="D7958" t="str">
            <v>2023</v>
          </cell>
        </row>
        <row r="7959">
          <cell r="D7959" t="str">
            <v>2024</v>
          </cell>
        </row>
        <row r="7960">
          <cell r="D7960" t="str">
            <v>2023</v>
          </cell>
        </row>
        <row r="7961">
          <cell r="D7961" t="str">
            <v>2023</v>
          </cell>
        </row>
        <row r="7962">
          <cell r="D7962" t="str">
            <v>2023</v>
          </cell>
        </row>
        <row r="7963">
          <cell r="D7963" t="str">
            <v>2023</v>
          </cell>
        </row>
        <row r="7964">
          <cell r="D7964" t="str">
            <v>2023</v>
          </cell>
        </row>
        <row r="7965">
          <cell r="D7965" t="str">
            <v>2023</v>
          </cell>
        </row>
        <row r="7966">
          <cell r="D7966" t="str">
            <v>2022</v>
          </cell>
        </row>
        <row r="7967">
          <cell r="D7967" t="str">
            <v>2023</v>
          </cell>
        </row>
        <row r="7968">
          <cell r="D7968" t="str">
            <v>2023</v>
          </cell>
        </row>
        <row r="7969">
          <cell r="D7969" t="str">
            <v>2024</v>
          </cell>
        </row>
        <row r="7970">
          <cell r="D7970" t="str">
            <v>2023</v>
          </cell>
        </row>
        <row r="7971">
          <cell r="D7971" t="str">
            <v>2023</v>
          </cell>
        </row>
        <row r="7972">
          <cell r="D7972" t="str">
            <v>2023</v>
          </cell>
        </row>
        <row r="7973">
          <cell r="D7973" t="str">
            <v>2023</v>
          </cell>
        </row>
        <row r="7974">
          <cell r="D7974" t="str">
            <v>2023</v>
          </cell>
        </row>
        <row r="7975">
          <cell r="D7975" t="str">
            <v>2023</v>
          </cell>
        </row>
        <row r="7976">
          <cell r="D7976" t="str">
            <v>2023</v>
          </cell>
        </row>
        <row r="7977">
          <cell r="D7977" t="str">
            <v>2023</v>
          </cell>
        </row>
        <row r="7978">
          <cell r="D7978" t="str">
            <v>2023</v>
          </cell>
        </row>
        <row r="7979">
          <cell r="D7979" t="str">
            <v>2023</v>
          </cell>
        </row>
        <row r="7980">
          <cell r="D7980" t="str">
            <v>2023</v>
          </cell>
        </row>
        <row r="7981">
          <cell r="D7981" t="str">
            <v>2021</v>
          </cell>
        </row>
        <row r="7982">
          <cell r="D7982" t="str">
            <v>2024</v>
          </cell>
        </row>
        <row r="7983">
          <cell r="D7983" t="str">
            <v>2024</v>
          </cell>
        </row>
        <row r="7984">
          <cell r="D7984" t="str">
            <v>2023</v>
          </cell>
        </row>
        <row r="7985">
          <cell r="D7985" t="str">
            <v>2023</v>
          </cell>
        </row>
        <row r="7986">
          <cell r="D7986" t="str">
            <v>2023</v>
          </cell>
        </row>
        <row r="7987">
          <cell r="D7987" t="str">
            <v>2021</v>
          </cell>
        </row>
        <row r="7988">
          <cell r="D7988" t="str">
            <v>2023</v>
          </cell>
        </row>
        <row r="7989">
          <cell r="D7989" t="str">
            <v>2023</v>
          </cell>
        </row>
        <row r="7990">
          <cell r="D7990" t="str">
            <v>2023</v>
          </cell>
        </row>
        <row r="7991">
          <cell r="D7991" t="str">
            <v>2023</v>
          </cell>
        </row>
        <row r="7992">
          <cell r="D7992" t="str">
            <v>2023</v>
          </cell>
        </row>
        <row r="7993">
          <cell r="D7993" t="str">
            <v>2023</v>
          </cell>
        </row>
        <row r="7994">
          <cell r="D7994" t="str">
            <v>2023</v>
          </cell>
        </row>
        <row r="7995">
          <cell r="D7995" t="str">
            <v>2023</v>
          </cell>
        </row>
        <row r="7996">
          <cell r="D7996" t="str">
            <v>2023</v>
          </cell>
        </row>
        <row r="7997">
          <cell r="D7997" t="str">
            <v>2023</v>
          </cell>
        </row>
        <row r="7998">
          <cell r="D7998" t="str">
            <v>2023</v>
          </cell>
        </row>
        <row r="7999">
          <cell r="D7999" t="str">
            <v>2023</v>
          </cell>
        </row>
        <row r="8000">
          <cell r="D8000" t="str">
            <v>2023</v>
          </cell>
        </row>
        <row r="8001">
          <cell r="D8001" t="str">
            <v>2023</v>
          </cell>
        </row>
        <row r="8002">
          <cell r="D8002" t="str">
            <v>2023</v>
          </cell>
        </row>
        <row r="8003">
          <cell r="D8003" t="str">
            <v>2023</v>
          </cell>
        </row>
        <row r="8004">
          <cell r="D8004" t="str">
            <v>2023</v>
          </cell>
        </row>
        <row r="8005">
          <cell r="D8005" t="str">
            <v>2023</v>
          </cell>
        </row>
        <row r="8006">
          <cell r="D8006" t="str">
            <v>2023</v>
          </cell>
        </row>
        <row r="8007">
          <cell r="D8007" t="str">
            <v>2023</v>
          </cell>
        </row>
        <row r="8008">
          <cell r="D8008" t="str">
            <v>2023</v>
          </cell>
        </row>
        <row r="8009">
          <cell r="D8009" t="str">
            <v>2023</v>
          </cell>
        </row>
        <row r="8010">
          <cell r="D8010" t="str">
            <v>2023</v>
          </cell>
        </row>
        <row r="8011">
          <cell r="D8011" t="str">
            <v>2022</v>
          </cell>
        </row>
        <row r="8012">
          <cell r="D8012" t="str">
            <v>2023</v>
          </cell>
        </row>
        <row r="8013">
          <cell r="D8013" t="str">
            <v>2021</v>
          </cell>
        </row>
        <row r="8014">
          <cell r="D8014" t="str">
            <v>2023</v>
          </cell>
        </row>
        <row r="8015">
          <cell r="D8015" t="str">
            <v>2023</v>
          </cell>
        </row>
        <row r="8016">
          <cell r="D8016" t="str">
            <v>2023</v>
          </cell>
        </row>
        <row r="8017">
          <cell r="D8017" t="str">
            <v>2023</v>
          </cell>
        </row>
        <row r="8018">
          <cell r="D8018" t="str">
            <v>2023</v>
          </cell>
        </row>
        <row r="8019">
          <cell r="D8019" t="str">
            <v>2023</v>
          </cell>
        </row>
        <row r="8020">
          <cell r="D8020" t="str">
            <v>2023</v>
          </cell>
        </row>
        <row r="8021">
          <cell r="D8021" t="str">
            <v>2024</v>
          </cell>
        </row>
        <row r="8022">
          <cell r="D8022" t="str">
            <v>2024</v>
          </cell>
        </row>
        <row r="8023">
          <cell r="D8023" t="str">
            <v>2021</v>
          </cell>
        </row>
        <row r="8024">
          <cell r="D8024" t="str">
            <v>2023</v>
          </cell>
        </row>
        <row r="8025">
          <cell r="D8025" t="str">
            <v>2023</v>
          </cell>
        </row>
        <row r="8026">
          <cell r="D8026" t="str">
            <v>2023</v>
          </cell>
        </row>
        <row r="8027">
          <cell r="D8027" t="str">
            <v>2023</v>
          </cell>
        </row>
        <row r="8028">
          <cell r="D8028" t="str">
            <v>2024</v>
          </cell>
        </row>
        <row r="8029">
          <cell r="D8029" t="str">
            <v>2023</v>
          </cell>
        </row>
        <row r="8030">
          <cell r="D8030" t="str">
            <v>2023</v>
          </cell>
        </row>
        <row r="8031">
          <cell r="D8031" t="str">
            <v>2023</v>
          </cell>
        </row>
        <row r="8032">
          <cell r="D8032" t="str">
            <v>2023</v>
          </cell>
        </row>
        <row r="8033">
          <cell r="D8033" t="str">
            <v>2022</v>
          </cell>
        </row>
        <row r="8034">
          <cell r="D8034" t="str">
            <v>2023</v>
          </cell>
        </row>
        <row r="8035">
          <cell r="D8035" t="str">
            <v>2023</v>
          </cell>
        </row>
        <row r="8036">
          <cell r="D8036" t="str">
            <v>2023</v>
          </cell>
        </row>
        <row r="8037">
          <cell r="D8037" t="str">
            <v>2023</v>
          </cell>
        </row>
        <row r="8038">
          <cell r="D8038" t="str">
            <v>2023</v>
          </cell>
        </row>
        <row r="8039">
          <cell r="D8039" t="str">
            <v>2023</v>
          </cell>
        </row>
        <row r="8040">
          <cell r="D8040" t="str">
            <v>2022</v>
          </cell>
        </row>
        <row r="8041">
          <cell r="D8041" t="str">
            <v>2024</v>
          </cell>
        </row>
        <row r="8042">
          <cell r="D8042" t="str">
            <v>2024</v>
          </cell>
        </row>
        <row r="8043">
          <cell r="D8043" t="str">
            <v>2023</v>
          </cell>
        </row>
        <row r="8044">
          <cell r="D8044" t="str">
            <v>2023</v>
          </cell>
        </row>
        <row r="8045">
          <cell r="D8045" t="str">
            <v>2023</v>
          </cell>
        </row>
        <row r="8046">
          <cell r="D8046" t="str">
            <v>2023</v>
          </cell>
        </row>
        <row r="8047">
          <cell r="D8047" t="str">
            <v>2023</v>
          </cell>
        </row>
        <row r="8048">
          <cell r="D8048" t="str">
            <v>2024</v>
          </cell>
        </row>
        <row r="8049">
          <cell r="D8049" t="str">
            <v>2023</v>
          </cell>
        </row>
        <row r="8050">
          <cell r="D8050" t="str">
            <v>2023</v>
          </cell>
        </row>
        <row r="8051">
          <cell r="D8051" t="str">
            <v>2023</v>
          </cell>
        </row>
        <row r="8052">
          <cell r="D8052" t="str">
            <v>2023</v>
          </cell>
        </row>
        <row r="8053">
          <cell r="D8053" t="str">
            <v>2023</v>
          </cell>
        </row>
        <row r="8054">
          <cell r="D8054" t="str">
            <v>2023</v>
          </cell>
        </row>
        <row r="8055">
          <cell r="D8055" t="str">
            <v>2024</v>
          </cell>
        </row>
        <row r="8056">
          <cell r="D8056" t="str">
            <v>2024</v>
          </cell>
        </row>
        <row r="8057">
          <cell r="D8057" t="str">
            <v>2023</v>
          </cell>
        </row>
        <row r="8058">
          <cell r="D8058" t="str">
            <v>2023</v>
          </cell>
        </row>
        <row r="8059">
          <cell r="D8059" t="str">
            <v>2023</v>
          </cell>
        </row>
        <row r="8060">
          <cell r="D8060" t="str">
            <v>2021</v>
          </cell>
        </row>
        <row r="8061">
          <cell r="D8061" t="str">
            <v>2023</v>
          </cell>
        </row>
        <row r="8062">
          <cell r="D8062" t="str">
            <v>2023</v>
          </cell>
        </row>
        <row r="8063">
          <cell r="D8063" t="str">
            <v>2023</v>
          </cell>
        </row>
        <row r="8064">
          <cell r="D8064" t="str">
            <v>2023</v>
          </cell>
        </row>
        <row r="8065">
          <cell r="D8065" t="str">
            <v>2023</v>
          </cell>
        </row>
        <row r="8066">
          <cell r="D8066" t="str">
            <v>2023</v>
          </cell>
        </row>
        <row r="8067">
          <cell r="D8067" t="str">
            <v>2023</v>
          </cell>
        </row>
        <row r="8068">
          <cell r="D8068" t="str">
            <v>2023</v>
          </cell>
        </row>
        <row r="8069">
          <cell r="D8069" t="str">
            <v>2023</v>
          </cell>
        </row>
        <row r="8070">
          <cell r="D8070" t="str">
            <v>2023</v>
          </cell>
        </row>
        <row r="8071">
          <cell r="D8071" t="str">
            <v>2023</v>
          </cell>
        </row>
        <row r="8072">
          <cell r="D8072" t="str">
            <v>2023</v>
          </cell>
        </row>
        <row r="8073">
          <cell r="D8073" t="str">
            <v>2023</v>
          </cell>
        </row>
        <row r="8074">
          <cell r="D8074" t="str">
            <v>2023</v>
          </cell>
        </row>
        <row r="8075">
          <cell r="D8075" t="str">
            <v>2023</v>
          </cell>
        </row>
        <row r="8076">
          <cell r="D8076" t="str">
            <v>2022</v>
          </cell>
        </row>
        <row r="8077">
          <cell r="D8077" t="str">
            <v>2023</v>
          </cell>
        </row>
        <row r="8078">
          <cell r="D8078" t="str">
            <v>2023</v>
          </cell>
        </row>
        <row r="8079">
          <cell r="D8079" t="str">
            <v>2021</v>
          </cell>
        </row>
        <row r="8080">
          <cell r="D8080" t="str">
            <v>2024</v>
          </cell>
        </row>
        <row r="8081">
          <cell r="D8081" t="str">
            <v>2023</v>
          </cell>
        </row>
        <row r="8082">
          <cell r="D8082" t="str">
            <v>2023</v>
          </cell>
        </row>
        <row r="8083">
          <cell r="D8083" t="str">
            <v>2023</v>
          </cell>
        </row>
        <row r="8084">
          <cell r="D8084" t="str">
            <v>2023</v>
          </cell>
        </row>
        <row r="8085">
          <cell r="D8085" t="str">
            <v>2023</v>
          </cell>
        </row>
        <row r="8086">
          <cell r="D8086" t="str">
            <v>2023</v>
          </cell>
        </row>
        <row r="8087">
          <cell r="D8087" t="str">
            <v>2023</v>
          </cell>
        </row>
        <row r="8088">
          <cell r="D8088" t="str">
            <v>2024</v>
          </cell>
        </row>
        <row r="8089">
          <cell r="D8089" t="str">
            <v>2023</v>
          </cell>
        </row>
        <row r="8090">
          <cell r="D8090" t="str">
            <v>2023</v>
          </cell>
        </row>
        <row r="8091">
          <cell r="D8091" t="str">
            <v>2023</v>
          </cell>
        </row>
        <row r="8092">
          <cell r="D8092" t="str">
            <v>2023</v>
          </cell>
        </row>
        <row r="8093">
          <cell r="D8093" t="str">
            <v>2023</v>
          </cell>
        </row>
        <row r="8094">
          <cell r="D8094" t="str">
            <v>2023</v>
          </cell>
        </row>
        <row r="8095">
          <cell r="D8095" t="str">
            <v>2023</v>
          </cell>
        </row>
        <row r="8096">
          <cell r="D8096" t="str">
            <v>2023</v>
          </cell>
        </row>
        <row r="8097">
          <cell r="D8097" t="str">
            <v>2023</v>
          </cell>
        </row>
        <row r="8098">
          <cell r="D8098" t="str">
            <v>2023</v>
          </cell>
        </row>
        <row r="8099">
          <cell r="D8099" t="str">
            <v>2021</v>
          </cell>
        </row>
        <row r="8100">
          <cell r="D8100" t="str">
            <v>2021</v>
          </cell>
        </row>
        <row r="8101">
          <cell r="D8101" t="str">
            <v>2023</v>
          </cell>
        </row>
        <row r="8102">
          <cell r="D8102" t="str">
            <v>2023</v>
          </cell>
        </row>
        <row r="8103">
          <cell r="D8103" t="str">
            <v>2023</v>
          </cell>
        </row>
        <row r="8104">
          <cell r="D8104" t="str">
            <v>2023</v>
          </cell>
        </row>
        <row r="8105">
          <cell r="D8105" t="str">
            <v>2023</v>
          </cell>
        </row>
        <row r="8106">
          <cell r="D8106" t="str">
            <v>2023</v>
          </cell>
        </row>
        <row r="8107">
          <cell r="D8107" t="str">
            <v>2023</v>
          </cell>
        </row>
        <row r="8108">
          <cell r="D8108" t="str">
            <v>2023</v>
          </cell>
        </row>
        <row r="8109">
          <cell r="D8109" t="str">
            <v>2023</v>
          </cell>
        </row>
        <row r="8110">
          <cell r="D8110" t="str">
            <v>2021</v>
          </cell>
        </row>
        <row r="8111">
          <cell r="D8111" t="str">
            <v>2023</v>
          </cell>
        </row>
        <row r="8112">
          <cell r="D8112" t="str">
            <v>2023</v>
          </cell>
        </row>
        <row r="8113">
          <cell r="D8113" t="str">
            <v>2023</v>
          </cell>
        </row>
        <row r="8114">
          <cell r="D8114" t="str">
            <v>2023</v>
          </cell>
        </row>
        <row r="8115">
          <cell r="D8115" t="str">
            <v>2023</v>
          </cell>
        </row>
        <row r="8116">
          <cell r="D8116" t="str">
            <v>2023</v>
          </cell>
        </row>
        <row r="8117">
          <cell r="D8117" t="str">
            <v>2023</v>
          </cell>
        </row>
        <row r="8118">
          <cell r="D8118" t="str">
            <v>2023</v>
          </cell>
        </row>
        <row r="8119">
          <cell r="D8119" t="str">
            <v>2023</v>
          </cell>
        </row>
        <row r="8120">
          <cell r="D8120" t="str">
            <v>2023</v>
          </cell>
        </row>
        <row r="8121">
          <cell r="D8121" t="str">
            <v>2023</v>
          </cell>
        </row>
        <row r="8122">
          <cell r="D8122" t="str">
            <v>2021</v>
          </cell>
        </row>
        <row r="8123">
          <cell r="D8123" t="str">
            <v>2023</v>
          </cell>
        </row>
        <row r="8124">
          <cell r="D8124" t="str">
            <v>2023</v>
          </cell>
        </row>
        <row r="8125">
          <cell r="D8125" t="str">
            <v>2024</v>
          </cell>
        </row>
        <row r="8126">
          <cell r="D8126" t="str">
            <v>2023</v>
          </cell>
        </row>
        <row r="8127">
          <cell r="D8127" t="str">
            <v>2023</v>
          </cell>
        </row>
        <row r="8128">
          <cell r="D8128" t="str">
            <v>2021</v>
          </cell>
        </row>
        <row r="8129">
          <cell r="D8129" t="str">
            <v>2023</v>
          </cell>
        </row>
        <row r="8130">
          <cell r="D8130" t="str">
            <v>2023</v>
          </cell>
        </row>
        <row r="8131">
          <cell r="D8131" t="str">
            <v>2023</v>
          </cell>
        </row>
        <row r="8132">
          <cell r="D8132" t="str">
            <v>2023</v>
          </cell>
        </row>
        <row r="8133">
          <cell r="D8133" t="str">
            <v>2023</v>
          </cell>
        </row>
        <row r="8134">
          <cell r="D8134" t="str">
            <v>2023</v>
          </cell>
        </row>
        <row r="8135">
          <cell r="D8135" t="str">
            <v>2023</v>
          </cell>
        </row>
        <row r="8136">
          <cell r="D8136" t="str">
            <v>2023</v>
          </cell>
        </row>
        <row r="8137">
          <cell r="D8137" t="str">
            <v>2023</v>
          </cell>
        </row>
        <row r="8138">
          <cell r="D8138" t="str">
            <v>2023</v>
          </cell>
        </row>
        <row r="8139">
          <cell r="D8139" t="str">
            <v>2023</v>
          </cell>
        </row>
        <row r="8140">
          <cell r="D8140" t="str">
            <v>2023</v>
          </cell>
        </row>
        <row r="8141">
          <cell r="D8141" t="str">
            <v>2022</v>
          </cell>
        </row>
        <row r="8142">
          <cell r="D8142" t="str">
            <v>2023</v>
          </cell>
        </row>
        <row r="8143">
          <cell r="D8143" t="str">
            <v>2023</v>
          </cell>
        </row>
        <row r="8144">
          <cell r="D8144" t="str">
            <v>2023</v>
          </cell>
        </row>
        <row r="8145">
          <cell r="D8145" t="str">
            <v>2023</v>
          </cell>
        </row>
        <row r="8146">
          <cell r="D8146" t="str">
            <v>2021</v>
          </cell>
        </row>
        <row r="8147">
          <cell r="D8147" t="str">
            <v>2023</v>
          </cell>
        </row>
        <row r="8148">
          <cell r="D8148" t="str">
            <v>2023</v>
          </cell>
        </row>
        <row r="8149">
          <cell r="D8149" t="str">
            <v>2023</v>
          </cell>
        </row>
        <row r="8150">
          <cell r="D8150" t="str">
            <v>2023</v>
          </cell>
        </row>
        <row r="8151">
          <cell r="D8151" t="str">
            <v>2024</v>
          </cell>
        </row>
        <row r="8152">
          <cell r="D8152" t="str">
            <v>2023</v>
          </cell>
        </row>
        <row r="8153">
          <cell r="D8153" t="str">
            <v>2022</v>
          </cell>
        </row>
        <row r="8154">
          <cell r="D8154" t="str">
            <v>2023</v>
          </cell>
        </row>
        <row r="8155">
          <cell r="D8155" t="str">
            <v>2023</v>
          </cell>
        </row>
        <row r="8156">
          <cell r="D8156" t="str">
            <v>2023</v>
          </cell>
        </row>
        <row r="8157">
          <cell r="D8157" t="str">
            <v>2023</v>
          </cell>
        </row>
        <row r="8158">
          <cell r="D8158" t="str">
            <v>2022</v>
          </cell>
        </row>
        <row r="8159">
          <cell r="D8159" t="str">
            <v>2023</v>
          </cell>
        </row>
        <row r="8160">
          <cell r="D8160" t="str">
            <v>2022</v>
          </cell>
        </row>
        <row r="8161">
          <cell r="D8161" t="str">
            <v>2022</v>
          </cell>
        </row>
        <row r="8162">
          <cell r="D8162" t="str">
            <v>2023</v>
          </cell>
        </row>
        <row r="8163">
          <cell r="D8163" t="str">
            <v>2023</v>
          </cell>
        </row>
        <row r="8164">
          <cell r="D8164" t="str">
            <v>2023</v>
          </cell>
        </row>
        <row r="8165">
          <cell r="D8165" t="str">
            <v>2023</v>
          </cell>
        </row>
        <row r="8166">
          <cell r="D8166" t="str">
            <v>2023</v>
          </cell>
        </row>
        <row r="8167">
          <cell r="D8167" t="str">
            <v>2023</v>
          </cell>
        </row>
        <row r="8168">
          <cell r="D8168" t="str">
            <v>2023</v>
          </cell>
        </row>
        <row r="8169">
          <cell r="D8169" t="str">
            <v>2023</v>
          </cell>
        </row>
        <row r="8170">
          <cell r="D8170" t="str">
            <v>2023</v>
          </cell>
        </row>
        <row r="8171">
          <cell r="D8171" t="str">
            <v>2023</v>
          </cell>
        </row>
        <row r="8172">
          <cell r="D8172" t="str">
            <v>2023</v>
          </cell>
        </row>
        <row r="8173">
          <cell r="D8173" t="str">
            <v>2022</v>
          </cell>
        </row>
        <row r="8174">
          <cell r="D8174" t="str">
            <v>2023</v>
          </cell>
        </row>
        <row r="8175">
          <cell r="D8175" t="str">
            <v>2023</v>
          </cell>
        </row>
        <row r="8176">
          <cell r="D8176" t="str">
            <v>2022</v>
          </cell>
        </row>
        <row r="8177">
          <cell r="D8177" t="str">
            <v>2023</v>
          </cell>
        </row>
        <row r="8178">
          <cell r="D8178" t="str">
            <v>2023</v>
          </cell>
        </row>
        <row r="8179">
          <cell r="D8179" t="str">
            <v>2023</v>
          </cell>
        </row>
        <row r="8180">
          <cell r="D8180" t="str">
            <v>2023</v>
          </cell>
        </row>
        <row r="8181">
          <cell r="D8181" t="str">
            <v>2023</v>
          </cell>
        </row>
        <row r="8182">
          <cell r="D8182" t="str">
            <v>2024</v>
          </cell>
        </row>
        <row r="8183">
          <cell r="D8183" t="str">
            <v>2024</v>
          </cell>
        </row>
        <row r="8184">
          <cell r="D8184" t="str">
            <v>2024</v>
          </cell>
        </row>
        <row r="8185">
          <cell r="D8185" t="str">
            <v>2023</v>
          </cell>
        </row>
        <row r="8186">
          <cell r="D8186" t="str">
            <v>2023</v>
          </cell>
        </row>
        <row r="8187">
          <cell r="D8187" t="str">
            <v>2023</v>
          </cell>
        </row>
        <row r="8188">
          <cell r="D8188" t="str">
            <v>2023</v>
          </cell>
        </row>
        <row r="8189">
          <cell r="D8189" t="str">
            <v>2023</v>
          </cell>
        </row>
        <row r="8190">
          <cell r="D8190" t="str">
            <v>2022</v>
          </cell>
        </row>
        <row r="8191">
          <cell r="D8191" t="str">
            <v>2023</v>
          </cell>
        </row>
        <row r="8192">
          <cell r="D8192" t="str">
            <v>2023</v>
          </cell>
        </row>
        <row r="8193">
          <cell r="D8193" t="str">
            <v>2023</v>
          </cell>
        </row>
        <row r="8194">
          <cell r="D8194" t="str">
            <v>2023</v>
          </cell>
        </row>
        <row r="8195">
          <cell r="D8195" t="str">
            <v>2023</v>
          </cell>
        </row>
        <row r="8196">
          <cell r="D8196" t="str">
            <v>2023</v>
          </cell>
        </row>
        <row r="8197">
          <cell r="D8197" t="str">
            <v>2024</v>
          </cell>
        </row>
        <row r="8198">
          <cell r="D8198" t="str">
            <v>2023</v>
          </cell>
        </row>
        <row r="8199">
          <cell r="D8199" t="str">
            <v>2023</v>
          </cell>
        </row>
        <row r="8200">
          <cell r="D8200" t="str">
            <v>2023</v>
          </cell>
        </row>
        <row r="8201">
          <cell r="D8201" t="str">
            <v>2023</v>
          </cell>
        </row>
        <row r="8202">
          <cell r="D8202" t="str">
            <v>2023</v>
          </cell>
        </row>
        <row r="8203">
          <cell r="D8203" t="str">
            <v>2023</v>
          </cell>
        </row>
        <row r="8204">
          <cell r="D8204" t="str">
            <v>2023</v>
          </cell>
        </row>
        <row r="8205">
          <cell r="D8205" t="str">
            <v>2023</v>
          </cell>
        </row>
        <row r="8206">
          <cell r="D8206" t="str">
            <v>2023</v>
          </cell>
        </row>
        <row r="8207">
          <cell r="D8207" t="str">
            <v>2022</v>
          </cell>
        </row>
        <row r="8208">
          <cell r="D8208" t="str">
            <v>2023</v>
          </cell>
        </row>
        <row r="8209">
          <cell r="D8209" t="str">
            <v>2023</v>
          </cell>
        </row>
        <row r="8210">
          <cell r="D8210" t="str">
            <v>2022</v>
          </cell>
        </row>
        <row r="8211">
          <cell r="D8211" t="str">
            <v>2023</v>
          </cell>
        </row>
        <row r="8212">
          <cell r="D8212" t="str">
            <v>2023</v>
          </cell>
        </row>
        <row r="8213">
          <cell r="D8213" t="str">
            <v>2023</v>
          </cell>
        </row>
        <row r="8214">
          <cell r="D8214" t="str">
            <v>2023</v>
          </cell>
        </row>
        <row r="8215">
          <cell r="D8215" t="str">
            <v>2024</v>
          </cell>
        </row>
        <row r="8216">
          <cell r="D8216" t="str">
            <v>2023</v>
          </cell>
        </row>
        <row r="8217">
          <cell r="D8217" t="str">
            <v>2021</v>
          </cell>
        </row>
        <row r="8218">
          <cell r="D8218" t="str">
            <v>2023</v>
          </cell>
        </row>
        <row r="8219">
          <cell r="D8219" t="str">
            <v>2023</v>
          </cell>
        </row>
        <row r="8220">
          <cell r="D8220" t="str">
            <v>2023</v>
          </cell>
        </row>
        <row r="8221">
          <cell r="D8221" t="str">
            <v>2023</v>
          </cell>
        </row>
        <row r="8222">
          <cell r="D8222" t="str">
            <v>2023</v>
          </cell>
        </row>
        <row r="8223">
          <cell r="D8223" t="str">
            <v>2023</v>
          </cell>
        </row>
        <row r="8224">
          <cell r="D8224" t="str">
            <v>2022</v>
          </cell>
        </row>
        <row r="8225">
          <cell r="D8225" t="str">
            <v>2021</v>
          </cell>
        </row>
        <row r="8226">
          <cell r="D8226" t="str">
            <v>2024</v>
          </cell>
        </row>
        <row r="8227">
          <cell r="D8227" t="str">
            <v>2023</v>
          </cell>
        </row>
        <row r="8228">
          <cell r="D8228" t="str">
            <v>2023</v>
          </cell>
        </row>
        <row r="8229">
          <cell r="D8229" t="str">
            <v>2023</v>
          </cell>
        </row>
        <row r="8230">
          <cell r="D8230" t="str">
            <v>2023</v>
          </cell>
        </row>
        <row r="8231">
          <cell r="D8231" t="str">
            <v>2023</v>
          </cell>
        </row>
        <row r="8232">
          <cell r="D8232" t="str">
            <v>2023</v>
          </cell>
        </row>
        <row r="8233">
          <cell r="D8233" t="str">
            <v>2023</v>
          </cell>
        </row>
        <row r="8234">
          <cell r="D8234" t="str">
            <v>2023</v>
          </cell>
        </row>
        <row r="8235">
          <cell r="D8235" t="str">
            <v>2023</v>
          </cell>
        </row>
        <row r="8236">
          <cell r="D8236" t="str">
            <v>2023</v>
          </cell>
        </row>
        <row r="8237">
          <cell r="D8237" t="str">
            <v>2023</v>
          </cell>
        </row>
        <row r="8238">
          <cell r="D8238" t="str">
            <v>2023</v>
          </cell>
        </row>
        <row r="8239">
          <cell r="D8239" t="str">
            <v>2023</v>
          </cell>
        </row>
        <row r="8240">
          <cell r="D8240" t="str">
            <v>2023</v>
          </cell>
        </row>
        <row r="8241">
          <cell r="D8241" t="str">
            <v>2023</v>
          </cell>
        </row>
        <row r="8242">
          <cell r="D8242" t="str">
            <v>2022</v>
          </cell>
        </row>
        <row r="8243">
          <cell r="D8243" t="str">
            <v>2024</v>
          </cell>
        </row>
        <row r="8244">
          <cell r="D8244" t="str">
            <v>2023</v>
          </cell>
        </row>
        <row r="8245">
          <cell r="D8245" t="str">
            <v>2022</v>
          </cell>
        </row>
        <row r="8246">
          <cell r="D8246" t="str">
            <v>2022</v>
          </cell>
        </row>
        <row r="8247">
          <cell r="D8247" t="str">
            <v>2024</v>
          </cell>
        </row>
        <row r="8248">
          <cell r="D8248" t="str">
            <v>2023</v>
          </cell>
        </row>
        <row r="8249">
          <cell r="D8249" t="str">
            <v>2023</v>
          </cell>
        </row>
        <row r="8250">
          <cell r="D8250" t="str">
            <v>2023</v>
          </cell>
        </row>
        <row r="8251">
          <cell r="D8251" t="str">
            <v>2023</v>
          </cell>
        </row>
        <row r="8252">
          <cell r="D8252" t="str">
            <v>2022</v>
          </cell>
        </row>
        <row r="8253">
          <cell r="D8253" t="str">
            <v>2023</v>
          </cell>
        </row>
        <row r="8254">
          <cell r="D8254" t="str">
            <v>2023</v>
          </cell>
        </row>
        <row r="8255">
          <cell r="D8255" t="str">
            <v>2023</v>
          </cell>
        </row>
        <row r="8256">
          <cell r="D8256" t="str">
            <v>2023</v>
          </cell>
        </row>
        <row r="8257">
          <cell r="D8257" t="str">
            <v>2023</v>
          </cell>
        </row>
        <row r="8258">
          <cell r="D8258" t="str">
            <v>2023</v>
          </cell>
        </row>
        <row r="8259">
          <cell r="D8259" t="str">
            <v>2023</v>
          </cell>
        </row>
        <row r="8260">
          <cell r="D8260" t="str">
            <v>2023</v>
          </cell>
        </row>
        <row r="8261">
          <cell r="D8261" t="str">
            <v>2023</v>
          </cell>
        </row>
        <row r="8262">
          <cell r="D8262" t="str">
            <v>2022</v>
          </cell>
        </row>
        <row r="8263">
          <cell r="D8263" t="str">
            <v>2024</v>
          </cell>
        </row>
        <row r="8264">
          <cell r="D8264" t="str">
            <v>2024</v>
          </cell>
        </row>
        <row r="8265">
          <cell r="D8265" t="str">
            <v>2023</v>
          </cell>
        </row>
        <row r="8266">
          <cell r="D8266" t="str">
            <v>2023</v>
          </cell>
        </row>
        <row r="8267">
          <cell r="D8267" t="str">
            <v>2022</v>
          </cell>
        </row>
        <row r="8268">
          <cell r="D8268" t="str">
            <v>2023</v>
          </cell>
        </row>
        <row r="8269">
          <cell r="D8269" t="str">
            <v>2023</v>
          </cell>
        </row>
        <row r="8270">
          <cell r="D8270" t="str">
            <v>2023</v>
          </cell>
        </row>
        <row r="8271">
          <cell r="D8271" t="str">
            <v>2023</v>
          </cell>
        </row>
        <row r="8272">
          <cell r="D8272" t="str">
            <v>2023</v>
          </cell>
        </row>
        <row r="8273">
          <cell r="D8273" t="str">
            <v>2022</v>
          </cell>
        </row>
        <row r="8274">
          <cell r="D8274" t="str">
            <v>2024</v>
          </cell>
        </row>
        <row r="8275">
          <cell r="D8275" t="str">
            <v>2023</v>
          </cell>
        </row>
        <row r="8276">
          <cell r="D8276" t="str">
            <v>2023</v>
          </cell>
        </row>
        <row r="8277">
          <cell r="D8277" t="str">
            <v>2023</v>
          </cell>
        </row>
        <row r="8278">
          <cell r="D8278" t="str">
            <v>2023</v>
          </cell>
        </row>
        <row r="8279">
          <cell r="D8279" t="str">
            <v>2023</v>
          </cell>
        </row>
        <row r="8280">
          <cell r="D8280" t="str">
            <v>2023</v>
          </cell>
        </row>
        <row r="8281">
          <cell r="D8281" t="str">
            <v>2023</v>
          </cell>
        </row>
        <row r="8282">
          <cell r="D8282" t="str">
            <v>2023</v>
          </cell>
        </row>
        <row r="8283">
          <cell r="D8283" t="str">
            <v>2022</v>
          </cell>
        </row>
        <row r="8284">
          <cell r="D8284" t="str">
            <v>2023</v>
          </cell>
        </row>
        <row r="8285">
          <cell r="D8285" t="str">
            <v>2022</v>
          </cell>
        </row>
        <row r="8286">
          <cell r="D8286" t="str">
            <v>2021</v>
          </cell>
        </row>
        <row r="8287">
          <cell r="D8287" t="str">
            <v>2023</v>
          </cell>
        </row>
        <row r="8288">
          <cell r="D8288" t="str">
            <v>2023</v>
          </cell>
        </row>
        <row r="8289">
          <cell r="D8289" t="str">
            <v>2023</v>
          </cell>
        </row>
        <row r="8290">
          <cell r="D8290" t="str">
            <v>2023</v>
          </cell>
        </row>
        <row r="8291">
          <cell r="D8291" t="str">
            <v>2022</v>
          </cell>
        </row>
        <row r="8292">
          <cell r="D8292" t="str">
            <v>2024</v>
          </cell>
        </row>
        <row r="8293">
          <cell r="D8293" t="str">
            <v>2023</v>
          </cell>
        </row>
        <row r="8294">
          <cell r="D8294" t="str">
            <v>2024</v>
          </cell>
        </row>
        <row r="8295">
          <cell r="D8295" t="str">
            <v>2024</v>
          </cell>
        </row>
        <row r="8296">
          <cell r="D8296" t="str">
            <v>2023</v>
          </cell>
        </row>
        <row r="8297">
          <cell r="D8297" t="str">
            <v>2023</v>
          </cell>
        </row>
        <row r="8298">
          <cell r="D8298" t="str">
            <v>2023</v>
          </cell>
        </row>
        <row r="8299">
          <cell r="D8299" t="str">
            <v>2022</v>
          </cell>
        </row>
        <row r="8300">
          <cell r="D8300" t="str">
            <v>2023</v>
          </cell>
        </row>
        <row r="8301">
          <cell r="D8301" t="str">
            <v>2021</v>
          </cell>
        </row>
        <row r="8302">
          <cell r="D8302" t="str">
            <v>2023</v>
          </cell>
        </row>
        <row r="8303">
          <cell r="D8303" t="str">
            <v>2023</v>
          </cell>
        </row>
        <row r="8304">
          <cell r="D8304" t="str">
            <v>2021</v>
          </cell>
        </row>
        <row r="8305">
          <cell r="D8305" t="str">
            <v>2023</v>
          </cell>
        </row>
        <row r="8306">
          <cell r="D8306" t="str">
            <v>2023</v>
          </cell>
        </row>
        <row r="8307">
          <cell r="D8307" t="str">
            <v>2023</v>
          </cell>
        </row>
        <row r="8308">
          <cell r="D8308" t="str">
            <v>2023</v>
          </cell>
        </row>
        <row r="8309">
          <cell r="D8309" t="str">
            <v>2023</v>
          </cell>
        </row>
        <row r="8310">
          <cell r="D8310" t="str">
            <v>2023</v>
          </cell>
        </row>
        <row r="8311">
          <cell r="D8311" t="str">
            <v>2023</v>
          </cell>
        </row>
        <row r="8312">
          <cell r="D8312" t="str">
            <v>2023</v>
          </cell>
        </row>
        <row r="8313">
          <cell r="D8313" t="str">
            <v>2023</v>
          </cell>
        </row>
        <row r="8314">
          <cell r="D8314" t="str">
            <v>2023</v>
          </cell>
        </row>
        <row r="8315">
          <cell r="D8315" t="str">
            <v>2023</v>
          </cell>
        </row>
        <row r="8316">
          <cell r="D8316" t="str">
            <v>2023</v>
          </cell>
        </row>
        <row r="8317">
          <cell r="D8317" t="str">
            <v>2022</v>
          </cell>
        </row>
        <row r="8318">
          <cell r="D8318" t="str">
            <v>2021</v>
          </cell>
        </row>
        <row r="8319">
          <cell r="D8319" t="str">
            <v>2023</v>
          </cell>
        </row>
        <row r="8320">
          <cell r="D8320" t="str">
            <v>2023</v>
          </cell>
        </row>
        <row r="8321">
          <cell r="D8321" t="str">
            <v>2023</v>
          </cell>
        </row>
        <row r="8322">
          <cell r="D8322" t="str">
            <v>2023</v>
          </cell>
        </row>
        <row r="8323">
          <cell r="D8323" t="str">
            <v>2023</v>
          </cell>
        </row>
        <row r="8324">
          <cell r="D8324" t="str">
            <v>2023</v>
          </cell>
        </row>
        <row r="8325">
          <cell r="D8325" t="str">
            <v>2023</v>
          </cell>
        </row>
        <row r="8326">
          <cell r="D8326" t="str">
            <v>2023</v>
          </cell>
        </row>
        <row r="8327">
          <cell r="D8327" t="str">
            <v>2023</v>
          </cell>
        </row>
        <row r="8328">
          <cell r="D8328" t="str">
            <v>2023</v>
          </cell>
        </row>
        <row r="8329">
          <cell r="D8329" t="str">
            <v>2023</v>
          </cell>
        </row>
        <row r="8330">
          <cell r="D8330" t="str">
            <v>2023</v>
          </cell>
        </row>
        <row r="8331">
          <cell r="D8331" t="str">
            <v>2023</v>
          </cell>
        </row>
        <row r="8332">
          <cell r="D8332" t="str">
            <v>2023</v>
          </cell>
        </row>
        <row r="8333">
          <cell r="D8333" t="str">
            <v>2023</v>
          </cell>
        </row>
        <row r="8334">
          <cell r="D8334" t="str">
            <v>2023</v>
          </cell>
        </row>
        <row r="8335">
          <cell r="D8335" t="str">
            <v>2021</v>
          </cell>
        </row>
        <row r="8336">
          <cell r="D8336" t="str">
            <v>2024</v>
          </cell>
        </row>
        <row r="8337">
          <cell r="D8337" t="str">
            <v>2023</v>
          </cell>
        </row>
        <row r="8338">
          <cell r="D8338" t="str">
            <v>2023</v>
          </cell>
        </row>
        <row r="8339">
          <cell r="D8339" t="str">
            <v>2022</v>
          </cell>
        </row>
        <row r="8340">
          <cell r="D8340" t="str">
            <v>2023</v>
          </cell>
        </row>
        <row r="8341">
          <cell r="D8341" t="str">
            <v>2023</v>
          </cell>
        </row>
        <row r="8342">
          <cell r="D8342" t="str">
            <v>2023</v>
          </cell>
        </row>
        <row r="8343">
          <cell r="D8343" t="str">
            <v>2023</v>
          </cell>
        </row>
        <row r="8344">
          <cell r="D8344" t="str">
            <v>2023</v>
          </cell>
        </row>
        <row r="8345">
          <cell r="D8345" t="str">
            <v>2023</v>
          </cell>
        </row>
        <row r="8346">
          <cell r="D8346" t="str">
            <v>2023</v>
          </cell>
        </row>
        <row r="8347">
          <cell r="D8347" t="str">
            <v>2023</v>
          </cell>
        </row>
        <row r="8348">
          <cell r="D8348" t="str">
            <v>2022</v>
          </cell>
        </row>
        <row r="8349">
          <cell r="D8349" t="str">
            <v>2023</v>
          </cell>
        </row>
        <row r="8350">
          <cell r="D8350" t="str">
            <v>2023</v>
          </cell>
        </row>
        <row r="8351">
          <cell r="D8351" t="str">
            <v>2023</v>
          </cell>
        </row>
        <row r="8352">
          <cell r="D8352" t="str">
            <v>2023</v>
          </cell>
        </row>
        <row r="8353">
          <cell r="D8353" t="str">
            <v>2023</v>
          </cell>
        </row>
        <row r="8354">
          <cell r="D8354" t="str">
            <v>2023</v>
          </cell>
        </row>
        <row r="8355">
          <cell r="D8355" t="str">
            <v>2023</v>
          </cell>
        </row>
        <row r="8356">
          <cell r="D8356" t="str">
            <v>2023</v>
          </cell>
        </row>
        <row r="8357">
          <cell r="D8357" t="str">
            <v>2023</v>
          </cell>
        </row>
        <row r="8358">
          <cell r="D8358" t="str">
            <v>2023</v>
          </cell>
        </row>
        <row r="8359">
          <cell r="D8359" t="str">
            <v>2023</v>
          </cell>
        </row>
        <row r="8360">
          <cell r="D8360" t="str">
            <v>2023</v>
          </cell>
        </row>
        <row r="8361">
          <cell r="D8361" t="str">
            <v>2024</v>
          </cell>
        </row>
        <row r="8362">
          <cell r="D8362" t="str">
            <v>2024</v>
          </cell>
        </row>
        <row r="8363">
          <cell r="D8363" t="str">
            <v>2023</v>
          </cell>
        </row>
        <row r="8364">
          <cell r="D8364" t="str">
            <v>2023</v>
          </cell>
        </row>
        <row r="8365">
          <cell r="D8365" t="str">
            <v>2023</v>
          </cell>
        </row>
        <row r="8366">
          <cell r="D8366" t="str">
            <v>2023</v>
          </cell>
        </row>
        <row r="8367">
          <cell r="D8367" t="str">
            <v>2022</v>
          </cell>
        </row>
        <row r="8368">
          <cell r="D8368" t="str">
            <v>2022</v>
          </cell>
        </row>
        <row r="8369">
          <cell r="D8369" t="str">
            <v>2023</v>
          </cell>
        </row>
        <row r="8370">
          <cell r="D8370" t="str">
            <v>2022</v>
          </cell>
        </row>
        <row r="8371">
          <cell r="D8371" t="str">
            <v>2023</v>
          </cell>
        </row>
        <row r="8372">
          <cell r="D8372" t="str">
            <v>2023</v>
          </cell>
        </row>
        <row r="8373">
          <cell r="D8373" t="str">
            <v>2023</v>
          </cell>
        </row>
        <row r="8374">
          <cell r="D8374" t="str">
            <v>2023</v>
          </cell>
        </row>
        <row r="8375">
          <cell r="D8375" t="str">
            <v>2023</v>
          </cell>
        </row>
        <row r="8376">
          <cell r="D8376" t="str">
            <v>2023</v>
          </cell>
        </row>
        <row r="8377">
          <cell r="D8377" t="str">
            <v>2023</v>
          </cell>
        </row>
        <row r="8378">
          <cell r="D8378" t="str">
            <v>2024</v>
          </cell>
        </row>
        <row r="8379">
          <cell r="D8379" t="str">
            <v>2024</v>
          </cell>
        </row>
        <row r="8380">
          <cell r="D8380" t="str">
            <v>2023</v>
          </cell>
        </row>
        <row r="8381">
          <cell r="D8381" t="str">
            <v>2023</v>
          </cell>
        </row>
        <row r="8382">
          <cell r="D8382" t="str">
            <v>2023</v>
          </cell>
        </row>
        <row r="8383">
          <cell r="D8383" t="str">
            <v>2023</v>
          </cell>
        </row>
        <row r="8384">
          <cell r="D8384" t="str">
            <v>2023</v>
          </cell>
        </row>
        <row r="8385">
          <cell r="D8385" t="str">
            <v>2023</v>
          </cell>
        </row>
        <row r="8386">
          <cell r="D8386" t="str">
            <v>2023</v>
          </cell>
        </row>
        <row r="8387">
          <cell r="D8387" t="str">
            <v>2024</v>
          </cell>
        </row>
        <row r="8388">
          <cell r="D8388" t="str">
            <v>2023</v>
          </cell>
        </row>
        <row r="8389">
          <cell r="D8389" t="str">
            <v>2023</v>
          </cell>
        </row>
        <row r="8390">
          <cell r="D8390" t="str">
            <v>2023</v>
          </cell>
        </row>
        <row r="8391">
          <cell r="D8391" t="str">
            <v>2023</v>
          </cell>
        </row>
        <row r="8392">
          <cell r="D8392" t="str">
            <v>2023</v>
          </cell>
        </row>
        <row r="8393">
          <cell r="D8393" t="str">
            <v>2022</v>
          </cell>
        </row>
        <row r="8394">
          <cell r="D8394" t="str">
            <v>2024</v>
          </cell>
        </row>
        <row r="8395">
          <cell r="D8395" t="str">
            <v>2023</v>
          </cell>
        </row>
        <row r="8396">
          <cell r="D8396" t="str">
            <v>2023</v>
          </cell>
        </row>
        <row r="8397">
          <cell r="D8397" t="str">
            <v>2023</v>
          </cell>
        </row>
        <row r="8398">
          <cell r="D8398" t="str">
            <v>2023</v>
          </cell>
        </row>
        <row r="8399">
          <cell r="D8399" t="str">
            <v>2023</v>
          </cell>
        </row>
        <row r="8400">
          <cell r="D8400" t="str">
            <v>2023</v>
          </cell>
        </row>
        <row r="8401">
          <cell r="D8401" t="str">
            <v>2021</v>
          </cell>
        </row>
        <row r="8402">
          <cell r="D8402" t="str">
            <v>2023</v>
          </cell>
        </row>
        <row r="8403">
          <cell r="D8403" t="str">
            <v>2023</v>
          </cell>
        </row>
        <row r="8404">
          <cell r="D8404" t="str">
            <v>2022</v>
          </cell>
        </row>
        <row r="8405">
          <cell r="D8405" t="str">
            <v>2023</v>
          </cell>
        </row>
        <row r="8406">
          <cell r="D8406" t="str">
            <v>2023</v>
          </cell>
        </row>
        <row r="8407">
          <cell r="D8407" t="str">
            <v>2022</v>
          </cell>
        </row>
        <row r="8408">
          <cell r="D8408" t="str">
            <v>2023</v>
          </cell>
        </row>
        <row r="8409">
          <cell r="D8409" t="str">
            <v>2023</v>
          </cell>
        </row>
        <row r="8410">
          <cell r="D8410" t="str">
            <v>2023</v>
          </cell>
        </row>
        <row r="8411">
          <cell r="D8411" t="str">
            <v>2023</v>
          </cell>
        </row>
        <row r="8412">
          <cell r="D8412" t="str">
            <v>2023</v>
          </cell>
        </row>
        <row r="8413">
          <cell r="D8413" t="str">
            <v>2023</v>
          </cell>
        </row>
        <row r="8414">
          <cell r="D8414" t="str">
            <v>2023</v>
          </cell>
        </row>
        <row r="8415">
          <cell r="D8415" t="str">
            <v>2023</v>
          </cell>
        </row>
        <row r="8416">
          <cell r="D8416" t="str">
            <v>2023</v>
          </cell>
        </row>
        <row r="8417">
          <cell r="D8417" t="str">
            <v>2023</v>
          </cell>
        </row>
        <row r="8418">
          <cell r="D8418" t="str">
            <v>2023</v>
          </cell>
        </row>
        <row r="8419">
          <cell r="D8419" t="str">
            <v>2021</v>
          </cell>
        </row>
        <row r="8420">
          <cell r="D8420" t="str">
            <v>2023</v>
          </cell>
        </row>
        <row r="8421">
          <cell r="D8421" t="str">
            <v>2022</v>
          </cell>
        </row>
        <row r="8422">
          <cell r="D8422" t="str">
            <v>2023</v>
          </cell>
        </row>
        <row r="8423">
          <cell r="D8423" t="str">
            <v>2023</v>
          </cell>
        </row>
        <row r="8424">
          <cell r="D8424" t="str">
            <v>2023</v>
          </cell>
        </row>
        <row r="8425">
          <cell r="D8425" t="str">
            <v>2023</v>
          </cell>
        </row>
        <row r="8426">
          <cell r="D8426" t="str">
            <v>2023</v>
          </cell>
        </row>
        <row r="8427">
          <cell r="D8427" t="str">
            <v>2024</v>
          </cell>
        </row>
        <row r="8428">
          <cell r="D8428" t="str">
            <v>2023</v>
          </cell>
        </row>
        <row r="8429">
          <cell r="D8429" t="str">
            <v>2023</v>
          </cell>
        </row>
        <row r="8430">
          <cell r="D8430" t="str">
            <v>2022</v>
          </cell>
        </row>
        <row r="8431">
          <cell r="D8431" t="str">
            <v>2023</v>
          </cell>
        </row>
        <row r="8432">
          <cell r="D8432" t="str">
            <v>2023</v>
          </cell>
        </row>
        <row r="8433">
          <cell r="D8433" t="str">
            <v>2023</v>
          </cell>
        </row>
        <row r="8434">
          <cell r="D8434" t="str">
            <v>2023</v>
          </cell>
        </row>
        <row r="8435">
          <cell r="D8435" t="str">
            <v>2023</v>
          </cell>
        </row>
        <row r="8436">
          <cell r="D8436" t="str">
            <v>2023</v>
          </cell>
        </row>
        <row r="8437">
          <cell r="D8437" t="str">
            <v>2023</v>
          </cell>
        </row>
        <row r="8438">
          <cell r="D8438" t="str">
            <v>2023</v>
          </cell>
        </row>
        <row r="8439">
          <cell r="D8439" t="str">
            <v>2023</v>
          </cell>
        </row>
        <row r="8440">
          <cell r="D8440" t="str">
            <v>2023</v>
          </cell>
        </row>
        <row r="8441">
          <cell r="D8441" t="str">
            <v>2023</v>
          </cell>
        </row>
        <row r="8442">
          <cell r="D8442" t="str">
            <v>2023</v>
          </cell>
        </row>
        <row r="8443">
          <cell r="D8443" t="str">
            <v>2023</v>
          </cell>
        </row>
        <row r="8444">
          <cell r="D8444" t="str">
            <v>2022</v>
          </cell>
        </row>
        <row r="8445">
          <cell r="D8445" t="str">
            <v>2024</v>
          </cell>
        </row>
        <row r="8446">
          <cell r="D8446" t="str">
            <v>2023</v>
          </cell>
        </row>
        <row r="8447">
          <cell r="D8447" t="str">
            <v>2023</v>
          </cell>
        </row>
        <row r="8448">
          <cell r="D8448" t="str">
            <v>2023</v>
          </cell>
        </row>
        <row r="8449">
          <cell r="D8449" t="str">
            <v>2023</v>
          </cell>
        </row>
        <row r="8450">
          <cell r="D8450" t="str">
            <v>2023</v>
          </cell>
        </row>
        <row r="8451">
          <cell r="D8451" t="str">
            <v>2023</v>
          </cell>
        </row>
        <row r="8452">
          <cell r="D8452" t="str">
            <v>2022</v>
          </cell>
        </row>
        <row r="8453">
          <cell r="D8453" t="str">
            <v>2023</v>
          </cell>
        </row>
        <row r="8454">
          <cell r="D8454" t="str">
            <v>2023</v>
          </cell>
        </row>
        <row r="8455">
          <cell r="D8455" t="str">
            <v>2023</v>
          </cell>
        </row>
        <row r="8456">
          <cell r="D8456" t="str">
            <v>2021</v>
          </cell>
        </row>
        <row r="8457">
          <cell r="D8457" t="str">
            <v>2023</v>
          </cell>
        </row>
        <row r="8458">
          <cell r="D8458" t="str">
            <v>2023</v>
          </cell>
        </row>
        <row r="8459">
          <cell r="D8459" t="str">
            <v>2023</v>
          </cell>
        </row>
        <row r="8460">
          <cell r="D8460" t="str">
            <v>2022</v>
          </cell>
        </row>
        <row r="8461">
          <cell r="D8461" t="str">
            <v>2023</v>
          </cell>
        </row>
        <row r="8462">
          <cell r="D8462" t="str">
            <v>2023</v>
          </cell>
        </row>
        <row r="8463">
          <cell r="D8463" t="str">
            <v>2023</v>
          </cell>
        </row>
        <row r="8464">
          <cell r="D8464" t="str">
            <v>2022</v>
          </cell>
        </row>
        <row r="8465">
          <cell r="D8465" t="str">
            <v>2023</v>
          </cell>
        </row>
        <row r="8466">
          <cell r="D8466" t="str">
            <v>2023</v>
          </cell>
        </row>
        <row r="8467">
          <cell r="D8467" t="str">
            <v>2022</v>
          </cell>
        </row>
        <row r="8468">
          <cell r="D8468" t="str">
            <v>2023</v>
          </cell>
        </row>
        <row r="8469">
          <cell r="D8469" t="str">
            <v>2023</v>
          </cell>
        </row>
        <row r="8470">
          <cell r="D8470" t="str">
            <v>2023</v>
          </cell>
        </row>
        <row r="8471">
          <cell r="D8471" t="str">
            <v>2023</v>
          </cell>
        </row>
        <row r="8472">
          <cell r="D8472" t="str">
            <v>2023</v>
          </cell>
        </row>
        <row r="8473">
          <cell r="D8473" t="str">
            <v>2023</v>
          </cell>
        </row>
        <row r="8474">
          <cell r="D8474" t="str">
            <v>2023</v>
          </cell>
        </row>
        <row r="8475">
          <cell r="D8475" t="str">
            <v>2023</v>
          </cell>
        </row>
        <row r="8476">
          <cell r="D8476" t="str">
            <v>2023</v>
          </cell>
        </row>
        <row r="8477">
          <cell r="D8477" t="str">
            <v>2022</v>
          </cell>
        </row>
        <row r="8478">
          <cell r="D8478" t="str">
            <v>2023</v>
          </cell>
        </row>
        <row r="8479">
          <cell r="D8479" t="str">
            <v>2023</v>
          </cell>
        </row>
        <row r="8480">
          <cell r="D8480" t="str">
            <v>2023</v>
          </cell>
        </row>
        <row r="8481">
          <cell r="D8481" t="str">
            <v>2024</v>
          </cell>
        </row>
        <row r="8482">
          <cell r="D8482" t="str">
            <v>2023</v>
          </cell>
        </row>
        <row r="8483">
          <cell r="D8483" t="str">
            <v>2023</v>
          </cell>
        </row>
        <row r="8484">
          <cell r="D8484" t="str">
            <v>2023</v>
          </cell>
        </row>
        <row r="8485">
          <cell r="D8485" t="str">
            <v>2023</v>
          </cell>
        </row>
        <row r="8486">
          <cell r="D8486" t="str">
            <v>2023</v>
          </cell>
        </row>
        <row r="8487">
          <cell r="D8487" t="str">
            <v>2023</v>
          </cell>
        </row>
        <row r="8488">
          <cell r="D8488" t="str">
            <v>2023</v>
          </cell>
        </row>
        <row r="8489">
          <cell r="D8489" t="str">
            <v>2023</v>
          </cell>
        </row>
        <row r="8490">
          <cell r="D8490" t="str">
            <v>2023</v>
          </cell>
        </row>
        <row r="8491">
          <cell r="D8491" t="str">
            <v>2023</v>
          </cell>
        </row>
        <row r="8492">
          <cell r="D8492" t="str">
            <v>2021</v>
          </cell>
        </row>
        <row r="8493">
          <cell r="D8493" t="str">
            <v>2023</v>
          </cell>
        </row>
        <row r="8494">
          <cell r="D8494" t="str">
            <v>2023</v>
          </cell>
        </row>
        <row r="8495">
          <cell r="D8495" t="str">
            <v>2023</v>
          </cell>
        </row>
        <row r="8496">
          <cell r="D8496" t="str">
            <v>2023</v>
          </cell>
        </row>
        <row r="8497">
          <cell r="D8497" t="str">
            <v>2023</v>
          </cell>
        </row>
        <row r="8498">
          <cell r="D8498" t="str">
            <v>2023</v>
          </cell>
        </row>
        <row r="8499">
          <cell r="D8499" t="str">
            <v>2024</v>
          </cell>
        </row>
        <row r="8500">
          <cell r="D8500" t="str">
            <v>2023</v>
          </cell>
        </row>
        <row r="8501">
          <cell r="D8501" t="str">
            <v>2023</v>
          </cell>
        </row>
        <row r="8502">
          <cell r="D8502" t="str">
            <v>2023</v>
          </cell>
        </row>
        <row r="8503">
          <cell r="D8503" t="str">
            <v>2023</v>
          </cell>
        </row>
        <row r="8504">
          <cell r="D8504" t="str">
            <v>2023</v>
          </cell>
        </row>
        <row r="8505">
          <cell r="D8505" t="str">
            <v>2023</v>
          </cell>
        </row>
        <row r="8506">
          <cell r="D8506" t="str">
            <v>2023</v>
          </cell>
        </row>
        <row r="8507">
          <cell r="D8507" t="str">
            <v>2022</v>
          </cell>
        </row>
        <row r="8508">
          <cell r="D8508" t="str">
            <v>2023</v>
          </cell>
        </row>
        <row r="8509">
          <cell r="D8509" t="str">
            <v>2023</v>
          </cell>
        </row>
        <row r="8510">
          <cell r="D8510" t="str">
            <v>2023</v>
          </cell>
        </row>
        <row r="8511">
          <cell r="D8511" t="str">
            <v>2023</v>
          </cell>
        </row>
        <row r="8512">
          <cell r="D8512" t="str">
            <v>2023</v>
          </cell>
        </row>
        <row r="8513">
          <cell r="D8513" t="str">
            <v>2023</v>
          </cell>
        </row>
        <row r="8514">
          <cell r="D8514" t="str">
            <v>2023</v>
          </cell>
        </row>
        <row r="8515">
          <cell r="D8515" t="str">
            <v>2023</v>
          </cell>
        </row>
        <row r="8516">
          <cell r="D8516" t="str">
            <v>2022</v>
          </cell>
        </row>
        <row r="8517">
          <cell r="D8517" t="str">
            <v>2023</v>
          </cell>
        </row>
        <row r="8518">
          <cell r="D8518" t="str">
            <v>2023</v>
          </cell>
        </row>
        <row r="8519">
          <cell r="D8519" t="str">
            <v>2022</v>
          </cell>
        </row>
        <row r="8520">
          <cell r="D8520" t="str">
            <v>2022</v>
          </cell>
        </row>
        <row r="8521">
          <cell r="D8521" t="str">
            <v>2024</v>
          </cell>
        </row>
        <row r="8522">
          <cell r="D8522" t="str">
            <v>2023</v>
          </cell>
        </row>
        <row r="8523">
          <cell r="D8523" t="str">
            <v>2023</v>
          </cell>
        </row>
        <row r="8524">
          <cell r="D8524" t="str">
            <v>2023</v>
          </cell>
        </row>
        <row r="8525">
          <cell r="D8525" t="str">
            <v>2023</v>
          </cell>
        </row>
        <row r="8526">
          <cell r="D8526" t="str">
            <v>2023</v>
          </cell>
        </row>
        <row r="8527">
          <cell r="D8527" t="str">
            <v>2023</v>
          </cell>
        </row>
        <row r="8528">
          <cell r="D8528" t="str">
            <v>2023</v>
          </cell>
        </row>
        <row r="8529">
          <cell r="D8529" t="str">
            <v>2023</v>
          </cell>
        </row>
        <row r="8530">
          <cell r="D8530" t="str">
            <v>2023</v>
          </cell>
        </row>
        <row r="8531">
          <cell r="D8531" t="str">
            <v>2023</v>
          </cell>
        </row>
        <row r="8532">
          <cell r="D8532" t="str">
            <v>2021</v>
          </cell>
        </row>
        <row r="8533">
          <cell r="D8533" t="str">
            <v>2023</v>
          </cell>
        </row>
        <row r="8534">
          <cell r="D8534" t="str">
            <v>2023</v>
          </cell>
        </row>
        <row r="8535">
          <cell r="D8535" t="str">
            <v>2023</v>
          </cell>
        </row>
        <row r="8536">
          <cell r="D8536" t="str">
            <v>2022</v>
          </cell>
        </row>
        <row r="8537">
          <cell r="D8537" t="str">
            <v>2022</v>
          </cell>
        </row>
        <row r="8538">
          <cell r="D8538" t="str">
            <v>2022</v>
          </cell>
        </row>
        <row r="8539">
          <cell r="D8539" t="str">
            <v>2022</v>
          </cell>
        </row>
        <row r="8540">
          <cell r="D8540" t="str">
            <v>2023</v>
          </cell>
        </row>
        <row r="8541">
          <cell r="D8541" t="str">
            <v>2023</v>
          </cell>
        </row>
        <row r="8542">
          <cell r="D8542" t="str">
            <v>2023</v>
          </cell>
        </row>
        <row r="8543">
          <cell r="D8543" t="str">
            <v>2023</v>
          </cell>
        </row>
        <row r="8544">
          <cell r="D8544" t="str">
            <v>2023</v>
          </cell>
        </row>
        <row r="8545">
          <cell r="D8545" t="str">
            <v>2023</v>
          </cell>
        </row>
        <row r="8546">
          <cell r="D8546" t="str">
            <v>2023</v>
          </cell>
        </row>
        <row r="8547">
          <cell r="D8547" t="str">
            <v>2024</v>
          </cell>
        </row>
        <row r="8548">
          <cell r="D8548" t="str">
            <v>2023</v>
          </cell>
        </row>
        <row r="8549">
          <cell r="D8549" t="str">
            <v>2023</v>
          </cell>
        </row>
        <row r="8550">
          <cell r="D8550" t="str">
            <v>2023</v>
          </cell>
        </row>
        <row r="8551">
          <cell r="D8551" t="str">
            <v>2023</v>
          </cell>
        </row>
        <row r="8552">
          <cell r="D8552" t="str">
            <v>2022</v>
          </cell>
        </row>
        <row r="8553">
          <cell r="D8553" t="str">
            <v>2022</v>
          </cell>
        </row>
        <row r="8554">
          <cell r="D8554" t="str">
            <v>2024</v>
          </cell>
        </row>
        <row r="8555">
          <cell r="D8555" t="str">
            <v>2023</v>
          </cell>
        </row>
        <row r="8556">
          <cell r="D8556" t="str">
            <v>2023</v>
          </cell>
        </row>
        <row r="8557">
          <cell r="D8557" t="str">
            <v>2023</v>
          </cell>
        </row>
        <row r="8558">
          <cell r="D8558" t="str">
            <v>2023</v>
          </cell>
        </row>
        <row r="8559">
          <cell r="D8559" t="str">
            <v>2023</v>
          </cell>
        </row>
        <row r="8560">
          <cell r="D8560" t="str">
            <v>2023</v>
          </cell>
        </row>
        <row r="8561">
          <cell r="D8561" t="str">
            <v>2023</v>
          </cell>
        </row>
        <row r="8562">
          <cell r="D8562" t="str">
            <v>2023</v>
          </cell>
        </row>
        <row r="8563">
          <cell r="D8563" t="str">
            <v>2023</v>
          </cell>
        </row>
        <row r="8564">
          <cell r="D8564" t="str">
            <v>2023</v>
          </cell>
        </row>
        <row r="8565">
          <cell r="D8565" t="str">
            <v>2023</v>
          </cell>
        </row>
        <row r="8566">
          <cell r="D8566" t="str">
            <v>2023</v>
          </cell>
        </row>
        <row r="8567">
          <cell r="D8567" t="str">
            <v>2023</v>
          </cell>
        </row>
        <row r="8568">
          <cell r="D8568" t="str">
            <v>2023</v>
          </cell>
        </row>
        <row r="8569">
          <cell r="D8569" t="str">
            <v>2023</v>
          </cell>
        </row>
        <row r="8570">
          <cell r="D8570" t="str">
            <v>2023</v>
          </cell>
        </row>
        <row r="8571">
          <cell r="D8571" t="str">
            <v>2023</v>
          </cell>
        </row>
        <row r="8572">
          <cell r="D8572" t="str">
            <v>2023</v>
          </cell>
        </row>
        <row r="8573">
          <cell r="D8573" t="str">
            <v>2023</v>
          </cell>
        </row>
        <row r="8574">
          <cell r="D8574" t="str">
            <v>2023</v>
          </cell>
        </row>
        <row r="8575">
          <cell r="D8575" t="str">
            <v>2023</v>
          </cell>
        </row>
        <row r="8576">
          <cell r="D8576" t="str">
            <v>2023</v>
          </cell>
        </row>
        <row r="8577">
          <cell r="D8577" t="str">
            <v>2022</v>
          </cell>
        </row>
        <row r="8578">
          <cell r="D8578" t="str">
            <v>2023</v>
          </cell>
        </row>
        <row r="8579">
          <cell r="D8579" t="str">
            <v>2023</v>
          </cell>
        </row>
        <row r="8580">
          <cell r="D8580" t="str">
            <v>2022</v>
          </cell>
        </row>
        <row r="8581">
          <cell r="D8581" t="str">
            <v>2023</v>
          </cell>
        </row>
        <row r="8582">
          <cell r="D8582" t="str">
            <v>2023</v>
          </cell>
        </row>
        <row r="8583">
          <cell r="D8583" t="str">
            <v>2023</v>
          </cell>
        </row>
        <row r="8584">
          <cell r="D8584" t="str">
            <v>2023</v>
          </cell>
        </row>
        <row r="8585">
          <cell r="D8585" t="str">
            <v>2023</v>
          </cell>
        </row>
        <row r="8586">
          <cell r="D8586" t="str">
            <v>2023</v>
          </cell>
        </row>
        <row r="8587">
          <cell r="D8587" t="str">
            <v>2023</v>
          </cell>
        </row>
        <row r="8588">
          <cell r="D8588" t="str">
            <v>2023</v>
          </cell>
        </row>
        <row r="8589">
          <cell r="D8589" t="str">
            <v>2023</v>
          </cell>
        </row>
        <row r="8590">
          <cell r="D8590" t="str">
            <v>2023</v>
          </cell>
        </row>
        <row r="8591">
          <cell r="D8591" t="str">
            <v>2023</v>
          </cell>
        </row>
        <row r="8592">
          <cell r="D8592" t="str">
            <v>2023</v>
          </cell>
        </row>
        <row r="8593">
          <cell r="D8593" t="str">
            <v>2023</v>
          </cell>
        </row>
        <row r="8594">
          <cell r="D8594" t="str">
            <v>2023</v>
          </cell>
        </row>
        <row r="8595">
          <cell r="D8595" t="str">
            <v>2023</v>
          </cell>
        </row>
        <row r="8596">
          <cell r="D8596" t="str">
            <v>2023</v>
          </cell>
        </row>
        <row r="8597">
          <cell r="D8597" t="str">
            <v>2023</v>
          </cell>
        </row>
        <row r="8598">
          <cell r="D8598" t="str">
            <v>2023</v>
          </cell>
        </row>
        <row r="8599">
          <cell r="D8599" t="str">
            <v>2023</v>
          </cell>
        </row>
        <row r="8600">
          <cell r="D8600" t="str">
            <v>2023</v>
          </cell>
        </row>
        <row r="8601">
          <cell r="D8601" t="str">
            <v>2022</v>
          </cell>
        </row>
        <row r="8602">
          <cell r="D8602" t="str">
            <v>2021</v>
          </cell>
        </row>
        <row r="8603">
          <cell r="D8603" t="str">
            <v>2023</v>
          </cell>
        </row>
        <row r="8604">
          <cell r="D8604" t="str">
            <v>2023</v>
          </cell>
        </row>
        <row r="8605">
          <cell r="D8605" t="str">
            <v>2023</v>
          </cell>
        </row>
        <row r="8606">
          <cell r="D8606" t="str">
            <v>2023</v>
          </cell>
        </row>
        <row r="8607">
          <cell r="D8607" t="str">
            <v>2023</v>
          </cell>
        </row>
        <row r="8608">
          <cell r="D8608" t="str">
            <v>2022</v>
          </cell>
        </row>
        <row r="8609">
          <cell r="D8609" t="str">
            <v>2023</v>
          </cell>
        </row>
        <row r="8610">
          <cell r="D8610" t="str">
            <v>2023</v>
          </cell>
        </row>
        <row r="8611">
          <cell r="D8611" t="str">
            <v>2022</v>
          </cell>
        </row>
        <row r="8612">
          <cell r="D8612" t="str">
            <v>2022</v>
          </cell>
        </row>
        <row r="8613">
          <cell r="D8613" t="str">
            <v>2022</v>
          </cell>
        </row>
        <row r="8614">
          <cell r="D8614" t="str">
            <v>2023</v>
          </cell>
        </row>
        <row r="8615">
          <cell r="D8615" t="str">
            <v>2022</v>
          </cell>
        </row>
        <row r="8616">
          <cell r="D8616" t="str">
            <v>2023</v>
          </cell>
        </row>
        <row r="8617">
          <cell r="D8617" t="str">
            <v>2023</v>
          </cell>
        </row>
        <row r="8618">
          <cell r="D8618" t="str">
            <v>2023</v>
          </cell>
        </row>
        <row r="8619">
          <cell r="D8619" t="str">
            <v>2022</v>
          </cell>
        </row>
        <row r="8620">
          <cell r="D8620" t="str">
            <v>2024</v>
          </cell>
        </row>
        <row r="8621">
          <cell r="D8621" t="str">
            <v>2023</v>
          </cell>
        </row>
        <row r="8622">
          <cell r="D8622" t="str">
            <v>2023</v>
          </cell>
        </row>
        <row r="8623">
          <cell r="D8623" t="str">
            <v>2023</v>
          </cell>
        </row>
        <row r="8624">
          <cell r="D8624" t="str">
            <v>2023</v>
          </cell>
        </row>
        <row r="8625">
          <cell r="D8625" t="str">
            <v>2023</v>
          </cell>
        </row>
        <row r="8626">
          <cell r="D8626" t="str">
            <v>2023</v>
          </cell>
        </row>
        <row r="8627">
          <cell r="D8627" t="str">
            <v>2023</v>
          </cell>
        </row>
        <row r="8628">
          <cell r="D8628" t="str">
            <v>2024</v>
          </cell>
        </row>
        <row r="8629">
          <cell r="D8629" t="str">
            <v>2023</v>
          </cell>
        </row>
        <row r="8630">
          <cell r="D8630" t="str">
            <v>2022</v>
          </cell>
        </row>
        <row r="8631">
          <cell r="D8631" t="str">
            <v>2022</v>
          </cell>
        </row>
        <row r="8632">
          <cell r="D8632" t="str">
            <v>2023</v>
          </cell>
        </row>
        <row r="8633">
          <cell r="D8633" t="str">
            <v>2023</v>
          </cell>
        </row>
        <row r="8634">
          <cell r="D8634" t="str">
            <v>2023</v>
          </cell>
        </row>
        <row r="8635">
          <cell r="D8635" t="str">
            <v>2023</v>
          </cell>
        </row>
        <row r="8636">
          <cell r="D8636" t="str">
            <v>2023</v>
          </cell>
        </row>
        <row r="8637">
          <cell r="D8637" t="str">
            <v>2023</v>
          </cell>
        </row>
        <row r="8638">
          <cell r="D8638" t="str">
            <v>2023</v>
          </cell>
        </row>
        <row r="8639">
          <cell r="D8639" t="str">
            <v>2023</v>
          </cell>
        </row>
        <row r="8640">
          <cell r="D8640" t="str">
            <v>2022</v>
          </cell>
        </row>
        <row r="8641">
          <cell r="D8641" t="str">
            <v>2023</v>
          </cell>
        </row>
        <row r="8642">
          <cell r="D8642" t="str">
            <v>2022</v>
          </cell>
        </row>
        <row r="8643">
          <cell r="D8643" t="str">
            <v>2024</v>
          </cell>
        </row>
        <row r="8644">
          <cell r="D8644" t="str">
            <v>2023</v>
          </cell>
        </row>
        <row r="8645">
          <cell r="D8645" t="str">
            <v>2023</v>
          </cell>
        </row>
        <row r="8646">
          <cell r="D8646" t="str">
            <v>2023</v>
          </cell>
        </row>
        <row r="8647">
          <cell r="D8647" t="str">
            <v>2022</v>
          </cell>
        </row>
        <row r="8648">
          <cell r="D8648" t="str">
            <v>2022</v>
          </cell>
        </row>
        <row r="8649">
          <cell r="D8649" t="str">
            <v>2023</v>
          </cell>
        </row>
        <row r="8650">
          <cell r="D8650" t="str">
            <v>2023</v>
          </cell>
        </row>
        <row r="8651">
          <cell r="D8651" t="str">
            <v>2023</v>
          </cell>
        </row>
        <row r="8652">
          <cell r="D8652" t="str">
            <v>2023</v>
          </cell>
        </row>
        <row r="8653">
          <cell r="D8653" t="str">
            <v>2023</v>
          </cell>
        </row>
        <row r="8654">
          <cell r="D8654" t="str">
            <v>2023</v>
          </cell>
        </row>
        <row r="8655">
          <cell r="D8655" t="str">
            <v>2023</v>
          </cell>
        </row>
        <row r="8656">
          <cell r="D8656" t="str">
            <v>2023</v>
          </cell>
        </row>
        <row r="8657">
          <cell r="D8657" t="str">
            <v>2023</v>
          </cell>
        </row>
        <row r="8658">
          <cell r="D8658" t="str">
            <v>2023</v>
          </cell>
        </row>
        <row r="8659">
          <cell r="D8659" t="str">
            <v>2021</v>
          </cell>
        </row>
        <row r="8660">
          <cell r="D8660" t="str">
            <v>2023</v>
          </cell>
        </row>
        <row r="8661">
          <cell r="D8661" t="str">
            <v>2023</v>
          </cell>
        </row>
        <row r="8662">
          <cell r="D8662" t="str">
            <v>2024</v>
          </cell>
        </row>
        <row r="8663">
          <cell r="D8663" t="str">
            <v>2023</v>
          </cell>
        </row>
        <row r="8664">
          <cell r="D8664" t="str">
            <v>2023</v>
          </cell>
        </row>
        <row r="8665">
          <cell r="D8665" t="str">
            <v>2023</v>
          </cell>
        </row>
        <row r="8666">
          <cell r="D8666" t="str">
            <v>2023</v>
          </cell>
        </row>
        <row r="8667">
          <cell r="D8667" t="str">
            <v>2022</v>
          </cell>
        </row>
        <row r="8668">
          <cell r="D8668" t="str">
            <v>2023</v>
          </cell>
        </row>
        <row r="8669">
          <cell r="D8669" t="str">
            <v>2023</v>
          </cell>
        </row>
        <row r="8670">
          <cell r="D8670" t="str">
            <v>2022</v>
          </cell>
        </row>
        <row r="8671">
          <cell r="D8671" t="str">
            <v>2023</v>
          </cell>
        </row>
        <row r="8672">
          <cell r="D8672" t="str">
            <v>2023</v>
          </cell>
        </row>
        <row r="8673">
          <cell r="D8673" t="str">
            <v>2023</v>
          </cell>
        </row>
        <row r="8674">
          <cell r="D8674" t="str">
            <v>2023</v>
          </cell>
        </row>
        <row r="8675">
          <cell r="D8675" t="str">
            <v>2022</v>
          </cell>
        </row>
        <row r="8676">
          <cell r="D8676" t="str">
            <v>2023</v>
          </cell>
        </row>
        <row r="8677">
          <cell r="D8677" t="str">
            <v>2023</v>
          </cell>
        </row>
        <row r="8678">
          <cell r="D8678" t="str">
            <v>2023</v>
          </cell>
        </row>
        <row r="8679">
          <cell r="D8679" t="str">
            <v>2022</v>
          </cell>
        </row>
        <row r="8680">
          <cell r="D8680" t="str">
            <v>2024</v>
          </cell>
        </row>
        <row r="8681">
          <cell r="D8681" t="str">
            <v>2024</v>
          </cell>
        </row>
        <row r="8682">
          <cell r="D8682" t="str">
            <v>2023</v>
          </cell>
        </row>
        <row r="8683">
          <cell r="D8683" t="str">
            <v>2023</v>
          </cell>
        </row>
        <row r="8684">
          <cell r="D8684" t="str">
            <v>2023</v>
          </cell>
        </row>
        <row r="8685">
          <cell r="D8685" t="str">
            <v>2023</v>
          </cell>
        </row>
        <row r="8686">
          <cell r="D8686" t="str">
            <v>2023</v>
          </cell>
        </row>
        <row r="8687">
          <cell r="D8687" t="str">
            <v>2022</v>
          </cell>
        </row>
        <row r="8688">
          <cell r="D8688" t="str">
            <v>2022</v>
          </cell>
        </row>
        <row r="8689">
          <cell r="D8689" t="str">
            <v>2023</v>
          </cell>
        </row>
        <row r="8690">
          <cell r="D8690" t="str">
            <v>2023</v>
          </cell>
        </row>
        <row r="8691">
          <cell r="D8691" t="str">
            <v>2023</v>
          </cell>
        </row>
        <row r="8692">
          <cell r="D8692" t="str">
            <v>2023</v>
          </cell>
        </row>
        <row r="8693">
          <cell r="D8693" t="str">
            <v>2023</v>
          </cell>
        </row>
        <row r="8694">
          <cell r="D8694" t="str">
            <v>2023</v>
          </cell>
        </row>
        <row r="8695">
          <cell r="D8695" t="str">
            <v>2023</v>
          </cell>
        </row>
        <row r="8696">
          <cell r="D8696" t="str">
            <v>2023</v>
          </cell>
        </row>
        <row r="8697">
          <cell r="D8697" t="str">
            <v>2023</v>
          </cell>
        </row>
        <row r="8698">
          <cell r="D8698" t="str">
            <v>2023</v>
          </cell>
        </row>
        <row r="8699">
          <cell r="D8699" t="str">
            <v>2023</v>
          </cell>
        </row>
        <row r="8700">
          <cell r="D8700" t="str">
            <v>2023</v>
          </cell>
        </row>
        <row r="8701">
          <cell r="D8701" t="str">
            <v>2022</v>
          </cell>
        </row>
        <row r="8702">
          <cell r="D8702" t="str">
            <v>2024</v>
          </cell>
        </row>
        <row r="8703">
          <cell r="D8703" t="str">
            <v>2023</v>
          </cell>
        </row>
        <row r="8704">
          <cell r="D8704" t="str">
            <v>2023</v>
          </cell>
        </row>
        <row r="8705">
          <cell r="D8705" t="str">
            <v>2023</v>
          </cell>
        </row>
        <row r="8706">
          <cell r="D8706" t="str">
            <v>2023</v>
          </cell>
        </row>
        <row r="8707">
          <cell r="D8707" t="str">
            <v>2023</v>
          </cell>
        </row>
        <row r="8708">
          <cell r="D8708" t="str">
            <v>2023</v>
          </cell>
        </row>
        <row r="8709">
          <cell r="D8709" t="str">
            <v>2023</v>
          </cell>
        </row>
        <row r="8710">
          <cell r="D8710" t="str">
            <v>2023</v>
          </cell>
        </row>
        <row r="8711">
          <cell r="D8711" t="str">
            <v>2023</v>
          </cell>
        </row>
        <row r="8712">
          <cell r="D8712" t="str">
            <v>2023</v>
          </cell>
        </row>
        <row r="8713">
          <cell r="D8713" t="str">
            <v>2023</v>
          </cell>
        </row>
        <row r="8714">
          <cell r="D8714" t="str">
            <v>2024</v>
          </cell>
        </row>
        <row r="8715">
          <cell r="D8715" t="str">
            <v>2022</v>
          </cell>
        </row>
        <row r="8716">
          <cell r="D8716" t="str">
            <v>2023</v>
          </cell>
        </row>
        <row r="8717">
          <cell r="D8717" t="str">
            <v>2023</v>
          </cell>
        </row>
        <row r="8718">
          <cell r="D8718" t="str">
            <v>2023</v>
          </cell>
        </row>
        <row r="8719">
          <cell r="D8719" t="str">
            <v>2022</v>
          </cell>
        </row>
        <row r="8720">
          <cell r="D8720" t="str">
            <v>2024</v>
          </cell>
        </row>
        <row r="8721">
          <cell r="D8721" t="str">
            <v>2023</v>
          </cell>
        </row>
        <row r="8722">
          <cell r="D8722" t="str">
            <v>2023</v>
          </cell>
        </row>
        <row r="8723">
          <cell r="D8723" t="str">
            <v>2023</v>
          </cell>
        </row>
        <row r="8724">
          <cell r="D8724" t="str">
            <v>2023</v>
          </cell>
        </row>
        <row r="8725">
          <cell r="D8725" t="str">
            <v>2023</v>
          </cell>
        </row>
        <row r="8726">
          <cell r="D8726" t="str">
            <v>2023</v>
          </cell>
        </row>
        <row r="8727">
          <cell r="D8727" t="str">
            <v>2023</v>
          </cell>
        </row>
        <row r="8728">
          <cell r="D8728" t="str">
            <v>2023</v>
          </cell>
        </row>
        <row r="8729">
          <cell r="D8729" t="str">
            <v>2021</v>
          </cell>
        </row>
        <row r="8730">
          <cell r="D8730" t="str">
            <v>2023</v>
          </cell>
        </row>
        <row r="8731">
          <cell r="D8731" t="str">
            <v>2023</v>
          </cell>
        </row>
        <row r="8732">
          <cell r="D8732" t="str">
            <v>2023</v>
          </cell>
        </row>
        <row r="8733">
          <cell r="D8733" t="str">
            <v>2023</v>
          </cell>
        </row>
        <row r="8734">
          <cell r="D8734" t="str">
            <v>2023</v>
          </cell>
        </row>
        <row r="8735">
          <cell r="D8735" t="str">
            <v>2022</v>
          </cell>
        </row>
        <row r="8736">
          <cell r="D8736" t="str">
            <v>2023</v>
          </cell>
        </row>
        <row r="8737">
          <cell r="D8737" t="str">
            <v>2023</v>
          </cell>
        </row>
        <row r="8738">
          <cell r="D8738" t="str">
            <v>2023</v>
          </cell>
        </row>
        <row r="8739">
          <cell r="D8739" t="str">
            <v>2023</v>
          </cell>
        </row>
        <row r="8740">
          <cell r="D8740" t="str">
            <v>2023</v>
          </cell>
        </row>
        <row r="8741">
          <cell r="D8741" t="str">
            <v>2023</v>
          </cell>
        </row>
        <row r="8742">
          <cell r="D8742" t="str">
            <v>2023</v>
          </cell>
        </row>
        <row r="8743">
          <cell r="D8743" t="str">
            <v>2023</v>
          </cell>
        </row>
        <row r="8744">
          <cell r="D8744" t="str">
            <v>2023</v>
          </cell>
        </row>
        <row r="8745">
          <cell r="D8745" t="str">
            <v>2023</v>
          </cell>
        </row>
        <row r="8746">
          <cell r="D8746" t="str">
            <v>2023</v>
          </cell>
        </row>
        <row r="8747">
          <cell r="D8747" t="str">
            <v>2023</v>
          </cell>
        </row>
        <row r="8748">
          <cell r="D8748" t="str">
            <v>2022</v>
          </cell>
        </row>
        <row r="8749">
          <cell r="D8749" t="str">
            <v>2023</v>
          </cell>
        </row>
        <row r="8750">
          <cell r="D8750" t="str">
            <v>2024</v>
          </cell>
        </row>
        <row r="8751">
          <cell r="D8751" t="str">
            <v>2023</v>
          </cell>
        </row>
        <row r="8752">
          <cell r="D8752" t="str">
            <v>2023</v>
          </cell>
        </row>
        <row r="8753">
          <cell r="D8753" t="str">
            <v>2023</v>
          </cell>
        </row>
        <row r="8754">
          <cell r="D8754" t="str">
            <v>2023</v>
          </cell>
        </row>
        <row r="8755">
          <cell r="D8755" t="str">
            <v>2023</v>
          </cell>
        </row>
        <row r="8756">
          <cell r="D8756" t="str">
            <v>2023</v>
          </cell>
        </row>
        <row r="8757">
          <cell r="D8757" t="str">
            <v>2022</v>
          </cell>
        </row>
        <row r="8758">
          <cell r="D8758" t="str">
            <v>2022</v>
          </cell>
        </row>
        <row r="8759">
          <cell r="D8759" t="str">
            <v>2024</v>
          </cell>
        </row>
        <row r="8760">
          <cell r="D8760" t="str">
            <v>2023</v>
          </cell>
        </row>
        <row r="8761">
          <cell r="D8761" t="str">
            <v>2023</v>
          </cell>
        </row>
        <row r="8762">
          <cell r="D8762" t="str">
            <v>2023</v>
          </cell>
        </row>
        <row r="8763">
          <cell r="D8763" t="str">
            <v>2023</v>
          </cell>
        </row>
        <row r="8764">
          <cell r="D8764" t="str">
            <v>2022</v>
          </cell>
        </row>
        <row r="8765">
          <cell r="D8765" t="str">
            <v>2022</v>
          </cell>
        </row>
        <row r="8766">
          <cell r="D8766" t="str">
            <v>2022</v>
          </cell>
        </row>
        <row r="8767">
          <cell r="D8767" t="str">
            <v>2022</v>
          </cell>
        </row>
        <row r="8768">
          <cell r="D8768" t="str">
            <v>2022</v>
          </cell>
        </row>
        <row r="8769">
          <cell r="D8769" t="str">
            <v>2023</v>
          </cell>
        </row>
        <row r="8770">
          <cell r="D8770" t="str">
            <v>2023</v>
          </cell>
        </row>
        <row r="8771">
          <cell r="D8771" t="str">
            <v>2023</v>
          </cell>
        </row>
        <row r="8772">
          <cell r="D8772" t="str">
            <v>2021</v>
          </cell>
        </row>
        <row r="8773">
          <cell r="D8773" t="str">
            <v>2023</v>
          </cell>
        </row>
        <row r="8774">
          <cell r="D8774" t="str">
            <v>2023</v>
          </cell>
        </row>
        <row r="8775">
          <cell r="D8775" t="str">
            <v>2023</v>
          </cell>
        </row>
        <row r="8776">
          <cell r="D8776" t="str">
            <v>2023</v>
          </cell>
        </row>
        <row r="8777">
          <cell r="D8777" t="str">
            <v>2023</v>
          </cell>
        </row>
        <row r="8778">
          <cell r="D8778" t="str">
            <v>2023</v>
          </cell>
        </row>
        <row r="8779">
          <cell r="D8779" t="str">
            <v>2023</v>
          </cell>
        </row>
        <row r="8780">
          <cell r="D8780" t="str">
            <v>2022</v>
          </cell>
        </row>
        <row r="8781">
          <cell r="D8781" t="str">
            <v>2024</v>
          </cell>
        </row>
        <row r="8782">
          <cell r="D8782" t="str">
            <v>2023</v>
          </cell>
        </row>
        <row r="8783">
          <cell r="D8783" t="str">
            <v>2023</v>
          </cell>
        </row>
        <row r="8784">
          <cell r="D8784" t="str">
            <v>2024</v>
          </cell>
        </row>
        <row r="8785">
          <cell r="D8785" t="str">
            <v>2023</v>
          </cell>
        </row>
        <row r="8786">
          <cell r="D8786" t="str">
            <v>2023</v>
          </cell>
        </row>
        <row r="8787">
          <cell r="D8787" t="str">
            <v>2022</v>
          </cell>
        </row>
        <row r="8788">
          <cell r="D8788" t="str">
            <v>2023</v>
          </cell>
        </row>
        <row r="8789">
          <cell r="D8789" t="str">
            <v>2023</v>
          </cell>
        </row>
        <row r="8790">
          <cell r="D8790" t="str">
            <v>2022</v>
          </cell>
        </row>
        <row r="8791">
          <cell r="D8791" t="str">
            <v>2022</v>
          </cell>
        </row>
        <row r="8792">
          <cell r="D8792" t="str">
            <v>2023</v>
          </cell>
        </row>
        <row r="8793">
          <cell r="D8793" t="str">
            <v>2024</v>
          </cell>
        </row>
        <row r="8794">
          <cell r="D8794" t="str">
            <v>2023</v>
          </cell>
        </row>
        <row r="8795">
          <cell r="D8795" t="str">
            <v>2023</v>
          </cell>
        </row>
        <row r="8796">
          <cell r="D8796" t="str">
            <v>2023</v>
          </cell>
        </row>
        <row r="8797">
          <cell r="D8797" t="str">
            <v>2023</v>
          </cell>
        </row>
        <row r="8798">
          <cell r="D8798" t="str">
            <v>2023</v>
          </cell>
        </row>
        <row r="8799">
          <cell r="D8799" t="str">
            <v>2023</v>
          </cell>
        </row>
        <row r="8800">
          <cell r="D8800" t="str">
            <v>2024</v>
          </cell>
        </row>
        <row r="8801">
          <cell r="D8801" t="str">
            <v>2023</v>
          </cell>
        </row>
        <row r="8802">
          <cell r="D8802" t="str">
            <v>2023</v>
          </cell>
        </row>
        <row r="8803">
          <cell r="D8803" t="str">
            <v>2023</v>
          </cell>
        </row>
        <row r="8804">
          <cell r="D8804" t="str">
            <v>2023</v>
          </cell>
        </row>
        <row r="8805">
          <cell r="D8805" t="str">
            <v>2023</v>
          </cell>
        </row>
        <row r="8806">
          <cell r="D8806" t="str">
            <v>2023</v>
          </cell>
        </row>
        <row r="8807">
          <cell r="D8807" t="str">
            <v>2023</v>
          </cell>
        </row>
        <row r="8808">
          <cell r="D8808" t="str">
            <v>2023</v>
          </cell>
        </row>
        <row r="8809">
          <cell r="D8809" t="str">
            <v>2023</v>
          </cell>
        </row>
        <row r="8810">
          <cell r="D8810" t="str">
            <v>2023</v>
          </cell>
        </row>
        <row r="8811">
          <cell r="D8811" t="str">
            <v>2022</v>
          </cell>
        </row>
        <row r="8812">
          <cell r="D8812" t="str">
            <v>2024</v>
          </cell>
        </row>
        <row r="8813">
          <cell r="D8813" t="str">
            <v>2023</v>
          </cell>
        </row>
        <row r="8814">
          <cell r="D8814" t="str">
            <v>2021</v>
          </cell>
        </row>
        <row r="8815">
          <cell r="D8815" t="str">
            <v>2024</v>
          </cell>
        </row>
        <row r="8816">
          <cell r="D8816" t="str">
            <v>2023</v>
          </cell>
        </row>
        <row r="8817">
          <cell r="D8817" t="str">
            <v>2023</v>
          </cell>
        </row>
        <row r="8818">
          <cell r="D8818" t="str">
            <v>2023</v>
          </cell>
        </row>
        <row r="8819">
          <cell r="D8819" t="str">
            <v>2023</v>
          </cell>
        </row>
        <row r="8820">
          <cell r="D8820" t="str">
            <v>2023</v>
          </cell>
        </row>
        <row r="8821">
          <cell r="D8821" t="str">
            <v>2024</v>
          </cell>
        </row>
        <row r="8822">
          <cell r="D8822" t="str">
            <v>2023</v>
          </cell>
        </row>
        <row r="8823">
          <cell r="D8823" t="str">
            <v>2023</v>
          </cell>
        </row>
        <row r="8824">
          <cell r="D8824" t="str">
            <v>2023</v>
          </cell>
        </row>
        <row r="8825">
          <cell r="D8825" t="str">
            <v>2023</v>
          </cell>
        </row>
        <row r="8826">
          <cell r="D8826" t="str">
            <v>2023</v>
          </cell>
        </row>
        <row r="8827">
          <cell r="D8827" t="str">
            <v>2023</v>
          </cell>
        </row>
        <row r="8828">
          <cell r="D8828" t="str">
            <v>2023</v>
          </cell>
        </row>
        <row r="8829">
          <cell r="D8829" t="str">
            <v>2023</v>
          </cell>
        </row>
        <row r="8830">
          <cell r="D8830" t="str">
            <v>2022</v>
          </cell>
        </row>
        <row r="8831">
          <cell r="D8831" t="str">
            <v>2024</v>
          </cell>
        </row>
        <row r="8832">
          <cell r="D8832" t="str">
            <v>2023</v>
          </cell>
        </row>
        <row r="8833">
          <cell r="D8833" t="str">
            <v>2023</v>
          </cell>
        </row>
        <row r="8834">
          <cell r="D8834" t="str">
            <v>2023</v>
          </cell>
        </row>
        <row r="8835">
          <cell r="D8835" t="str">
            <v>2022</v>
          </cell>
        </row>
        <row r="8836">
          <cell r="D8836" t="str">
            <v>2022</v>
          </cell>
        </row>
        <row r="8837">
          <cell r="D8837" t="str">
            <v>2022</v>
          </cell>
        </row>
        <row r="8838">
          <cell r="D8838" t="str">
            <v>2022</v>
          </cell>
        </row>
        <row r="8839">
          <cell r="D8839" t="str">
            <v>2023</v>
          </cell>
        </row>
        <row r="8840">
          <cell r="D8840" t="str">
            <v>2023</v>
          </cell>
        </row>
        <row r="8841">
          <cell r="D8841" t="str">
            <v>2023</v>
          </cell>
        </row>
        <row r="8842">
          <cell r="D8842" t="str">
            <v>2023</v>
          </cell>
        </row>
        <row r="8843">
          <cell r="D8843" t="str">
            <v>2023</v>
          </cell>
        </row>
        <row r="8844">
          <cell r="D8844" t="str">
            <v>2023</v>
          </cell>
        </row>
        <row r="8845">
          <cell r="D8845" t="str">
            <v>2023</v>
          </cell>
        </row>
        <row r="8846">
          <cell r="D8846" t="str">
            <v>2023</v>
          </cell>
        </row>
        <row r="8847">
          <cell r="D8847" t="str">
            <v>2023</v>
          </cell>
        </row>
        <row r="8848">
          <cell r="D8848" t="str">
            <v>2023</v>
          </cell>
        </row>
        <row r="8849">
          <cell r="D8849" t="str">
            <v>2023</v>
          </cell>
        </row>
        <row r="8850">
          <cell r="D8850" t="str">
            <v>2023</v>
          </cell>
        </row>
        <row r="8851">
          <cell r="D8851" t="str">
            <v>2022</v>
          </cell>
        </row>
        <row r="8852">
          <cell r="D8852" t="str">
            <v>2022</v>
          </cell>
        </row>
        <row r="8853">
          <cell r="D8853" t="str">
            <v>2022</v>
          </cell>
        </row>
        <row r="8854">
          <cell r="D8854" t="str">
            <v>2024</v>
          </cell>
        </row>
        <row r="8855">
          <cell r="D8855" t="str">
            <v>2023</v>
          </cell>
        </row>
        <row r="8856">
          <cell r="D8856" t="str">
            <v>2023</v>
          </cell>
        </row>
        <row r="8857">
          <cell r="D8857" t="str">
            <v>2023</v>
          </cell>
        </row>
        <row r="8858">
          <cell r="D8858" t="str">
            <v>2023</v>
          </cell>
        </row>
        <row r="8859">
          <cell r="D8859" t="str">
            <v>2023</v>
          </cell>
        </row>
        <row r="8860">
          <cell r="D8860" t="str">
            <v>2023</v>
          </cell>
        </row>
        <row r="8861">
          <cell r="D8861" t="str">
            <v>2023</v>
          </cell>
        </row>
        <row r="8862">
          <cell r="D8862" t="str">
            <v>2023</v>
          </cell>
        </row>
        <row r="8863">
          <cell r="D8863" t="str">
            <v>2022</v>
          </cell>
        </row>
        <row r="8864">
          <cell r="D8864" t="str">
            <v>2022</v>
          </cell>
        </row>
        <row r="8865">
          <cell r="D8865" t="str">
            <v>2022</v>
          </cell>
        </row>
        <row r="8866">
          <cell r="D8866" t="str">
            <v>2022</v>
          </cell>
        </row>
        <row r="8867">
          <cell r="D8867" t="str">
            <v>2021</v>
          </cell>
        </row>
        <row r="8868">
          <cell r="D8868" t="str">
            <v>2023</v>
          </cell>
        </row>
        <row r="8869">
          <cell r="D8869" t="str">
            <v>2023</v>
          </cell>
        </row>
        <row r="8870">
          <cell r="D8870" t="str">
            <v>2023</v>
          </cell>
        </row>
        <row r="8871">
          <cell r="D8871" t="str">
            <v>2023</v>
          </cell>
        </row>
        <row r="8872">
          <cell r="D8872" t="str">
            <v>2023</v>
          </cell>
        </row>
        <row r="8873">
          <cell r="D8873" t="str">
            <v>2022</v>
          </cell>
        </row>
        <row r="8874">
          <cell r="D8874" t="str">
            <v>2024</v>
          </cell>
        </row>
        <row r="8875">
          <cell r="D8875" t="str">
            <v>2022</v>
          </cell>
        </row>
        <row r="8876">
          <cell r="D8876" t="str">
            <v>2023</v>
          </cell>
        </row>
        <row r="8877">
          <cell r="D8877" t="str">
            <v>2023</v>
          </cell>
        </row>
        <row r="8878">
          <cell r="D8878" t="str">
            <v>2023</v>
          </cell>
        </row>
        <row r="8879">
          <cell r="D8879" t="str">
            <v>2023</v>
          </cell>
        </row>
        <row r="8880">
          <cell r="D8880" t="str">
            <v>2023</v>
          </cell>
        </row>
        <row r="8881">
          <cell r="D8881" t="str">
            <v>2022</v>
          </cell>
        </row>
        <row r="8882">
          <cell r="D8882" t="str">
            <v>2023</v>
          </cell>
        </row>
        <row r="8883">
          <cell r="D8883" t="str">
            <v>2023</v>
          </cell>
        </row>
        <row r="8884">
          <cell r="D8884" t="str">
            <v>2023</v>
          </cell>
        </row>
        <row r="8885">
          <cell r="D8885" t="str">
            <v>2023</v>
          </cell>
        </row>
        <row r="8886">
          <cell r="D8886" t="str">
            <v>2023</v>
          </cell>
        </row>
        <row r="8887">
          <cell r="D8887" t="str">
            <v>2023</v>
          </cell>
        </row>
        <row r="8888">
          <cell r="D8888" t="str">
            <v>2023</v>
          </cell>
        </row>
        <row r="8889">
          <cell r="D8889" t="str">
            <v>2023</v>
          </cell>
        </row>
        <row r="8890">
          <cell r="D8890" t="str">
            <v>2023</v>
          </cell>
        </row>
        <row r="8891">
          <cell r="D8891" t="str">
            <v>2022</v>
          </cell>
        </row>
        <row r="8892">
          <cell r="D8892" t="str">
            <v>2023</v>
          </cell>
        </row>
        <row r="8893">
          <cell r="D8893" t="str">
            <v>2023</v>
          </cell>
        </row>
        <row r="8894">
          <cell r="D8894" t="str">
            <v>2023</v>
          </cell>
        </row>
        <row r="8895">
          <cell r="D8895" t="str">
            <v>2023</v>
          </cell>
        </row>
        <row r="8896">
          <cell r="D8896" t="str">
            <v>2023</v>
          </cell>
        </row>
        <row r="8897">
          <cell r="D8897" t="str">
            <v>2023</v>
          </cell>
        </row>
        <row r="8898">
          <cell r="D8898" t="str">
            <v>2023</v>
          </cell>
        </row>
        <row r="8899">
          <cell r="D8899" t="str">
            <v>2023</v>
          </cell>
        </row>
        <row r="8900">
          <cell r="D8900" t="str">
            <v>2023</v>
          </cell>
        </row>
        <row r="8901">
          <cell r="D8901" t="str">
            <v>2023</v>
          </cell>
        </row>
        <row r="8902">
          <cell r="D8902" t="str">
            <v>2023</v>
          </cell>
        </row>
        <row r="8903">
          <cell r="D8903" t="str">
            <v>2023</v>
          </cell>
        </row>
        <row r="8904">
          <cell r="D8904" t="str">
            <v>2021</v>
          </cell>
        </row>
        <row r="8905">
          <cell r="D8905" t="str">
            <v>2023</v>
          </cell>
        </row>
        <row r="8906">
          <cell r="D8906" t="str">
            <v>2023</v>
          </cell>
        </row>
        <row r="8907">
          <cell r="D8907" t="str">
            <v>2024</v>
          </cell>
        </row>
        <row r="8908">
          <cell r="D8908" t="str">
            <v>2023</v>
          </cell>
        </row>
        <row r="8909">
          <cell r="D8909" t="str">
            <v>2023</v>
          </cell>
        </row>
        <row r="8910">
          <cell r="D8910" t="str">
            <v>2023</v>
          </cell>
        </row>
        <row r="8911">
          <cell r="D8911" t="str">
            <v>2024</v>
          </cell>
        </row>
        <row r="8912">
          <cell r="D8912" t="str">
            <v>2024</v>
          </cell>
        </row>
        <row r="8913">
          <cell r="D8913" t="str">
            <v>2023</v>
          </cell>
        </row>
        <row r="8914">
          <cell r="D8914" t="str">
            <v>2023</v>
          </cell>
        </row>
        <row r="8915">
          <cell r="D8915" t="str">
            <v>2023</v>
          </cell>
        </row>
        <row r="8916">
          <cell r="D8916" t="str">
            <v>2023</v>
          </cell>
        </row>
        <row r="8917">
          <cell r="D8917" t="str">
            <v>2023</v>
          </cell>
        </row>
        <row r="8918">
          <cell r="D8918" t="str">
            <v>2023</v>
          </cell>
        </row>
        <row r="8919">
          <cell r="D8919" t="str">
            <v>2023</v>
          </cell>
        </row>
        <row r="8920">
          <cell r="D8920" t="str">
            <v>2023</v>
          </cell>
        </row>
        <row r="8921">
          <cell r="D8921" t="str">
            <v>2022</v>
          </cell>
        </row>
        <row r="8922">
          <cell r="D8922" t="str">
            <v>2022</v>
          </cell>
        </row>
        <row r="8923">
          <cell r="D8923" t="str">
            <v>2023</v>
          </cell>
        </row>
        <row r="8924">
          <cell r="D8924" t="str">
            <v>2023</v>
          </cell>
        </row>
        <row r="8925">
          <cell r="D8925" t="str">
            <v>2021</v>
          </cell>
        </row>
        <row r="8926">
          <cell r="D8926" t="str">
            <v>2023</v>
          </cell>
        </row>
        <row r="8927">
          <cell r="D8927" t="str">
            <v>2022</v>
          </cell>
        </row>
        <row r="8928">
          <cell r="D8928" t="str">
            <v>2024</v>
          </cell>
        </row>
        <row r="8929">
          <cell r="D8929" t="str">
            <v>2024</v>
          </cell>
        </row>
        <row r="8930">
          <cell r="D8930" t="str">
            <v>2023</v>
          </cell>
        </row>
        <row r="8931">
          <cell r="D8931" t="str">
            <v>2022</v>
          </cell>
        </row>
        <row r="8932">
          <cell r="D8932" t="str">
            <v>2021</v>
          </cell>
        </row>
        <row r="8933">
          <cell r="D8933" t="str">
            <v>2023</v>
          </cell>
        </row>
        <row r="8934">
          <cell r="D8934" t="str">
            <v>2023</v>
          </cell>
        </row>
        <row r="8935">
          <cell r="D8935" t="str">
            <v>2023</v>
          </cell>
        </row>
        <row r="8936">
          <cell r="D8936" t="str">
            <v>2023</v>
          </cell>
        </row>
        <row r="8937">
          <cell r="D8937" t="str">
            <v>2023</v>
          </cell>
        </row>
        <row r="8938">
          <cell r="D8938" t="str">
            <v>2023</v>
          </cell>
        </row>
        <row r="8939">
          <cell r="D8939" t="str">
            <v>2023</v>
          </cell>
        </row>
        <row r="8940">
          <cell r="D8940" t="str">
            <v>2023</v>
          </cell>
        </row>
        <row r="8941">
          <cell r="D8941" t="str">
            <v>2023</v>
          </cell>
        </row>
        <row r="8942">
          <cell r="D8942" t="str">
            <v>2023</v>
          </cell>
        </row>
        <row r="8943">
          <cell r="D8943" t="str">
            <v>2024</v>
          </cell>
        </row>
        <row r="8944">
          <cell r="D8944" t="str">
            <v>2023</v>
          </cell>
        </row>
        <row r="8945">
          <cell r="D8945" t="str">
            <v>2023</v>
          </cell>
        </row>
        <row r="8946">
          <cell r="D8946" t="str">
            <v>2023</v>
          </cell>
        </row>
        <row r="8947">
          <cell r="D8947" t="str">
            <v>2022</v>
          </cell>
        </row>
        <row r="8948">
          <cell r="D8948" t="str">
            <v>2022</v>
          </cell>
        </row>
        <row r="8949">
          <cell r="D8949" t="str">
            <v>2023</v>
          </cell>
        </row>
        <row r="8950">
          <cell r="D8950" t="str">
            <v>2023</v>
          </cell>
        </row>
        <row r="8951">
          <cell r="D8951" t="str">
            <v>2023</v>
          </cell>
        </row>
        <row r="8952">
          <cell r="D8952" t="str">
            <v>2023</v>
          </cell>
        </row>
        <row r="8953">
          <cell r="D8953" t="str">
            <v>2023</v>
          </cell>
        </row>
        <row r="8954">
          <cell r="D8954" t="str">
            <v>2024</v>
          </cell>
        </row>
        <row r="8955">
          <cell r="D8955" t="str">
            <v>2023</v>
          </cell>
        </row>
        <row r="8956">
          <cell r="D8956" t="str">
            <v>2023</v>
          </cell>
        </row>
        <row r="8957">
          <cell r="D8957" t="str">
            <v>2023</v>
          </cell>
        </row>
        <row r="8958">
          <cell r="D8958" t="str">
            <v>2023</v>
          </cell>
        </row>
        <row r="8959">
          <cell r="D8959" t="str">
            <v>2023</v>
          </cell>
        </row>
        <row r="8960">
          <cell r="D8960" t="str">
            <v>2023</v>
          </cell>
        </row>
        <row r="8961">
          <cell r="D8961" t="str">
            <v>2023</v>
          </cell>
        </row>
        <row r="8962">
          <cell r="D8962" t="str">
            <v>2023</v>
          </cell>
        </row>
        <row r="8963">
          <cell r="D8963" t="str">
            <v>2023</v>
          </cell>
        </row>
        <row r="8964">
          <cell r="D8964" t="str">
            <v>2023</v>
          </cell>
        </row>
        <row r="8965">
          <cell r="D8965" t="str">
            <v>2023</v>
          </cell>
        </row>
        <row r="8966">
          <cell r="D8966" t="str">
            <v>2023</v>
          </cell>
        </row>
        <row r="8967">
          <cell r="D8967" t="str">
            <v>2021</v>
          </cell>
        </row>
        <row r="8968">
          <cell r="D8968" t="str">
            <v>2023</v>
          </cell>
        </row>
        <row r="8969">
          <cell r="D8969" t="str">
            <v>2023</v>
          </cell>
        </row>
        <row r="8970">
          <cell r="D8970" t="str">
            <v>2023</v>
          </cell>
        </row>
        <row r="8971">
          <cell r="D8971" t="str">
            <v>2023</v>
          </cell>
        </row>
        <row r="8972">
          <cell r="D8972" t="str">
            <v>2023</v>
          </cell>
        </row>
        <row r="8973">
          <cell r="D8973" t="str">
            <v>2023</v>
          </cell>
        </row>
        <row r="8974">
          <cell r="D8974" t="str">
            <v>2023</v>
          </cell>
        </row>
        <row r="8975">
          <cell r="D8975" t="str">
            <v>2023</v>
          </cell>
        </row>
        <row r="8976">
          <cell r="D8976" t="str">
            <v>2023</v>
          </cell>
        </row>
        <row r="8977">
          <cell r="D8977" t="str">
            <v>2023</v>
          </cell>
        </row>
        <row r="8978">
          <cell r="D8978" t="str">
            <v>2023</v>
          </cell>
        </row>
        <row r="8979">
          <cell r="D8979" t="str">
            <v>2023</v>
          </cell>
        </row>
        <row r="8980">
          <cell r="D8980" t="str">
            <v>2022</v>
          </cell>
        </row>
        <row r="8981">
          <cell r="D8981" t="str">
            <v>2023</v>
          </cell>
        </row>
        <row r="8982">
          <cell r="D8982" t="str">
            <v>2023</v>
          </cell>
        </row>
        <row r="8983">
          <cell r="D8983" t="str">
            <v>2023</v>
          </cell>
        </row>
        <row r="8984">
          <cell r="D8984" t="str">
            <v>2023</v>
          </cell>
        </row>
        <row r="8985">
          <cell r="D8985" t="str">
            <v>2024</v>
          </cell>
        </row>
        <row r="8986">
          <cell r="D8986" t="str">
            <v>2023</v>
          </cell>
        </row>
        <row r="8987">
          <cell r="D8987" t="str">
            <v>2023</v>
          </cell>
        </row>
        <row r="8988">
          <cell r="D8988" t="str">
            <v>2023</v>
          </cell>
        </row>
        <row r="8989">
          <cell r="D8989" t="str">
            <v>2023</v>
          </cell>
        </row>
        <row r="8990">
          <cell r="D8990" t="str">
            <v>2023</v>
          </cell>
        </row>
        <row r="8991">
          <cell r="D8991" t="str">
            <v>2023</v>
          </cell>
        </row>
        <row r="8992">
          <cell r="D8992" t="str">
            <v>2023</v>
          </cell>
        </row>
        <row r="8993">
          <cell r="D8993" t="str">
            <v>2023</v>
          </cell>
        </row>
        <row r="8994">
          <cell r="D8994" t="str">
            <v>2022</v>
          </cell>
        </row>
        <row r="8995">
          <cell r="D8995" t="str">
            <v>2021</v>
          </cell>
        </row>
        <row r="8996">
          <cell r="D8996" t="str">
            <v>2023</v>
          </cell>
        </row>
        <row r="8997">
          <cell r="D8997" t="str">
            <v>2023</v>
          </cell>
        </row>
        <row r="8998">
          <cell r="D8998" t="str">
            <v>2023</v>
          </cell>
        </row>
        <row r="8999">
          <cell r="D8999" t="str">
            <v>2023</v>
          </cell>
        </row>
        <row r="9000">
          <cell r="D9000" t="str">
            <v>2023</v>
          </cell>
        </row>
        <row r="9001">
          <cell r="D9001" t="str">
            <v>2023</v>
          </cell>
        </row>
        <row r="9002">
          <cell r="D9002" t="str">
            <v>2023</v>
          </cell>
        </row>
        <row r="9003">
          <cell r="D9003" t="str">
            <v>2023</v>
          </cell>
        </row>
        <row r="9004">
          <cell r="D9004" t="str">
            <v>2023</v>
          </cell>
        </row>
        <row r="9005">
          <cell r="D9005" t="str">
            <v>2024</v>
          </cell>
        </row>
        <row r="9006">
          <cell r="D9006" t="str">
            <v>2023</v>
          </cell>
        </row>
        <row r="9007">
          <cell r="D9007" t="str">
            <v>2023</v>
          </cell>
        </row>
        <row r="9008">
          <cell r="D9008" t="str">
            <v>2023</v>
          </cell>
        </row>
        <row r="9009">
          <cell r="D9009" t="str">
            <v>2023</v>
          </cell>
        </row>
        <row r="9010">
          <cell r="D9010" t="str">
            <v>2023</v>
          </cell>
        </row>
        <row r="9011">
          <cell r="D9011" t="str">
            <v>2021</v>
          </cell>
        </row>
        <row r="9012">
          <cell r="D9012" t="str">
            <v>2023</v>
          </cell>
        </row>
        <row r="9013">
          <cell r="D9013" t="str">
            <v>2023</v>
          </cell>
        </row>
        <row r="9014">
          <cell r="D9014" t="str">
            <v>2023</v>
          </cell>
        </row>
        <row r="9015">
          <cell r="D9015" t="str">
            <v>2021</v>
          </cell>
        </row>
        <row r="9016">
          <cell r="D9016" t="str">
            <v>2023</v>
          </cell>
        </row>
        <row r="9017">
          <cell r="D9017" t="str">
            <v>2024</v>
          </cell>
        </row>
        <row r="9018">
          <cell r="D9018" t="str">
            <v>2023</v>
          </cell>
        </row>
        <row r="9019">
          <cell r="D9019" t="str">
            <v>2023</v>
          </cell>
        </row>
        <row r="9020">
          <cell r="D9020" t="str">
            <v>2023</v>
          </cell>
        </row>
        <row r="9021">
          <cell r="D9021" t="str">
            <v>2022</v>
          </cell>
        </row>
        <row r="9022">
          <cell r="D9022" t="str">
            <v>2023</v>
          </cell>
        </row>
        <row r="9023">
          <cell r="D9023" t="str">
            <v>2023</v>
          </cell>
        </row>
        <row r="9024">
          <cell r="D9024" t="str">
            <v>2023</v>
          </cell>
        </row>
        <row r="9025">
          <cell r="D9025" t="str">
            <v>2021</v>
          </cell>
        </row>
        <row r="9026">
          <cell r="D9026" t="str">
            <v>2024</v>
          </cell>
        </row>
        <row r="9027">
          <cell r="D9027" t="str">
            <v>2023</v>
          </cell>
        </row>
        <row r="9028">
          <cell r="D9028" t="str">
            <v>2022</v>
          </cell>
        </row>
        <row r="9029">
          <cell r="D9029" t="str">
            <v>2021</v>
          </cell>
        </row>
        <row r="9030">
          <cell r="D9030" t="str">
            <v>2023</v>
          </cell>
        </row>
        <row r="9031">
          <cell r="D9031" t="str">
            <v>2023</v>
          </cell>
        </row>
        <row r="9032">
          <cell r="D9032" t="str">
            <v>2023</v>
          </cell>
        </row>
        <row r="9033">
          <cell r="D9033" t="str">
            <v>2023</v>
          </cell>
        </row>
        <row r="9034">
          <cell r="D9034" t="str">
            <v>2023</v>
          </cell>
        </row>
        <row r="9035">
          <cell r="D9035" t="str">
            <v>2023</v>
          </cell>
        </row>
        <row r="9036">
          <cell r="D9036" t="str">
            <v>2023</v>
          </cell>
        </row>
        <row r="9037">
          <cell r="D9037" t="str">
            <v>2023</v>
          </cell>
        </row>
        <row r="9038">
          <cell r="D9038" t="str">
            <v>2023</v>
          </cell>
        </row>
        <row r="9039">
          <cell r="D9039" t="str">
            <v>2022</v>
          </cell>
        </row>
        <row r="9040">
          <cell r="D9040" t="str">
            <v>2021</v>
          </cell>
        </row>
        <row r="9041">
          <cell r="D9041" t="str">
            <v>2024</v>
          </cell>
        </row>
        <row r="9042">
          <cell r="D9042" t="str">
            <v>2023</v>
          </cell>
        </row>
        <row r="9043">
          <cell r="D9043" t="str">
            <v>2023</v>
          </cell>
        </row>
        <row r="9044">
          <cell r="D9044" t="str">
            <v>2023</v>
          </cell>
        </row>
        <row r="9045">
          <cell r="D9045" t="str">
            <v>2024</v>
          </cell>
        </row>
        <row r="9046">
          <cell r="D9046" t="str">
            <v>2023</v>
          </cell>
        </row>
        <row r="9047">
          <cell r="D9047" t="str">
            <v>2023</v>
          </cell>
        </row>
        <row r="9048">
          <cell r="D9048" t="str">
            <v>2024</v>
          </cell>
        </row>
        <row r="9049">
          <cell r="D9049" t="str">
            <v>2023</v>
          </cell>
        </row>
        <row r="9050">
          <cell r="D9050" t="str">
            <v>2022</v>
          </cell>
        </row>
        <row r="9051">
          <cell r="D9051" t="str">
            <v>2023</v>
          </cell>
        </row>
        <row r="9052">
          <cell r="D9052" t="str">
            <v>2023</v>
          </cell>
        </row>
        <row r="9053">
          <cell r="D9053" t="str">
            <v>2023</v>
          </cell>
        </row>
        <row r="9054">
          <cell r="D9054" t="str">
            <v>2023</v>
          </cell>
        </row>
        <row r="9055">
          <cell r="D9055" t="str">
            <v>2024</v>
          </cell>
        </row>
        <row r="9056">
          <cell r="D9056" t="str">
            <v>2023</v>
          </cell>
        </row>
        <row r="9057">
          <cell r="D9057" t="str">
            <v>2023</v>
          </cell>
        </row>
        <row r="9058">
          <cell r="D9058" t="str">
            <v>2023</v>
          </cell>
        </row>
        <row r="9059">
          <cell r="D9059" t="str">
            <v>2023</v>
          </cell>
        </row>
        <row r="9060">
          <cell r="D9060" t="str">
            <v>2023</v>
          </cell>
        </row>
        <row r="9061">
          <cell r="D9061" t="str">
            <v>2024</v>
          </cell>
        </row>
        <row r="9062">
          <cell r="D9062" t="str">
            <v>2023</v>
          </cell>
        </row>
        <row r="9063">
          <cell r="D9063" t="str">
            <v>2023</v>
          </cell>
        </row>
        <row r="9064">
          <cell r="D9064" t="str">
            <v>2023</v>
          </cell>
        </row>
        <row r="9065">
          <cell r="D9065" t="str">
            <v>2023</v>
          </cell>
        </row>
        <row r="9066">
          <cell r="D9066" t="str">
            <v>2022</v>
          </cell>
        </row>
        <row r="9067">
          <cell r="D9067" t="str">
            <v>2024</v>
          </cell>
        </row>
        <row r="9068">
          <cell r="D9068" t="str">
            <v>2023</v>
          </cell>
        </row>
        <row r="9069">
          <cell r="D9069" t="str">
            <v>2023</v>
          </cell>
        </row>
        <row r="9070">
          <cell r="D9070" t="str">
            <v>2023</v>
          </cell>
        </row>
        <row r="9071">
          <cell r="D9071" t="str">
            <v>2023</v>
          </cell>
        </row>
        <row r="9072">
          <cell r="D9072" t="str">
            <v>2023</v>
          </cell>
        </row>
        <row r="9073">
          <cell r="D9073" t="str">
            <v>2023</v>
          </cell>
        </row>
        <row r="9074">
          <cell r="D9074" t="str">
            <v>2023</v>
          </cell>
        </row>
        <row r="9075">
          <cell r="D9075" t="str">
            <v>2023</v>
          </cell>
        </row>
        <row r="9076">
          <cell r="D9076" t="str">
            <v>2022</v>
          </cell>
        </row>
        <row r="9077">
          <cell r="D9077" t="str">
            <v>2023</v>
          </cell>
        </row>
        <row r="9078">
          <cell r="D9078" t="str">
            <v>2023</v>
          </cell>
        </row>
        <row r="9079">
          <cell r="D9079" t="str">
            <v>2023</v>
          </cell>
        </row>
        <row r="9080">
          <cell r="D9080" t="str">
            <v>2021</v>
          </cell>
        </row>
        <row r="9081">
          <cell r="D9081" t="str">
            <v>2023</v>
          </cell>
        </row>
        <row r="9082">
          <cell r="D9082" t="str">
            <v>2023</v>
          </cell>
        </row>
        <row r="9083">
          <cell r="D9083" t="str">
            <v>2022</v>
          </cell>
        </row>
        <row r="9084">
          <cell r="D9084" t="str">
            <v>2024</v>
          </cell>
        </row>
        <row r="9085">
          <cell r="D9085" t="str">
            <v>2023</v>
          </cell>
        </row>
        <row r="9086">
          <cell r="D9086" t="str">
            <v>2023</v>
          </cell>
        </row>
        <row r="9087">
          <cell r="D9087" t="str">
            <v>2022</v>
          </cell>
        </row>
        <row r="9088">
          <cell r="D9088" t="str">
            <v>2022</v>
          </cell>
        </row>
        <row r="9089">
          <cell r="D9089" t="str">
            <v>2022</v>
          </cell>
        </row>
        <row r="9090">
          <cell r="D9090" t="str">
            <v>2022</v>
          </cell>
        </row>
        <row r="9091">
          <cell r="D9091" t="str">
            <v>2023</v>
          </cell>
        </row>
        <row r="9092">
          <cell r="D9092" t="str">
            <v>2023</v>
          </cell>
        </row>
        <row r="9093">
          <cell r="D9093" t="str">
            <v>2023</v>
          </cell>
        </row>
        <row r="9094">
          <cell r="D9094" t="str">
            <v>2024</v>
          </cell>
        </row>
        <row r="9095">
          <cell r="D9095" t="str">
            <v>2024</v>
          </cell>
        </row>
        <row r="9096">
          <cell r="D9096" t="str">
            <v>2023</v>
          </cell>
        </row>
        <row r="9097">
          <cell r="D9097" t="str">
            <v>2023</v>
          </cell>
        </row>
        <row r="9098">
          <cell r="D9098" t="str">
            <v>2023</v>
          </cell>
        </row>
        <row r="9099">
          <cell r="D9099" t="str">
            <v>2023</v>
          </cell>
        </row>
        <row r="9100">
          <cell r="D9100" t="str">
            <v>2023</v>
          </cell>
        </row>
        <row r="9101">
          <cell r="D9101" t="str">
            <v>2023</v>
          </cell>
        </row>
        <row r="9102">
          <cell r="D9102" t="str">
            <v>2024</v>
          </cell>
        </row>
        <row r="9103">
          <cell r="D9103" t="str">
            <v>2023</v>
          </cell>
        </row>
        <row r="9104">
          <cell r="D9104" t="str">
            <v>2023</v>
          </cell>
        </row>
        <row r="9105">
          <cell r="D9105" t="str">
            <v>2023</v>
          </cell>
        </row>
        <row r="9106">
          <cell r="D9106" t="str">
            <v>2021</v>
          </cell>
        </row>
        <row r="9107">
          <cell r="D9107" t="str">
            <v>2023</v>
          </cell>
        </row>
        <row r="9108">
          <cell r="D9108" t="str">
            <v>2023</v>
          </cell>
        </row>
        <row r="9109">
          <cell r="D9109" t="str">
            <v>2023</v>
          </cell>
        </row>
        <row r="9110">
          <cell r="D9110" t="str">
            <v>2023</v>
          </cell>
        </row>
        <row r="9111">
          <cell r="D9111" t="str">
            <v>2023</v>
          </cell>
        </row>
        <row r="9112">
          <cell r="D9112" t="str">
            <v>2023</v>
          </cell>
        </row>
        <row r="9113">
          <cell r="D9113" t="str">
            <v>2023</v>
          </cell>
        </row>
        <row r="9114">
          <cell r="D9114" t="str">
            <v>2023</v>
          </cell>
        </row>
        <row r="9115">
          <cell r="D9115" t="str">
            <v>2022</v>
          </cell>
        </row>
        <row r="9116">
          <cell r="D9116" t="str">
            <v>2024</v>
          </cell>
        </row>
        <row r="9117">
          <cell r="D9117" t="str">
            <v>2023</v>
          </cell>
        </row>
        <row r="9118">
          <cell r="D9118" t="str">
            <v>2023</v>
          </cell>
        </row>
        <row r="9119">
          <cell r="D9119" t="str">
            <v>2024</v>
          </cell>
        </row>
        <row r="9120">
          <cell r="D9120" t="str">
            <v>2023</v>
          </cell>
        </row>
        <row r="9121">
          <cell r="D9121" t="str">
            <v>2023</v>
          </cell>
        </row>
        <row r="9122">
          <cell r="D9122" t="str">
            <v>2023</v>
          </cell>
        </row>
        <row r="9123">
          <cell r="D9123" t="str">
            <v>2023</v>
          </cell>
        </row>
        <row r="9124">
          <cell r="D9124" t="str">
            <v>2023</v>
          </cell>
        </row>
        <row r="9125">
          <cell r="D9125" t="str">
            <v>2023</v>
          </cell>
        </row>
        <row r="9126">
          <cell r="D9126" t="str">
            <v>2022</v>
          </cell>
        </row>
        <row r="9127">
          <cell r="D9127" t="str">
            <v>2023</v>
          </cell>
        </row>
        <row r="9128">
          <cell r="D9128" t="str">
            <v>2023</v>
          </cell>
        </row>
        <row r="9129">
          <cell r="D9129" t="str">
            <v>2023</v>
          </cell>
        </row>
        <row r="9130">
          <cell r="D9130" t="str">
            <v>2023</v>
          </cell>
        </row>
        <row r="9131">
          <cell r="D9131" t="str">
            <v>2023</v>
          </cell>
        </row>
        <row r="9132">
          <cell r="D9132" t="str">
            <v>2023</v>
          </cell>
        </row>
        <row r="9133">
          <cell r="D9133" t="str">
            <v>2023</v>
          </cell>
        </row>
        <row r="9134">
          <cell r="D9134" t="str">
            <v>2023</v>
          </cell>
        </row>
        <row r="9135">
          <cell r="D9135" t="str">
            <v>2022</v>
          </cell>
        </row>
        <row r="9136">
          <cell r="D9136" t="str">
            <v>2023</v>
          </cell>
        </row>
        <row r="9137">
          <cell r="D9137" t="str">
            <v>2023</v>
          </cell>
        </row>
        <row r="9138">
          <cell r="D9138" t="str">
            <v>2023</v>
          </cell>
        </row>
        <row r="9139">
          <cell r="D9139" t="str">
            <v>2023</v>
          </cell>
        </row>
        <row r="9140">
          <cell r="D9140" t="str">
            <v>2023</v>
          </cell>
        </row>
        <row r="9141">
          <cell r="D9141" t="str">
            <v>2023</v>
          </cell>
        </row>
        <row r="9142">
          <cell r="D9142" t="str">
            <v>2022</v>
          </cell>
        </row>
        <row r="9143">
          <cell r="D9143" t="str">
            <v>2023</v>
          </cell>
        </row>
        <row r="9144">
          <cell r="D9144" t="str">
            <v>2024</v>
          </cell>
        </row>
        <row r="9145">
          <cell r="D9145" t="str">
            <v>2023</v>
          </cell>
        </row>
        <row r="9146">
          <cell r="D9146" t="str">
            <v>2023</v>
          </cell>
        </row>
        <row r="9147">
          <cell r="D9147" t="str">
            <v>2023</v>
          </cell>
        </row>
        <row r="9148">
          <cell r="D9148" t="str">
            <v>2023</v>
          </cell>
        </row>
        <row r="9149">
          <cell r="D9149" t="str">
            <v>2024</v>
          </cell>
        </row>
        <row r="9150">
          <cell r="D9150" t="str">
            <v>2023</v>
          </cell>
        </row>
        <row r="9151">
          <cell r="D9151" t="str">
            <v>2023</v>
          </cell>
        </row>
        <row r="9152">
          <cell r="D9152" t="str">
            <v>2023</v>
          </cell>
        </row>
        <row r="9153">
          <cell r="D9153" t="str">
            <v>2023</v>
          </cell>
        </row>
        <row r="9154">
          <cell r="D9154" t="str">
            <v>2023</v>
          </cell>
        </row>
        <row r="9155">
          <cell r="D9155" t="str">
            <v>2023</v>
          </cell>
        </row>
        <row r="9156">
          <cell r="D9156" t="str">
            <v>2023</v>
          </cell>
        </row>
        <row r="9157">
          <cell r="D9157" t="str">
            <v>2023</v>
          </cell>
        </row>
        <row r="9158">
          <cell r="D9158" t="str">
            <v>2023</v>
          </cell>
        </row>
        <row r="9159">
          <cell r="D9159" t="str">
            <v>2022</v>
          </cell>
        </row>
        <row r="9160">
          <cell r="D9160" t="str">
            <v>2024</v>
          </cell>
        </row>
        <row r="9161">
          <cell r="D9161" t="str">
            <v>2023</v>
          </cell>
        </row>
        <row r="9162">
          <cell r="D9162" t="str">
            <v>2023</v>
          </cell>
        </row>
        <row r="9163">
          <cell r="D9163" t="str">
            <v>2023</v>
          </cell>
        </row>
        <row r="9164">
          <cell r="D9164" t="str">
            <v>2023</v>
          </cell>
        </row>
        <row r="9165">
          <cell r="D9165" t="str">
            <v>2023</v>
          </cell>
        </row>
        <row r="9166">
          <cell r="D9166" t="str">
            <v>2023</v>
          </cell>
        </row>
        <row r="9167">
          <cell r="D9167" t="str">
            <v>2022</v>
          </cell>
        </row>
        <row r="9168">
          <cell r="D9168" t="str">
            <v>2023</v>
          </cell>
        </row>
        <row r="9169">
          <cell r="D9169" t="str">
            <v>2023</v>
          </cell>
        </row>
        <row r="9170">
          <cell r="D9170" t="str">
            <v>2023</v>
          </cell>
        </row>
        <row r="9171">
          <cell r="D9171" t="str">
            <v>2023</v>
          </cell>
        </row>
        <row r="9172">
          <cell r="D9172" t="str">
            <v>2023</v>
          </cell>
        </row>
        <row r="9173">
          <cell r="D9173" t="str">
            <v>2023</v>
          </cell>
        </row>
        <row r="9174">
          <cell r="D9174" t="str">
            <v>2023</v>
          </cell>
        </row>
        <row r="9175">
          <cell r="D9175" t="str">
            <v>2023</v>
          </cell>
        </row>
        <row r="9176">
          <cell r="D9176" t="str">
            <v>2023</v>
          </cell>
        </row>
        <row r="9177">
          <cell r="D9177" t="str">
            <v>2023</v>
          </cell>
        </row>
        <row r="9178">
          <cell r="D9178" t="str">
            <v>2022</v>
          </cell>
        </row>
        <row r="9179">
          <cell r="D9179" t="str">
            <v>2024</v>
          </cell>
        </row>
        <row r="9180">
          <cell r="D9180" t="str">
            <v>2023</v>
          </cell>
        </row>
        <row r="9181">
          <cell r="D9181" t="str">
            <v>2023</v>
          </cell>
        </row>
        <row r="9182">
          <cell r="D9182" t="str">
            <v>2023</v>
          </cell>
        </row>
        <row r="9183">
          <cell r="D9183" t="str">
            <v>2023</v>
          </cell>
        </row>
        <row r="9184">
          <cell r="D9184" t="str">
            <v>2023</v>
          </cell>
        </row>
        <row r="9185">
          <cell r="D9185" t="str">
            <v>2024</v>
          </cell>
        </row>
        <row r="9186">
          <cell r="D9186" t="str">
            <v>2023</v>
          </cell>
        </row>
        <row r="9187">
          <cell r="D9187" t="str">
            <v>2023</v>
          </cell>
        </row>
        <row r="9188">
          <cell r="D9188" t="str">
            <v>2023</v>
          </cell>
        </row>
        <row r="9189">
          <cell r="D9189" t="str">
            <v>2023</v>
          </cell>
        </row>
        <row r="9190">
          <cell r="D9190" t="str">
            <v>2023</v>
          </cell>
        </row>
        <row r="9191">
          <cell r="D9191" t="str">
            <v>2023</v>
          </cell>
        </row>
        <row r="9192">
          <cell r="D9192" t="str">
            <v>2023</v>
          </cell>
        </row>
        <row r="9193">
          <cell r="D9193" t="str">
            <v>2023</v>
          </cell>
        </row>
        <row r="9194">
          <cell r="D9194" t="str">
            <v>2022</v>
          </cell>
        </row>
        <row r="9195">
          <cell r="D9195" t="str">
            <v>2023</v>
          </cell>
        </row>
        <row r="9196">
          <cell r="D9196" t="str">
            <v>2023</v>
          </cell>
        </row>
        <row r="9197">
          <cell r="D9197" t="str">
            <v>2023</v>
          </cell>
        </row>
        <row r="9198">
          <cell r="D9198" t="str">
            <v>2023</v>
          </cell>
        </row>
        <row r="9199">
          <cell r="D9199" t="str">
            <v>2024</v>
          </cell>
        </row>
        <row r="9200">
          <cell r="D9200" t="str">
            <v>2023</v>
          </cell>
        </row>
        <row r="9201">
          <cell r="D9201" t="str">
            <v>2023</v>
          </cell>
        </row>
        <row r="9202">
          <cell r="D9202" t="str">
            <v>2024</v>
          </cell>
        </row>
        <row r="9203">
          <cell r="D9203" t="str">
            <v>2023</v>
          </cell>
        </row>
        <row r="9204">
          <cell r="D9204" t="str">
            <v>2022</v>
          </cell>
        </row>
        <row r="9205">
          <cell r="D9205" t="str">
            <v>2022</v>
          </cell>
        </row>
        <row r="9206">
          <cell r="D9206" t="str">
            <v>2023</v>
          </cell>
        </row>
        <row r="9207">
          <cell r="D9207" t="str">
            <v>2023</v>
          </cell>
        </row>
        <row r="9208">
          <cell r="D9208" t="str">
            <v>2023</v>
          </cell>
        </row>
        <row r="9209">
          <cell r="D9209" t="str">
            <v>2023</v>
          </cell>
        </row>
        <row r="9210">
          <cell r="D9210" t="str">
            <v>2023</v>
          </cell>
        </row>
        <row r="9211">
          <cell r="D9211" t="str">
            <v>2023</v>
          </cell>
        </row>
        <row r="9212">
          <cell r="D9212" t="str">
            <v>2023</v>
          </cell>
        </row>
        <row r="9213">
          <cell r="D9213" t="str">
            <v>2023</v>
          </cell>
        </row>
        <row r="9214">
          <cell r="D9214" t="str">
            <v>2023</v>
          </cell>
        </row>
        <row r="9215">
          <cell r="D9215" t="str">
            <v>2023</v>
          </cell>
        </row>
        <row r="9216">
          <cell r="D9216" t="str">
            <v>2022</v>
          </cell>
        </row>
        <row r="9217">
          <cell r="D9217" t="str">
            <v>2022</v>
          </cell>
        </row>
        <row r="9218">
          <cell r="D9218" t="str">
            <v>2022</v>
          </cell>
        </row>
        <row r="9219">
          <cell r="D9219" t="str">
            <v>2021</v>
          </cell>
        </row>
        <row r="9220">
          <cell r="D9220" t="str">
            <v>2024</v>
          </cell>
        </row>
        <row r="9221">
          <cell r="D9221" t="str">
            <v>2023</v>
          </cell>
        </row>
        <row r="9222">
          <cell r="D9222" t="str">
            <v>2023</v>
          </cell>
        </row>
        <row r="9223">
          <cell r="D9223" t="str">
            <v>2023</v>
          </cell>
        </row>
        <row r="9224">
          <cell r="D9224" t="str">
            <v>2023</v>
          </cell>
        </row>
        <row r="9225">
          <cell r="D9225" t="str">
            <v>2023</v>
          </cell>
        </row>
        <row r="9226">
          <cell r="D9226" t="str">
            <v>2023</v>
          </cell>
        </row>
        <row r="9227">
          <cell r="D9227" t="str">
            <v>2023</v>
          </cell>
        </row>
        <row r="9228">
          <cell r="D9228" t="str">
            <v>2023</v>
          </cell>
        </row>
        <row r="9229">
          <cell r="D9229" t="str">
            <v>2023</v>
          </cell>
        </row>
        <row r="9230">
          <cell r="D9230" t="str">
            <v>2021</v>
          </cell>
        </row>
        <row r="9231">
          <cell r="D9231" t="str">
            <v>2024</v>
          </cell>
        </row>
        <row r="9232">
          <cell r="D9232" t="str">
            <v>2023</v>
          </cell>
        </row>
        <row r="9233">
          <cell r="D9233" t="str">
            <v>2023</v>
          </cell>
        </row>
        <row r="9234">
          <cell r="D9234" t="str">
            <v>2023</v>
          </cell>
        </row>
        <row r="9235">
          <cell r="D9235" t="str">
            <v>2022</v>
          </cell>
        </row>
        <row r="9236">
          <cell r="D9236" t="str">
            <v>2023</v>
          </cell>
        </row>
        <row r="9237">
          <cell r="D9237" t="str">
            <v>2023</v>
          </cell>
        </row>
        <row r="9238">
          <cell r="D9238" t="str">
            <v>2023</v>
          </cell>
        </row>
        <row r="9239">
          <cell r="D9239" t="str">
            <v>2023</v>
          </cell>
        </row>
        <row r="9240">
          <cell r="D9240" t="str">
            <v>2023</v>
          </cell>
        </row>
        <row r="9241">
          <cell r="D9241" t="str">
            <v>2022</v>
          </cell>
        </row>
        <row r="9242">
          <cell r="D9242" t="str">
            <v>2021</v>
          </cell>
        </row>
        <row r="9243">
          <cell r="D9243" t="str">
            <v>2023</v>
          </cell>
        </row>
        <row r="9244">
          <cell r="D9244" t="str">
            <v>2023</v>
          </cell>
        </row>
        <row r="9245">
          <cell r="D9245" t="str">
            <v>2023</v>
          </cell>
        </row>
        <row r="9246">
          <cell r="D9246" t="str">
            <v>2023</v>
          </cell>
        </row>
        <row r="9247">
          <cell r="D9247" t="str">
            <v>2023</v>
          </cell>
        </row>
        <row r="9248">
          <cell r="D9248" t="str">
            <v>2023</v>
          </cell>
        </row>
        <row r="9249">
          <cell r="D9249" t="str">
            <v>2024</v>
          </cell>
        </row>
        <row r="9250">
          <cell r="D9250" t="str">
            <v>2024</v>
          </cell>
        </row>
        <row r="9251">
          <cell r="D9251" t="str">
            <v>2023</v>
          </cell>
        </row>
        <row r="9252">
          <cell r="D9252" t="str">
            <v>2023</v>
          </cell>
        </row>
        <row r="9253">
          <cell r="D9253" t="str">
            <v>2023</v>
          </cell>
        </row>
        <row r="9254">
          <cell r="D9254" t="str">
            <v>2023</v>
          </cell>
        </row>
        <row r="9255">
          <cell r="D9255" t="str">
            <v>2022</v>
          </cell>
        </row>
        <row r="9256">
          <cell r="D9256" t="str">
            <v>2023</v>
          </cell>
        </row>
        <row r="9257">
          <cell r="D9257" t="str">
            <v>2023</v>
          </cell>
        </row>
        <row r="9258">
          <cell r="D9258" t="str">
            <v>2023</v>
          </cell>
        </row>
        <row r="9259">
          <cell r="D9259" t="str">
            <v>2023</v>
          </cell>
        </row>
        <row r="9260">
          <cell r="D9260" t="str">
            <v>2023</v>
          </cell>
        </row>
        <row r="9261">
          <cell r="D9261" t="str">
            <v>2023</v>
          </cell>
        </row>
        <row r="9262">
          <cell r="D9262" t="str">
            <v>2023</v>
          </cell>
        </row>
        <row r="9263">
          <cell r="D9263" t="str">
            <v>2023</v>
          </cell>
        </row>
        <row r="9264">
          <cell r="D9264" t="str">
            <v>2023</v>
          </cell>
        </row>
        <row r="9265">
          <cell r="D9265" t="str">
            <v>2023</v>
          </cell>
        </row>
        <row r="9266">
          <cell r="D9266" t="str">
            <v>2023</v>
          </cell>
        </row>
        <row r="9267">
          <cell r="D9267" t="str">
            <v>2023</v>
          </cell>
        </row>
        <row r="9268">
          <cell r="D9268" t="str">
            <v>2021</v>
          </cell>
        </row>
        <row r="9269">
          <cell r="D9269" t="str">
            <v>2023</v>
          </cell>
        </row>
        <row r="9270">
          <cell r="D9270" t="str">
            <v>2023</v>
          </cell>
        </row>
        <row r="9271">
          <cell r="D9271" t="str">
            <v>2023</v>
          </cell>
        </row>
        <row r="9272">
          <cell r="D9272" t="str">
            <v>2023</v>
          </cell>
        </row>
        <row r="9273">
          <cell r="D9273" t="str">
            <v>2023</v>
          </cell>
        </row>
        <row r="9274">
          <cell r="D9274" t="str">
            <v>2023</v>
          </cell>
        </row>
        <row r="9275">
          <cell r="D9275" t="str">
            <v>2023</v>
          </cell>
        </row>
        <row r="9276">
          <cell r="D9276" t="str">
            <v>2023</v>
          </cell>
        </row>
        <row r="9277">
          <cell r="D9277" t="str">
            <v>2023</v>
          </cell>
        </row>
        <row r="9278">
          <cell r="D9278" t="str">
            <v>2023</v>
          </cell>
        </row>
        <row r="9279">
          <cell r="D9279" t="str">
            <v>2024</v>
          </cell>
        </row>
        <row r="9280">
          <cell r="D9280" t="str">
            <v>2024</v>
          </cell>
        </row>
        <row r="9281">
          <cell r="D9281" t="str">
            <v>2023</v>
          </cell>
        </row>
        <row r="9282">
          <cell r="D9282" t="str">
            <v>2023</v>
          </cell>
        </row>
        <row r="9283">
          <cell r="D9283" t="str">
            <v>2023</v>
          </cell>
        </row>
        <row r="9284">
          <cell r="D9284" t="str">
            <v>2023</v>
          </cell>
        </row>
        <row r="9285">
          <cell r="D9285" t="str">
            <v>2023</v>
          </cell>
        </row>
        <row r="9286">
          <cell r="D9286" t="str">
            <v>2023</v>
          </cell>
        </row>
        <row r="9287">
          <cell r="D9287" t="str">
            <v>2023</v>
          </cell>
        </row>
        <row r="9288">
          <cell r="D9288" t="str">
            <v>2023</v>
          </cell>
        </row>
        <row r="9289">
          <cell r="D9289" t="str">
            <v>2023</v>
          </cell>
        </row>
        <row r="9290">
          <cell r="D9290" t="str">
            <v>2023</v>
          </cell>
        </row>
        <row r="9291">
          <cell r="D9291" t="str">
            <v>2023</v>
          </cell>
        </row>
        <row r="9292">
          <cell r="D9292" t="str">
            <v>2023</v>
          </cell>
        </row>
        <row r="9293">
          <cell r="D9293" t="str">
            <v>2023</v>
          </cell>
        </row>
        <row r="9294">
          <cell r="D9294" t="str">
            <v>2021</v>
          </cell>
        </row>
        <row r="9295">
          <cell r="D9295" t="str">
            <v>2023</v>
          </cell>
        </row>
        <row r="9296">
          <cell r="D9296" t="str">
            <v>2023</v>
          </cell>
        </row>
        <row r="9297">
          <cell r="D9297" t="str">
            <v>2023</v>
          </cell>
        </row>
        <row r="9298">
          <cell r="D9298" t="str">
            <v>2023</v>
          </cell>
        </row>
        <row r="9299">
          <cell r="D9299" t="str">
            <v>2022</v>
          </cell>
        </row>
        <row r="9300">
          <cell r="D9300" t="str">
            <v>2022</v>
          </cell>
        </row>
        <row r="9301">
          <cell r="D9301" t="str">
            <v>2023</v>
          </cell>
        </row>
        <row r="9302">
          <cell r="D9302" t="str">
            <v>2023</v>
          </cell>
        </row>
        <row r="9303">
          <cell r="D9303" t="str">
            <v>2024</v>
          </cell>
        </row>
        <row r="9304">
          <cell r="D9304" t="str">
            <v>2023</v>
          </cell>
        </row>
        <row r="9305">
          <cell r="D9305" t="str">
            <v>2023</v>
          </cell>
        </row>
        <row r="9306">
          <cell r="D9306" t="str">
            <v>2023</v>
          </cell>
        </row>
        <row r="9307">
          <cell r="D9307" t="str">
            <v>2023</v>
          </cell>
        </row>
        <row r="9308">
          <cell r="D9308" t="str">
            <v>2023</v>
          </cell>
        </row>
        <row r="9309">
          <cell r="D9309" t="str">
            <v>2023</v>
          </cell>
        </row>
        <row r="9310">
          <cell r="D9310" t="str">
            <v>2022</v>
          </cell>
        </row>
        <row r="9311">
          <cell r="D9311" t="str">
            <v>2022</v>
          </cell>
        </row>
        <row r="9312">
          <cell r="D9312" t="str">
            <v>2024</v>
          </cell>
        </row>
        <row r="9313">
          <cell r="D9313" t="str">
            <v>2023</v>
          </cell>
        </row>
        <row r="9314">
          <cell r="D9314" t="str">
            <v>2023</v>
          </cell>
        </row>
        <row r="9315">
          <cell r="D9315" t="str">
            <v>2023</v>
          </cell>
        </row>
        <row r="9316">
          <cell r="D9316" t="str">
            <v>2023</v>
          </cell>
        </row>
        <row r="9317">
          <cell r="D9317" t="str">
            <v>2023</v>
          </cell>
        </row>
        <row r="9318">
          <cell r="D9318" t="str">
            <v>2023</v>
          </cell>
        </row>
        <row r="9319">
          <cell r="D9319" t="str">
            <v>2023</v>
          </cell>
        </row>
        <row r="9320">
          <cell r="D9320" t="str">
            <v>2023</v>
          </cell>
        </row>
        <row r="9321">
          <cell r="D9321" t="str">
            <v>2022</v>
          </cell>
        </row>
        <row r="9322">
          <cell r="D9322" t="str">
            <v>2022</v>
          </cell>
        </row>
        <row r="9323">
          <cell r="D9323" t="str">
            <v>2024</v>
          </cell>
        </row>
        <row r="9324">
          <cell r="D9324" t="str">
            <v>2023</v>
          </cell>
        </row>
        <row r="9325">
          <cell r="D9325" t="str">
            <v>2023</v>
          </cell>
        </row>
        <row r="9326">
          <cell r="D9326" t="str">
            <v>2023</v>
          </cell>
        </row>
        <row r="9327">
          <cell r="D9327" t="str">
            <v>2023</v>
          </cell>
        </row>
        <row r="9328">
          <cell r="D9328" t="str">
            <v>2022</v>
          </cell>
        </row>
        <row r="9329">
          <cell r="D9329" t="str">
            <v>2021</v>
          </cell>
        </row>
        <row r="9330">
          <cell r="D9330" t="str">
            <v>2023</v>
          </cell>
        </row>
        <row r="9331">
          <cell r="D9331" t="str">
            <v>2023</v>
          </cell>
        </row>
        <row r="9332">
          <cell r="D9332" t="str">
            <v>2023</v>
          </cell>
        </row>
        <row r="9333">
          <cell r="D9333" t="str">
            <v>2023</v>
          </cell>
        </row>
        <row r="9334">
          <cell r="D9334" t="str">
            <v>2023</v>
          </cell>
        </row>
        <row r="9335">
          <cell r="D9335" t="str">
            <v>2024</v>
          </cell>
        </row>
        <row r="9336">
          <cell r="D9336" t="str">
            <v>2023</v>
          </cell>
        </row>
        <row r="9337">
          <cell r="D9337" t="str">
            <v>2023</v>
          </cell>
        </row>
        <row r="9338">
          <cell r="D9338" t="str">
            <v>2023</v>
          </cell>
        </row>
        <row r="9339">
          <cell r="D9339" t="str">
            <v>2023</v>
          </cell>
        </row>
        <row r="9340">
          <cell r="D9340" t="str">
            <v>2022</v>
          </cell>
        </row>
        <row r="9341">
          <cell r="D9341" t="str">
            <v>2023</v>
          </cell>
        </row>
        <row r="9342">
          <cell r="D9342" t="str">
            <v>2023</v>
          </cell>
        </row>
        <row r="9343">
          <cell r="D9343" t="str">
            <v>2023</v>
          </cell>
        </row>
        <row r="9344">
          <cell r="D9344" t="str">
            <v>2022</v>
          </cell>
        </row>
        <row r="9345">
          <cell r="D9345" t="str">
            <v>2022</v>
          </cell>
        </row>
        <row r="9346">
          <cell r="D9346" t="str">
            <v>2022</v>
          </cell>
        </row>
        <row r="9347">
          <cell r="D9347" t="str">
            <v>2023</v>
          </cell>
        </row>
        <row r="9348">
          <cell r="D9348" t="str">
            <v>2023</v>
          </cell>
        </row>
        <row r="9349">
          <cell r="D9349" t="str">
            <v>2023</v>
          </cell>
        </row>
        <row r="9350">
          <cell r="D9350" t="str">
            <v>2023</v>
          </cell>
        </row>
        <row r="9351">
          <cell r="D9351" t="str">
            <v>2023</v>
          </cell>
        </row>
        <row r="9352">
          <cell r="D9352" t="str">
            <v>2023</v>
          </cell>
        </row>
        <row r="9353">
          <cell r="D9353" t="str">
            <v>2023</v>
          </cell>
        </row>
        <row r="9354">
          <cell r="D9354" t="str">
            <v>2023</v>
          </cell>
        </row>
        <row r="9355">
          <cell r="D9355" t="str">
            <v>2023</v>
          </cell>
        </row>
        <row r="9356">
          <cell r="D9356" t="str">
            <v>2024</v>
          </cell>
        </row>
        <row r="9357">
          <cell r="D9357" t="str">
            <v>2024</v>
          </cell>
        </row>
        <row r="9358">
          <cell r="D9358" t="str">
            <v>2023</v>
          </cell>
        </row>
        <row r="9359">
          <cell r="D9359" t="str">
            <v>2023</v>
          </cell>
        </row>
        <row r="9360">
          <cell r="D9360" t="str">
            <v>2023</v>
          </cell>
        </row>
        <row r="9361">
          <cell r="D9361" t="str">
            <v>2023</v>
          </cell>
        </row>
        <row r="9362">
          <cell r="D9362" t="str">
            <v>2024</v>
          </cell>
        </row>
        <row r="9363">
          <cell r="D9363" t="str">
            <v>2023</v>
          </cell>
        </row>
        <row r="9364">
          <cell r="D9364" t="str">
            <v>2023</v>
          </cell>
        </row>
        <row r="9365">
          <cell r="D9365" t="str">
            <v>2023</v>
          </cell>
        </row>
        <row r="9366">
          <cell r="D9366" t="str">
            <v>2023</v>
          </cell>
        </row>
        <row r="9367">
          <cell r="D9367" t="str">
            <v>2023</v>
          </cell>
        </row>
        <row r="9368">
          <cell r="D9368" t="str">
            <v>2023</v>
          </cell>
        </row>
        <row r="9369">
          <cell r="D9369" t="str">
            <v>2023</v>
          </cell>
        </row>
        <row r="9370">
          <cell r="D9370" t="str">
            <v>2023</v>
          </cell>
        </row>
        <row r="9371">
          <cell r="D9371" t="str">
            <v>2023</v>
          </cell>
        </row>
        <row r="9372">
          <cell r="D9372" t="str">
            <v>2023</v>
          </cell>
        </row>
        <row r="9373">
          <cell r="D9373" t="str">
            <v>2022</v>
          </cell>
        </row>
        <row r="9374">
          <cell r="D9374" t="str">
            <v>2023</v>
          </cell>
        </row>
        <row r="9375">
          <cell r="D9375" t="str">
            <v>2023</v>
          </cell>
        </row>
        <row r="9376">
          <cell r="D9376" t="str">
            <v>2024</v>
          </cell>
        </row>
        <row r="9377">
          <cell r="D9377" t="str">
            <v>2023</v>
          </cell>
        </row>
        <row r="9378">
          <cell r="D9378" t="str">
            <v>2023</v>
          </cell>
        </row>
        <row r="9379">
          <cell r="D9379" t="str">
            <v>2024</v>
          </cell>
        </row>
        <row r="9380">
          <cell r="D9380" t="str">
            <v>2024</v>
          </cell>
        </row>
        <row r="9381">
          <cell r="D9381" t="str">
            <v>2023</v>
          </cell>
        </row>
        <row r="9382">
          <cell r="D9382" t="str">
            <v>2023</v>
          </cell>
        </row>
        <row r="9383">
          <cell r="D9383" t="str">
            <v>2023</v>
          </cell>
        </row>
        <row r="9384">
          <cell r="D9384" t="str">
            <v>2023</v>
          </cell>
        </row>
        <row r="9385">
          <cell r="D9385" t="str">
            <v>2023</v>
          </cell>
        </row>
        <row r="9386">
          <cell r="D9386" t="str">
            <v>2024</v>
          </cell>
        </row>
        <row r="9387">
          <cell r="D9387" t="str">
            <v>2024</v>
          </cell>
        </row>
        <row r="9388">
          <cell r="D9388" t="str">
            <v>2023</v>
          </cell>
        </row>
        <row r="9389">
          <cell r="D9389" t="str">
            <v>2023</v>
          </cell>
        </row>
        <row r="9390">
          <cell r="D9390" t="str">
            <v>2023</v>
          </cell>
        </row>
        <row r="9391">
          <cell r="D9391" t="str">
            <v>2023</v>
          </cell>
        </row>
        <row r="9392">
          <cell r="D9392" t="str">
            <v>2023</v>
          </cell>
        </row>
        <row r="9393">
          <cell r="D9393" t="str">
            <v>2023</v>
          </cell>
        </row>
        <row r="9394">
          <cell r="D9394" t="str">
            <v>2023</v>
          </cell>
        </row>
        <row r="9395">
          <cell r="D9395" t="str">
            <v>2023</v>
          </cell>
        </row>
        <row r="9396">
          <cell r="D9396" t="str">
            <v>2022</v>
          </cell>
        </row>
        <row r="9397">
          <cell r="D9397" t="str">
            <v>2024</v>
          </cell>
        </row>
        <row r="9398">
          <cell r="D9398" t="str">
            <v>2023</v>
          </cell>
        </row>
        <row r="9399">
          <cell r="D9399" t="str">
            <v>2023</v>
          </cell>
        </row>
        <row r="9400">
          <cell r="D9400" t="str">
            <v>2023</v>
          </cell>
        </row>
        <row r="9401">
          <cell r="D9401" t="str">
            <v>2023</v>
          </cell>
        </row>
        <row r="9402">
          <cell r="D9402" t="str">
            <v>2022</v>
          </cell>
        </row>
        <row r="9403">
          <cell r="D9403" t="str">
            <v>2024</v>
          </cell>
        </row>
        <row r="9404">
          <cell r="D9404" t="str">
            <v>2023</v>
          </cell>
        </row>
        <row r="9405">
          <cell r="D9405" t="str">
            <v>2023</v>
          </cell>
        </row>
        <row r="9406">
          <cell r="D9406" t="str">
            <v>2023</v>
          </cell>
        </row>
        <row r="9407">
          <cell r="D9407" t="str">
            <v>2023</v>
          </cell>
        </row>
        <row r="9408">
          <cell r="D9408" t="str">
            <v>2023</v>
          </cell>
        </row>
        <row r="9409">
          <cell r="D9409" t="str">
            <v>2023</v>
          </cell>
        </row>
        <row r="9410">
          <cell r="D9410" t="str">
            <v>2023</v>
          </cell>
        </row>
        <row r="9411">
          <cell r="D9411" t="str">
            <v>2023</v>
          </cell>
        </row>
        <row r="9412">
          <cell r="D9412" t="str">
            <v>2023</v>
          </cell>
        </row>
        <row r="9413">
          <cell r="D9413" t="str">
            <v>2023</v>
          </cell>
        </row>
        <row r="9414">
          <cell r="D9414" t="str">
            <v>2023</v>
          </cell>
        </row>
        <row r="9415">
          <cell r="D9415" t="str">
            <v>2023</v>
          </cell>
        </row>
        <row r="9416">
          <cell r="D9416" t="str">
            <v>2023</v>
          </cell>
        </row>
        <row r="9417">
          <cell r="D9417" t="str">
            <v>2023</v>
          </cell>
        </row>
        <row r="9418">
          <cell r="D9418" t="str">
            <v>2023</v>
          </cell>
        </row>
        <row r="9419">
          <cell r="D9419" t="str">
            <v>2023</v>
          </cell>
        </row>
        <row r="9420">
          <cell r="D9420" t="str">
            <v>2023</v>
          </cell>
        </row>
        <row r="9421">
          <cell r="D9421" t="str">
            <v>2023</v>
          </cell>
        </row>
        <row r="9422">
          <cell r="D9422" t="str">
            <v>2023</v>
          </cell>
        </row>
        <row r="9423">
          <cell r="D9423" t="str">
            <v>2023</v>
          </cell>
        </row>
        <row r="9424">
          <cell r="D9424" t="str">
            <v>2024</v>
          </cell>
        </row>
        <row r="9425">
          <cell r="D9425" t="str">
            <v>2023</v>
          </cell>
        </row>
        <row r="9426">
          <cell r="D9426" t="str">
            <v>2023</v>
          </cell>
        </row>
        <row r="9427">
          <cell r="D9427" t="str">
            <v>2023</v>
          </cell>
        </row>
        <row r="9428">
          <cell r="D9428" t="str">
            <v>2023</v>
          </cell>
        </row>
        <row r="9429">
          <cell r="D9429" t="str">
            <v>2023</v>
          </cell>
        </row>
        <row r="9430">
          <cell r="D9430" t="str">
            <v>2023</v>
          </cell>
        </row>
        <row r="9431">
          <cell r="D9431" t="str">
            <v>2023</v>
          </cell>
        </row>
        <row r="9432">
          <cell r="D9432" t="str">
            <v>2023</v>
          </cell>
        </row>
        <row r="9433">
          <cell r="D9433" t="str">
            <v>2023</v>
          </cell>
        </row>
        <row r="9434">
          <cell r="D9434" t="str">
            <v>2023</v>
          </cell>
        </row>
        <row r="9435">
          <cell r="D9435" t="str">
            <v>2023</v>
          </cell>
        </row>
        <row r="9436">
          <cell r="D9436" t="str">
            <v>2023</v>
          </cell>
        </row>
        <row r="9437">
          <cell r="D9437" t="str">
            <v>2023</v>
          </cell>
        </row>
        <row r="9438">
          <cell r="D9438" t="str">
            <v>2022</v>
          </cell>
        </row>
        <row r="9439">
          <cell r="D9439" t="str">
            <v>2023</v>
          </cell>
        </row>
        <row r="9440">
          <cell r="D9440" t="str">
            <v>2023</v>
          </cell>
        </row>
        <row r="9441">
          <cell r="D9441" t="str">
            <v>2023</v>
          </cell>
        </row>
        <row r="9442">
          <cell r="D9442" t="str">
            <v>2023</v>
          </cell>
        </row>
        <row r="9443">
          <cell r="D9443" t="str">
            <v>2023</v>
          </cell>
        </row>
        <row r="9444">
          <cell r="D9444" t="str">
            <v>2024</v>
          </cell>
        </row>
        <row r="9445">
          <cell r="D9445" t="str">
            <v>2023</v>
          </cell>
        </row>
        <row r="9446">
          <cell r="D9446" t="str">
            <v>2023</v>
          </cell>
        </row>
        <row r="9447">
          <cell r="D9447" t="str">
            <v>2022</v>
          </cell>
        </row>
        <row r="9448">
          <cell r="D9448" t="str">
            <v>2023</v>
          </cell>
        </row>
        <row r="9449">
          <cell r="D9449" t="str">
            <v>2024</v>
          </cell>
        </row>
        <row r="9450">
          <cell r="D9450" t="str">
            <v>2023</v>
          </cell>
        </row>
        <row r="9451">
          <cell r="D9451" t="str">
            <v>2023</v>
          </cell>
        </row>
        <row r="9452">
          <cell r="D9452" t="str">
            <v>2023</v>
          </cell>
        </row>
        <row r="9453">
          <cell r="D9453" t="str">
            <v>2023</v>
          </cell>
        </row>
        <row r="9454">
          <cell r="D9454" t="str">
            <v>2023</v>
          </cell>
        </row>
        <row r="9455">
          <cell r="D9455" t="str">
            <v>2023</v>
          </cell>
        </row>
        <row r="9456">
          <cell r="D9456" t="str">
            <v>2023</v>
          </cell>
        </row>
        <row r="9457">
          <cell r="D9457" t="str">
            <v>2023</v>
          </cell>
        </row>
        <row r="9458">
          <cell r="D9458" t="str">
            <v>2023</v>
          </cell>
        </row>
        <row r="9459">
          <cell r="D9459" t="str">
            <v>2023</v>
          </cell>
        </row>
        <row r="9460">
          <cell r="D9460" t="str">
            <v>2023</v>
          </cell>
        </row>
        <row r="9461">
          <cell r="D9461" t="str">
            <v>2023</v>
          </cell>
        </row>
        <row r="9462">
          <cell r="D9462" t="str">
            <v>2023</v>
          </cell>
        </row>
        <row r="9463">
          <cell r="D9463" t="str">
            <v>2023</v>
          </cell>
        </row>
        <row r="9464">
          <cell r="D9464" t="str">
            <v>2023</v>
          </cell>
        </row>
        <row r="9465">
          <cell r="D9465" t="str">
            <v>2024</v>
          </cell>
        </row>
        <row r="9466">
          <cell r="D9466" t="str">
            <v>2023</v>
          </cell>
        </row>
        <row r="9467">
          <cell r="D9467" t="str">
            <v>2023</v>
          </cell>
        </row>
        <row r="9468">
          <cell r="D9468" t="str">
            <v>2023</v>
          </cell>
        </row>
        <row r="9469">
          <cell r="D9469" t="str">
            <v>2023</v>
          </cell>
        </row>
        <row r="9470">
          <cell r="D9470" t="str">
            <v>2023</v>
          </cell>
        </row>
        <row r="9471">
          <cell r="D9471" t="str">
            <v>2023</v>
          </cell>
        </row>
        <row r="9472">
          <cell r="D9472" t="str">
            <v>2023</v>
          </cell>
        </row>
        <row r="9473">
          <cell r="D9473" t="str">
            <v>2022</v>
          </cell>
        </row>
        <row r="9474">
          <cell r="D9474" t="str">
            <v>2023</v>
          </cell>
        </row>
        <row r="9475">
          <cell r="D9475" t="str">
            <v>2024</v>
          </cell>
        </row>
        <row r="9476">
          <cell r="D9476" t="str">
            <v>2024</v>
          </cell>
        </row>
        <row r="9477">
          <cell r="D9477" t="str">
            <v>2023</v>
          </cell>
        </row>
        <row r="9478">
          <cell r="D9478" t="str">
            <v>2023</v>
          </cell>
        </row>
        <row r="9479">
          <cell r="D9479" t="str">
            <v>2022</v>
          </cell>
        </row>
        <row r="9480">
          <cell r="D9480" t="str">
            <v>2023</v>
          </cell>
        </row>
        <row r="9481">
          <cell r="D9481" t="str">
            <v>2023</v>
          </cell>
        </row>
        <row r="9482">
          <cell r="D9482" t="str">
            <v>2023</v>
          </cell>
        </row>
        <row r="9483">
          <cell r="D9483" t="str">
            <v>2022</v>
          </cell>
        </row>
        <row r="9484">
          <cell r="D9484" t="str">
            <v>2023</v>
          </cell>
        </row>
        <row r="9485">
          <cell r="D9485" t="str">
            <v>2023</v>
          </cell>
        </row>
        <row r="9486">
          <cell r="D9486" t="str">
            <v>2023</v>
          </cell>
        </row>
        <row r="9487">
          <cell r="D9487" t="str">
            <v>2023</v>
          </cell>
        </row>
        <row r="9488">
          <cell r="D9488" t="str">
            <v>2023</v>
          </cell>
        </row>
        <row r="9489">
          <cell r="D9489" t="str">
            <v>2023</v>
          </cell>
        </row>
        <row r="9490">
          <cell r="D9490" t="str">
            <v>2024</v>
          </cell>
        </row>
        <row r="9491">
          <cell r="D9491" t="str">
            <v>2024</v>
          </cell>
        </row>
        <row r="9492">
          <cell r="D9492" t="str">
            <v>2023</v>
          </cell>
        </row>
        <row r="9493">
          <cell r="D9493" t="str">
            <v>2021</v>
          </cell>
        </row>
        <row r="9494">
          <cell r="D9494" t="str">
            <v>2024</v>
          </cell>
        </row>
        <row r="9495">
          <cell r="D9495" t="str">
            <v>2023</v>
          </cell>
        </row>
        <row r="9496">
          <cell r="D9496" t="str">
            <v>2023</v>
          </cell>
        </row>
        <row r="9497">
          <cell r="D9497" t="str">
            <v>2023</v>
          </cell>
        </row>
        <row r="9498">
          <cell r="D9498" t="str">
            <v>2023</v>
          </cell>
        </row>
        <row r="9499">
          <cell r="D9499" t="str">
            <v>2021</v>
          </cell>
        </row>
        <row r="9500">
          <cell r="D9500" t="str">
            <v>2023</v>
          </cell>
        </row>
        <row r="9501">
          <cell r="D9501" t="str">
            <v>2024</v>
          </cell>
        </row>
        <row r="9502">
          <cell r="D9502" t="str">
            <v>2023</v>
          </cell>
        </row>
        <row r="9503">
          <cell r="D9503" t="str">
            <v>2023</v>
          </cell>
        </row>
        <row r="9504">
          <cell r="D9504" t="str">
            <v>2023</v>
          </cell>
        </row>
        <row r="9505">
          <cell r="D9505" t="str">
            <v>2023</v>
          </cell>
        </row>
        <row r="9506">
          <cell r="D9506" t="str">
            <v>2021</v>
          </cell>
        </row>
        <row r="9507">
          <cell r="D9507" t="str">
            <v>2023</v>
          </cell>
        </row>
        <row r="9508">
          <cell r="D9508" t="str">
            <v>2023</v>
          </cell>
        </row>
        <row r="9509">
          <cell r="D9509" t="str">
            <v>2023</v>
          </cell>
        </row>
        <row r="9510">
          <cell r="D9510" t="str">
            <v>2023</v>
          </cell>
        </row>
        <row r="9511">
          <cell r="D9511" t="str">
            <v>2023</v>
          </cell>
        </row>
        <row r="9512">
          <cell r="D9512" t="str">
            <v>2023</v>
          </cell>
        </row>
        <row r="9513">
          <cell r="D9513" t="str">
            <v>2023</v>
          </cell>
        </row>
        <row r="9514">
          <cell r="D9514" t="str">
            <v>2024</v>
          </cell>
        </row>
        <row r="9515">
          <cell r="D9515" t="str">
            <v>2023</v>
          </cell>
        </row>
        <row r="9516">
          <cell r="D9516" t="str">
            <v>2023</v>
          </cell>
        </row>
        <row r="9517">
          <cell r="D9517" t="str">
            <v>2023</v>
          </cell>
        </row>
        <row r="9518">
          <cell r="D9518" t="str">
            <v>2023</v>
          </cell>
        </row>
        <row r="9519">
          <cell r="D9519" t="str">
            <v>2023</v>
          </cell>
        </row>
        <row r="9520">
          <cell r="D9520" t="str">
            <v>2023</v>
          </cell>
        </row>
        <row r="9521">
          <cell r="D9521" t="str">
            <v>2023</v>
          </cell>
        </row>
        <row r="9522">
          <cell r="D9522" t="str">
            <v>2024</v>
          </cell>
        </row>
        <row r="9523">
          <cell r="D9523" t="str">
            <v>2023</v>
          </cell>
        </row>
        <row r="9524">
          <cell r="D9524" t="str">
            <v>2023</v>
          </cell>
        </row>
        <row r="9525">
          <cell r="D9525" t="str">
            <v>2022</v>
          </cell>
        </row>
        <row r="9526">
          <cell r="D9526" t="str">
            <v>2023</v>
          </cell>
        </row>
        <row r="9527">
          <cell r="D9527" t="str">
            <v>2023</v>
          </cell>
        </row>
        <row r="9528">
          <cell r="D9528" t="str">
            <v>2023</v>
          </cell>
        </row>
        <row r="9529">
          <cell r="D9529" t="str">
            <v>2023</v>
          </cell>
        </row>
        <row r="9530">
          <cell r="D9530" t="str">
            <v>2023</v>
          </cell>
        </row>
        <row r="9531">
          <cell r="D9531" t="str">
            <v>2023</v>
          </cell>
        </row>
        <row r="9532">
          <cell r="D9532" t="str">
            <v>2023</v>
          </cell>
        </row>
        <row r="9533">
          <cell r="D9533" t="str">
            <v>2023</v>
          </cell>
        </row>
        <row r="9534">
          <cell r="D9534" t="str">
            <v>2024</v>
          </cell>
        </row>
        <row r="9535">
          <cell r="D9535" t="str">
            <v>2023</v>
          </cell>
        </row>
        <row r="9536">
          <cell r="D9536" t="str">
            <v>2023</v>
          </cell>
        </row>
        <row r="9537">
          <cell r="D9537" t="str">
            <v>2023</v>
          </cell>
        </row>
        <row r="9538">
          <cell r="D9538" t="str">
            <v>2023</v>
          </cell>
        </row>
        <row r="9539">
          <cell r="D9539" t="str">
            <v>2023</v>
          </cell>
        </row>
        <row r="9540">
          <cell r="D9540" t="str">
            <v>2023</v>
          </cell>
        </row>
        <row r="9541">
          <cell r="D9541" t="str">
            <v>2022</v>
          </cell>
        </row>
        <row r="9542">
          <cell r="D9542" t="str">
            <v>2023</v>
          </cell>
        </row>
        <row r="9543">
          <cell r="D9543" t="str">
            <v>2023</v>
          </cell>
        </row>
        <row r="9544">
          <cell r="D9544" t="str">
            <v>2023</v>
          </cell>
        </row>
        <row r="9545">
          <cell r="D9545" t="str">
            <v>2023</v>
          </cell>
        </row>
        <row r="9546">
          <cell r="D9546" t="str">
            <v>2023</v>
          </cell>
        </row>
        <row r="9547">
          <cell r="D9547" t="str">
            <v>2023</v>
          </cell>
        </row>
        <row r="9548">
          <cell r="D9548" t="str">
            <v>2023</v>
          </cell>
        </row>
        <row r="9549">
          <cell r="D9549" t="str">
            <v>2023</v>
          </cell>
        </row>
        <row r="9550">
          <cell r="D9550" t="str">
            <v>2023</v>
          </cell>
        </row>
        <row r="9551">
          <cell r="D9551" t="str">
            <v>2023</v>
          </cell>
        </row>
        <row r="9552">
          <cell r="D9552" t="str">
            <v>2023</v>
          </cell>
        </row>
        <row r="9553">
          <cell r="D9553" t="str">
            <v>2023</v>
          </cell>
        </row>
        <row r="9554">
          <cell r="D9554" t="str">
            <v>2024</v>
          </cell>
        </row>
        <row r="9555">
          <cell r="D9555" t="str">
            <v>2023</v>
          </cell>
        </row>
        <row r="9556">
          <cell r="D9556" t="str">
            <v>2023</v>
          </cell>
        </row>
        <row r="9557">
          <cell r="D9557" t="str">
            <v>2023</v>
          </cell>
        </row>
        <row r="9558">
          <cell r="D9558" t="str">
            <v>2023</v>
          </cell>
        </row>
        <row r="9559">
          <cell r="D9559" t="str">
            <v>2024</v>
          </cell>
        </row>
        <row r="9560">
          <cell r="D9560" t="str">
            <v>2023</v>
          </cell>
        </row>
        <row r="9561">
          <cell r="D9561" t="str">
            <v>2023</v>
          </cell>
        </row>
        <row r="9562">
          <cell r="D9562" t="str">
            <v>2023</v>
          </cell>
        </row>
        <row r="9563">
          <cell r="D9563" t="str">
            <v>2023</v>
          </cell>
        </row>
        <row r="9564">
          <cell r="D9564" t="str">
            <v>2023</v>
          </cell>
        </row>
        <row r="9565">
          <cell r="D9565" t="str">
            <v>2023</v>
          </cell>
        </row>
        <row r="9566">
          <cell r="D9566" t="str">
            <v>2023</v>
          </cell>
        </row>
        <row r="9567">
          <cell r="D9567" t="str">
            <v>2023</v>
          </cell>
        </row>
        <row r="9568">
          <cell r="D9568" t="str">
            <v>2023</v>
          </cell>
        </row>
        <row r="9569">
          <cell r="D9569" t="str">
            <v>2023</v>
          </cell>
        </row>
        <row r="9570">
          <cell r="D9570" t="str">
            <v>2023</v>
          </cell>
        </row>
        <row r="9571">
          <cell r="D9571" t="str">
            <v>2023</v>
          </cell>
        </row>
        <row r="9572">
          <cell r="D9572" t="str">
            <v>2023</v>
          </cell>
        </row>
        <row r="9573">
          <cell r="D9573" t="str">
            <v>2023</v>
          </cell>
        </row>
        <row r="9574">
          <cell r="D9574" t="str">
            <v>2023</v>
          </cell>
        </row>
        <row r="9575">
          <cell r="D9575" t="str">
            <v>2021</v>
          </cell>
        </row>
        <row r="9576">
          <cell r="D9576" t="str">
            <v>2021</v>
          </cell>
        </row>
        <row r="9577">
          <cell r="D9577" t="str">
            <v>2024</v>
          </cell>
        </row>
        <row r="9578">
          <cell r="D9578" t="str">
            <v>2023</v>
          </cell>
        </row>
        <row r="9579">
          <cell r="D9579" t="str">
            <v>2023</v>
          </cell>
        </row>
        <row r="9580">
          <cell r="D9580" t="str">
            <v>2024</v>
          </cell>
        </row>
        <row r="9581">
          <cell r="D9581" t="str">
            <v>2023</v>
          </cell>
        </row>
        <row r="9582">
          <cell r="D9582" t="str">
            <v>2023</v>
          </cell>
        </row>
        <row r="9583">
          <cell r="D9583" t="str">
            <v>2023</v>
          </cell>
        </row>
        <row r="9584">
          <cell r="D9584" t="str">
            <v>2023</v>
          </cell>
        </row>
        <row r="9585">
          <cell r="D9585" t="str">
            <v>2023</v>
          </cell>
        </row>
        <row r="9586">
          <cell r="D9586" t="str">
            <v>2023</v>
          </cell>
        </row>
        <row r="9587">
          <cell r="D9587" t="str">
            <v>2023</v>
          </cell>
        </row>
        <row r="9588">
          <cell r="D9588" t="str">
            <v>2023</v>
          </cell>
        </row>
        <row r="9589">
          <cell r="D9589" t="str">
            <v>2023</v>
          </cell>
        </row>
        <row r="9590">
          <cell r="D9590" t="str">
            <v>2023</v>
          </cell>
        </row>
        <row r="9591">
          <cell r="D9591" t="str">
            <v>2023</v>
          </cell>
        </row>
        <row r="9592">
          <cell r="D9592" t="str">
            <v>2023</v>
          </cell>
        </row>
        <row r="9593">
          <cell r="D9593" t="str">
            <v>2023</v>
          </cell>
        </row>
        <row r="9594">
          <cell r="D9594" t="str">
            <v>2023</v>
          </cell>
        </row>
        <row r="9595">
          <cell r="D9595" t="str">
            <v>2023</v>
          </cell>
        </row>
        <row r="9596">
          <cell r="D9596" t="str">
            <v>2023</v>
          </cell>
        </row>
        <row r="9597">
          <cell r="D9597" t="str">
            <v>2023</v>
          </cell>
        </row>
        <row r="9598">
          <cell r="D9598" t="str">
            <v>2023</v>
          </cell>
        </row>
        <row r="9599">
          <cell r="D9599" t="str">
            <v>2024</v>
          </cell>
        </row>
        <row r="9600">
          <cell r="D9600" t="str">
            <v>2023</v>
          </cell>
        </row>
        <row r="9601">
          <cell r="D9601" t="str">
            <v>2023</v>
          </cell>
        </row>
        <row r="9602">
          <cell r="D9602" t="str">
            <v>2023</v>
          </cell>
        </row>
        <row r="9603">
          <cell r="D9603" t="str">
            <v>2023</v>
          </cell>
        </row>
        <row r="9604">
          <cell r="D9604" t="str">
            <v>2024</v>
          </cell>
        </row>
        <row r="9605">
          <cell r="D9605" t="str">
            <v>2023</v>
          </cell>
        </row>
        <row r="9606">
          <cell r="D9606" t="str">
            <v>2023</v>
          </cell>
        </row>
        <row r="9607">
          <cell r="D9607" t="str">
            <v>2023</v>
          </cell>
        </row>
        <row r="9608">
          <cell r="D9608" t="str">
            <v>2023</v>
          </cell>
        </row>
        <row r="9609">
          <cell r="D9609" t="str">
            <v>2023</v>
          </cell>
        </row>
        <row r="9610">
          <cell r="D9610" t="str">
            <v>2023</v>
          </cell>
        </row>
        <row r="9611">
          <cell r="D9611" t="str">
            <v>2023</v>
          </cell>
        </row>
        <row r="9612">
          <cell r="D9612" t="str">
            <v>2023</v>
          </cell>
        </row>
        <row r="9613">
          <cell r="D9613" t="str">
            <v>2023</v>
          </cell>
        </row>
        <row r="9614">
          <cell r="D9614" t="str">
            <v>2024</v>
          </cell>
        </row>
        <row r="9615">
          <cell r="D9615" t="str">
            <v>2023</v>
          </cell>
        </row>
        <row r="9616">
          <cell r="D9616" t="str">
            <v>2024</v>
          </cell>
        </row>
        <row r="9617">
          <cell r="D9617" t="str">
            <v>2024</v>
          </cell>
        </row>
        <row r="9618">
          <cell r="D9618" t="str">
            <v>2023</v>
          </cell>
        </row>
        <row r="9619">
          <cell r="D9619" t="str">
            <v>2023</v>
          </cell>
        </row>
        <row r="9620">
          <cell r="D9620" t="str">
            <v>2023</v>
          </cell>
        </row>
        <row r="9621">
          <cell r="D9621" t="str">
            <v>2023</v>
          </cell>
        </row>
        <row r="9622">
          <cell r="D9622" t="str">
            <v>2023</v>
          </cell>
        </row>
        <row r="9623">
          <cell r="D9623" t="str">
            <v>2023</v>
          </cell>
        </row>
        <row r="9624">
          <cell r="D9624" t="str">
            <v>2023</v>
          </cell>
        </row>
        <row r="9625">
          <cell r="D9625" t="str">
            <v>2023</v>
          </cell>
        </row>
        <row r="9626">
          <cell r="D9626" t="str">
            <v>2024</v>
          </cell>
        </row>
        <row r="9627">
          <cell r="D9627" t="str">
            <v>2024</v>
          </cell>
        </row>
        <row r="9628">
          <cell r="D9628" t="str">
            <v>2023</v>
          </cell>
        </row>
        <row r="9629">
          <cell r="D9629" t="str">
            <v>2023</v>
          </cell>
        </row>
        <row r="9630">
          <cell r="D9630" t="str">
            <v>2023</v>
          </cell>
        </row>
        <row r="9631">
          <cell r="D9631" t="str">
            <v>2024</v>
          </cell>
        </row>
        <row r="9632">
          <cell r="D9632" t="str">
            <v>2023</v>
          </cell>
        </row>
        <row r="9633">
          <cell r="D9633" t="str">
            <v>2023</v>
          </cell>
        </row>
        <row r="9634">
          <cell r="D9634" t="str">
            <v>2023</v>
          </cell>
        </row>
        <row r="9635">
          <cell r="D9635" t="str">
            <v>2023</v>
          </cell>
        </row>
        <row r="9636">
          <cell r="D9636" t="str">
            <v>2024</v>
          </cell>
        </row>
        <row r="9637">
          <cell r="D9637" t="str">
            <v>2023</v>
          </cell>
        </row>
        <row r="9638">
          <cell r="D9638" t="str">
            <v>2023</v>
          </cell>
        </row>
        <row r="9639">
          <cell r="D9639" t="str">
            <v>2024</v>
          </cell>
        </row>
        <row r="9640">
          <cell r="D9640" t="str">
            <v>2023</v>
          </cell>
        </row>
        <row r="9641">
          <cell r="D9641" t="str">
            <v>2023</v>
          </cell>
        </row>
        <row r="9642">
          <cell r="D9642" t="str">
            <v>2023</v>
          </cell>
        </row>
        <row r="9643">
          <cell r="D9643" t="str">
            <v>2023</v>
          </cell>
        </row>
        <row r="9644">
          <cell r="D9644" t="str">
            <v>2023</v>
          </cell>
        </row>
        <row r="9645">
          <cell r="D9645" t="str">
            <v>2023</v>
          </cell>
        </row>
        <row r="9646">
          <cell r="D9646" t="str">
            <v>2023</v>
          </cell>
        </row>
        <row r="9647">
          <cell r="D9647" t="str">
            <v>2023</v>
          </cell>
        </row>
        <row r="9648">
          <cell r="D9648" t="str">
            <v>2023</v>
          </cell>
        </row>
        <row r="9649">
          <cell r="D9649" t="str">
            <v>2023</v>
          </cell>
        </row>
        <row r="9650">
          <cell r="D9650" t="str">
            <v>2023</v>
          </cell>
        </row>
        <row r="9651">
          <cell r="D9651" t="str">
            <v>2023</v>
          </cell>
        </row>
        <row r="9652">
          <cell r="D9652" t="str">
            <v>2023</v>
          </cell>
        </row>
        <row r="9653">
          <cell r="D9653" t="str">
            <v>2023</v>
          </cell>
        </row>
        <row r="9654">
          <cell r="D9654" t="str">
            <v>2023</v>
          </cell>
        </row>
        <row r="9655">
          <cell r="D9655" t="str">
            <v>2024</v>
          </cell>
        </row>
        <row r="9656">
          <cell r="D9656" t="str">
            <v>2023</v>
          </cell>
        </row>
        <row r="9657">
          <cell r="D9657" t="str">
            <v>2023</v>
          </cell>
        </row>
        <row r="9658">
          <cell r="D9658" t="str">
            <v>2023</v>
          </cell>
        </row>
        <row r="9659">
          <cell r="D9659" t="str">
            <v>2023</v>
          </cell>
        </row>
        <row r="9660">
          <cell r="D9660" t="str">
            <v>2023</v>
          </cell>
        </row>
        <row r="9661">
          <cell r="D9661" t="str">
            <v>2024</v>
          </cell>
        </row>
        <row r="9662">
          <cell r="D9662" t="str">
            <v>2023</v>
          </cell>
        </row>
        <row r="9663">
          <cell r="D9663" t="str">
            <v>2023</v>
          </cell>
        </row>
        <row r="9664">
          <cell r="D9664" t="str">
            <v>2024</v>
          </cell>
        </row>
        <row r="9665">
          <cell r="D9665" t="str">
            <v>2023</v>
          </cell>
        </row>
        <row r="9666">
          <cell r="D9666" t="str">
            <v>2024</v>
          </cell>
        </row>
        <row r="9667">
          <cell r="D9667" t="str">
            <v>2023</v>
          </cell>
        </row>
        <row r="9668">
          <cell r="D9668" t="str">
            <v>2023</v>
          </cell>
        </row>
        <row r="9669">
          <cell r="D9669" t="str">
            <v>2023</v>
          </cell>
        </row>
        <row r="9670">
          <cell r="D9670" t="str">
            <v>2023</v>
          </cell>
        </row>
        <row r="9671">
          <cell r="D9671" t="str">
            <v>2023</v>
          </cell>
        </row>
        <row r="9672">
          <cell r="D9672" t="str">
            <v>2024</v>
          </cell>
        </row>
        <row r="9673">
          <cell r="D9673" t="str">
            <v>2024</v>
          </cell>
        </row>
        <row r="9674">
          <cell r="D9674" t="str">
            <v>2023</v>
          </cell>
        </row>
        <row r="9675">
          <cell r="D9675" t="str">
            <v>2023</v>
          </cell>
        </row>
        <row r="9676">
          <cell r="D9676" t="str">
            <v>2023</v>
          </cell>
        </row>
        <row r="9677">
          <cell r="D9677" t="str">
            <v>2023</v>
          </cell>
        </row>
        <row r="9678">
          <cell r="D9678" t="str">
            <v>2023</v>
          </cell>
        </row>
        <row r="9679">
          <cell r="D9679" t="str">
            <v>2022</v>
          </cell>
        </row>
        <row r="9680">
          <cell r="D9680" t="str">
            <v>2023</v>
          </cell>
        </row>
        <row r="9681">
          <cell r="D9681" t="str">
            <v>2023</v>
          </cell>
        </row>
        <row r="9682">
          <cell r="D9682" t="str">
            <v>2023</v>
          </cell>
        </row>
        <row r="9683">
          <cell r="D9683" t="str">
            <v>2023</v>
          </cell>
        </row>
        <row r="9684">
          <cell r="D9684" t="str">
            <v>2023</v>
          </cell>
        </row>
        <row r="9685">
          <cell r="D9685" t="str">
            <v>2023</v>
          </cell>
        </row>
        <row r="9686">
          <cell r="D9686" t="str">
            <v>2023</v>
          </cell>
        </row>
        <row r="9687">
          <cell r="D9687" t="str">
            <v>2023</v>
          </cell>
        </row>
        <row r="9688">
          <cell r="D9688" t="str">
            <v>2023</v>
          </cell>
        </row>
        <row r="9689">
          <cell r="D9689" t="str">
            <v>2023</v>
          </cell>
        </row>
        <row r="9690">
          <cell r="D9690" t="str">
            <v>2024</v>
          </cell>
        </row>
        <row r="9691">
          <cell r="D9691" t="str">
            <v>2023</v>
          </cell>
        </row>
        <row r="9692">
          <cell r="D9692" t="str">
            <v>2023</v>
          </cell>
        </row>
        <row r="9693">
          <cell r="D9693" t="str">
            <v>2023</v>
          </cell>
        </row>
        <row r="9694">
          <cell r="D9694" t="str">
            <v>2023</v>
          </cell>
        </row>
        <row r="9695">
          <cell r="D9695" t="str">
            <v>2023</v>
          </cell>
        </row>
        <row r="9696">
          <cell r="D9696" t="str">
            <v>2023</v>
          </cell>
        </row>
        <row r="9697">
          <cell r="D9697" t="str">
            <v>2023</v>
          </cell>
        </row>
        <row r="9698">
          <cell r="D9698" t="str">
            <v>2023</v>
          </cell>
        </row>
        <row r="9699">
          <cell r="D9699" t="str">
            <v>2023</v>
          </cell>
        </row>
        <row r="9700">
          <cell r="D9700" t="str">
            <v>2024</v>
          </cell>
        </row>
        <row r="9701">
          <cell r="D9701" t="str">
            <v>2023</v>
          </cell>
        </row>
        <row r="9702">
          <cell r="D9702" t="str">
            <v>2023</v>
          </cell>
        </row>
        <row r="9703">
          <cell r="D9703" t="str">
            <v>2024</v>
          </cell>
        </row>
        <row r="9704">
          <cell r="D9704" t="str">
            <v>2023</v>
          </cell>
        </row>
        <row r="9705">
          <cell r="D9705" t="str">
            <v>2023</v>
          </cell>
        </row>
        <row r="9706">
          <cell r="D9706" t="str">
            <v>2023</v>
          </cell>
        </row>
        <row r="9707">
          <cell r="D9707" t="str">
            <v>2023</v>
          </cell>
        </row>
        <row r="9708">
          <cell r="D9708" t="str">
            <v>2023</v>
          </cell>
        </row>
        <row r="9709">
          <cell r="D9709" t="str">
            <v>2023</v>
          </cell>
        </row>
        <row r="9710">
          <cell r="D9710" t="str">
            <v>2023</v>
          </cell>
        </row>
        <row r="9711">
          <cell r="D9711" t="str">
            <v>2023</v>
          </cell>
        </row>
        <row r="9712">
          <cell r="D9712" t="str">
            <v>2023</v>
          </cell>
        </row>
        <row r="9713">
          <cell r="D9713" t="str">
            <v>2023</v>
          </cell>
        </row>
        <row r="9714">
          <cell r="D9714" t="str">
            <v>2023</v>
          </cell>
        </row>
        <row r="9715">
          <cell r="D9715" t="str">
            <v>2023</v>
          </cell>
        </row>
        <row r="9716">
          <cell r="D9716" t="str">
            <v>2023</v>
          </cell>
        </row>
        <row r="9717">
          <cell r="D9717" t="str">
            <v>2023</v>
          </cell>
        </row>
        <row r="9718">
          <cell r="D9718" t="str">
            <v>2022</v>
          </cell>
        </row>
        <row r="9719">
          <cell r="D9719" t="str">
            <v>2023</v>
          </cell>
        </row>
        <row r="9720">
          <cell r="D9720" t="str">
            <v>2023</v>
          </cell>
        </row>
        <row r="9721">
          <cell r="D9721" t="str">
            <v>2023</v>
          </cell>
        </row>
        <row r="9722">
          <cell r="D9722" t="str">
            <v>2023</v>
          </cell>
        </row>
        <row r="9723">
          <cell r="D9723" t="str">
            <v>2024</v>
          </cell>
        </row>
        <row r="9724">
          <cell r="D9724" t="str">
            <v>2024</v>
          </cell>
        </row>
        <row r="9725">
          <cell r="D9725" t="str">
            <v>2023</v>
          </cell>
        </row>
        <row r="9726">
          <cell r="D9726" t="str">
            <v>2023</v>
          </cell>
        </row>
        <row r="9727">
          <cell r="D9727" t="str">
            <v>2023</v>
          </cell>
        </row>
        <row r="9728">
          <cell r="D9728" t="str">
            <v>2023</v>
          </cell>
        </row>
        <row r="9729">
          <cell r="D9729" t="str">
            <v>2023</v>
          </cell>
        </row>
        <row r="9730">
          <cell r="D9730" t="str">
            <v>2023</v>
          </cell>
        </row>
        <row r="9731">
          <cell r="D9731" t="str">
            <v>2023</v>
          </cell>
        </row>
        <row r="9732">
          <cell r="D9732" t="str">
            <v>2024</v>
          </cell>
        </row>
        <row r="9733">
          <cell r="D9733" t="str">
            <v>2024</v>
          </cell>
        </row>
        <row r="9734">
          <cell r="D9734" t="str">
            <v>2023</v>
          </cell>
        </row>
        <row r="9735">
          <cell r="D9735" t="str">
            <v>2023</v>
          </cell>
        </row>
        <row r="9736">
          <cell r="D9736" t="str">
            <v>2023</v>
          </cell>
        </row>
        <row r="9737">
          <cell r="D9737" t="str">
            <v>2023</v>
          </cell>
        </row>
        <row r="9738">
          <cell r="D9738" t="str">
            <v>2023</v>
          </cell>
        </row>
        <row r="9739">
          <cell r="D9739" t="str">
            <v>2023</v>
          </cell>
        </row>
        <row r="9740">
          <cell r="D9740" t="str">
            <v>2023</v>
          </cell>
        </row>
        <row r="9741">
          <cell r="D9741" t="str">
            <v>2023</v>
          </cell>
        </row>
        <row r="9742">
          <cell r="D9742" t="str">
            <v>2023</v>
          </cell>
        </row>
        <row r="9743">
          <cell r="D9743" t="str">
            <v>2023</v>
          </cell>
        </row>
        <row r="9744">
          <cell r="D9744" t="str">
            <v>2023</v>
          </cell>
        </row>
        <row r="9745">
          <cell r="D9745" t="str">
            <v>2023</v>
          </cell>
        </row>
        <row r="9746">
          <cell r="D9746" t="str">
            <v>2022</v>
          </cell>
        </row>
        <row r="9747">
          <cell r="D9747" t="str">
            <v>2024</v>
          </cell>
        </row>
        <row r="9748">
          <cell r="D9748" t="str">
            <v>2023</v>
          </cell>
        </row>
        <row r="9749">
          <cell r="D9749" t="str">
            <v>2023</v>
          </cell>
        </row>
        <row r="9750">
          <cell r="D9750" t="str">
            <v>2023</v>
          </cell>
        </row>
        <row r="9751">
          <cell r="D9751" t="str">
            <v>2023</v>
          </cell>
        </row>
        <row r="9752">
          <cell r="D9752" t="str">
            <v>2022</v>
          </cell>
        </row>
        <row r="9753">
          <cell r="D9753" t="str">
            <v>2023</v>
          </cell>
        </row>
        <row r="9754">
          <cell r="D9754" t="str">
            <v>2023</v>
          </cell>
        </row>
        <row r="9755">
          <cell r="D9755" t="str">
            <v>2023</v>
          </cell>
        </row>
        <row r="9756">
          <cell r="D9756" t="str">
            <v>2023</v>
          </cell>
        </row>
        <row r="9757">
          <cell r="D9757" t="str">
            <v>2023</v>
          </cell>
        </row>
        <row r="9758">
          <cell r="D9758" t="str">
            <v>2023</v>
          </cell>
        </row>
        <row r="9759">
          <cell r="D9759" t="str">
            <v>2023</v>
          </cell>
        </row>
        <row r="9760">
          <cell r="D9760" t="str">
            <v>2023</v>
          </cell>
        </row>
        <row r="9761">
          <cell r="D9761" t="str">
            <v>2023</v>
          </cell>
        </row>
        <row r="9762">
          <cell r="D9762" t="str">
            <v>2023</v>
          </cell>
        </row>
        <row r="9763">
          <cell r="D9763" t="str">
            <v>2023</v>
          </cell>
        </row>
        <row r="9764">
          <cell r="D9764" t="str">
            <v>2023</v>
          </cell>
        </row>
        <row r="9765">
          <cell r="D9765" t="str">
            <v>2023</v>
          </cell>
        </row>
        <row r="9766">
          <cell r="D9766" t="str">
            <v>2023</v>
          </cell>
        </row>
        <row r="9767">
          <cell r="D9767" t="str">
            <v>2024</v>
          </cell>
        </row>
        <row r="9768">
          <cell r="D9768" t="str">
            <v>2023</v>
          </cell>
        </row>
        <row r="9769">
          <cell r="D9769" t="str">
            <v>2023</v>
          </cell>
        </row>
        <row r="9770">
          <cell r="D9770" t="str">
            <v>2023</v>
          </cell>
        </row>
        <row r="9771">
          <cell r="D9771" t="str">
            <v>2023</v>
          </cell>
        </row>
        <row r="9772">
          <cell r="D9772" t="str">
            <v>2023</v>
          </cell>
        </row>
        <row r="9773">
          <cell r="D9773" t="str">
            <v>2023</v>
          </cell>
        </row>
        <row r="9774">
          <cell r="D9774" t="str">
            <v>2023</v>
          </cell>
        </row>
        <row r="9775">
          <cell r="D9775" t="str">
            <v>2023</v>
          </cell>
        </row>
        <row r="9776">
          <cell r="D9776" t="str">
            <v>2023</v>
          </cell>
        </row>
        <row r="9777">
          <cell r="D9777" t="str">
            <v>2023</v>
          </cell>
        </row>
        <row r="9778">
          <cell r="D9778" t="str">
            <v>2024</v>
          </cell>
        </row>
        <row r="9779">
          <cell r="D9779" t="str">
            <v>2024</v>
          </cell>
        </row>
        <row r="9780">
          <cell r="D9780" t="str">
            <v>2023</v>
          </cell>
        </row>
        <row r="9781">
          <cell r="D9781" t="str">
            <v>2023</v>
          </cell>
        </row>
        <row r="9782">
          <cell r="D9782" t="str">
            <v>2023</v>
          </cell>
        </row>
        <row r="9783">
          <cell r="D9783" t="str">
            <v>2023</v>
          </cell>
        </row>
        <row r="9784">
          <cell r="D9784" t="str">
            <v>2023</v>
          </cell>
        </row>
        <row r="9785">
          <cell r="D9785" t="str">
            <v>2023</v>
          </cell>
        </row>
        <row r="9786">
          <cell r="D9786" t="str">
            <v>2023</v>
          </cell>
        </row>
        <row r="9787">
          <cell r="D9787" t="str">
            <v>2023</v>
          </cell>
        </row>
        <row r="9788">
          <cell r="D9788" t="str">
            <v>2024</v>
          </cell>
        </row>
        <row r="9789">
          <cell r="D9789" t="str">
            <v>2023</v>
          </cell>
        </row>
        <row r="9790">
          <cell r="D9790" t="str">
            <v>2023</v>
          </cell>
        </row>
        <row r="9791">
          <cell r="D9791" t="str">
            <v>2023</v>
          </cell>
        </row>
        <row r="9792">
          <cell r="D9792" t="str">
            <v>2023</v>
          </cell>
        </row>
        <row r="9793">
          <cell r="D9793" t="str">
            <v>2024</v>
          </cell>
        </row>
        <row r="9794">
          <cell r="D9794" t="str">
            <v>2023</v>
          </cell>
        </row>
        <row r="9795">
          <cell r="D9795" t="str">
            <v>2023</v>
          </cell>
        </row>
        <row r="9796">
          <cell r="D9796" t="str">
            <v>2023</v>
          </cell>
        </row>
        <row r="9797">
          <cell r="D9797" t="str">
            <v>2023</v>
          </cell>
        </row>
        <row r="9798">
          <cell r="D9798" t="str">
            <v>2023</v>
          </cell>
        </row>
        <row r="9799">
          <cell r="D9799" t="str">
            <v>2023</v>
          </cell>
        </row>
        <row r="9800">
          <cell r="D9800" t="str">
            <v>2023</v>
          </cell>
        </row>
        <row r="9801">
          <cell r="D9801" t="str">
            <v>2023</v>
          </cell>
        </row>
        <row r="9802">
          <cell r="D9802" t="str">
            <v>2023</v>
          </cell>
        </row>
        <row r="9803">
          <cell r="D9803" t="str">
            <v>2023</v>
          </cell>
        </row>
        <row r="9804">
          <cell r="D9804" t="str">
            <v>2023</v>
          </cell>
        </row>
        <row r="9805">
          <cell r="D9805" t="str">
            <v>2023</v>
          </cell>
        </row>
        <row r="9806">
          <cell r="D9806" t="str">
            <v>2024</v>
          </cell>
        </row>
        <row r="9807">
          <cell r="D9807" t="str">
            <v>2023</v>
          </cell>
        </row>
        <row r="9808">
          <cell r="D9808" t="str">
            <v>2023</v>
          </cell>
        </row>
        <row r="9809">
          <cell r="D9809" t="str">
            <v>2023</v>
          </cell>
        </row>
        <row r="9810">
          <cell r="D9810" t="str">
            <v>2023</v>
          </cell>
        </row>
        <row r="9811">
          <cell r="D9811" t="str">
            <v>2023</v>
          </cell>
        </row>
        <row r="9812">
          <cell r="D9812" t="str">
            <v>2023</v>
          </cell>
        </row>
        <row r="9813">
          <cell r="D9813" t="str">
            <v>2023</v>
          </cell>
        </row>
        <row r="9814">
          <cell r="D9814" t="str">
            <v>2023</v>
          </cell>
        </row>
        <row r="9815">
          <cell r="D9815" t="str">
            <v>2023</v>
          </cell>
        </row>
        <row r="9816">
          <cell r="D9816" t="str">
            <v>2024</v>
          </cell>
        </row>
        <row r="9817">
          <cell r="D9817" t="str">
            <v>2023</v>
          </cell>
        </row>
        <row r="9818">
          <cell r="D9818" t="str">
            <v>2023</v>
          </cell>
        </row>
        <row r="9819">
          <cell r="D9819" t="str">
            <v>2023</v>
          </cell>
        </row>
        <row r="9820">
          <cell r="D9820" t="str">
            <v>2023</v>
          </cell>
        </row>
        <row r="9821">
          <cell r="D9821" t="str">
            <v>2024</v>
          </cell>
        </row>
        <row r="9822">
          <cell r="D9822" t="str">
            <v>2023</v>
          </cell>
        </row>
        <row r="9823">
          <cell r="D9823" t="str">
            <v>2023</v>
          </cell>
        </row>
        <row r="9824">
          <cell r="D9824" t="str">
            <v>2023</v>
          </cell>
        </row>
        <row r="9825">
          <cell r="D9825" t="str">
            <v>2023</v>
          </cell>
        </row>
        <row r="9826">
          <cell r="D9826" t="str">
            <v>2023</v>
          </cell>
        </row>
        <row r="9827">
          <cell r="D9827" t="str">
            <v>2024</v>
          </cell>
        </row>
        <row r="9828">
          <cell r="D9828" t="str">
            <v>2024</v>
          </cell>
        </row>
        <row r="9829">
          <cell r="D9829" t="str">
            <v>2023</v>
          </cell>
        </row>
        <row r="9830">
          <cell r="D9830" t="str">
            <v>2023</v>
          </cell>
        </row>
        <row r="9831">
          <cell r="D9831" t="str">
            <v>2024</v>
          </cell>
        </row>
        <row r="9832">
          <cell r="D9832" t="str">
            <v>2023</v>
          </cell>
        </row>
        <row r="9833">
          <cell r="D9833" t="str">
            <v>2024</v>
          </cell>
        </row>
        <row r="9834">
          <cell r="D9834" t="str">
            <v>2024</v>
          </cell>
        </row>
        <row r="9835">
          <cell r="D9835" t="str">
            <v>2023</v>
          </cell>
        </row>
        <row r="9836">
          <cell r="D9836" t="str">
            <v>2023</v>
          </cell>
        </row>
        <row r="9837">
          <cell r="D9837" t="str">
            <v>2023</v>
          </cell>
        </row>
        <row r="9838">
          <cell r="D9838" t="str">
            <v>2023</v>
          </cell>
        </row>
        <row r="9839">
          <cell r="D9839" t="str">
            <v>2023</v>
          </cell>
        </row>
        <row r="9840">
          <cell r="D9840" t="str">
            <v>2023</v>
          </cell>
        </row>
        <row r="9841">
          <cell r="D9841" t="str">
            <v>2023</v>
          </cell>
        </row>
        <row r="9842">
          <cell r="D9842" t="str">
            <v>2023</v>
          </cell>
        </row>
        <row r="9843">
          <cell r="D9843" t="str">
            <v>2023</v>
          </cell>
        </row>
        <row r="9844">
          <cell r="D9844" t="str">
            <v>2023</v>
          </cell>
        </row>
        <row r="9845">
          <cell r="D9845" t="str">
            <v>2023</v>
          </cell>
        </row>
        <row r="9846">
          <cell r="D9846" t="str">
            <v>2024</v>
          </cell>
        </row>
        <row r="9847">
          <cell r="D9847" t="str">
            <v>2023</v>
          </cell>
        </row>
        <row r="9848">
          <cell r="D9848" t="str">
            <v>2023</v>
          </cell>
        </row>
        <row r="9849">
          <cell r="D9849" t="str">
            <v>2023</v>
          </cell>
        </row>
        <row r="9850">
          <cell r="D9850" t="str">
            <v>2023</v>
          </cell>
        </row>
        <row r="9851">
          <cell r="D9851" t="str">
            <v>2023</v>
          </cell>
        </row>
        <row r="9852">
          <cell r="D9852" t="str">
            <v>2023</v>
          </cell>
        </row>
        <row r="9853">
          <cell r="D9853" t="str">
            <v>2023</v>
          </cell>
        </row>
        <row r="9854">
          <cell r="D9854" t="str">
            <v>2024</v>
          </cell>
        </row>
        <row r="9855">
          <cell r="D9855" t="str">
            <v>2023</v>
          </cell>
        </row>
        <row r="9856">
          <cell r="D9856" t="str">
            <v>2023</v>
          </cell>
        </row>
        <row r="9857">
          <cell r="D9857" t="str">
            <v>2023</v>
          </cell>
        </row>
        <row r="9858">
          <cell r="D9858" t="str">
            <v>2024</v>
          </cell>
        </row>
        <row r="9859">
          <cell r="D9859" t="str">
            <v>2023</v>
          </cell>
        </row>
        <row r="9860">
          <cell r="D9860" t="str">
            <v>2023</v>
          </cell>
        </row>
        <row r="9861">
          <cell r="D9861" t="str">
            <v>2024</v>
          </cell>
        </row>
        <row r="9862">
          <cell r="D9862" t="str">
            <v>2023</v>
          </cell>
        </row>
        <row r="9863">
          <cell r="D9863" t="str">
            <v>2023</v>
          </cell>
        </row>
        <row r="9864">
          <cell r="D9864" t="str">
            <v>2023</v>
          </cell>
        </row>
        <row r="9865">
          <cell r="D9865" t="str">
            <v>2024</v>
          </cell>
        </row>
        <row r="9866">
          <cell r="D9866" t="str">
            <v>2024</v>
          </cell>
        </row>
        <row r="9867">
          <cell r="D9867" t="str">
            <v>2023</v>
          </cell>
        </row>
        <row r="9868">
          <cell r="D9868" t="str">
            <v>2023</v>
          </cell>
        </row>
        <row r="9869">
          <cell r="D9869" t="str">
            <v>2023</v>
          </cell>
        </row>
        <row r="9870">
          <cell r="D9870" t="str">
            <v>2024</v>
          </cell>
        </row>
        <row r="9871">
          <cell r="D9871" t="str">
            <v>2023</v>
          </cell>
        </row>
        <row r="9872">
          <cell r="D9872" t="str">
            <v>2023</v>
          </cell>
        </row>
        <row r="9873">
          <cell r="D9873" t="str">
            <v>2024</v>
          </cell>
        </row>
        <row r="9874">
          <cell r="D9874" t="str">
            <v>2023</v>
          </cell>
        </row>
        <row r="9875">
          <cell r="D9875" t="str">
            <v>2023</v>
          </cell>
        </row>
        <row r="9876">
          <cell r="D9876" t="str">
            <v>2023</v>
          </cell>
        </row>
        <row r="9877">
          <cell r="D9877" t="str">
            <v>2023</v>
          </cell>
        </row>
        <row r="9878">
          <cell r="D9878" t="str">
            <v>2023</v>
          </cell>
        </row>
        <row r="9879">
          <cell r="D9879" t="str">
            <v>2023</v>
          </cell>
        </row>
        <row r="9880">
          <cell r="D9880" t="str">
            <v>2023</v>
          </cell>
        </row>
        <row r="9881">
          <cell r="D9881" t="str">
            <v>2023</v>
          </cell>
        </row>
        <row r="9882">
          <cell r="D9882" t="str">
            <v>2023</v>
          </cell>
        </row>
        <row r="9883">
          <cell r="D9883" t="str">
            <v>2023</v>
          </cell>
        </row>
        <row r="9884">
          <cell r="D9884" t="str">
            <v>2023</v>
          </cell>
        </row>
        <row r="9885">
          <cell r="D9885" t="str">
            <v>2023</v>
          </cell>
        </row>
        <row r="9886">
          <cell r="D9886" t="str">
            <v>2023</v>
          </cell>
        </row>
        <row r="9887">
          <cell r="D9887" t="str">
            <v>2023</v>
          </cell>
        </row>
        <row r="9888">
          <cell r="D9888" t="str">
            <v>2023</v>
          </cell>
        </row>
        <row r="9889">
          <cell r="D9889" t="str">
            <v>2023</v>
          </cell>
        </row>
        <row r="9890">
          <cell r="D9890" t="str">
            <v>2023</v>
          </cell>
        </row>
        <row r="9891">
          <cell r="D9891" t="str">
            <v>2024</v>
          </cell>
        </row>
        <row r="9892">
          <cell r="D9892" t="str">
            <v>2023</v>
          </cell>
        </row>
        <row r="9893">
          <cell r="D9893" t="str">
            <v>2023</v>
          </cell>
        </row>
        <row r="9894">
          <cell r="D9894" t="str">
            <v>2023</v>
          </cell>
        </row>
        <row r="9895">
          <cell r="D9895" t="str">
            <v>2023</v>
          </cell>
        </row>
        <row r="9896">
          <cell r="D9896" t="str">
            <v>2023</v>
          </cell>
        </row>
        <row r="9897">
          <cell r="D9897" t="str">
            <v>2023</v>
          </cell>
        </row>
        <row r="9898">
          <cell r="D9898" t="str">
            <v>2023</v>
          </cell>
        </row>
        <row r="9899">
          <cell r="D9899" t="str">
            <v>2022</v>
          </cell>
        </row>
        <row r="9900">
          <cell r="D9900" t="str">
            <v>2024</v>
          </cell>
        </row>
        <row r="9901">
          <cell r="D9901" t="str">
            <v>2024</v>
          </cell>
        </row>
        <row r="9902">
          <cell r="D9902" t="str">
            <v>2024</v>
          </cell>
        </row>
        <row r="9903">
          <cell r="D9903" t="str">
            <v>2023</v>
          </cell>
        </row>
        <row r="9904">
          <cell r="D9904" t="str">
            <v>2023</v>
          </cell>
        </row>
        <row r="9905">
          <cell r="D9905" t="str">
            <v>2023</v>
          </cell>
        </row>
        <row r="9906">
          <cell r="D9906" t="str">
            <v>2023</v>
          </cell>
        </row>
        <row r="9907">
          <cell r="D9907" t="str">
            <v>2023</v>
          </cell>
        </row>
        <row r="9908">
          <cell r="D9908" t="str">
            <v>2024</v>
          </cell>
        </row>
        <row r="9909">
          <cell r="D9909" t="str">
            <v>2023</v>
          </cell>
        </row>
        <row r="9910">
          <cell r="D9910" t="str">
            <v>2023</v>
          </cell>
        </row>
        <row r="9911">
          <cell r="D9911" t="str">
            <v>2023</v>
          </cell>
        </row>
        <row r="9912">
          <cell r="D9912" t="str">
            <v>2023</v>
          </cell>
        </row>
        <row r="9913">
          <cell r="D9913" t="str">
            <v>2023</v>
          </cell>
        </row>
        <row r="9914">
          <cell r="D9914" t="str">
            <v>2024</v>
          </cell>
        </row>
        <row r="9915">
          <cell r="D9915" t="str">
            <v>2024</v>
          </cell>
        </row>
        <row r="9916">
          <cell r="D9916" t="str">
            <v>2023</v>
          </cell>
        </row>
        <row r="9917">
          <cell r="D9917" t="str">
            <v>2023</v>
          </cell>
        </row>
        <row r="9918">
          <cell r="D9918" t="str">
            <v>2024</v>
          </cell>
        </row>
        <row r="9919">
          <cell r="D9919" t="str">
            <v>2023</v>
          </cell>
        </row>
        <row r="9920">
          <cell r="D9920" t="str">
            <v>2023</v>
          </cell>
        </row>
        <row r="9921">
          <cell r="D9921" t="str">
            <v>2024</v>
          </cell>
        </row>
        <row r="9922">
          <cell r="D9922" t="str">
            <v>2024</v>
          </cell>
        </row>
        <row r="9923">
          <cell r="D9923" t="str">
            <v>2023</v>
          </cell>
        </row>
        <row r="9924">
          <cell r="D9924" t="str">
            <v>2023</v>
          </cell>
        </row>
        <row r="9925">
          <cell r="D9925" t="str">
            <v>2024</v>
          </cell>
        </row>
        <row r="9926">
          <cell r="D9926" t="str">
            <v>2023</v>
          </cell>
        </row>
        <row r="9927">
          <cell r="D9927" t="str">
            <v>2023</v>
          </cell>
        </row>
        <row r="9928">
          <cell r="D9928" t="str">
            <v>2023</v>
          </cell>
        </row>
        <row r="9929">
          <cell r="D9929" t="str">
            <v>2023</v>
          </cell>
        </row>
        <row r="9930">
          <cell r="D9930" t="str">
            <v>2023</v>
          </cell>
        </row>
        <row r="9931">
          <cell r="D9931" t="str">
            <v>2023</v>
          </cell>
        </row>
        <row r="9932">
          <cell r="D9932" t="str">
            <v>2023</v>
          </cell>
        </row>
        <row r="9933">
          <cell r="D9933" t="str">
            <v>2023</v>
          </cell>
        </row>
        <row r="9934">
          <cell r="D9934" t="str">
            <v>2023</v>
          </cell>
        </row>
        <row r="9935">
          <cell r="D9935" t="str">
            <v>2023</v>
          </cell>
        </row>
        <row r="9936">
          <cell r="D9936" t="str">
            <v>2023</v>
          </cell>
        </row>
        <row r="9937">
          <cell r="D9937" t="str">
            <v>2023</v>
          </cell>
        </row>
        <row r="9938">
          <cell r="D9938" t="str">
            <v>2023</v>
          </cell>
        </row>
        <row r="9939">
          <cell r="D9939" t="str">
            <v>2023</v>
          </cell>
        </row>
        <row r="9940">
          <cell r="D9940" t="str">
            <v>2023</v>
          </cell>
        </row>
        <row r="9941">
          <cell r="D9941" t="str">
            <v>2023</v>
          </cell>
        </row>
        <row r="9942">
          <cell r="D9942" t="str">
            <v>2023</v>
          </cell>
        </row>
        <row r="9943">
          <cell r="D9943" t="str">
            <v>2023</v>
          </cell>
        </row>
        <row r="9944">
          <cell r="D9944" t="str">
            <v>2023</v>
          </cell>
        </row>
        <row r="9945">
          <cell r="D9945" t="str">
            <v>2023</v>
          </cell>
        </row>
        <row r="9946">
          <cell r="D9946" t="str">
            <v>2024</v>
          </cell>
        </row>
        <row r="9947">
          <cell r="D9947" t="str">
            <v>2023</v>
          </cell>
        </row>
        <row r="9948">
          <cell r="D9948" t="str">
            <v>2023</v>
          </cell>
        </row>
        <row r="9949">
          <cell r="D9949" t="str">
            <v>2023</v>
          </cell>
        </row>
        <row r="9950">
          <cell r="D9950" t="str">
            <v>2023</v>
          </cell>
        </row>
        <row r="9951">
          <cell r="D9951" t="str">
            <v>2024</v>
          </cell>
        </row>
        <row r="9952">
          <cell r="D9952" t="str">
            <v>2024</v>
          </cell>
        </row>
        <row r="9953">
          <cell r="D9953" t="str">
            <v>2023</v>
          </cell>
        </row>
        <row r="9954">
          <cell r="D9954" t="str">
            <v>2023</v>
          </cell>
        </row>
        <row r="9955">
          <cell r="D9955" t="str">
            <v>2023</v>
          </cell>
        </row>
        <row r="9956">
          <cell r="D9956" t="str">
            <v>2023</v>
          </cell>
        </row>
        <row r="9957">
          <cell r="D9957" t="str">
            <v>2023</v>
          </cell>
        </row>
        <row r="9958">
          <cell r="D9958" t="str">
            <v>2024</v>
          </cell>
        </row>
        <row r="9959">
          <cell r="D9959" t="str">
            <v>2023</v>
          </cell>
        </row>
        <row r="9960">
          <cell r="D9960" t="str">
            <v>2023</v>
          </cell>
        </row>
        <row r="9961">
          <cell r="D9961" t="str">
            <v>2023</v>
          </cell>
        </row>
        <row r="9962">
          <cell r="D9962" t="str">
            <v>2023</v>
          </cell>
        </row>
        <row r="9963">
          <cell r="D9963" t="str">
            <v>2024</v>
          </cell>
        </row>
        <row r="9964">
          <cell r="D9964" t="str">
            <v>2024</v>
          </cell>
        </row>
        <row r="9965">
          <cell r="D9965" t="str">
            <v>2024</v>
          </cell>
        </row>
        <row r="9966">
          <cell r="D9966" t="str">
            <v>2023</v>
          </cell>
        </row>
        <row r="9967">
          <cell r="D9967" t="str">
            <v>2023</v>
          </cell>
        </row>
        <row r="9968">
          <cell r="D9968" t="str">
            <v>2023</v>
          </cell>
        </row>
        <row r="9969">
          <cell r="D9969" t="str">
            <v>2024</v>
          </cell>
        </row>
        <row r="9970">
          <cell r="D9970" t="str">
            <v>2023</v>
          </cell>
        </row>
        <row r="9971">
          <cell r="D9971" t="str">
            <v>2023</v>
          </cell>
        </row>
        <row r="9972">
          <cell r="D9972" t="str">
            <v>2023</v>
          </cell>
        </row>
        <row r="9973">
          <cell r="D9973" t="str">
            <v>2024</v>
          </cell>
        </row>
        <row r="9974">
          <cell r="D9974" t="str">
            <v>2023</v>
          </cell>
        </row>
        <row r="9975">
          <cell r="D9975" t="str">
            <v>2024</v>
          </cell>
        </row>
        <row r="9976">
          <cell r="D9976" t="str">
            <v>2023</v>
          </cell>
        </row>
        <row r="9977">
          <cell r="D9977" t="str">
            <v>2023</v>
          </cell>
        </row>
        <row r="9978">
          <cell r="D9978" t="str">
            <v>2023</v>
          </cell>
        </row>
        <row r="9979">
          <cell r="D9979" t="str">
            <v>2023</v>
          </cell>
        </row>
        <row r="9980">
          <cell r="D9980" t="str">
            <v>2024</v>
          </cell>
        </row>
        <row r="9981">
          <cell r="D9981" t="str">
            <v>2024</v>
          </cell>
        </row>
        <row r="9982">
          <cell r="D9982" t="str">
            <v>2023</v>
          </cell>
        </row>
        <row r="9983">
          <cell r="D9983" t="str">
            <v>2023</v>
          </cell>
        </row>
        <row r="9984">
          <cell r="D9984" t="str">
            <v>2024</v>
          </cell>
        </row>
        <row r="9985">
          <cell r="D9985" t="str">
            <v>2023</v>
          </cell>
        </row>
        <row r="9986">
          <cell r="D9986" t="str">
            <v>2023</v>
          </cell>
        </row>
        <row r="9987">
          <cell r="D9987" t="str">
            <v>2023</v>
          </cell>
        </row>
        <row r="9988">
          <cell r="D9988" t="str">
            <v>2023</v>
          </cell>
        </row>
        <row r="9989">
          <cell r="D9989" t="str">
            <v>2023</v>
          </cell>
        </row>
        <row r="9990">
          <cell r="D9990" t="str">
            <v>2023</v>
          </cell>
        </row>
        <row r="9991">
          <cell r="D9991" t="str">
            <v>2023</v>
          </cell>
        </row>
        <row r="9992">
          <cell r="D9992" t="str">
            <v>2023</v>
          </cell>
        </row>
        <row r="9993">
          <cell r="D9993" t="str">
            <v>2023</v>
          </cell>
        </row>
        <row r="9994">
          <cell r="D9994" t="str">
            <v>2023</v>
          </cell>
        </row>
        <row r="9995">
          <cell r="D9995" t="str">
            <v>2023</v>
          </cell>
        </row>
        <row r="9996">
          <cell r="D9996" t="str">
            <v>2024</v>
          </cell>
        </row>
        <row r="9997">
          <cell r="D9997" t="str">
            <v>2023</v>
          </cell>
        </row>
        <row r="9998">
          <cell r="D9998" t="str">
            <v>2024</v>
          </cell>
        </row>
        <row r="9999">
          <cell r="D9999" t="str">
            <v>2023</v>
          </cell>
        </row>
        <row r="10000">
          <cell r="D10000" t="str">
            <v>2024</v>
          </cell>
        </row>
        <row r="10001">
          <cell r="D10001" t="str">
            <v>2024</v>
          </cell>
        </row>
        <row r="10002">
          <cell r="D10002" t="str">
            <v>2023</v>
          </cell>
        </row>
        <row r="10003">
          <cell r="D10003" t="str">
            <v>2023</v>
          </cell>
        </row>
        <row r="10004">
          <cell r="D10004" t="str">
            <v>2023</v>
          </cell>
        </row>
        <row r="10005">
          <cell r="D10005" t="str">
            <v>2023</v>
          </cell>
        </row>
        <row r="10006">
          <cell r="D10006" t="str">
            <v>2023</v>
          </cell>
        </row>
        <row r="10007">
          <cell r="D10007" t="str">
            <v>2023</v>
          </cell>
        </row>
        <row r="10008">
          <cell r="D10008" t="str">
            <v>2023</v>
          </cell>
        </row>
        <row r="10009">
          <cell r="D10009" t="str">
            <v>2024</v>
          </cell>
        </row>
        <row r="10010">
          <cell r="D10010" t="str">
            <v>2024</v>
          </cell>
        </row>
        <row r="10011">
          <cell r="D10011" t="str">
            <v>2024</v>
          </cell>
        </row>
        <row r="10012">
          <cell r="D10012" t="str">
            <v>2024</v>
          </cell>
        </row>
        <row r="10013">
          <cell r="D10013" t="str">
            <v>2023</v>
          </cell>
        </row>
        <row r="10014">
          <cell r="D10014" t="str">
            <v>2023</v>
          </cell>
        </row>
        <row r="10015">
          <cell r="D10015" t="str">
            <v>2024</v>
          </cell>
        </row>
        <row r="10016">
          <cell r="D10016" t="str">
            <v>2024</v>
          </cell>
        </row>
        <row r="10017">
          <cell r="D10017" t="str">
            <v>2024</v>
          </cell>
        </row>
        <row r="10018">
          <cell r="D10018" t="str">
            <v>2023</v>
          </cell>
        </row>
        <row r="10019">
          <cell r="D10019" t="str">
            <v>2024</v>
          </cell>
        </row>
        <row r="10020">
          <cell r="D10020" t="str">
            <v>2023</v>
          </cell>
        </row>
        <row r="10021">
          <cell r="D10021" t="str">
            <v>2023</v>
          </cell>
        </row>
        <row r="10022">
          <cell r="D10022" t="str">
            <v>2023</v>
          </cell>
        </row>
        <row r="10023">
          <cell r="D10023" t="str">
            <v>2024</v>
          </cell>
        </row>
        <row r="10024">
          <cell r="D10024" t="str">
            <v>2024</v>
          </cell>
        </row>
        <row r="10025">
          <cell r="D10025" t="str">
            <v>2023</v>
          </cell>
        </row>
        <row r="10026">
          <cell r="D10026" t="str">
            <v>2023</v>
          </cell>
        </row>
        <row r="10027">
          <cell r="D10027" t="str">
            <v>2023</v>
          </cell>
        </row>
        <row r="10028">
          <cell r="D10028" t="str">
            <v>2023</v>
          </cell>
        </row>
        <row r="10029">
          <cell r="D10029" t="str">
            <v>2023</v>
          </cell>
        </row>
        <row r="10030">
          <cell r="D10030" t="str">
            <v>2023</v>
          </cell>
        </row>
        <row r="10031">
          <cell r="D10031" t="str">
            <v>2024</v>
          </cell>
        </row>
        <row r="10032">
          <cell r="D10032" t="str">
            <v>2023</v>
          </cell>
        </row>
        <row r="10033">
          <cell r="D10033" t="str">
            <v>2023</v>
          </cell>
        </row>
        <row r="10034">
          <cell r="D10034" t="str">
            <v>2024</v>
          </cell>
        </row>
        <row r="10035">
          <cell r="D10035" t="str">
            <v>2024</v>
          </cell>
        </row>
        <row r="10036">
          <cell r="D10036" t="str">
            <v>2024</v>
          </cell>
        </row>
        <row r="10037">
          <cell r="D10037" t="str">
            <v>2024</v>
          </cell>
        </row>
        <row r="10038">
          <cell r="D10038" t="str">
            <v>2024</v>
          </cell>
        </row>
        <row r="10039">
          <cell r="D10039" t="str">
            <v>2024</v>
          </cell>
        </row>
        <row r="10040">
          <cell r="D10040" t="str">
            <v>2023</v>
          </cell>
        </row>
        <row r="10041">
          <cell r="D10041" t="str">
            <v>2023</v>
          </cell>
        </row>
        <row r="10042">
          <cell r="D10042" t="str">
            <v>2023</v>
          </cell>
        </row>
        <row r="10043">
          <cell r="D10043" t="str">
            <v>2023</v>
          </cell>
        </row>
        <row r="10044">
          <cell r="D10044" t="str">
            <v>2023</v>
          </cell>
        </row>
        <row r="10045">
          <cell r="D10045" t="str">
            <v>2023</v>
          </cell>
        </row>
        <row r="10046">
          <cell r="D10046" t="str">
            <v>2024</v>
          </cell>
        </row>
        <row r="10047">
          <cell r="D10047" t="str">
            <v>2024</v>
          </cell>
        </row>
        <row r="10048">
          <cell r="D10048" t="str">
            <v>2024</v>
          </cell>
        </row>
        <row r="10049">
          <cell r="D10049" t="str">
            <v>2024</v>
          </cell>
        </row>
        <row r="10050">
          <cell r="D10050" t="str">
            <v>2023</v>
          </cell>
        </row>
        <row r="10051">
          <cell r="D10051" t="str">
            <v>2023</v>
          </cell>
        </row>
        <row r="10052">
          <cell r="D10052" t="str">
            <v>2024</v>
          </cell>
        </row>
        <row r="10053">
          <cell r="D10053" t="str">
            <v>2023</v>
          </cell>
        </row>
        <row r="10054">
          <cell r="D10054" t="str">
            <v>2024</v>
          </cell>
        </row>
        <row r="10055">
          <cell r="D10055" t="str">
            <v>2024</v>
          </cell>
        </row>
        <row r="10056">
          <cell r="D10056" t="str">
            <v>2023</v>
          </cell>
        </row>
        <row r="10057">
          <cell r="D10057" t="str">
            <v>2023</v>
          </cell>
        </row>
        <row r="10058">
          <cell r="D10058" t="str">
            <v>2024</v>
          </cell>
        </row>
        <row r="10059">
          <cell r="D10059" t="str">
            <v>2023</v>
          </cell>
        </row>
        <row r="10060">
          <cell r="D10060" t="str">
            <v>2024</v>
          </cell>
        </row>
        <row r="10061">
          <cell r="D10061" t="str">
            <v>2023</v>
          </cell>
        </row>
        <row r="10062">
          <cell r="D10062" t="str">
            <v>2024</v>
          </cell>
        </row>
        <row r="10063">
          <cell r="D10063" t="str">
            <v>2023</v>
          </cell>
        </row>
        <row r="10064">
          <cell r="D10064" t="str">
            <v>2023</v>
          </cell>
        </row>
        <row r="10065">
          <cell r="D10065" t="str">
            <v>2024</v>
          </cell>
        </row>
        <row r="10066">
          <cell r="D10066" t="str">
            <v>2023</v>
          </cell>
        </row>
        <row r="10067">
          <cell r="D10067" t="str">
            <v>2024</v>
          </cell>
        </row>
        <row r="10068">
          <cell r="D10068" t="str">
            <v>2024</v>
          </cell>
        </row>
        <row r="10069">
          <cell r="D10069" t="str">
            <v>2024</v>
          </cell>
        </row>
        <row r="10070">
          <cell r="D10070" t="str">
            <v>2024</v>
          </cell>
        </row>
        <row r="10071">
          <cell r="D10071" t="str">
            <v>2024</v>
          </cell>
        </row>
        <row r="10072">
          <cell r="D10072" t="str">
            <v>2024</v>
          </cell>
        </row>
        <row r="10073">
          <cell r="D10073" t="str">
            <v>2024</v>
          </cell>
        </row>
        <row r="10074">
          <cell r="D10074" t="str">
            <v>2024</v>
          </cell>
        </row>
        <row r="10075">
          <cell r="D10075" t="str">
            <v>2023</v>
          </cell>
        </row>
        <row r="10076">
          <cell r="D10076" t="str">
            <v>2024</v>
          </cell>
        </row>
        <row r="10077">
          <cell r="D10077" t="str">
            <v>2024</v>
          </cell>
        </row>
        <row r="10078">
          <cell r="D10078" t="str">
            <v>2024</v>
          </cell>
        </row>
        <row r="10079">
          <cell r="D10079" t="str">
            <v>2024</v>
          </cell>
        </row>
        <row r="10080">
          <cell r="D10080" t="str">
            <v>2024</v>
          </cell>
        </row>
        <row r="10081">
          <cell r="D10081" t="str">
            <v>2024</v>
          </cell>
        </row>
        <row r="10082">
          <cell r="D10082" t="str">
            <v>2024</v>
          </cell>
        </row>
        <row r="10083">
          <cell r="D10083" t="str">
            <v>2023</v>
          </cell>
        </row>
        <row r="10084">
          <cell r="D10084" t="str">
            <v>2023</v>
          </cell>
        </row>
        <row r="10085">
          <cell r="D10085" t="str">
            <v>2023</v>
          </cell>
        </row>
        <row r="10086">
          <cell r="D10086" t="str">
            <v>2023</v>
          </cell>
        </row>
        <row r="10087">
          <cell r="D10087" t="str">
            <v>2023</v>
          </cell>
        </row>
        <row r="10088">
          <cell r="D10088" t="str">
            <v>2023</v>
          </cell>
        </row>
        <row r="10089">
          <cell r="D10089" t="str">
            <v>2023</v>
          </cell>
        </row>
        <row r="10090">
          <cell r="D10090" t="str">
            <v>2023</v>
          </cell>
        </row>
        <row r="10091">
          <cell r="D10091" t="str">
            <v>2024</v>
          </cell>
        </row>
        <row r="10092">
          <cell r="D10092" t="str">
            <v>2023</v>
          </cell>
        </row>
        <row r="10093">
          <cell r="D10093" t="str">
            <v>2023</v>
          </cell>
        </row>
        <row r="10094">
          <cell r="D10094" t="str">
            <v>2023</v>
          </cell>
        </row>
        <row r="10095">
          <cell r="D10095" t="str">
            <v>2023</v>
          </cell>
        </row>
        <row r="10096">
          <cell r="D10096" t="str">
            <v>2023</v>
          </cell>
        </row>
        <row r="10097">
          <cell r="D10097" t="str">
            <v>2023</v>
          </cell>
        </row>
        <row r="10098">
          <cell r="D10098" t="str">
            <v>2023</v>
          </cell>
        </row>
        <row r="10099">
          <cell r="D10099" t="str">
            <v>2023</v>
          </cell>
        </row>
        <row r="10100">
          <cell r="D10100" t="str">
            <v>2023</v>
          </cell>
        </row>
        <row r="10101">
          <cell r="D10101" t="str">
            <v>2023</v>
          </cell>
        </row>
        <row r="10102">
          <cell r="D10102" t="str">
            <v>2023</v>
          </cell>
        </row>
        <row r="10103">
          <cell r="D10103" t="str">
            <v>2023</v>
          </cell>
        </row>
        <row r="10104">
          <cell r="D10104" t="str">
            <v>2023</v>
          </cell>
        </row>
        <row r="10105">
          <cell r="D10105" t="str">
            <v>2023</v>
          </cell>
        </row>
        <row r="10106">
          <cell r="D10106" t="str">
            <v>2024</v>
          </cell>
        </row>
        <row r="10107">
          <cell r="D10107" t="str">
            <v>2023</v>
          </cell>
        </row>
        <row r="10108">
          <cell r="D10108" t="str">
            <v>2023</v>
          </cell>
        </row>
        <row r="10109">
          <cell r="D10109" t="str">
            <v>2023</v>
          </cell>
        </row>
        <row r="10110">
          <cell r="D10110" t="str">
            <v>2023</v>
          </cell>
        </row>
        <row r="10111">
          <cell r="D10111" t="str">
            <v>2023</v>
          </cell>
        </row>
        <row r="10112">
          <cell r="D10112" t="str">
            <v>2024</v>
          </cell>
        </row>
        <row r="10113">
          <cell r="D10113" t="str">
            <v>2023</v>
          </cell>
        </row>
        <row r="10114">
          <cell r="D10114" t="str">
            <v>2023</v>
          </cell>
        </row>
        <row r="10115">
          <cell r="D10115" t="str">
            <v>2024</v>
          </cell>
        </row>
        <row r="10116">
          <cell r="D10116" t="str">
            <v>2023</v>
          </cell>
        </row>
        <row r="10117">
          <cell r="D10117" t="str">
            <v>2023</v>
          </cell>
        </row>
        <row r="10118">
          <cell r="D10118" t="str">
            <v>2023</v>
          </cell>
        </row>
        <row r="10119">
          <cell r="D10119" t="str">
            <v>2023</v>
          </cell>
        </row>
        <row r="10120">
          <cell r="D10120" t="str">
            <v>2023</v>
          </cell>
        </row>
        <row r="10121">
          <cell r="D10121" t="str">
            <v>2023</v>
          </cell>
        </row>
        <row r="10122">
          <cell r="D10122" t="str">
            <v>2023</v>
          </cell>
        </row>
        <row r="10123">
          <cell r="D10123" t="str">
            <v>2023</v>
          </cell>
        </row>
        <row r="10124">
          <cell r="D10124" t="str">
            <v>2023</v>
          </cell>
        </row>
        <row r="10125">
          <cell r="D10125" t="str">
            <v>2023</v>
          </cell>
        </row>
        <row r="10126">
          <cell r="D10126" t="str">
            <v>2023</v>
          </cell>
        </row>
        <row r="10127">
          <cell r="D10127" t="str">
            <v>2023</v>
          </cell>
        </row>
        <row r="10128">
          <cell r="D10128" t="str">
            <v>2023</v>
          </cell>
        </row>
        <row r="10129">
          <cell r="D10129" t="str">
            <v>2023</v>
          </cell>
        </row>
        <row r="10130">
          <cell r="D10130" t="str">
            <v>2024</v>
          </cell>
        </row>
        <row r="10131">
          <cell r="D10131" t="str">
            <v>2024</v>
          </cell>
        </row>
        <row r="10132">
          <cell r="D10132" t="str">
            <v>2023</v>
          </cell>
        </row>
        <row r="10133">
          <cell r="D10133" t="str">
            <v>2023</v>
          </cell>
        </row>
        <row r="10134">
          <cell r="D10134" t="str">
            <v>2023</v>
          </cell>
        </row>
        <row r="10135">
          <cell r="D10135" t="str">
            <v>2023</v>
          </cell>
        </row>
        <row r="10136">
          <cell r="D10136" t="str">
            <v>2023</v>
          </cell>
        </row>
        <row r="10137">
          <cell r="D10137" t="str">
            <v>2023</v>
          </cell>
        </row>
        <row r="10138">
          <cell r="D10138" t="str">
            <v>2023</v>
          </cell>
        </row>
        <row r="10139">
          <cell r="D10139" t="str">
            <v>2023</v>
          </cell>
        </row>
        <row r="10140">
          <cell r="D10140" t="str">
            <v>2023</v>
          </cell>
        </row>
        <row r="10141">
          <cell r="D10141" t="str">
            <v>2023</v>
          </cell>
        </row>
        <row r="10142">
          <cell r="D10142" t="str">
            <v>2023</v>
          </cell>
        </row>
        <row r="10143">
          <cell r="D10143" t="str">
            <v>2023</v>
          </cell>
        </row>
        <row r="10144">
          <cell r="D10144" t="str">
            <v>2024</v>
          </cell>
        </row>
        <row r="10145">
          <cell r="D10145" t="str">
            <v>2023</v>
          </cell>
        </row>
        <row r="10146">
          <cell r="D10146" t="str">
            <v>2023</v>
          </cell>
        </row>
        <row r="10147">
          <cell r="D10147" t="str">
            <v>2023</v>
          </cell>
        </row>
        <row r="10148">
          <cell r="D10148" t="str">
            <v>2023</v>
          </cell>
        </row>
        <row r="10149">
          <cell r="D10149" t="str">
            <v>2023</v>
          </cell>
        </row>
        <row r="10150">
          <cell r="D10150" t="str">
            <v>2023</v>
          </cell>
        </row>
        <row r="10151">
          <cell r="D10151" t="str">
            <v>2023</v>
          </cell>
        </row>
        <row r="10152">
          <cell r="D10152" t="str">
            <v>2023</v>
          </cell>
        </row>
        <row r="10153">
          <cell r="D10153" t="str">
            <v>2023</v>
          </cell>
        </row>
        <row r="10154">
          <cell r="D10154" t="str">
            <v>2023</v>
          </cell>
        </row>
        <row r="10155">
          <cell r="D10155" t="str">
            <v>2023</v>
          </cell>
        </row>
        <row r="10156">
          <cell r="D10156" t="str">
            <v>2023</v>
          </cell>
        </row>
        <row r="10157">
          <cell r="D10157" t="str">
            <v>2023</v>
          </cell>
        </row>
        <row r="10158">
          <cell r="D10158" t="str">
            <v>2023</v>
          </cell>
        </row>
        <row r="10159">
          <cell r="D10159" t="str">
            <v>2023</v>
          </cell>
        </row>
        <row r="10160">
          <cell r="D10160" t="str">
            <v>2023</v>
          </cell>
        </row>
        <row r="10161">
          <cell r="D10161" t="str">
            <v>2023</v>
          </cell>
        </row>
        <row r="10162">
          <cell r="D10162" t="str">
            <v>2023</v>
          </cell>
        </row>
        <row r="10163">
          <cell r="D10163" t="str">
            <v>2023</v>
          </cell>
        </row>
        <row r="10164">
          <cell r="D10164" t="str">
            <v>2023</v>
          </cell>
        </row>
        <row r="10165">
          <cell r="D10165" t="str">
            <v>2023</v>
          </cell>
        </row>
        <row r="10166">
          <cell r="D10166" t="str">
            <v>2023</v>
          </cell>
        </row>
        <row r="10167">
          <cell r="D10167" t="str">
            <v>2023</v>
          </cell>
        </row>
        <row r="10168">
          <cell r="D10168" t="str">
            <v>2023</v>
          </cell>
        </row>
        <row r="10169">
          <cell r="D10169" t="str">
            <v>2023</v>
          </cell>
        </row>
        <row r="10170">
          <cell r="D10170" t="str">
            <v>2023</v>
          </cell>
        </row>
        <row r="10171">
          <cell r="D10171" t="str">
            <v>2023</v>
          </cell>
        </row>
        <row r="10172">
          <cell r="D10172" t="str">
            <v>2023</v>
          </cell>
        </row>
        <row r="10173">
          <cell r="D10173" t="str">
            <v>2023</v>
          </cell>
        </row>
        <row r="10174">
          <cell r="D10174" t="str">
            <v>2023</v>
          </cell>
        </row>
        <row r="10175">
          <cell r="D10175" t="str">
            <v>2023</v>
          </cell>
        </row>
        <row r="10176">
          <cell r="D10176" t="str">
            <v>2023</v>
          </cell>
        </row>
        <row r="10177">
          <cell r="D10177" t="str">
            <v>2023</v>
          </cell>
        </row>
        <row r="10178">
          <cell r="D10178" t="str">
            <v>2023</v>
          </cell>
        </row>
        <row r="10179">
          <cell r="D10179" t="str">
            <v>2023</v>
          </cell>
        </row>
        <row r="10180">
          <cell r="D10180" t="str">
            <v>2023</v>
          </cell>
        </row>
        <row r="10181">
          <cell r="D10181" t="str">
            <v>2023</v>
          </cell>
        </row>
        <row r="10182">
          <cell r="D10182" t="str">
            <v>2023</v>
          </cell>
        </row>
        <row r="10183">
          <cell r="D10183" t="str">
            <v>2023</v>
          </cell>
        </row>
        <row r="10184">
          <cell r="D10184" t="str">
            <v>2023</v>
          </cell>
        </row>
        <row r="10185">
          <cell r="D10185" t="str">
            <v>2023</v>
          </cell>
        </row>
        <row r="10186">
          <cell r="D10186" t="str">
            <v>2023</v>
          </cell>
        </row>
        <row r="10187">
          <cell r="D10187" t="str">
            <v>2024</v>
          </cell>
        </row>
        <row r="10188">
          <cell r="D10188" t="str">
            <v>2023</v>
          </cell>
        </row>
        <row r="10189">
          <cell r="D10189" t="str">
            <v>2023</v>
          </cell>
        </row>
        <row r="10190">
          <cell r="D10190" t="str">
            <v>2023</v>
          </cell>
        </row>
        <row r="10191">
          <cell r="D10191" t="str">
            <v>2023</v>
          </cell>
        </row>
        <row r="10192">
          <cell r="D10192" t="str">
            <v>2023</v>
          </cell>
        </row>
        <row r="10193">
          <cell r="D10193" t="str">
            <v>2023</v>
          </cell>
        </row>
        <row r="10194">
          <cell r="D10194" t="str">
            <v>2023</v>
          </cell>
        </row>
        <row r="10195">
          <cell r="D10195" t="str">
            <v>2023</v>
          </cell>
        </row>
        <row r="10196">
          <cell r="D10196" t="str">
            <v>2023</v>
          </cell>
        </row>
        <row r="10197">
          <cell r="D10197" t="str">
            <v>2023</v>
          </cell>
        </row>
        <row r="10198">
          <cell r="D10198" t="str">
            <v>2023</v>
          </cell>
        </row>
        <row r="10199">
          <cell r="D10199" t="str">
            <v>2023</v>
          </cell>
        </row>
        <row r="10200">
          <cell r="D10200" t="str">
            <v>2023</v>
          </cell>
        </row>
        <row r="10201">
          <cell r="D10201" t="str">
            <v>2023</v>
          </cell>
        </row>
        <row r="10202">
          <cell r="D10202" t="str">
            <v>2023</v>
          </cell>
        </row>
        <row r="10203">
          <cell r="D10203" t="str">
            <v>2023</v>
          </cell>
        </row>
        <row r="10204">
          <cell r="D10204" t="str">
            <v>2023</v>
          </cell>
        </row>
        <row r="10205">
          <cell r="D10205" t="str">
            <v>2023</v>
          </cell>
        </row>
        <row r="10206">
          <cell r="D10206" t="str">
            <v>2023</v>
          </cell>
        </row>
        <row r="10207">
          <cell r="D10207" t="str">
            <v>2023</v>
          </cell>
        </row>
        <row r="10208">
          <cell r="D10208" t="str">
            <v>2023</v>
          </cell>
        </row>
        <row r="10209">
          <cell r="D10209" t="str">
            <v>2023</v>
          </cell>
        </row>
        <row r="10210">
          <cell r="D10210" t="str">
            <v>2023</v>
          </cell>
        </row>
        <row r="10211">
          <cell r="D10211" t="str">
            <v>2023</v>
          </cell>
        </row>
        <row r="10212">
          <cell r="D10212" t="str">
            <v>2023</v>
          </cell>
        </row>
        <row r="10213">
          <cell r="D10213" t="str">
            <v>2023</v>
          </cell>
        </row>
        <row r="10214">
          <cell r="D10214" t="str">
            <v>2023</v>
          </cell>
        </row>
        <row r="10215">
          <cell r="D10215" t="str">
            <v>2023</v>
          </cell>
        </row>
        <row r="10216">
          <cell r="D10216" t="str">
            <v>2023</v>
          </cell>
        </row>
        <row r="10217">
          <cell r="D10217" t="str">
            <v>2023</v>
          </cell>
        </row>
        <row r="10218">
          <cell r="D10218" t="str">
            <v>2023</v>
          </cell>
        </row>
        <row r="10219">
          <cell r="D10219" t="str">
            <v>2023</v>
          </cell>
        </row>
        <row r="10220">
          <cell r="D10220" t="str">
            <v>2023</v>
          </cell>
        </row>
        <row r="10221">
          <cell r="D10221" t="str">
            <v>2024</v>
          </cell>
        </row>
        <row r="10222">
          <cell r="D10222" t="str">
            <v>2023</v>
          </cell>
        </row>
        <row r="10223">
          <cell r="D10223" t="str">
            <v>2024</v>
          </cell>
        </row>
        <row r="10224">
          <cell r="D10224" t="str">
            <v>2023</v>
          </cell>
        </row>
        <row r="10225">
          <cell r="D10225" t="str">
            <v>2023</v>
          </cell>
        </row>
        <row r="10226">
          <cell r="D10226" t="str">
            <v>2023</v>
          </cell>
        </row>
        <row r="10227">
          <cell r="D10227" t="str">
            <v>2023</v>
          </cell>
        </row>
        <row r="10228">
          <cell r="D10228" t="str">
            <v>2023</v>
          </cell>
        </row>
        <row r="10229">
          <cell r="D10229" t="str">
            <v>2023</v>
          </cell>
        </row>
        <row r="10230">
          <cell r="D10230" t="str">
            <v>2023</v>
          </cell>
        </row>
        <row r="10231">
          <cell r="D10231" t="str">
            <v>2023</v>
          </cell>
        </row>
        <row r="10232">
          <cell r="D10232" t="str">
            <v>2024</v>
          </cell>
        </row>
        <row r="10233">
          <cell r="D10233" t="str">
            <v>2023</v>
          </cell>
        </row>
        <row r="10234">
          <cell r="D10234" t="str">
            <v>2023</v>
          </cell>
        </row>
        <row r="10235">
          <cell r="D10235" t="str">
            <v>2023</v>
          </cell>
        </row>
        <row r="10236">
          <cell r="D10236" t="str">
            <v>2024</v>
          </cell>
        </row>
        <row r="10237">
          <cell r="D10237" t="str">
            <v>2023</v>
          </cell>
        </row>
        <row r="10238">
          <cell r="D10238" t="str">
            <v>2023</v>
          </cell>
        </row>
        <row r="10239">
          <cell r="D10239" t="str">
            <v>2023</v>
          </cell>
        </row>
        <row r="10240">
          <cell r="D10240" t="str">
            <v>2023</v>
          </cell>
        </row>
        <row r="10241">
          <cell r="D10241" t="str">
            <v>2023</v>
          </cell>
        </row>
        <row r="10242">
          <cell r="D10242" t="str">
            <v>2023</v>
          </cell>
        </row>
        <row r="10243">
          <cell r="D10243" t="str">
            <v>2024</v>
          </cell>
        </row>
        <row r="10244">
          <cell r="D10244" t="str">
            <v>2024</v>
          </cell>
        </row>
        <row r="10245">
          <cell r="D10245" t="str">
            <v>2023</v>
          </cell>
        </row>
        <row r="10246">
          <cell r="D10246" t="str">
            <v>2023</v>
          </cell>
        </row>
        <row r="10247">
          <cell r="D10247" t="str">
            <v>2023</v>
          </cell>
        </row>
        <row r="10248">
          <cell r="D10248" t="str">
            <v>2023</v>
          </cell>
        </row>
        <row r="10249">
          <cell r="D10249" t="str">
            <v>2023</v>
          </cell>
        </row>
        <row r="10250">
          <cell r="D10250" t="str">
            <v>2023</v>
          </cell>
        </row>
        <row r="10251">
          <cell r="D10251" t="str">
            <v>2023</v>
          </cell>
        </row>
        <row r="10252">
          <cell r="D10252" t="str">
            <v>2023</v>
          </cell>
        </row>
        <row r="10253">
          <cell r="D10253" t="str">
            <v>2023</v>
          </cell>
        </row>
        <row r="10254">
          <cell r="D10254" t="str">
            <v>2023</v>
          </cell>
        </row>
        <row r="10255">
          <cell r="D10255" t="str">
            <v>2023</v>
          </cell>
        </row>
        <row r="10256">
          <cell r="D10256" t="str">
            <v>2023</v>
          </cell>
        </row>
        <row r="10257">
          <cell r="D10257" t="str">
            <v>2023</v>
          </cell>
        </row>
        <row r="10258">
          <cell r="D10258" t="str">
            <v>2023</v>
          </cell>
        </row>
        <row r="10259">
          <cell r="D10259" t="str">
            <v>2023</v>
          </cell>
        </row>
        <row r="10260">
          <cell r="D10260" t="str">
            <v>2024</v>
          </cell>
        </row>
        <row r="10261">
          <cell r="D10261" t="str">
            <v>2023</v>
          </cell>
        </row>
        <row r="10262">
          <cell r="D10262" t="str">
            <v>2023</v>
          </cell>
        </row>
        <row r="10263">
          <cell r="D10263" t="str">
            <v>2023</v>
          </cell>
        </row>
        <row r="10264">
          <cell r="D10264" t="str">
            <v>2024</v>
          </cell>
        </row>
        <row r="10265">
          <cell r="D10265" t="str">
            <v>2023</v>
          </cell>
        </row>
        <row r="10266">
          <cell r="D10266" t="str">
            <v>2023</v>
          </cell>
        </row>
        <row r="10267">
          <cell r="D10267" t="str">
            <v>2023</v>
          </cell>
        </row>
        <row r="10268">
          <cell r="D10268" t="str">
            <v>2023</v>
          </cell>
        </row>
        <row r="10269">
          <cell r="D10269" t="str">
            <v>2023</v>
          </cell>
        </row>
        <row r="10270">
          <cell r="D10270" t="str">
            <v>2023</v>
          </cell>
        </row>
        <row r="10271">
          <cell r="D10271" t="str">
            <v>2024</v>
          </cell>
        </row>
        <row r="10272">
          <cell r="D10272" t="str">
            <v>2023</v>
          </cell>
        </row>
        <row r="10273">
          <cell r="D10273" t="str">
            <v>2023</v>
          </cell>
        </row>
        <row r="10274">
          <cell r="D10274" t="str">
            <v>2024</v>
          </cell>
        </row>
        <row r="10275">
          <cell r="D10275" t="str">
            <v>2023</v>
          </cell>
        </row>
        <row r="10276">
          <cell r="D10276" t="str">
            <v>2023</v>
          </cell>
        </row>
        <row r="10277">
          <cell r="D10277" t="str">
            <v>2023</v>
          </cell>
        </row>
        <row r="10278">
          <cell r="D10278" t="str">
            <v>2023</v>
          </cell>
        </row>
        <row r="10279">
          <cell r="D10279" t="str">
            <v>2023</v>
          </cell>
        </row>
        <row r="10280">
          <cell r="D10280" t="str">
            <v>2023</v>
          </cell>
        </row>
        <row r="10281">
          <cell r="D10281" t="str">
            <v>2024</v>
          </cell>
        </row>
        <row r="10282">
          <cell r="D10282" t="str">
            <v>2023</v>
          </cell>
        </row>
        <row r="10283">
          <cell r="D10283" t="str">
            <v>2023</v>
          </cell>
        </row>
        <row r="10284">
          <cell r="D10284" t="str">
            <v>2023</v>
          </cell>
        </row>
        <row r="10285">
          <cell r="D10285" t="str">
            <v>2023</v>
          </cell>
        </row>
        <row r="10286">
          <cell r="D10286" t="str">
            <v>2024</v>
          </cell>
        </row>
        <row r="10287">
          <cell r="D10287" t="str">
            <v>2023</v>
          </cell>
        </row>
        <row r="10288">
          <cell r="D10288" t="str">
            <v>2023</v>
          </cell>
        </row>
        <row r="10289">
          <cell r="D10289" t="str">
            <v>2024</v>
          </cell>
        </row>
        <row r="10290">
          <cell r="D10290" t="str">
            <v>2023</v>
          </cell>
        </row>
        <row r="10291">
          <cell r="D10291" t="str">
            <v>2023</v>
          </cell>
        </row>
        <row r="10292">
          <cell r="D10292" t="str">
            <v>2024</v>
          </cell>
        </row>
        <row r="10293">
          <cell r="D10293" t="str">
            <v>2023</v>
          </cell>
        </row>
        <row r="10294">
          <cell r="D10294" t="str">
            <v>2024</v>
          </cell>
        </row>
        <row r="10295">
          <cell r="D10295" t="str">
            <v>2023</v>
          </cell>
        </row>
        <row r="10296">
          <cell r="D10296" t="str">
            <v>2023</v>
          </cell>
        </row>
        <row r="10297">
          <cell r="D10297" t="str">
            <v>2023</v>
          </cell>
        </row>
        <row r="10298">
          <cell r="D10298" t="str">
            <v>2024</v>
          </cell>
        </row>
        <row r="10299">
          <cell r="D10299" t="str">
            <v>2023</v>
          </cell>
        </row>
        <row r="10300">
          <cell r="D10300" t="str">
            <v>2023</v>
          </cell>
        </row>
        <row r="10301">
          <cell r="D10301" t="str">
            <v>2023</v>
          </cell>
        </row>
        <row r="10302">
          <cell r="D10302" t="str">
            <v>2023</v>
          </cell>
        </row>
        <row r="10303">
          <cell r="D10303" t="str">
            <v>2023</v>
          </cell>
        </row>
        <row r="10304">
          <cell r="D10304" t="str">
            <v>2023</v>
          </cell>
        </row>
        <row r="10305">
          <cell r="D10305" t="str">
            <v>2023</v>
          </cell>
        </row>
        <row r="10306">
          <cell r="D10306" t="str">
            <v>2023</v>
          </cell>
        </row>
        <row r="10307">
          <cell r="D10307" t="str">
            <v>2023</v>
          </cell>
        </row>
        <row r="10308">
          <cell r="D10308" t="str">
            <v>2024</v>
          </cell>
        </row>
        <row r="10309">
          <cell r="D10309" t="str">
            <v>2023</v>
          </cell>
        </row>
        <row r="10310">
          <cell r="D10310" t="str">
            <v>2024</v>
          </cell>
        </row>
        <row r="10311">
          <cell r="D10311" t="str">
            <v>2023</v>
          </cell>
        </row>
        <row r="10312">
          <cell r="D10312" t="str">
            <v>2023</v>
          </cell>
        </row>
        <row r="10313">
          <cell r="D10313" t="str">
            <v>2023</v>
          </cell>
        </row>
        <row r="10314">
          <cell r="D10314" t="str">
            <v>2023</v>
          </cell>
        </row>
        <row r="10315">
          <cell r="D10315" t="str">
            <v>2023</v>
          </cell>
        </row>
        <row r="10316">
          <cell r="D10316" t="str">
            <v>2023</v>
          </cell>
        </row>
        <row r="10317">
          <cell r="D10317" t="str">
            <v>2024</v>
          </cell>
        </row>
        <row r="10318">
          <cell r="D10318" t="str">
            <v>2023</v>
          </cell>
        </row>
        <row r="10319">
          <cell r="D10319" t="str">
            <v>2023</v>
          </cell>
        </row>
        <row r="10320">
          <cell r="D10320" t="str">
            <v>2023</v>
          </cell>
        </row>
        <row r="10321">
          <cell r="D10321" t="str">
            <v>2023</v>
          </cell>
        </row>
        <row r="10322">
          <cell r="D10322" t="str">
            <v>2023</v>
          </cell>
        </row>
        <row r="10323">
          <cell r="D10323" t="str">
            <v>2024</v>
          </cell>
        </row>
        <row r="10324">
          <cell r="D10324" t="str">
            <v>2023</v>
          </cell>
        </row>
        <row r="10325">
          <cell r="D10325" t="str">
            <v>2023</v>
          </cell>
        </row>
        <row r="10326">
          <cell r="D10326" t="str">
            <v>2023</v>
          </cell>
        </row>
        <row r="10327">
          <cell r="D10327" t="str">
            <v>2023</v>
          </cell>
        </row>
        <row r="10328">
          <cell r="D10328" t="str">
            <v>2023</v>
          </cell>
        </row>
        <row r="10329">
          <cell r="D10329" t="str">
            <v>2023</v>
          </cell>
        </row>
        <row r="10330">
          <cell r="D10330" t="str">
            <v>2023</v>
          </cell>
        </row>
        <row r="10331">
          <cell r="D10331" t="str">
            <v>2024</v>
          </cell>
        </row>
        <row r="10332">
          <cell r="D10332" t="str">
            <v>2023</v>
          </cell>
        </row>
        <row r="10333">
          <cell r="D10333" t="str">
            <v>2023</v>
          </cell>
        </row>
        <row r="10334">
          <cell r="D10334" t="str">
            <v>2024</v>
          </cell>
        </row>
        <row r="10335">
          <cell r="D10335" t="str">
            <v>2023</v>
          </cell>
        </row>
        <row r="10336">
          <cell r="D10336" t="str">
            <v>2023</v>
          </cell>
        </row>
        <row r="10337">
          <cell r="D10337" t="str">
            <v>2023</v>
          </cell>
        </row>
        <row r="10338">
          <cell r="D10338" t="str">
            <v>2023</v>
          </cell>
        </row>
        <row r="10339">
          <cell r="D10339" t="str">
            <v>2023</v>
          </cell>
        </row>
        <row r="10340">
          <cell r="D10340" t="str">
            <v>2023</v>
          </cell>
        </row>
        <row r="10341">
          <cell r="D10341" t="str">
            <v>2024</v>
          </cell>
        </row>
        <row r="10342">
          <cell r="D10342" t="str">
            <v>2024</v>
          </cell>
        </row>
        <row r="10343">
          <cell r="D10343" t="str">
            <v>2023</v>
          </cell>
        </row>
        <row r="10344">
          <cell r="D10344" t="str">
            <v>2024</v>
          </cell>
        </row>
        <row r="10345">
          <cell r="D10345" t="str">
            <v>2023</v>
          </cell>
        </row>
        <row r="10346">
          <cell r="D10346" t="str">
            <v>2024</v>
          </cell>
        </row>
        <row r="10347">
          <cell r="D10347" t="str">
            <v>2024</v>
          </cell>
        </row>
        <row r="10348">
          <cell r="D10348" t="str">
            <v>2024</v>
          </cell>
        </row>
        <row r="10349">
          <cell r="D10349" t="str">
            <v>2024</v>
          </cell>
        </row>
        <row r="10350">
          <cell r="D10350" t="str">
            <v>2024</v>
          </cell>
        </row>
        <row r="10351">
          <cell r="D10351" t="str">
            <v>2024</v>
          </cell>
        </row>
        <row r="10352">
          <cell r="D10352" t="str">
            <v>2024</v>
          </cell>
        </row>
        <row r="10353">
          <cell r="D10353" t="str">
            <v>2024</v>
          </cell>
        </row>
        <row r="10354">
          <cell r="D10354" t="str">
            <v>2023</v>
          </cell>
        </row>
        <row r="10355">
          <cell r="D10355" t="str">
            <v>2021</v>
          </cell>
        </row>
        <row r="10356">
          <cell r="D10356" t="str">
            <v>2023</v>
          </cell>
        </row>
        <row r="10357">
          <cell r="D10357" t="str">
            <v>2023</v>
          </cell>
        </row>
        <row r="10358">
          <cell r="D10358" t="str">
            <v>2023</v>
          </cell>
        </row>
        <row r="10359">
          <cell r="D10359" t="str">
            <v>2022</v>
          </cell>
        </row>
        <row r="10360">
          <cell r="D10360" t="str">
            <v>2023</v>
          </cell>
        </row>
        <row r="10361">
          <cell r="D10361" t="str">
            <v>2023</v>
          </cell>
        </row>
        <row r="10362">
          <cell r="D10362" t="str">
            <v>2021</v>
          </cell>
        </row>
        <row r="10363">
          <cell r="D10363" t="str">
            <v>2021</v>
          </cell>
        </row>
        <row r="10364">
          <cell r="D10364" t="str">
            <v>2022</v>
          </cell>
        </row>
        <row r="10365">
          <cell r="D10365" t="str">
            <v>2023</v>
          </cell>
        </row>
        <row r="10366">
          <cell r="D10366" t="str">
            <v>2023</v>
          </cell>
        </row>
        <row r="10367">
          <cell r="D10367" t="str">
            <v>2021</v>
          </cell>
        </row>
        <row r="10368">
          <cell r="D10368" t="str">
            <v>2021</v>
          </cell>
        </row>
        <row r="10369">
          <cell r="D10369" t="str">
            <v>2022</v>
          </cell>
        </row>
        <row r="10370">
          <cell r="D10370" t="str">
            <v>2023</v>
          </cell>
        </row>
        <row r="10371">
          <cell r="D10371" t="str">
            <v>2023</v>
          </cell>
        </row>
        <row r="10372">
          <cell r="D10372" t="str">
            <v>2023</v>
          </cell>
        </row>
        <row r="10373">
          <cell r="D10373" t="str">
            <v>2023</v>
          </cell>
        </row>
        <row r="10374">
          <cell r="D10374" t="str">
            <v>2022</v>
          </cell>
        </row>
        <row r="10375">
          <cell r="D10375" t="str">
            <v>2023</v>
          </cell>
        </row>
        <row r="10376">
          <cell r="D10376" t="str">
            <v>2023</v>
          </cell>
        </row>
        <row r="10377">
          <cell r="D10377" t="str">
            <v>2023</v>
          </cell>
        </row>
        <row r="10378">
          <cell r="D10378" t="str">
            <v>2022</v>
          </cell>
        </row>
        <row r="10379">
          <cell r="D10379" t="str">
            <v>2023</v>
          </cell>
        </row>
        <row r="10380">
          <cell r="D10380" t="str">
            <v>2023</v>
          </cell>
        </row>
        <row r="10381">
          <cell r="D10381" t="str">
            <v>2023</v>
          </cell>
        </row>
        <row r="10382">
          <cell r="D10382" t="str">
            <v>2022</v>
          </cell>
        </row>
        <row r="10383">
          <cell r="D10383" t="str">
            <v>2021</v>
          </cell>
        </row>
        <row r="10384">
          <cell r="D10384" t="str">
            <v>2022</v>
          </cell>
        </row>
        <row r="10385">
          <cell r="D10385" t="str">
            <v>2023</v>
          </cell>
        </row>
        <row r="10386">
          <cell r="D10386" t="str">
            <v>2023</v>
          </cell>
        </row>
        <row r="10387">
          <cell r="D10387" t="str">
            <v>2021</v>
          </cell>
        </row>
        <row r="10388">
          <cell r="D10388" t="str">
            <v>2021</v>
          </cell>
        </row>
        <row r="10389">
          <cell r="D10389" t="str">
            <v>2023</v>
          </cell>
        </row>
        <row r="10390">
          <cell r="D10390" t="str">
            <v>2023</v>
          </cell>
        </row>
        <row r="10391">
          <cell r="D10391" t="str">
            <v>2022</v>
          </cell>
        </row>
        <row r="10392">
          <cell r="D10392" t="str">
            <v>2023</v>
          </cell>
        </row>
        <row r="10393">
          <cell r="D10393" t="str">
            <v>2022</v>
          </cell>
        </row>
        <row r="10394">
          <cell r="D10394" t="str">
            <v>2023</v>
          </cell>
        </row>
        <row r="10395">
          <cell r="D10395" t="str">
            <v>2023</v>
          </cell>
        </row>
        <row r="10396">
          <cell r="D10396" t="str">
            <v>2021</v>
          </cell>
        </row>
        <row r="10397">
          <cell r="D10397" t="str">
            <v>2021</v>
          </cell>
        </row>
        <row r="10398">
          <cell r="D10398" t="str">
            <v>2022</v>
          </cell>
        </row>
        <row r="10399">
          <cell r="D10399" t="str">
            <v>2021</v>
          </cell>
        </row>
        <row r="10400">
          <cell r="D10400" t="str">
            <v>2023</v>
          </cell>
        </row>
        <row r="10401">
          <cell r="D10401" t="str">
            <v>2023</v>
          </cell>
        </row>
        <row r="10402">
          <cell r="D10402" t="str">
            <v>2023</v>
          </cell>
        </row>
        <row r="10403">
          <cell r="D10403" t="str">
            <v>2023</v>
          </cell>
        </row>
        <row r="10404">
          <cell r="D10404" t="str">
            <v>2024</v>
          </cell>
        </row>
        <row r="10405">
          <cell r="D10405" t="str">
            <v>2023</v>
          </cell>
        </row>
        <row r="10406">
          <cell r="D10406" t="str">
            <v>2023</v>
          </cell>
        </row>
        <row r="10407">
          <cell r="D10407" t="str">
            <v>2021</v>
          </cell>
        </row>
        <row r="10408">
          <cell r="D10408" t="str">
            <v>2023</v>
          </cell>
        </row>
        <row r="10409">
          <cell r="D10409" t="str">
            <v>2023</v>
          </cell>
        </row>
        <row r="10410">
          <cell r="D10410" t="str">
            <v>2021</v>
          </cell>
        </row>
        <row r="10411">
          <cell r="D10411" t="str">
            <v>2023</v>
          </cell>
        </row>
        <row r="10412">
          <cell r="D10412" t="str">
            <v>2023</v>
          </cell>
        </row>
        <row r="10413">
          <cell r="D10413" t="str">
            <v>2021</v>
          </cell>
        </row>
        <row r="10414">
          <cell r="D10414" t="str">
            <v>2021</v>
          </cell>
        </row>
        <row r="10415">
          <cell r="D10415" t="str">
            <v>2023</v>
          </cell>
        </row>
        <row r="10416">
          <cell r="D10416" t="str">
            <v>2023</v>
          </cell>
        </row>
        <row r="10417">
          <cell r="D10417" t="str">
            <v>2023</v>
          </cell>
        </row>
        <row r="10418">
          <cell r="D10418" t="str">
            <v>2023</v>
          </cell>
        </row>
        <row r="10419">
          <cell r="D10419" t="str">
            <v>2023</v>
          </cell>
        </row>
        <row r="10420">
          <cell r="D10420" t="str">
            <v>2021</v>
          </cell>
        </row>
        <row r="10421">
          <cell r="D10421" t="str">
            <v>2023</v>
          </cell>
        </row>
        <row r="10422">
          <cell r="D10422" t="str">
            <v>2023</v>
          </cell>
        </row>
        <row r="10423">
          <cell r="D10423" t="str">
            <v>2023</v>
          </cell>
        </row>
        <row r="10424">
          <cell r="D10424" t="str">
            <v>2022</v>
          </cell>
        </row>
        <row r="10425">
          <cell r="D10425" t="str">
            <v>2023</v>
          </cell>
        </row>
        <row r="10426">
          <cell r="D10426" t="str">
            <v>2022</v>
          </cell>
        </row>
        <row r="10427">
          <cell r="D10427" t="str">
            <v>2023</v>
          </cell>
        </row>
        <row r="10428">
          <cell r="D10428" t="str">
            <v>2022</v>
          </cell>
        </row>
        <row r="10429">
          <cell r="D10429" t="str">
            <v>2023</v>
          </cell>
        </row>
        <row r="10430">
          <cell r="D10430" t="str">
            <v>2022</v>
          </cell>
        </row>
        <row r="10431">
          <cell r="D10431" t="str">
            <v>2023</v>
          </cell>
        </row>
        <row r="10432">
          <cell r="D10432" t="str">
            <v>2023</v>
          </cell>
        </row>
        <row r="10433">
          <cell r="D10433" t="str">
            <v>2023</v>
          </cell>
        </row>
        <row r="10434">
          <cell r="D10434" t="str">
            <v>2022</v>
          </cell>
        </row>
        <row r="10435">
          <cell r="D10435" t="str">
            <v>2023</v>
          </cell>
        </row>
        <row r="10436">
          <cell r="D10436" t="str">
            <v>2023</v>
          </cell>
        </row>
        <row r="10437">
          <cell r="D10437" t="str">
            <v>2023</v>
          </cell>
        </row>
        <row r="10438">
          <cell r="D10438" t="str">
            <v>2023</v>
          </cell>
        </row>
        <row r="10439">
          <cell r="D10439" t="str">
            <v>2023</v>
          </cell>
        </row>
        <row r="10440">
          <cell r="D10440" t="str">
            <v>2023</v>
          </cell>
        </row>
        <row r="10441">
          <cell r="D10441" t="str">
            <v>2021</v>
          </cell>
        </row>
        <row r="10442">
          <cell r="D10442" t="str">
            <v>2023</v>
          </cell>
        </row>
        <row r="10443">
          <cell r="D10443" t="str">
            <v>2023</v>
          </cell>
        </row>
        <row r="10444">
          <cell r="D10444" t="str">
            <v>2023</v>
          </cell>
        </row>
        <row r="10445">
          <cell r="D10445" t="str">
            <v>2024</v>
          </cell>
        </row>
        <row r="10446">
          <cell r="D10446" t="str">
            <v>2023</v>
          </cell>
        </row>
        <row r="10447">
          <cell r="D10447" t="str">
            <v>2023</v>
          </cell>
        </row>
        <row r="10448">
          <cell r="D10448" t="str">
            <v>2021</v>
          </cell>
        </row>
        <row r="10449">
          <cell r="D10449" t="str">
            <v>2023</v>
          </cell>
        </row>
        <row r="10450">
          <cell r="D10450" t="str">
            <v>2023</v>
          </cell>
        </row>
        <row r="10451">
          <cell r="D10451" t="str">
            <v>2023</v>
          </cell>
        </row>
        <row r="10452">
          <cell r="D10452" t="str">
            <v>2021</v>
          </cell>
        </row>
        <row r="10453">
          <cell r="D10453" t="str">
            <v>2023</v>
          </cell>
        </row>
        <row r="10454">
          <cell r="D10454" t="str">
            <v>2023</v>
          </cell>
        </row>
        <row r="10455">
          <cell r="D10455" t="str">
            <v>2022</v>
          </cell>
        </row>
        <row r="10456">
          <cell r="D10456" t="str">
            <v>2023</v>
          </cell>
        </row>
        <row r="10457">
          <cell r="D10457" t="str">
            <v>2023</v>
          </cell>
        </row>
        <row r="10458">
          <cell r="D10458" t="str">
            <v>2023</v>
          </cell>
        </row>
        <row r="10459">
          <cell r="D10459" t="str">
            <v>2023</v>
          </cell>
        </row>
        <row r="10460">
          <cell r="D10460" t="str">
            <v>2023</v>
          </cell>
        </row>
        <row r="10461">
          <cell r="D10461" t="str">
            <v>2023</v>
          </cell>
        </row>
        <row r="10462">
          <cell r="D10462" t="str">
            <v>2021</v>
          </cell>
        </row>
        <row r="10463">
          <cell r="D10463" t="str">
            <v>2023</v>
          </cell>
        </row>
        <row r="10464">
          <cell r="D10464" t="str">
            <v>2023</v>
          </cell>
        </row>
        <row r="10465">
          <cell r="D10465" t="str">
            <v>2023</v>
          </cell>
        </row>
        <row r="10466">
          <cell r="D10466" t="str">
            <v>2022</v>
          </cell>
        </row>
        <row r="10467">
          <cell r="D10467" t="str">
            <v>2023</v>
          </cell>
        </row>
        <row r="10468">
          <cell r="D10468" t="str">
            <v>2023</v>
          </cell>
        </row>
        <row r="10469">
          <cell r="D10469" t="str">
            <v>2024</v>
          </cell>
        </row>
        <row r="10470">
          <cell r="D10470" t="str">
            <v>2023</v>
          </cell>
        </row>
        <row r="10471">
          <cell r="D10471" t="str">
            <v>2023</v>
          </cell>
        </row>
        <row r="10472">
          <cell r="D10472" t="str">
            <v>2023</v>
          </cell>
        </row>
        <row r="10473">
          <cell r="D10473" t="str">
            <v>2023</v>
          </cell>
        </row>
        <row r="10474">
          <cell r="D10474" t="str">
            <v>2023</v>
          </cell>
        </row>
        <row r="10475">
          <cell r="D10475" t="str">
            <v>2021</v>
          </cell>
        </row>
        <row r="10476">
          <cell r="D10476" t="str">
            <v>2023</v>
          </cell>
        </row>
        <row r="10477">
          <cell r="D10477" t="str">
            <v>2022</v>
          </cell>
        </row>
        <row r="10478">
          <cell r="D10478" t="str">
            <v>2022</v>
          </cell>
        </row>
        <row r="10479">
          <cell r="D10479" t="str">
            <v>2024</v>
          </cell>
        </row>
        <row r="10480">
          <cell r="D10480" t="str">
            <v>2023</v>
          </cell>
        </row>
        <row r="10481">
          <cell r="D10481" t="str">
            <v>2023</v>
          </cell>
        </row>
        <row r="10482">
          <cell r="D10482" t="str">
            <v>2021</v>
          </cell>
        </row>
        <row r="10483">
          <cell r="D10483" t="str">
            <v>2023</v>
          </cell>
        </row>
        <row r="10484">
          <cell r="D10484" t="str">
            <v>2023</v>
          </cell>
        </row>
        <row r="10485">
          <cell r="D10485" t="str">
            <v>2022</v>
          </cell>
        </row>
        <row r="10486">
          <cell r="D10486" t="str">
            <v>2023</v>
          </cell>
        </row>
        <row r="10487">
          <cell r="D10487" t="str">
            <v>2022</v>
          </cell>
        </row>
        <row r="10488">
          <cell r="D10488" t="str">
            <v>2023</v>
          </cell>
        </row>
        <row r="10489">
          <cell r="D10489" t="str">
            <v>2023</v>
          </cell>
        </row>
        <row r="10490">
          <cell r="D10490" t="str">
            <v>2022</v>
          </cell>
        </row>
        <row r="10491">
          <cell r="D10491" t="str">
            <v>2022</v>
          </cell>
        </row>
        <row r="10492">
          <cell r="D10492" t="str">
            <v>2023</v>
          </cell>
        </row>
        <row r="10493">
          <cell r="D10493" t="str">
            <v>2023</v>
          </cell>
        </row>
        <row r="10494">
          <cell r="D10494" t="str">
            <v>2023</v>
          </cell>
        </row>
        <row r="10495">
          <cell r="D10495" t="str">
            <v>2023</v>
          </cell>
        </row>
        <row r="10496">
          <cell r="D10496" t="str">
            <v>2023</v>
          </cell>
        </row>
        <row r="10497">
          <cell r="D10497" t="str">
            <v>2023</v>
          </cell>
        </row>
        <row r="10498">
          <cell r="D10498" t="str">
            <v>2023</v>
          </cell>
        </row>
        <row r="10499">
          <cell r="D10499" t="str">
            <v>2021</v>
          </cell>
        </row>
        <row r="10500">
          <cell r="D10500" t="str">
            <v>2023</v>
          </cell>
        </row>
        <row r="10501">
          <cell r="D10501" t="str">
            <v>2023</v>
          </cell>
        </row>
        <row r="10502">
          <cell r="D10502" t="str">
            <v>2022</v>
          </cell>
        </row>
        <row r="10503">
          <cell r="D10503" t="str">
            <v>2022</v>
          </cell>
        </row>
        <row r="10504">
          <cell r="D10504" t="str">
            <v>2023</v>
          </cell>
        </row>
        <row r="10505">
          <cell r="D10505" t="str">
            <v>2023</v>
          </cell>
        </row>
        <row r="10506">
          <cell r="D10506" t="str">
            <v>2021</v>
          </cell>
        </row>
        <row r="10507">
          <cell r="D10507" t="str">
            <v>2023</v>
          </cell>
        </row>
        <row r="10508">
          <cell r="D10508" t="str">
            <v>2021</v>
          </cell>
        </row>
        <row r="10509">
          <cell r="D10509" t="str">
            <v>2023</v>
          </cell>
        </row>
        <row r="10510">
          <cell r="D10510" t="str">
            <v>2021</v>
          </cell>
        </row>
        <row r="10511">
          <cell r="D10511" t="str">
            <v>2023</v>
          </cell>
        </row>
        <row r="10512">
          <cell r="D10512" t="str">
            <v>2023</v>
          </cell>
        </row>
        <row r="10513">
          <cell r="D10513" t="str">
            <v>2023</v>
          </cell>
        </row>
        <row r="10514">
          <cell r="D10514" t="str">
            <v>2023</v>
          </cell>
        </row>
        <row r="10515">
          <cell r="D10515" t="str">
            <v>2023</v>
          </cell>
        </row>
        <row r="10516">
          <cell r="D10516" t="str">
            <v>2021</v>
          </cell>
        </row>
        <row r="10517">
          <cell r="D10517" t="str">
            <v>2023</v>
          </cell>
        </row>
        <row r="10518">
          <cell r="D10518" t="str">
            <v>2023</v>
          </cell>
        </row>
        <row r="10519">
          <cell r="D10519" t="str">
            <v>2023</v>
          </cell>
        </row>
        <row r="10520">
          <cell r="D10520" t="str">
            <v>2021</v>
          </cell>
        </row>
        <row r="10521">
          <cell r="D10521" t="str">
            <v>2023</v>
          </cell>
        </row>
        <row r="10522">
          <cell r="D10522" t="str">
            <v>2022</v>
          </cell>
        </row>
        <row r="10523">
          <cell r="D10523" t="str">
            <v>2023</v>
          </cell>
        </row>
        <row r="10524">
          <cell r="D10524" t="str">
            <v>2023</v>
          </cell>
        </row>
        <row r="10525">
          <cell r="D10525" t="str">
            <v>2023</v>
          </cell>
        </row>
        <row r="10526">
          <cell r="D10526" t="str">
            <v>2023</v>
          </cell>
        </row>
        <row r="10527">
          <cell r="D10527" t="str">
            <v>2023</v>
          </cell>
        </row>
        <row r="10528">
          <cell r="D10528" t="str">
            <v>2023</v>
          </cell>
        </row>
        <row r="10529">
          <cell r="D10529" t="str">
            <v>2023</v>
          </cell>
        </row>
        <row r="10530">
          <cell r="D10530" t="str">
            <v>2022</v>
          </cell>
        </row>
        <row r="10531">
          <cell r="D10531" t="str">
            <v>2023</v>
          </cell>
        </row>
        <row r="10532">
          <cell r="D10532" t="str">
            <v>2022</v>
          </cell>
        </row>
        <row r="10533">
          <cell r="D10533" t="str">
            <v>2023</v>
          </cell>
        </row>
        <row r="10534">
          <cell r="D10534" t="str">
            <v>2021</v>
          </cell>
        </row>
        <row r="10535">
          <cell r="D10535" t="str">
            <v>2023</v>
          </cell>
        </row>
        <row r="10536">
          <cell r="D10536" t="str">
            <v>2023</v>
          </cell>
        </row>
        <row r="10537">
          <cell r="D10537" t="str">
            <v>2023</v>
          </cell>
        </row>
        <row r="10538">
          <cell r="D10538" t="str">
            <v>2023</v>
          </cell>
        </row>
        <row r="10539">
          <cell r="D10539" t="str">
            <v>2023</v>
          </cell>
        </row>
        <row r="10540">
          <cell r="D10540" t="str">
            <v>2021</v>
          </cell>
        </row>
        <row r="10541">
          <cell r="D10541" t="str">
            <v>2024</v>
          </cell>
        </row>
        <row r="10542">
          <cell r="D10542" t="str">
            <v>2023</v>
          </cell>
        </row>
        <row r="10543">
          <cell r="D10543" t="str">
            <v>2023</v>
          </cell>
        </row>
        <row r="10544">
          <cell r="D10544" t="str">
            <v>2022</v>
          </cell>
        </row>
        <row r="10545">
          <cell r="D10545" t="str">
            <v>2023</v>
          </cell>
        </row>
        <row r="10546">
          <cell r="D10546" t="str">
            <v>2023</v>
          </cell>
        </row>
        <row r="10547">
          <cell r="D10547" t="str">
            <v>2023</v>
          </cell>
        </row>
        <row r="10548">
          <cell r="D10548" t="str">
            <v>2023</v>
          </cell>
        </row>
        <row r="10549">
          <cell r="D10549" t="str">
            <v>2023</v>
          </cell>
        </row>
        <row r="10550">
          <cell r="D10550" t="str">
            <v>2023</v>
          </cell>
        </row>
        <row r="10551">
          <cell r="D10551" t="str">
            <v>2023</v>
          </cell>
        </row>
        <row r="10552">
          <cell r="D10552" t="str">
            <v>2023</v>
          </cell>
        </row>
        <row r="10553">
          <cell r="D10553" t="str">
            <v>2023</v>
          </cell>
        </row>
        <row r="10554">
          <cell r="D10554" t="str">
            <v>2021</v>
          </cell>
        </row>
        <row r="10555">
          <cell r="D10555" t="str">
            <v>2022</v>
          </cell>
        </row>
        <row r="10556">
          <cell r="D10556" t="str">
            <v>2023</v>
          </cell>
        </row>
        <row r="10557">
          <cell r="D10557" t="str">
            <v>2023</v>
          </cell>
        </row>
        <row r="10558">
          <cell r="D10558" t="str">
            <v>2023</v>
          </cell>
        </row>
        <row r="10559">
          <cell r="D10559" t="str">
            <v>2023</v>
          </cell>
        </row>
        <row r="10560">
          <cell r="D10560" t="str">
            <v>2023</v>
          </cell>
        </row>
        <row r="10561">
          <cell r="D10561" t="str">
            <v>2022</v>
          </cell>
        </row>
        <row r="10562">
          <cell r="D10562" t="str">
            <v>2022</v>
          </cell>
        </row>
        <row r="10563">
          <cell r="D10563" t="str">
            <v>2022</v>
          </cell>
        </row>
        <row r="10564">
          <cell r="D10564" t="str">
            <v>2022</v>
          </cell>
        </row>
        <row r="10565">
          <cell r="D10565" t="str">
            <v>2023</v>
          </cell>
        </row>
        <row r="10566">
          <cell r="D10566" t="str">
            <v>2021</v>
          </cell>
        </row>
        <row r="10567">
          <cell r="D10567" t="str">
            <v>2023</v>
          </cell>
        </row>
        <row r="10568">
          <cell r="D10568" t="str">
            <v>2023</v>
          </cell>
        </row>
        <row r="10569">
          <cell r="D10569" t="str">
            <v>2023</v>
          </cell>
        </row>
        <row r="10570">
          <cell r="D10570" t="str">
            <v>2023</v>
          </cell>
        </row>
        <row r="10571">
          <cell r="D10571" t="str">
            <v>2023</v>
          </cell>
        </row>
        <row r="10572">
          <cell r="D10572" t="str">
            <v>2021</v>
          </cell>
        </row>
        <row r="10573">
          <cell r="D10573" t="str">
            <v>2023</v>
          </cell>
        </row>
        <row r="10574">
          <cell r="D10574" t="str">
            <v>2023</v>
          </cell>
        </row>
        <row r="10575">
          <cell r="D10575" t="str">
            <v>2024</v>
          </cell>
        </row>
        <row r="10576">
          <cell r="D10576" t="str">
            <v>2023</v>
          </cell>
        </row>
        <row r="10577">
          <cell r="D10577" t="str">
            <v>2022</v>
          </cell>
        </row>
        <row r="10578">
          <cell r="D10578" t="str">
            <v>2023</v>
          </cell>
        </row>
        <row r="10579">
          <cell r="D10579" t="str">
            <v>2023</v>
          </cell>
        </row>
        <row r="10580">
          <cell r="D10580" t="str">
            <v>2023</v>
          </cell>
        </row>
        <row r="10581">
          <cell r="D10581" t="str">
            <v>2023</v>
          </cell>
        </row>
        <row r="10582">
          <cell r="D10582" t="str">
            <v>2023</v>
          </cell>
        </row>
        <row r="10583">
          <cell r="D10583" t="str">
            <v>2023</v>
          </cell>
        </row>
        <row r="10584">
          <cell r="D10584" t="str">
            <v>2023</v>
          </cell>
        </row>
        <row r="10585">
          <cell r="D10585" t="str">
            <v>2023</v>
          </cell>
        </row>
        <row r="10586">
          <cell r="D10586" t="str">
            <v>2023</v>
          </cell>
        </row>
        <row r="10587">
          <cell r="D10587" t="str">
            <v>2023</v>
          </cell>
        </row>
        <row r="10588">
          <cell r="D10588" t="str">
            <v>2023</v>
          </cell>
        </row>
        <row r="10589">
          <cell r="D10589" t="str">
            <v>2023</v>
          </cell>
        </row>
        <row r="10590">
          <cell r="D10590" t="str">
            <v>2023</v>
          </cell>
        </row>
        <row r="10591">
          <cell r="D10591" t="str">
            <v>2021</v>
          </cell>
        </row>
        <row r="10592">
          <cell r="D10592" t="str">
            <v>2023</v>
          </cell>
        </row>
        <row r="10593">
          <cell r="D10593" t="str">
            <v>2023</v>
          </cell>
        </row>
        <row r="10594">
          <cell r="D10594" t="str">
            <v>2021</v>
          </cell>
        </row>
        <row r="10595">
          <cell r="D10595" t="str">
            <v>2023</v>
          </cell>
        </row>
        <row r="10596">
          <cell r="D10596" t="str">
            <v>2023</v>
          </cell>
        </row>
        <row r="10597">
          <cell r="D10597" t="str">
            <v>2023</v>
          </cell>
        </row>
        <row r="10598">
          <cell r="D10598" t="str">
            <v>2023</v>
          </cell>
        </row>
        <row r="10599">
          <cell r="D10599" t="str">
            <v>2021</v>
          </cell>
        </row>
        <row r="10600">
          <cell r="D10600" t="str">
            <v>2023</v>
          </cell>
        </row>
        <row r="10601">
          <cell r="D10601" t="str">
            <v>2022</v>
          </cell>
        </row>
        <row r="10602">
          <cell r="D10602" t="str">
            <v>2021</v>
          </cell>
        </row>
        <row r="10603">
          <cell r="D10603" t="str">
            <v>2023</v>
          </cell>
        </row>
        <row r="10604">
          <cell r="D10604" t="str">
            <v>2023</v>
          </cell>
        </row>
        <row r="10605">
          <cell r="D10605" t="str">
            <v>2023</v>
          </cell>
        </row>
        <row r="10606">
          <cell r="D10606" t="str">
            <v>2023</v>
          </cell>
        </row>
        <row r="10607">
          <cell r="D10607" t="str">
            <v>2023</v>
          </cell>
        </row>
        <row r="10608">
          <cell r="D10608" t="str">
            <v>2021</v>
          </cell>
        </row>
        <row r="10609">
          <cell r="D10609" t="str">
            <v>2022</v>
          </cell>
        </row>
        <row r="10610">
          <cell r="D10610" t="str">
            <v>2023</v>
          </cell>
        </row>
        <row r="10611">
          <cell r="D10611" t="str">
            <v>2023</v>
          </cell>
        </row>
        <row r="10612">
          <cell r="D10612" t="str">
            <v>2023</v>
          </cell>
        </row>
        <row r="10613">
          <cell r="D10613" t="str">
            <v>2023</v>
          </cell>
        </row>
        <row r="10614">
          <cell r="D10614" t="str">
            <v>2023</v>
          </cell>
        </row>
        <row r="10615">
          <cell r="D10615" t="str">
            <v>2023</v>
          </cell>
        </row>
        <row r="10616">
          <cell r="D10616" t="str">
            <v>2023</v>
          </cell>
        </row>
        <row r="10617">
          <cell r="D10617" t="str">
            <v>2023</v>
          </cell>
        </row>
        <row r="10618">
          <cell r="D10618" t="str">
            <v>2023</v>
          </cell>
        </row>
        <row r="10619">
          <cell r="D10619" t="str">
            <v>2022</v>
          </cell>
        </row>
        <row r="10620">
          <cell r="D10620" t="str">
            <v>2023</v>
          </cell>
        </row>
        <row r="10621">
          <cell r="D10621" t="str">
            <v>2023</v>
          </cell>
        </row>
        <row r="10622">
          <cell r="D10622" t="str">
            <v>2023</v>
          </cell>
        </row>
        <row r="10623">
          <cell r="D10623" t="str">
            <v>2023</v>
          </cell>
        </row>
        <row r="10624">
          <cell r="D10624" t="str">
            <v>2023</v>
          </cell>
        </row>
        <row r="10625">
          <cell r="D10625" t="str">
            <v>2021</v>
          </cell>
        </row>
        <row r="10626">
          <cell r="D10626" t="str">
            <v>2023</v>
          </cell>
        </row>
        <row r="10627">
          <cell r="D10627" t="str">
            <v>2023</v>
          </cell>
        </row>
        <row r="10628">
          <cell r="D10628" t="str">
            <v>2023</v>
          </cell>
        </row>
        <row r="10629">
          <cell r="D10629" t="str">
            <v>2023</v>
          </cell>
        </row>
        <row r="10630">
          <cell r="D10630" t="str">
            <v>2023</v>
          </cell>
        </row>
        <row r="10631">
          <cell r="D10631" t="str">
            <v>2023</v>
          </cell>
        </row>
        <row r="10632">
          <cell r="D10632" t="str">
            <v>2023</v>
          </cell>
        </row>
        <row r="10633">
          <cell r="D10633" t="str">
            <v>2023</v>
          </cell>
        </row>
        <row r="10634">
          <cell r="D10634" t="str">
            <v>2021</v>
          </cell>
        </row>
        <row r="10635">
          <cell r="D10635" t="str">
            <v>2022</v>
          </cell>
        </row>
        <row r="10636">
          <cell r="D10636" t="str">
            <v>2023</v>
          </cell>
        </row>
        <row r="10637">
          <cell r="D10637" t="str">
            <v>2023</v>
          </cell>
        </row>
        <row r="10638">
          <cell r="D10638" t="str">
            <v>2023</v>
          </cell>
        </row>
        <row r="10639">
          <cell r="D10639" t="str">
            <v>2023</v>
          </cell>
        </row>
        <row r="10640">
          <cell r="D10640" t="str">
            <v>2023</v>
          </cell>
        </row>
        <row r="10641">
          <cell r="D10641" t="str">
            <v>2023</v>
          </cell>
        </row>
        <row r="10642">
          <cell r="D10642" t="str">
            <v>2023</v>
          </cell>
        </row>
        <row r="10643">
          <cell r="D10643" t="str">
            <v>2021</v>
          </cell>
        </row>
        <row r="10644">
          <cell r="D10644" t="str">
            <v>2023</v>
          </cell>
        </row>
        <row r="10645">
          <cell r="D10645" t="str">
            <v>2023</v>
          </cell>
        </row>
        <row r="10646">
          <cell r="D10646" t="str">
            <v>2023</v>
          </cell>
        </row>
        <row r="10647">
          <cell r="D10647" t="str">
            <v>2023</v>
          </cell>
        </row>
        <row r="10648">
          <cell r="D10648" t="str">
            <v>2022</v>
          </cell>
        </row>
        <row r="10649">
          <cell r="D10649" t="str">
            <v>2023</v>
          </cell>
        </row>
        <row r="10650">
          <cell r="D10650" t="str">
            <v>2022</v>
          </cell>
        </row>
        <row r="10651">
          <cell r="D10651" t="str">
            <v>2023</v>
          </cell>
        </row>
        <row r="10652">
          <cell r="D10652" t="str">
            <v>2023</v>
          </cell>
        </row>
        <row r="10653">
          <cell r="D10653" t="str">
            <v>2023</v>
          </cell>
        </row>
        <row r="10654">
          <cell r="D10654" t="str">
            <v>2023</v>
          </cell>
        </row>
        <row r="10655">
          <cell r="D10655" t="str">
            <v>2022</v>
          </cell>
        </row>
        <row r="10656">
          <cell r="D10656" t="str">
            <v>2023</v>
          </cell>
        </row>
        <row r="10657">
          <cell r="D10657" t="str">
            <v>2023</v>
          </cell>
        </row>
        <row r="10658">
          <cell r="D10658" t="str">
            <v>2023</v>
          </cell>
        </row>
        <row r="10659">
          <cell r="D10659" t="str">
            <v>2023</v>
          </cell>
        </row>
        <row r="10660">
          <cell r="D10660" t="str">
            <v>2023</v>
          </cell>
        </row>
        <row r="10661">
          <cell r="D10661" t="str">
            <v>2021</v>
          </cell>
        </row>
        <row r="10662">
          <cell r="D10662" t="str">
            <v>2023</v>
          </cell>
        </row>
        <row r="10663">
          <cell r="D10663" t="str">
            <v>2023</v>
          </cell>
        </row>
        <row r="10664">
          <cell r="D10664" t="str">
            <v>2023</v>
          </cell>
        </row>
        <row r="10665">
          <cell r="D10665" t="str">
            <v>2021</v>
          </cell>
        </row>
        <row r="10666">
          <cell r="D10666" t="str">
            <v>2023</v>
          </cell>
        </row>
        <row r="10667">
          <cell r="D10667" t="str">
            <v>2023</v>
          </cell>
        </row>
        <row r="10668">
          <cell r="D10668" t="str">
            <v>2023</v>
          </cell>
        </row>
        <row r="10669">
          <cell r="D10669" t="str">
            <v>2023</v>
          </cell>
        </row>
        <row r="10670">
          <cell r="D10670" t="str">
            <v>2023</v>
          </cell>
        </row>
        <row r="10671">
          <cell r="D10671" t="str">
            <v>2022</v>
          </cell>
        </row>
        <row r="10672">
          <cell r="D10672" t="str">
            <v>2024</v>
          </cell>
        </row>
        <row r="10673">
          <cell r="D10673" t="str">
            <v>2022</v>
          </cell>
        </row>
        <row r="10674">
          <cell r="D10674" t="str">
            <v>2021</v>
          </cell>
        </row>
        <row r="10675">
          <cell r="D10675" t="str">
            <v>2023</v>
          </cell>
        </row>
        <row r="10676">
          <cell r="D10676" t="str">
            <v>2023</v>
          </cell>
        </row>
        <row r="10677">
          <cell r="D10677" t="str">
            <v>2021</v>
          </cell>
        </row>
        <row r="10678">
          <cell r="D10678" t="str">
            <v>2023</v>
          </cell>
        </row>
        <row r="10679">
          <cell r="D10679" t="str">
            <v>2022</v>
          </cell>
        </row>
        <row r="10680">
          <cell r="D10680" t="str">
            <v>2023</v>
          </cell>
        </row>
        <row r="10681">
          <cell r="D10681" t="str">
            <v>2024</v>
          </cell>
        </row>
        <row r="10682">
          <cell r="D10682" t="str">
            <v>2023</v>
          </cell>
        </row>
        <row r="10683">
          <cell r="D10683" t="str">
            <v>2023</v>
          </cell>
        </row>
        <row r="10684">
          <cell r="D10684" t="str">
            <v>2021</v>
          </cell>
        </row>
        <row r="10685">
          <cell r="D10685" t="str">
            <v>2024</v>
          </cell>
        </row>
        <row r="10686">
          <cell r="D10686" t="str">
            <v>2023</v>
          </cell>
        </row>
        <row r="10687">
          <cell r="D10687" t="str">
            <v>2023</v>
          </cell>
        </row>
        <row r="10688">
          <cell r="D10688" t="str">
            <v>2023</v>
          </cell>
        </row>
        <row r="10689">
          <cell r="D10689" t="str">
            <v>2023</v>
          </cell>
        </row>
        <row r="10690">
          <cell r="D10690" t="str">
            <v>2023</v>
          </cell>
        </row>
        <row r="10691">
          <cell r="D10691" t="str">
            <v>2023</v>
          </cell>
        </row>
        <row r="10692">
          <cell r="D10692" t="str">
            <v>2023</v>
          </cell>
        </row>
        <row r="10693">
          <cell r="D10693" t="str">
            <v>2023</v>
          </cell>
        </row>
        <row r="10694">
          <cell r="D10694" t="str">
            <v>2023</v>
          </cell>
        </row>
        <row r="10695">
          <cell r="D10695" t="str">
            <v>2023</v>
          </cell>
        </row>
        <row r="10696">
          <cell r="D10696" t="str">
            <v>2023</v>
          </cell>
        </row>
        <row r="10697">
          <cell r="D10697" t="str">
            <v>2023</v>
          </cell>
        </row>
        <row r="10698">
          <cell r="D10698" t="str">
            <v>2023</v>
          </cell>
        </row>
        <row r="10699">
          <cell r="D10699" t="str">
            <v>2023</v>
          </cell>
        </row>
        <row r="10700">
          <cell r="D10700" t="str">
            <v>2023</v>
          </cell>
        </row>
        <row r="10701">
          <cell r="D10701" t="str">
            <v>2023</v>
          </cell>
        </row>
        <row r="10702">
          <cell r="D10702" t="str">
            <v>2024</v>
          </cell>
        </row>
        <row r="10703">
          <cell r="D10703" t="str">
            <v>2023</v>
          </cell>
        </row>
        <row r="10704">
          <cell r="D10704" t="str">
            <v>2022</v>
          </cell>
        </row>
        <row r="10705">
          <cell r="D10705" t="str">
            <v>2023</v>
          </cell>
        </row>
        <row r="10706">
          <cell r="D10706" t="str">
            <v>2023</v>
          </cell>
        </row>
        <row r="10707">
          <cell r="D10707" t="str">
            <v>2023</v>
          </cell>
        </row>
        <row r="10708">
          <cell r="D10708" t="str">
            <v>2023</v>
          </cell>
        </row>
        <row r="10709">
          <cell r="D10709" t="str">
            <v>2022</v>
          </cell>
        </row>
        <row r="10710">
          <cell r="D10710" t="str">
            <v>2021</v>
          </cell>
        </row>
        <row r="10711">
          <cell r="D10711" t="str">
            <v>2023</v>
          </cell>
        </row>
        <row r="10712">
          <cell r="D10712" t="str">
            <v>2024</v>
          </cell>
        </row>
        <row r="10713">
          <cell r="D10713" t="str">
            <v>2024</v>
          </cell>
        </row>
        <row r="10714">
          <cell r="D10714" t="str">
            <v>2022</v>
          </cell>
        </row>
        <row r="10715">
          <cell r="D10715" t="str">
            <v>2023</v>
          </cell>
        </row>
        <row r="10716">
          <cell r="D10716" t="str">
            <v>2022</v>
          </cell>
        </row>
        <row r="10717">
          <cell r="D10717" t="str">
            <v>2023</v>
          </cell>
        </row>
        <row r="10718">
          <cell r="D10718" t="str">
            <v>2023</v>
          </cell>
        </row>
        <row r="10719">
          <cell r="D10719" t="str">
            <v>2023</v>
          </cell>
        </row>
        <row r="10720">
          <cell r="D10720" t="str">
            <v>2022</v>
          </cell>
        </row>
        <row r="10721">
          <cell r="D10721" t="str">
            <v>2021</v>
          </cell>
        </row>
        <row r="10722">
          <cell r="D10722" t="str">
            <v>2023</v>
          </cell>
        </row>
        <row r="10723">
          <cell r="D10723" t="str">
            <v>2022</v>
          </cell>
        </row>
        <row r="10724">
          <cell r="D10724" t="str">
            <v>2021</v>
          </cell>
        </row>
        <row r="10725">
          <cell r="D10725" t="str">
            <v>2023</v>
          </cell>
        </row>
        <row r="10726">
          <cell r="D10726" t="str">
            <v>2022</v>
          </cell>
        </row>
        <row r="10727">
          <cell r="D10727" t="str">
            <v>2022</v>
          </cell>
        </row>
        <row r="10728">
          <cell r="D10728" t="str">
            <v>2023</v>
          </cell>
        </row>
        <row r="10729">
          <cell r="D10729" t="str">
            <v>2024</v>
          </cell>
        </row>
        <row r="10730">
          <cell r="D10730" t="str">
            <v>2021</v>
          </cell>
        </row>
        <row r="10731">
          <cell r="D10731" t="str">
            <v>2023</v>
          </cell>
        </row>
        <row r="10732">
          <cell r="D10732" t="str">
            <v>2023</v>
          </cell>
        </row>
        <row r="10733">
          <cell r="D10733" t="str">
            <v>2021</v>
          </cell>
        </row>
        <row r="10734">
          <cell r="D10734" t="str">
            <v>2023</v>
          </cell>
        </row>
        <row r="10735">
          <cell r="D10735" t="str">
            <v>2021</v>
          </cell>
        </row>
        <row r="10736">
          <cell r="D10736" t="str">
            <v>2022</v>
          </cell>
        </row>
        <row r="10737">
          <cell r="D10737" t="str">
            <v>2021</v>
          </cell>
        </row>
        <row r="10738">
          <cell r="D10738" t="str">
            <v>2023</v>
          </cell>
        </row>
        <row r="10739">
          <cell r="D10739" t="str">
            <v>2022</v>
          </cell>
        </row>
        <row r="10740">
          <cell r="D10740" t="str">
            <v>2021</v>
          </cell>
        </row>
        <row r="10741">
          <cell r="D10741" t="str">
            <v>2021</v>
          </cell>
        </row>
        <row r="10742">
          <cell r="D10742" t="str">
            <v>2023</v>
          </cell>
        </row>
        <row r="10743">
          <cell r="D10743" t="str">
            <v>2021</v>
          </cell>
        </row>
        <row r="10744">
          <cell r="D10744" t="str">
            <v>2021</v>
          </cell>
        </row>
        <row r="10745">
          <cell r="D10745" t="str">
            <v>2022</v>
          </cell>
        </row>
        <row r="10746">
          <cell r="D10746" t="str">
            <v>2023</v>
          </cell>
        </row>
        <row r="10747">
          <cell r="D10747" t="str">
            <v>2021</v>
          </cell>
        </row>
        <row r="10748">
          <cell r="D10748" t="str">
            <v>2023</v>
          </cell>
        </row>
        <row r="10749">
          <cell r="D10749" t="str">
            <v>2022</v>
          </cell>
        </row>
        <row r="10750">
          <cell r="D10750" t="str">
            <v>2023</v>
          </cell>
        </row>
        <row r="10751">
          <cell r="D10751" t="str">
            <v>2022</v>
          </cell>
        </row>
        <row r="10752">
          <cell r="D10752" t="str">
            <v>2022</v>
          </cell>
        </row>
        <row r="10753">
          <cell r="D10753" t="str">
            <v>2023</v>
          </cell>
        </row>
        <row r="10754">
          <cell r="D10754" t="str">
            <v>2023</v>
          </cell>
        </row>
        <row r="10755">
          <cell r="D10755" t="str">
            <v>2023</v>
          </cell>
        </row>
        <row r="10756">
          <cell r="D10756" t="str">
            <v>2023</v>
          </cell>
        </row>
        <row r="10757">
          <cell r="D10757" t="str">
            <v>2021</v>
          </cell>
        </row>
        <row r="10758">
          <cell r="D10758" t="str">
            <v>2023</v>
          </cell>
        </row>
        <row r="10759">
          <cell r="D10759" t="str">
            <v>2021</v>
          </cell>
        </row>
        <row r="10760">
          <cell r="D10760" t="str">
            <v>2022</v>
          </cell>
        </row>
        <row r="10761">
          <cell r="D10761" t="str">
            <v>2022</v>
          </cell>
        </row>
        <row r="10762">
          <cell r="D10762" t="str">
            <v>2023</v>
          </cell>
        </row>
        <row r="10763">
          <cell r="D10763" t="str">
            <v>2023</v>
          </cell>
        </row>
        <row r="10764">
          <cell r="D10764" t="str">
            <v>2023</v>
          </cell>
        </row>
        <row r="10765">
          <cell r="D10765" t="str">
            <v>2021</v>
          </cell>
        </row>
        <row r="10766">
          <cell r="D10766" t="str">
            <v>2023</v>
          </cell>
        </row>
        <row r="10767">
          <cell r="D10767" t="str">
            <v>2021</v>
          </cell>
        </row>
        <row r="10768">
          <cell r="D10768" t="str">
            <v>2021</v>
          </cell>
        </row>
        <row r="10769">
          <cell r="D10769" t="str">
            <v>2021</v>
          </cell>
        </row>
        <row r="10770">
          <cell r="D10770" t="str">
            <v>2022</v>
          </cell>
        </row>
        <row r="10771">
          <cell r="D10771" t="str">
            <v>2021</v>
          </cell>
        </row>
        <row r="10772">
          <cell r="D10772" t="str">
            <v>2023</v>
          </cell>
        </row>
        <row r="10773">
          <cell r="D10773" t="str">
            <v>2022</v>
          </cell>
        </row>
        <row r="10774">
          <cell r="D10774" t="str">
            <v>2021</v>
          </cell>
        </row>
        <row r="10775">
          <cell r="D10775" t="str">
            <v>2021</v>
          </cell>
        </row>
        <row r="10776">
          <cell r="D10776" t="str">
            <v>2023</v>
          </cell>
        </row>
        <row r="10777">
          <cell r="D10777" t="str">
            <v>2023</v>
          </cell>
        </row>
        <row r="10778">
          <cell r="D10778" t="str">
            <v>2022</v>
          </cell>
        </row>
        <row r="10779">
          <cell r="D10779" t="str">
            <v>2023</v>
          </cell>
        </row>
        <row r="10780">
          <cell r="D10780" t="str">
            <v>2022</v>
          </cell>
        </row>
        <row r="10781">
          <cell r="D10781" t="str">
            <v>2021</v>
          </cell>
        </row>
        <row r="10782">
          <cell r="D10782" t="str">
            <v>2022</v>
          </cell>
        </row>
        <row r="10783">
          <cell r="D10783" t="str">
            <v>2023</v>
          </cell>
        </row>
        <row r="10784">
          <cell r="D10784" t="str">
            <v>2023</v>
          </cell>
        </row>
        <row r="10785">
          <cell r="D10785" t="str">
            <v>2023</v>
          </cell>
        </row>
        <row r="10786">
          <cell r="D10786" t="str">
            <v>2021</v>
          </cell>
        </row>
        <row r="10787">
          <cell r="D10787" t="str">
            <v>2021</v>
          </cell>
        </row>
        <row r="10788">
          <cell r="D10788" t="str">
            <v>2023</v>
          </cell>
        </row>
        <row r="10789">
          <cell r="D10789" t="str">
            <v>2021</v>
          </cell>
        </row>
        <row r="10790">
          <cell r="D10790" t="str">
            <v>2023</v>
          </cell>
        </row>
        <row r="10791">
          <cell r="D10791" t="str">
            <v>2021</v>
          </cell>
        </row>
        <row r="10792">
          <cell r="D10792" t="str">
            <v>2021</v>
          </cell>
        </row>
        <row r="10793">
          <cell r="D10793" t="str">
            <v>2023</v>
          </cell>
        </row>
        <row r="10794">
          <cell r="D10794" t="str">
            <v>2022</v>
          </cell>
        </row>
        <row r="10795">
          <cell r="D10795" t="str">
            <v>2023</v>
          </cell>
        </row>
        <row r="10796">
          <cell r="D10796" t="str">
            <v>2021</v>
          </cell>
        </row>
        <row r="10797">
          <cell r="D10797" t="str">
            <v>2023</v>
          </cell>
        </row>
        <row r="10798">
          <cell r="D10798" t="str">
            <v>2023</v>
          </cell>
        </row>
        <row r="10799">
          <cell r="D10799" t="str">
            <v>2022</v>
          </cell>
        </row>
        <row r="10800">
          <cell r="D10800" t="str">
            <v>2022</v>
          </cell>
        </row>
        <row r="10801">
          <cell r="D10801" t="str">
            <v>2022</v>
          </cell>
        </row>
        <row r="10802">
          <cell r="D10802" t="str">
            <v>2023</v>
          </cell>
        </row>
        <row r="10803">
          <cell r="D10803" t="str">
            <v>2022</v>
          </cell>
        </row>
        <row r="10804">
          <cell r="D10804" t="str">
            <v>2021</v>
          </cell>
        </row>
        <row r="10805">
          <cell r="D10805" t="str">
            <v>2023</v>
          </cell>
        </row>
        <row r="10806">
          <cell r="D10806" t="str">
            <v>2023</v>
          </cell>
        </row>
        <row r="10807">
          <cell r="D10807" t="str">
            <v>2022</v>
          </cell>
        </row>
        <row r="10808">
          <cell r="D10808" t="str">
            <v>2021</v>
          </cell>
        </row>
        <row r="10809">
          <cell r="D10809" t="str">
            <v>2024</v>
          </cell>
        </row>
        <row r="10810">
          <cell r="D10810" t="str">
            <v>2023</v>
          </cell>
        </row>
        <row r="10811">
          <cell r="D10811" t="str">
            <v>2023</v>
          </cell>
        </row>
        <row r="10812">
          <cell r="D10812" t="str">
            <v>2023</v>
          </cell>
        </row>
        <row r="10813">
          <cell r="D10813" t="str">
            <v>2023</v>
          </cell>
        </row>
        <row r="10814">
          <cell r="D10814" t="str">
            <v>2021</v>
          </cell>
        </row>
        <row r="10815">
          <cell r="D10815" t="str">
            <v>2023</v>
          </cell>
        </row>
        <row r="10816">
          <cell r="D10816" t="str">
            <v>2023</v>
          </cell>
        </row>
        <row r="10817">
          <cell r="D10817" t="str">
            <v>2023</v>
          </cell>
        </row>
        <row r="10818">
          <cell r="D10818" t="str">
            <v>2023</v>
          </cell>
        </row>
        <row r="10819">
          <cell r="D10819" t="str">
            <v>2023</v>
          </cell>
        </row>
        <row r="10820">
          <cell r="D10820" t="str">
            <v>2023</v>
          </cell>
        </row>
        <row r="10821">
          <cell r="D10821" t="str">
            <v>2021</v>
          </cell>
        </row>
        <row r="10822">
          <cell r="D10822" t="str">
            <v>2023</v>
          </cell>
        </row>
        <row r="10823">
          <cell r="D10823" t="str">
            <v>2023</v>
          </cell>
        </row>
        <row r="10824">
          <cell r="D10824" t="str">
            <v>2022</v>
          </cell>
        </row>
        <row r="10825">
          <cell r="D10825" t="str">
            <v>2021</v>
          </cell>
        </row>
        <row r="10826">
          <cell r="D10826" t="str">
            <v>2021</v>
          </cell>
        </row>
        <row r="10827">
          <cell r="D10827" t="str">
            <v>2024</v>
          </cell>
        </row>
        <row r="10828">
          <cell r="D10828" t="str">
            <v>2022</v>
          </cell>
        </row>
        <row r="10829">
          <cell r="D10829" t="str">
            <v>2022</v>
          </cell>
        </row>
        <row r="10830">
          <cell r="D10830" t="str">
            <v>2022</v>
          </cell>
        </row>
        <row r="10831">
          <cell r="D10831" t="str">
            <v>2023</v>
          </cell>
        </row>
        <row r="10832">
          <cell r="D10832" t="str">
            <v>2022</v>
          </cell>
        </row>
        <row r="10833">
          <cell r="D10833" t="str">
            <v>2021</v>
          </cell>
        </row>
        <row r="10834">
          <cell r="D10834" t="str">
            <v>2021</v>
          </cell>
        </row>
        <row r="10835">
          <cell r="D10835" t="str">
            <v>2021</v>
          </cell>
        </row>
        <row r="10836">
          <cell r="D10836" t="str">
            <v>2023</v>
          </cell>
        </row>
        <row r="10837">
          <cell r="D10837" t="str">
            <v>2021</v>
          </cell>
        </row>
        <row r="10838">
          <cell r="D10838" t="str">
            <v>2023</v>
          </cell>
        </row>
        <row r="10839">
          <cell r="D10839" t="str">
            <v>2023</v>
          </cell>
        </row>
        <row r="10840">
          <cell r="D10840" t="str">
            <v>2023</v>
          </cell>
        </row>
        <row r="10841">
          <cell r="D10841" t="str">
            <v>2021</v>
          </cell>
        </row>
        <row r="10842">
          <cell r="D10842" t="str">
            <v>2023</v>
          </cell>
        </row>
        <row r="10843">
          <cell r="D10843" t="str">
            <v>2023</v>
          </cell>
        </row>
        <row r="10844">
          <cell r="D10844" t="str">
            <v>2023</v>
          </cell>
        </row>
        <row r="10845">
          <cell r="D10845" t="str">
            <v>2022</v>
          </cell>
        </row>
        <row r="10846">
          <cell r="D10846" t="str">
            <v>2021</v>
          </cell>
        </row>
        <row r="10847">
          <cell r="D10847" t="str">
            <v>2022</v>
          </cell>
        </row>
        <row r="10848">
          <cell r="D10848" t="str">
            <v>2022</v>
          </cell>
        </row>
        <row r="10849">
          <cell r="D10849" t="str">
            <v>2023</v>
          </cell>
        </row>
        <row r="10850">
          <cell r="D10850" t="str">
            <v>2023</v>
          </cell>
        </row>
        <row r="10851">
          <cell r="D10851" t="str">
            <v>2023</v>
          </cell>
        </row>
        <row r="10852">
          <cell r="D10852" t="str">
            <v>2022</v>
          </cell>
        </row>
        <row r="10853">
          <cell r="D10853" t="str">
            <v>2021</v>
          </cell>
        </row>
        <row r="10854">
          <cell r="D10854" t="str">
            <v>2021</v>
          </cell>
        </row>
        <row r="10855">
          <cell r="D10855" t="str">
            <v>2023</v>
          </cell>
        </row>
        <row r="10856">
          <cell r="D10856" t="str">
            <v>2023</v>
          </cell>
        </row>
        <row r="10857">
          <cell r="D10857" t="str">
            <v>2023</v>
          </cell>
        </row>
        <row r="10858">
          <cell r="D10858" t="str">
            <v>2022</v>
          </cell>
        </row>
        <row r="10859">
          <cell r="D10859" t="str">
            <v>2023</v>
          </cell>
        </row>
        <row r="10860">
          <cell r="D10860" t="str">
            <v>2023</v>
          </cell>
        </row>
        <row r="10861">
          <cell r="D10861" t="str">
            <v>2022</v>
          </cell>
        </row>
        <row r="10862">
          <cell r="D10862" t="str">
            <v>2021</v>
          </cell>
        </row>
        <row r="10863">
          <cell r="D10863" t="str">
            <v>2023</v>
          </cell>
        </row>
        <row r="10864">
          <cell r="D10864" t="str">
            <v>2021</v>
          </cell>
        </row>
        <row r="10865">
          <cell r="D10865" t="str">
            <v>2022</v>
          </cell>
        </row>
        <row r="10866">
          <cell r="D10866" t="str">
            <v>2021</v>
          </cell>
        </row>
        <row r="10867">
          <cell r="D10867" t="str">
            <v>2022</v>
          </cell>
        </row>
        <row r="10868">
          <cell r="D10868" t="str">
            <v>2023</v>
          </cell>
        </row>
        <row r="10869">
          <cell r="D10869" t="str">
            <v>2022</v>
          </cell>
        </row>
        <row r="10870">
          <cell r="D10870" t="str">
            <v>2023</v>
          </cell>
        </row>
        <row r="10871">
          <cell r="D10871" t="str">
            <v>2022</v>
          </cell>
        </row>
        <row r="10872">
          <cell r="D10872" t="str">
            <v>2022</v>
          </cell>
        </row>
        <row r="10873">
          <cell r="D10873" t="str">
            <v>2021</v>
          </cell>
        </row>
        <row r="10874">
          <cell r="D10874" t="str">
            <v>2023</v>
          </cell>
        </row>
        <row r="10875">
          <cell r="D10875" t="str">
            <v>2022</v>
          </cell>
        </row>
        <row r="10876">
          <cell r="D10876" t="str">
            <v>2021</v>
          </cell>
        </row>
        <row r="10877">
          <cell r="D10877" t="str">
            <v>2021</v>
          </cell>
        </row>
        <row r="10878">
          <cell r="D10878" t="str">
            <v>2023</v>
          </cell>
        </row>
        <row r="10879">
          <cell r="D10879" t="str">
            <v>2021</v>
          </cell>
        </row>
        <row r="10880">
          <cell r="D10880" t="str">
            <v>2023</v>
          </cell>
        </row>
        <row r="10881">
          <cell r="D10881" t="str">
            <v>2023</v>
          </cell>
        </row>
        <row r="10882">
          <cell r="D10882" t="str">
            <v>2022</v>
          </cell>
        </row>
        <row r="10883">
          <cell r="D10883" t="str">
            <v>2022</v>
          </cell>
        </row>
        <row r="10884">
          <cell r="D10884" t="str">
            <v>2022</v>
          </cell>
        </row>
        <row r="10885">
          <cell r="D10885" t="str">
            <v>2022</v>
          </cell>
        </row>
        <row r="10886">
          <cell r="D10886" t="str">
            <v>2023</v>
          </cell>
        </row>
        <row r="10887">
          <cell r="D10887" t="str">
            <v>2023</v>
          </cell>
        </row>
        <row r="10888">
          <cell r="D10888" t="str">
            <v>2023</v>
          </cell>
        </row>
        <row r="10889">
          <cell r="D10889" t="str">
            <v>2023</v>
          </cell>
        </row>
        <row r="10890">
          <cell r="D10890" t="str">
            <v>2023</v>
          </cell>
        </row>
        <row r="10891">
          <cell r="D10891" t="str">
            <v>2023</v>
          </cell>
        </row>
        <row r="10892">
          <cell r="D10892" t="str">
            <v>2021</v>
          </cell>
        </row>
        <row r="10893">
          <cell r="D10893" t="str">
            <v>2021</v>
          </cell>
        </row>
        <row r="10894">
          <cell r="D10894" t="str">
            <v>2023</v>
          </cell>
        </row>
        <row r="10895">
          <cell r="D10895" t="str">
            <v>2021</v>
          </cell>
        </row>
        <row r="10896">
          <cell r="D10896" t="str">
            <v>2023</v>
          </cell>
        </row>
        <row r="10897">
          <cell r="D10897" t="str">
            <v>2023</v>
          </cell>
        </row>
        <row r="10898">
          <cell r="D10898" t="str">
            <v>2023</v>
          </cell>
        </row>
        <row r="10899">
          <cell r="D10899" t="str">
            <v>2023</v>
          </cell>
        </row>
        <row r="10900">
          <cell r="D10900" t="str">
            <v>2021</v>
          </cell>
        </row>
        <row r="10901">
          <cell r="D10901" t="str">
            <v>2023</v>
          </cell>
        </row>
        <row r="10902">
          <cell r="D10902" t="str">
            <v>2023</v>
          </cell>
        </row>
        <row r="10903">
          <cell r="D10903" t="str">
            <v>2023</v>
          </cell>
        </row>
        <row r="10904">
          <cell r="D10904" t="str">
            <v>2022</v>
          </cell>
        </row>
        <row r="10905">
          <cell r="D10905" t="str">
            <v>2021</v>
          </cell>
        </row>
        <row r="10906">
          <cell r="D10906" t="str">
            <v>2023</v>
          </cell>
        </row>
        <row r="10907">
          <cell r="D10907" t="str">
            <v>2023</v>
          </cell>
        </row>
        <row r="10908">
          <cell r="D10908" t="str">
            <v>2022</v>
          </cell>
        </row>
        <row r="10909">
          <cell r="D10909" t="str">
            <v>2021</v>
          </cell>
        </row>
        <row r="10910">
          <cell r="D10910" t="str">
            <v>2023</v>
          </cell>
        </row>
        <row r="10911">
          <cell r="D10911" t="str">
            <v>2021</v>
          </cell>
        </row>
        <row r="10912">
          <cell r="D10912" t="str">
            <v>2023</v>
          </cell>
        </row>
        <row r="10913">
          <cell r="D10913" t="str">
            <v>2022</v>
          </cell>
        </row>
        <row r="10914">
          <cell r="D10914" t="str">
            <v>2023</v>
          </cell>
        </row>
        <row r="10915">
          <cell r="D10915" t="str">
            <v>2021</v>
          </cell>
        </row>
        <row r="10916">
          <cell r="D10916" t="str">
            <v>2022</v>
          </cell>
        </row>
        <row r="10917">
          <cell r="D10917" t="str">
            <v>2023</v>
          </cell>
        </row>
        <row r="10918">
          <cell r="D10918" t="str">
            <v>2023</v>
          </cell>
        </row>
        <row r="10919">
          <cell r="D10919" t="str">
            <v>2021</v>
          </cell>
        </row>
        <row r="10920">
          <cell r="D10920" t="str">
            <v>2023</v>
          </cell>
        </row>
        <row r="10921">
          <cell r="D10921" t="str">
            <v>2021</v>
          </cell>
        </row>
        <row r="10922">
          <cell r="D10922" t="str">
            <v>2023</v>
          </cell>
        </row>
        <row r="10923">
          <cell r="D10923" t="str">
            <v>2023</v>
          </cell>
        </row>
        <row r="10924">
          <cell r="D10924" t="str">
            <v>2023</v>
          </cell>
        </row>
        <row r="10925">
          <cell r="D10925" t="str">
            <v>2021</v>
          </cell>
        </row>
        <row r="10926">
          <cell r="D10926" t="str">
            <v>2023</v>
          </cell>
        </row>
        <row r="10927">
          <cell r="D10927" t="str">
            <v>2023</v>
          </cell>
        </row>
        <row r="10928">
          <cell r="D10928" t="str">
            <v>2023</v>
          </cell>
        </row>
        <row r="10929">
          <cell r="D10929" t="str">
            <v>2021</v>
          </cell>
        </row>
        <row r="10930">
          <cell r="D10930" t="str">
            <v>2022</v>
          </cell>
        </row>
        <row r="10931">
          <cell r="D10931" t="str">
            <v>2022</v>
          </cell>
        </row>
        <row r="10932">
          <cell r="D10932" t="str">
            <v>2023</v>
          </cell>
        </row>
        <row r="10933">
          <cell r="D10933" t="str">
            <v>2023</v>
          </cell>
        </row>
        <row r="10934">
          <cell r="D10934" t="str">
            <v>2023</v>
          </cell>
        </row>
        <row r="10935">
          <cell r="D10935" t="str">
            <v>2021</v>
          </cell>
        </row>
        <row r="10936">
          <cell r="D10936" t="str">
            <v>2022</v>
          </cell>
        </row>
        <row r="10937">
          <cell r="D10937" t="str">
            <v>2023</v>
          </cell>
        </row>
        <row r="10938">
          <cell r="D10938" t="str">
            <v>2023</v>
          </cell>
        </row>
        <row r="10939">
          <cell r="D10939" t="str">
            <v>2023</v>
          </cell>
        </row>
        <row r="10940">
          <cell r="D10940" t="str">
            <v>2023</v>
          </cell>
        </row>
        <row r="10941">
          <cell r="D10941" t="str">
            <v>2021</v>
          </cell>
        </row>
        <row r="10942">
          <cell r="D10942" t="str">
            <v>2021</v>
          </cell>
        </row>
        <row r="10943">
          <cell r="D10943" t="str">
            <v>2022</v>
          </cell>
        </row>
        <row r="10944">
          <cell r="D10944" t="str">
            <v>2023</v>
          </cell>
        </row>
        <row r="10945">
          <cell r="D10945" t="str">
            <v>2023</v>
          </cell>
        </row>
        <row r="10946">
          <cell r="D10946" t="str">
            <v>2023</v>
          </cell>
        </row>
        <row r="10947">
          <cell r="D10947" t="str">
            <v>2023</v>
          </cell>
        </row>
        <row r="10948">
          <cell r="D10948" t="str">
            <v>2021</v>
          </cell>
        </row>
        <row r="10949">
          <cell r="D10949" t="str">
            <v>2021</v>
          </cell>
        </row>
        <row r="10950">
          <cell r="D10950" t="str">
            <v>2023</v>
          </cell>
        </row>
        <row r="10951">
          <cell r="D10951" t="str">
            <v>2023</v>
          </cell>
        </row>
        <row r="10952">
          <cell r="D10952" t="str">
            <v>2023</v>
          </cell>
        </row>
        <row r="10953">
          <cell r="D10953" t="str">
            <v>2021</v>
          </cell>
        </row>
        <row r="10954">
          <cell r="D10954" t="str">
            <v>2023</v>
          </cell>
        </row>
        <row r="10955">
          <cell r="D10955" t="str">
            <v>2022</v>
          </cell>
        </row>
        <row r="10956">
          <cell r="D10956" t="str">
            <v>2023</v>
          </cell>
        </row>
        <row r="10957">
          <cell r="D10957" t="str">
            <v>2023</v>
          </cell>
        </row>
        <row r="10958">
          <cell r="D10958" t="str">
            <v>2021</v>
          </cell>
        </row>
        <row r="10959">
          <cell r="D10959" t="str">
            <v>2023</v>
          </cell>
        </row>
        <row r="10960">
          <cell r="D10960" t="str">
            <v>2021</v>
          </cell>
        </row>
        <row r="10961">
          <cell r="D10961" t="str">
            <v>2021</v>
          </cell>
        </row>
        <row r="10962">
          <cell r="D10962" t="str">
            <v>2022</v>
          </cell>
        </row>
        <row r="10963">
          <cell r="D10963" t="str">
            <v>2023</v>
          </cell>
        </row>
        <row r="10964">
          <cell r="D10964" t="str">
            <v>2023</v>
          </cell>
        </row>
        <row r="10965">
          <cell r="D10965" t="str">
            <v>2023</v>
          </cell>
        </row>
        <row r="10966">
          <cell r="D10966" t="str">
            <v>2023</v>
          </cell>
        </row>
        <row r="10967">
          <cell r="D10967" t="str">
            <v>2021</v>
          </cell>
        </row>
        <row r="10968">
          <cell r="D10968" t="str">
            <v>2021</v>
          </cell>
        </row>
        <row r="10969">
          <cell r="D10969" t="str">
            <v>2023</v>
          </cell>
        </row>
        <row r="10970">
          <cell r="D10970" t="str">
            <v>2021</v>
          </cell>
        </row>
        <row r="10971">
          <cell r="D10971" t="str">
            <v>2021</v>
          </cell>
        </row>
        <row r="10972">
          <cell r="D10972" t="str">
            <v>2021</v>
          </cell>
        </row>
        <row r="10973">
          <cell r="D10973" t="str">
            <v>2023</v>
          </cell>
        </row>
        <row r="10974">
          <cell r="D10974" t="str">
            <v>2023</v>
          </cell>
        </row>
        <row r="10975">
          <cell r="D10975" t="str">
            <v>2023</v>
          </cell>
        </row>
        <row r="10976">
          <cell r="D10976" t="str">
            <v>2024</v>
          </cell>
        </row>
        <row r="10977">
          <cell r="D10977" t="str">
            <v>2022</v>
          </cell>
        </row>
        <row r="10978">
          <cell r="D10978" t="str">
            <v>2021</v>
          </cell>
        </row>
        <row r="10979">
          <cell r="D10979" t="str">
            <v>2023</v>
          </cell>
        </row>
        <row r="10980">
          <cell r="D10980" t="str">
            <v>2021</v>
          </cell>
        </row>
        <row r="10981">
          <cell r="D10981" t="str">
            <v>2023</v>
          </cell>
        </row>
        <row r="10982">
          <cell r="D10982" t="str">
            <v>2023</v>
          </cell>
        </row>
        <row r="10983">
          <cell r="D10983" t="str">
            <v>2023</v>
          </cell>
        </row>
        <row r="10984">
          <cell r="D10984" t="str">
            <v>2021</v>
          </cell>
        </row>
        <row r="10985">
          <cell r="D10985" t="str">
            <v>2023</v>
          </cell>
        </row>
        <row r="10986">
          <cell r="D10986" t="str">
            <v>2021</v>
          </cell>
        </row>
        <row r="10987">
          <cell r="D10987" t="str">
            <v>2021</v>
          </cell>
        </row>
        <row r="10988">
          <cell r="D10988" t="str">
            <v>2022</v>
          </cell>
        </row>
        <row r="10989">
          <cell r="D10989" t="str">
            <v>2021</v>
          </cell>
        </row>
        <row r="10990">
          <cell r="D10990" t="str">
            <v>2021</v>
          </cell>
        </row>
        <row r="10991">
          <cell r="D10991" t="str">
            <v>2021</v>
          </cell>
        </row>
        <row r="10992">
          <cell r="D10992" t="str">
            <v>2023</v>
          </cell>
        </row>
        <row r="10993">
          <cell r="D10993" t="str">
            <v>2023</v>
          </cell>
        </row>
        <row r="10994">
          <cell r="D10994" t="str">
            <v>2023</v>
          </cell>
        </row>
        <row r="10995">
          <cell r="D10995" t="str">
            <v>2023</v>
          </cell>
        </row>
        <row r="10996">
          <cell r="D10996" t="str">
            <v>2021</v>
          </cell>
        </row>
        <row r="10997">
          <cell r="D10997" t="str">
            <v>2023</v>
          </cell>
        </row>
        <row r="10998">
          <cell r="D10998" t="str">
            <v>2022</v>
          </cell>
        </row>
        <row r="10999">
          <cell r="D10999" t="str">
            <v>2023</v>
          </cell>
        </row>
        <row r="11000">
          <cell r="D11000" t="str">
            <v>2021</v>
          </cell>
        </row>
        <row r="11001">
          <cell r="D11001" t="str">
            <v>2023</v>
          </cell>
        </row>
        <row r="11002">
          <cell r="D11002" t="str">
            <v>2021</v>
          </cell>
        </row>
        <row r="11003">
          <cell r="D11003" t="str">
            <v>2023</v>
          </cell>
        </row>
        <row r="11004">
          <cell r="D11004" t="str">
            <v>2023</v>
          </cell>
        </row>
        <row r="11005">
          <cell r="D11005" t="str">
            <v>2022</v>
          </cell>
        </row>
        <row r="11006">
          <cell r="D11006" t="str">
            <v>2023</v>
          </cell>
        </row>
        <row r="11007">
          <cell r="D11007" t="str">
            <v>2022</v>
          </cell>
        </row>
        <row r="11008">
          <cell r="D11008" t="str">
            <v>2023</v>
          </cell>
        </row>
        <row r="11009">
          <cell r="D11009" t="str">
            <v>2023</v>
          </cell>
        </row>
        <row r="11010">
          <cell r="D11010" t="str">
            <v>2022</v>
          </cell>
        </row>
        <row r="11011">
          <cell r="D11011" t="str">
            <v>2023</v>
          </cell>
        </row>
        <row r="11012">
          <cell r="D11012" t="str">
            <v>2023</v>
          </cell>
        </row>
        <row r="11013">
          <cell r="D11013" t="str">
            <v>2022</v>
          </cell>
        </row>
        <row r="11014">
          <cell r="D11014" t="str">
            <v>2022</v>
          </cell>
        </row>
        <row r="11015">
          <cell r="D11015" t="str">
            <v>2023</v>
          </cell>
        </row>
        <row r="11016">
          <cell r="D11016" t="str">
            <v>2024</v>
          </cell>
        </row>
        <row r="11017">
          <cell r="D11017" t="str">
            <v>2023</v>
          </cell>
        </row>
        <row r="11018">
          <cell r="D11018" t="str">
            <v>2022</v>
          </cell>
        </row>
        <row r="11019">
          <cell r="D11019" t="str">
            <v>2023</v>
          </cell>
        </row>
        <row r="11020">
          <cell r="D11020" t="str">
            <v>2023</v>
          </cell>
        </row>
        <row r="11021">
          <cell r="D11021" t="str">
            <v>2022</v>
          </cell>
        </row>
        <row r="11022">
          <cell r="D11022" t="str">
            <v>2023</v>
          </cell>
        </row>
        <row r="11023">
          <cell r="D11023" t="str">
            <v>2023</v>
          </cell>
        </row>
        <row r="11024">
          <cell r="D11024" t="str">
            <v>2021</v>
          </cell>
        </row>
        <row r="11025">
          <cell r="D11025" t="str">
            <v>2023</v>
          </cell>
        </row>
        <row r="11026">
          <cell r="D11026" t="str">
            <v>2022</v>
          </cell>
        </row>
        <row r="11027">
          <cell r="D11027" t="str">
            <v>2023</v>
          </cell>
        </row>
        <row r="11028">
          <cell r="D11028" t="str">
            <v>2023</v>
          </cell>
        </row>
        <row r="11029">
          <cell r="D11029" t="str">
            <v>2023</v>
          </cell>
        </row>
        <row r="11030">
          <cell r="D11030" t="str">
            <v>2022</v>
          </cell>
        </row>
        <row r="11031">
          <cell r="D11031" t="str">
            <v>2023</v>
          </cell>
        </row>
        <row r="11032">
          <cell r="D11032" t="str">
            <v>2022</v>
          </cell>
        </row>
        <row r="11033">
          <cell r="D11033" t="str">
            <v>2023</v>
          </cell>
        </row>
        <row r="11034">
          <cell r="D11034" t="str">
            <v>2023</v>
          </cell>
        </row>
        <row r="11035">
          <cell r="D11035" t="str">
            <v>2023</v>
          </cell>
        </row>
        <row r="11036">
          <cell r="D11036" t="str">
            <v>2021</v>
          </cell>
        </row>
        <row r="11037">
          <cell r="D11037" t="str">
            <v>2023</v>
          </cell>
        </row>
        <row r="11038">
          <cell r="D11038" t="str">
            <v>2023</v>
          </cell>
        </row>
        <row r="11039">
          <cell r="D11039" t="str">
            <v>2023</v>
          </cell>
        </row>
        <row r="11040">
          <cell r="D11040" t="str">
            <v>2021</v>
          </cell>
        </row>
        <row r="11041">
          <cell r="D11041" t="str">
            <v>2023</v>
          </cell>
        </row>
        <row r="11042">
          <cell r="D11042" t="str">
            <v>2023</v>
          </cell>
        </row>
        <row r="11043">
          <cell r="D11043" t="str">
            <v>2021</v>
          </cell>
        </row>
        <row r="11044">
          <cell r="D11044" t="str">
            <v>2023</v>
          </cell>
        </row>
        <row r="11045">
          <cell r="D11045" t="str">
            <v>2023</v>
          </cell>
        </row>
        <row r="11046">
          <cell r="D11046" t="str">
            <v>2023</v>
          </cell>
        </row>
        <row r="11047">
          <cell r="D11047" t="str">
            <v>2021</v>
          </cell>
        </row>
        <row r="11048">
          <cell r="D11048" t="str">
            <v>2023</v>
          </cell>
        </row>
        <row r="11049">
          <cell r="D11049" t="str">
            <v>2023</v>
          </cell>
        </row>
        <row r="11050">
          <cell r="D11050" t="str">
            <v>2023</v>
          </cell>
        </row>
        <row r="11051">
          <cell r="D11051" t="str">
            <v>2022</v>
          </cell>
        </row>
        <row r="11052">
          <cell r="D11052" t="str">
            <v>2022</v>
          </cell>
        </row>
        <row r="11053">
          <cell r="D11053" t="str">
            <v>2021</v>
          </cell>
        </row>
        <row r="11054">
          <cell r="D11054" t="str">
            <v>2023</v>
          </cell>
        </row>
        <row r="11055">
          <cell r="D11055" t="str">
            <v>2023</v>
          </cell>
        </row>
        <row r="11056">
          <cell r="D11056" t="str">
            <v>2023</v>
          </cell>
        </row>
        <row r="11057">
          <cell r="D11057" t="str">
            <v>2023</v>
          </cell>
        </row>
        <row r="11058">
          <cell r="D11058" t="str">
            <v>2021</v>
          </cell>
        </row>
        <row r="11059">
          <cell r="D11059" t="str">
            <v>2023</v>
          </cell>
        </row>
        <row r="11060">
          <cell r="D11060" t="str">
            <v>2023</v>
          </cell>
        </row>
        <row r="11061">
          <cell r="D11061" t="str">
            <v>2023</v>
          </cell>
        </row>
        <row r="11062">
          <cell r="D11062" t="str">
            <v>2023</v>
          </cell>
        </row>
        <row r="11063">
          <cell r="D11063" t="str">
            <v>2021</v>
          </cell>
        </row>
        <row r="11064">
          <cell r="D11064" t="str">
            <v>2021</v>
          </cell>
        </row>
        <row r="11065">
          <cell r="D11065" t="str">
            <v>2021</v>
          </cell>
        </row>
        <row r="11066">
          <cell r="D11066" t="str">
            <v>2023</v>
          </cell>
        </row>
        <row r="11067">
          <cell r="D11067" t="str">
            <v>2023</v>
          </cell>
        </row>
        <row r="11068">
          <cell r="D11068" t="str">
            <v>2022</v>
          </cell>
        </row>
        <row r="11069">
          <cell r="D11069" t="str">
            <v>2023</v>
          </cell>
        </row>
        <row r="11070">
          <cell r="D11070" t="str">
            <v>2023</v>
          </cell>
        </row>
        <row r="11071">
          <cell r="D11071" t="str">
            <v>2023</v>
          </cell>
        </row>
        <row r="11072">
          <cell r="D11072" t="str">
            <v>2022</v>
          </cell>
        </row>
        <row r="11073">
          <cell r="D11073" t="str">
            <v>2022</v>
          </cell>
        </row>
        <row r="11074">
          <cell r="D11074" t="str">
            <v>2023</v>
          </cell>
        </row>
        <row r="11075">
          <cell r="D11075" t="str">
            <v>2021</v>
          </cell>
        </row>
        <row r="11076">
          <cell r="D11076" t="str">
            <v>2023</v>
          </cell>
        </row>
        <row r="11077">
          <cell r="D11077" t="str">
            <v>2023</v>
          </cell>
        </row>
        <row r="11078">
          <cell r="D11078" t="str">
            <v>2023</v>
          </cell>
        </row>
        <row r="11079">
          <cell r="D11079" t="str">
            <v>2023</v>
          </cell>
        </row>
        <row r="11080">
          <cell r="D11080" t="str">
            <v>2023</v>
          </cell>
        </row>
        <row r="11081">
          <cell r="D11081" t="str">
            <v>2022</v>
          </cell>
        </row>
        <row r="11082">
          <cell r="D11082" t="str">
            <v>2022</v>
          </cell>
        </row>
        <row r="11083">
          <cell r="D11083" t="str">
            <v>2023</v>
          </cell>
        </row>
        <row r="11084">
          <cell r="D11084" t="str">
            <v>2021</v>
          </cell>
        </row>
        <row r="11085">
          <cell r="D11085" t="str">
            <v>2021</v>
          </cell>
        </row>
        <row r="11086">
          <cell r="D11086" t="str">
            <v>2022</v>
          </cell>
        </row>
        <row r="11087">
          <cell r="D11087" t="str">
            <v>2022</v>
          </cell>
        </row>
        <row r="11088">
          <cell r="D11088" t="str">
            <v>2023</v>
          </cell>
        </row>
        <row r="11089">
          <cell r="D11089" t="str">
            <v>2023</v>
          </cell>
        </row>
        <row r="11090">
          <cell r="D11090" t="str">
            <v>2023</v>
          </cell>
        </row>
        <row r="11091">
          <cell r="D11091" t="str">
            <v>2023</v>
          </cell>
        </row>
        <row r="11092">
          <cell r="D11092" t="str">
            <v>2023</v>
          </cell>
        </row>
        <row r="11093">
          <cell r="D11093" t="str">
            <v>2023</v>
          </cell>
        </row>
        <row r="11094">
          <cell r="D11094" t="str">
            <v>2023</v>
          </cell>
        </row>
        <row r="11095">
          <cell r="D11095" t="str">
            <v>2021</v>
          </cell>
        </row>
        <row r="11096">
          <cell r="D11096" t="str">
            <v>2023</v>
          </cell>
        </row>
        <row r="11097">
          <cell r="D11097" t="str">
            <v>2023</v>
          </cell>
        </row>
        <row r="11098">
          <cell r="D11098" t="str">
            <v>2023</v>
          </cell>
        </row>
        <row r="11099">
          <cell r="D11099" t="str">
            <v>2023</v>
          </cell>
        </row>
        <row r="11100">
          <cell r="D11100" t="str">
            <v>2022</v>
          </cell>
        </row>
        <row r="11101">
          <cell r="D11101" t="str">
            <v>2023</v>
          </cell>
        </row>
        <row r="11102">
          <cell r="D11102" t="str">
            <v>2023</v>
          </cell>
        </row>
        <row r="11103">
          <cell r="D11103" t="str">
            <v>2022</v>
          </cell>
        </row>
        <row r="11104">
          <cell r="D11104" t="str">
            <v>2021</v>
          </cell>
        </row>
        <row r="11105">
          <cell r="D11105" t="str">
            <v>2021</v>
          </cell>
        </row>
        <row r="11106">
          <cell r="D11106" t="str">
            <v>2022</v>
          </cell>
        </row>
        <row r="11107">
          <cell r="D11107" t="str">
            <v>2023</v>
          </cell>
        </row>
        <row r="11108">
          <cell r="D11108" t="str">
            <v>2023</v>
          </cell>
        </row>
        <row r="11109">
          <cell r="D11109" t="str">
            <v>2022</v>
          </cell>
        </row>
        <row r="11110">
          <cell r="D11110" t="str">
            <v>2023</v>
          </cell>
        </row>
        <row r="11111">
          <cell r="D11111" t="str">
            <v>2021</v>
          </cell>
        </row>
        <row r="11112">
          <cell r="D11112" t="str">
            <v>2023</v>
          </cell>
        </row>
        <row r="11113">
          <cell r="D11113" t="str">
            <v>2021</v>
          </cell>
        </row>
        <row r="11114">
          <cell r="D11114" t="str">
            <v>2021</v>
          </cell>
        </row>
        <row r="11115">
          <cell r="D11115" t="str">
            <v>2023</v>
          </cell>
        </row>
        <row r="11116">
          <cell r="D11116" t="str">
            <v>2022</v>
          </cell>
        </row>
        <row r="11117">
          <cell r="D11117" t="str">
            <v>2022</v>
          </cell>
        </row>
        <row r="11118">
          <cell r="D11118" t="str">
            <v>2023</v>
          </cell>
        </row>
        <row r="11119">
          <cell r="D11119" t="str">
            <v>2021</v>
          </cell>
        </row>
        <row r="11120">
          <cell r="D11120" t="str">
            <v>2023</v>
          </cell>
        </row>
        <row r="11121">
          <cell r="D11121" t="str">
            <v>2021</v>
          </cell>
        </row>
        <row r="11122">
          <cell r="D11122" t="str">
            <v>2023</v>
          </cell>
        </row>
        <row r="11123">
          <cell r="D11123" t="str">
            <v>2021</v>
          </cell>
        </row>
        <row r="11124">
          <cell r="D11124" t="str">
            <v>2023</v>
          </cell>
        </row>
        <row r="11125">
          <cell r="D11125" t="str">
            <v>2021</v>
          </cell>
        </row>
        <row r="11126">
          <cell r="D11126" t="str">
            <v>2023</v>
          </cell>
        </row>
        <row r="11127">
          <cell r="D11127" t="str">
            <v>2023</v>
          </cell>
        </row>
        <row r="11128">
          <cell r="D11128" t="str">
            <v>2023</v>
          </cell>
        </row>
        <row r="11129">
          <cell r="D11129" t="str">
            <v>2023</v>
          </cell>
        </row>
        <row r="11130">
          <cell r="D11130" t="str">
            <v>2023</v>
          </cell>
        </row>
        <row r="11131">
          <cell r="D11131" t="str">
            <v>2023</v>
          </cell>
        </row>
        <row r="11132">
          <cell r="D11132" t="str">
            <v>2023</v>
          </cell>
        </row>
        <row r="11133">
          <cell r="D11133" t="str">
            <v>2023</v>
          </cell>
        </row>
        <row r="11134">
          <cell r="D11134" t="str">
            <v>2023</v>
          </cell>
        </row>
        <row r="11135">
          <cell r="D11135" t="str">
            <v>2023</v>
          </cell>
        </row>
        <row r="11136">
          <cell r="D11136" t="str">
            <v>2023</v>
          </cell>
        </row>
        <row r="11137">
          <cell r="D11137" t="str">
            <v>2022</v>
          </cell>
        </row>
        <row r="11138">
          <cell r="D11138" t="str">
            <v>2023</v>
          </cell>
        </row>
        <row r="11139">
          <cell r="D11139" t="str">
            <v>2023</v>
          </cell>
        </row>
        <row r="11140">
          <cell r="D11140" t="str">
            <v>2022</v>
          </cell>
        </row>
        <row r="11141">
          <cell r="D11141" t="str">
            <v>2021</v>
          </cell>
        </row>
        <row r="11142">
          <cell r="D11142" t="str">
            <v>2023</v>
          </cell>
        </row>
        <row r="11143">
          <cell r="D11143" t="str">
            <v>2021</v>
          </cell>
        </row>
        <row r="11144">
          <cell r="D11144" t="str">
            <v>2023</v>
          </cell>
        </row>
        <row r="11145">
          <cell r="D11145" t="str">
            <v>2023</v>
          </cell>
        </row>
        <row r="11146">
          <cell r="D11146" t="str">
            <v>2021</v>
          </cell>
        </row>
        <row r="11147">
          <cell r="D11147" t="str">
            <v>2023</v>
          </cell>
        </row>
        <row r="11148">
          <cell r="D11148" t="str">
            <v>2023</v>
          </cell>
        </row>
        <row r="11149">
          <cell r="D11149" t="str">
            <v>2021</v>
          </cell>
        </row>
        <row r="11150">
          <cell r="D11150" t="str">
            <v>2023</v>
          </cell>
        </row>
        <row r="11151">
          <cell r="D11151" t="str">
            <v>2023</v>
          </cell>
        </row>
        <row r="11152">
          <cell r="D11152" t="str">
            <v>2023</v>
          </cell>
        </row>
        <row r="11153">
          <cell r="D11153" t="str">
            <v>2023</v>
          </cell>
        </row>
        <row r="11154">
          <cell r="D11154" t="str">
            <v>2023</v>
          </cell>
        </row>
        <row r="11155">
          <cell r="D11155" t="str">
            <v>2023</v>
          </cell>
        </row>
        <row r="11156">
          <cell r="D11156" t="str">
            <v>2021</v>
          </cell>
        </row>
        <row r="11157">
          <cell r="D11157" t="str">
            <v>2022</v>
          </cell>
        </row>
        <row r="11158">
          <cell r="D11158" t="str">
            <v>2022</v>
          </cell>
        </row>
        <row r="11159">
          <cell r="D11159" t="str">
            <v>2023</v>
          </cell>
        </row>
        <row r="11160">
          <cell r="D11160" t="str">
            <v>2023</v>
          </cell>
        </row>
        <row r="11161">
          <cell r="D11161" t="str">
            <v>2021</v>
          </cell>
        </row>
        <row r="11162">
          <cell r="D11162" t="str">
            <v>2023</v>
          </cell>
        </row>
        <row r="11163">
          <cell r="D11163" t="str">
            <v>2023</v>
          </cell>
        </row>
        <row r="11164">
          <cell r="D11164" t="str">
            <v>2023</v>
          </cell>
        </row>
        <row r="11165">
          <cell r="D11165" t="str">
            <v>2023</v>
          </cell>
        </row>
        <row r="11166">
          <cell r="D11166" t="str">
            <v>2023</v>
          </cell>
        </row>
        <row r="11167">
          <cell r="D11167" t="str">
            <v>2023</v>
          </cell>
        </row>
        <row r="11168">
          <cell r="D11168" t="str">
            <v>2021</v>
          </cell>
        </row>
        <row r="11169">
          <cell r="D11169" t="str">
            <v>2021</v>
          </cell>
        </row>
        <row r="11170">
          <cell r="D11170" t="str">
            <v>2023</v>
          </cell>
        </row>
        <row r="11171">
          <cell r="D11171" t="str">
            <v>2023</v>
          </cell>
        </row>
        <row r="11172">
          <cell r="D11172" t="str">
            <v>2022</v>
          </cell>
        </row>
        <row r="11173">
          <cell r="D11173" t="str">
            <v>2023</v>
          </cell>
        </row>
        <row r="11174">
          <cell r="D11174" t="str">
            <v>2023</v>
          </cell>
        </row>
        <row r="11175">
          <cell r="D11175" t="str">
            <v>2022</v>
          </cell>
        </row>
        <row r="11176">
          <cell r="D11176" t="str">
            <v>2023</v>
          </cell>
        </row>
        <row r="11177">
          <cell r="D11177" t="str">
            <v>2021</v>
          </cell>
        </row>
        <row r="11178">
          <cell r="D11178" t="str">
            <v>2021</v>
          </cell>
        </row>
        <row r="11179">
          <cell r="D11179" t="str">
            <v>2022</v>
          </cell>
        </row>
        <row r="11180">
          <cell r="D11180" t="str">
            <v>2021</v>
          </cell>
        </row>
        <row r="11181">
          <cell r="D11181" t="str">
            <v>2023</v>
          </cell>
        </row>
        <row r="11182">
          <cell r="D11182" t="str">
            <v>2023</v>
          </cell>
        </row>
        <row r="11183">
          <cell r="D11183" t="str">
            <v>2021</v>
          </cell>
        </row>
        <row r="11184">
          <cell r="D11184" t="str">
            <v>2023</v>
          </cell>
        </row>
        <row r="11185">
          <cell r="D11185" t="str">
            <v>2022</v>
          </cell>
        </row>
        <row r="11186">
          <cell r="D11186" t="str">
            <v>2023</v>
          </cell>
        </row>
        <row r="11187">
          <cell r="D11187" t="str">
            <v>2021</v>
          </cell>
        </row>
        <row r="11188">
          <cell r="D11188" t="str">
            <v>2024</v>
          </cell>
        </row>
        <row r="11189">
          <cell r="D11189" t="str">
            <v>2023</v>
          </cell>
        </row>
        <row r="11190">
          <cell r="D11190" t="str">
            <v>2023</v>
          </cell>
        </row>
        <row r="11191">
          <cell r="D11191" t="str">
            <v>2022</v>
          </cell>
        </row>
        <row r="11192">
          <cell r="D11192" t="str">
            <v>2021</v>
          </cell>
        </row>
        <row r="11193">
          <cell r="D11193" t="str">
            <v>2021</v>
          </cell>
        </row>
        <row r="11194">
          <cell r="D11194" t="str">
            <v>2021</v>
          </cell>
        </row>
        <row r="11195">
          <cell r="D11195" t="str">
            <v>2023</v>
          </cell>
        </row>
        <row r="11196">
          <cell r="D11196" t="str">
            <v>2023</v>
          </cell>
        </row>
        <row r="11197">
          <cell r="D11197" t="str">
            <v>2023</v>
          </cell>
        </row>
        <row r="11198">
          <cell r="D11198" t="str">
            <v>2023</v>
          </cell>
        </row>
        <row r="11199">
          <cell r="D11199" t="str">
            <v>2021</v>
          </cell>
        </row>
        <row r="11200">
          <cell r="D11200" t="str">
            <v>2023</v>
          </cell>
        </row>
        <row r="11201">
          <cell r="D11201" t="str">
            <v>2023</v>
          </cell>
        </row>
        <row r="11202">
          <cell r="D11202" t="str">
            <v>2023</v>
          </cell>
        </row>
        <row r="11203">
          <cell r="D11203" t="str">
            <v>2023</v>
          </cell>
        </row>
        <row r="11204">
          <cell r="D11204" t="str">
            <v>2023</v>
          </cell>
        </row>
        <row r="11205">
          <cell r="D11205" t="str">
            <v>2023</v>
          </cell>
        </row>
        <row r="11206">
          <cell r="D11206" t="str">
            <v>2021</v>
          </cell>
        </row>
        <row r="11207">
          <cell r="D11207" t="str">
            <v>2021</v>
          </cell>
        </row>
        <row r="11208">
          <cell r="D11208" t="str">
            <v>2023</v>
          </cell>
        </row>
        <row r="11209">
          <cell r="D11209" t="str">
            <v>2022</v>
          </cell>
        </row>
        <row r="11210">
          <cell r="D11210" t="str">
            <v>2023</v>
          </cell>
        </row>
        <row r="11211">
          <cell r="D11211" t="str">
            <v>2023</v>
          </cell>
        </row>
        <row r="11212">
          <cell r="D11212" t="str">
            <v>2023</v>
          </cell>
        </row>
        <row r="11213">
          <cell r="D11213" t="str">
            <v>2021</v>
          </cell>
        </row>
        <row r="11214">
          <cell r="D11214" t="str">
            <v>2023</v>
          </cell>
        </row>
        <row r="11215">
          <cell r="D11215" t="str">
            <v>2023</v>
          </cell>
        </row>
        <row r="11216">
          <cell r="D11216" t="str">
            <v>2023</v>
          </cell>
        </row>
        <row r="11217">
          <cell r="D11217" t="str">
            <v>2023</v>
          </cell>
        </row>
        <row r="11218">
          <cell r="D11218" t="str">
            <v>2023</v>
          </cell>
        </row>
        <row r="11219">
          <cell r="D11219" t="str">
            <v>2023</v>
          </cell>
        </row>
        <row r="11220">
          <cell r="D11220" t="str">
            <v>2023</v>
          </cell>
        </row>
        <row r="11221">
          <cell r="D11221" t="str">
            <v>2023</v>
          </cell>
        </row>
        <row r="11222">
          <cell r="D11222" t="str">
            <v>2022</v>
          </cell>
        </row>
        <row r="11223">
          <cell r="D11223" t="str">
            <v>2022</v>
          </cell>
        </row>
        <row r="11224">
          <cell r="D11224" t="str">
            <v>2023</v>
          </cell>
        </row>
        <row r="11225">
          <cell r="D11225" t="str">
            <v>2023</v>
          </cell>
        </row>
        <row r="11226">
          <cell r="D11226" t="str">
            <v>2023</v>
          </cell>
        </row>
        <row r="11227">
          <cell r="D11227" t="str">
            <v>2023</v>
          </cell>
        </row>
        <row r="11228">
          <cell r="D11228" t="str">
            <v>2021</v>
          </cell>
        </row>
        <row r="11229">
          <cell r="D11229" t="str">
            <v>2022</v>
          </cell>
        </row>
        <row r="11230">
          <cell r="D11230" t="str">
            <v>2021</v>
          </cell>
        </row>
        <row r="11231">
          <cell r="D11231" t="str">
            <v>2023</v>
          </cell>
        </row>
        <row r="11232">
          <cell r="D11232" t="str">
            <v>2023</v>
          </cell>
        </row>
        <row r="11233">
          <cell r="D11233" t="str">
            <v>2024</v>
          </cell>
        </row>
        <row r="11234">
          <cell r="D11234" t="str">
            <v>2023</v>
          </cell>
        </row>
        <row r="11235">
          <cell r="D11235" t="str">
            <v>2023</v>
          </cell>
        </row>
        <row r="11236">
          <cell r="D11236" t="str">
            <v>2022</v>
          </cell>
        </row>
        <row r="11237">
          <cell r="D11237" t="str">
            <v>2022</v>
          </cell>
        </row>
        <row r="11238">
          <cell r="D11238" t="str">
            <v>2023</v>
          </cell>
        </row>
        <row r="11239">
          <cell r="D11239" t="str">
            <v>2023</v>
          </cell>
        </row>
        <row r="11240">
          <cell r="D11240" t="str">
            <v>2023</v>
          </cell>
        </row>
        <row r="11241">
          <cell r="D11241" t="str">
            <v>2023</v>
          </cell>
        </row>
        <row r="11242">
          <cell r="D11242" t="str">
            <v>2021</v>
          </cell>
        </row>
        <row r="11243">
          <cell r="D11243" t="str">
            <v>2023</v>
          </cell>
        </row>
        <row r="11244">
          <cell r="D11244" t="str">
            <v>2023</v>
          </cell>
        </row>
        <row r="11245">
          <cell r="D11245" t="str">
            <v>2021</v>
          </cell>
        </row>
        <row r="11246">
          <cell r="D11246" t="str">
            <v>2023</v>
          </cell>
        </row>
        <row r="11247">
          <cell r="D11247" t="str">
            <v>2023</v>
          </cell>
        </row>
        <row r="11248">
          <cell r="D11248" t="str">
            <v>2022</v>
          </cell>
        </row>
        <row r="11249">
          <cell r="D11249" t="str">
            <v>2023</v>
          </cell>
        </row>
        <row r="11250">
          <cell r="D11250" t="str">
            <v>2023</v>
          </cell>
        </row>
        <row r="11251">
          <cell r="D11251" t="str">
            <v>2023</v>
          </cell>
        </row>
        <row r="11252">
          <cell r="D11252" t="str">
            <v>2023</v>
          </cell>
        </row>
        <row r="11253">
          <cell r="D11253" t="str">
            <v>2023</v>
          </cell>
        </row>
        <row r="11254">
          <cell r="D11254" t="str">
            <v>2022</v>
          </cell>
        </row>
        <row r="11255">
          <cell r="D11255" t="str">
            <v>2023</v>
          </cell>
        </row>
        <row r="11256">
          <cell r="D11256" t="str">
            <v>2023</v>
          </cell>
        </row>
        <row r="11257">
          <cell r="D11257" t="str">
            <v>2021</v>
          </cell>
        </row>
        <row r="11258">
          <cell r="D11258" t="str">
            <v>2023</v>
          </cell>
        </row>
        <row r="11259">
          <cell r="D11259" t="str">
            <v>2021</v>
          </cell>
        </row>
        <row r="11260">
          <cell r="D11260" t="str">
            <v>2022</v>
          </cell>
        </row>
        <row r="11261">
          <cell r="D11261" t="str">
            <v>2023</v>
          </cell>
        </row>
        <row r="11262">
          <cell r="D11262" t="str">
            <v>2023</v>
          </cell>
        </row>
        <row r="11263">
          <cell r="D11263" t="str">
            <v>2021</v>
          </cell>
        </row>
        <row r="11264">
          <cell r="D11264" t="str">
            <v>2021</v>
          </cell>
        </row>
        <row r="11265">
          <cell r="D11265" t="str">
            <v>2023</v>
          </cell>
        </row>
        <row r="11266">
          <cell r="D11266" t="str">
            <v>2024</v>
          </cell>
        </row>
        <row r="11267">
          <cell r="D11267" t="str">
            <v>2022</v>
          </cell>
        </row>
        <row r="11268">
          <cell r="D11268" t="str">
            <v>2023</v>
          </cell>
        </row>
        <row r="11269">
          <cell r="D11269" t="str">
            <v>2023</v>
          </cell>
        </row>
        <row r="11270">
          <cell r="D11270" t="str">
            <v>2021</v>
          </cell>
        </row>
        <row r="11271">
          <cell r="D11271" t="str">
            <v>2022</v>
          </cell>
        </row>
        <row r="11272">
          <cell r="D11272" t="str">
            <v>2023</v>
          </cell>
        </row>
        <row r="11273">
          <cell r="D11273" t="str">
            <v>2023</v>
          </cell>
        </row>
        <row r="11274">
          <cell r="D11274" t="str">
            <v>2021</v>
          </cell>
        </row>
        <row r="11275">
          <cell r="D11275" t="str">
            <v>2023</v>
          </cell>
        </row>
        <row r="11276">
          <cell r="D11276" t="str">
            <v>2022</v>
          </cell>
        </row>
        <row r="11277">
          <cell r="D11277" t="str">
            <v>2023</v>
          </cell>
        </row>
        <row r="11278">
          <cell r="D11278" t="str">
            <v>2021</v>
          </cell>
        </row>
        <row r="11279">
          <cell r="D11279" t="str">
            <v>2021</v>
          </cell>
        </row>
        <row r="11280">
          <cell r="D11280" t="str">
            <v>2023</v>
          </cell>
        </row>
        <row r="11281">
          <cell r="D11281" t="str">
            <v>2023</v>
          </cell>
        </row>
        <row r="11282">
          <cell r="D11282" t="str">
            <v>2023</v>
          </cell>
        </row>
        <row r="11283">
          <cell r="D11283" t="str">
            <v>2023</v>
          </cell>
        </row>
        <row r="11284">
          <cell r="D11284" t="str">
            <v>2022</v>
          </cell>
        </row>
        <row r="11285">
          <cell r="D11285" t="str">
            <v>2023</v>
          </cell>
        </row>
        <row r="11286">
          <cell r="D11286" t="str">
            <v>2022</v>
          </cell>
        </row>
        <row r="11287">
          <cell r="D11287" t="str">
            <v>2023</v>
          </cell>
        </row>
        <row r="11288">
          <cell r="D11288" t="str">
            <v>2023</v>
          </cell>
        </row>
        <row r="11289">
          <cell r="D11289" t="str">
            <v>2022</v>
          </cell>
        </row>
        <row r="11290">
          <cell r="D11290" t="str">
            <v>2023</v>
          </cell>
        </row>
        <row r="11291">
          <cell r="D11291" t="str">
            <v>2021</v>
          </cell>
        </row>
        <row r="11292">
          <cell r="D11292" t="str">
            <v>2023</v>
          </cell>
        </row>
        <row r="11293">
          <cell r="D11293" t="str">
            <v>2023</v>
          </cell>
        </row>
        <row r="11294">
          <cell r="D11294" t="str">
            <v>2022</v>
          </cell>
        </row>
        <row r="11295">
          <cell r="D11295" t="str">
            <v>2023</v>
          </cell>
        </row>
        <row r="11296">
          <cell r="D11296" t="str">
            <v>2023</v>
          </cell>
        </row>
        <row r="11297">
          <cell r="D11297" t="str">
            <v>2021</v>
          </cell>
        </row>
        <row r="11298">
          <cell r="D11298" t="str">
            <v>2021</v>
          </cell>
        </row>
        <row r="11299">
          <cell r="D11299" t="str">
            <v>2023</v>
          </cell>
        </row>
        <row r="11300">
          <cell r="D11300" t="str">
            <v>2023</v>
          </cell>
        </row>
        <row r="11301">
          <cell r="D11301" t="str">
            <v>2023</v>
          </cell>
        </row>
        <row r="11302">
          <cell r="D11302" t="str">
            <v>2023</v>
          </cell>
        </row>
        <row r="11303">
          <cell r="D11303" t="str">
            <v>2021</v>
          </cell>
        </row>
        <row r="11304">
          <cell r="D11304" t="str">
            <v>2021</v>
          </cell>
        </row>
        <row r="11305">
          <cell r="D11305" t="str">
            <v>2022</v>
          </cell>
        </row>
        <row r="11306">
          <cell r="D11306" t="str">
            <v>2023</v>
          </cell>
        </row>
        <row r="11307">
          <cell r="D11307" t="str">
            <v>2023</v>
          </cell>
        </row>
        <row r="11308">
          <cell r="D11308" t="str">
            <v>2022</v>
          </cell>
        </row>
        <row r="11309">
          <cell r="D11309" t="str">
            <v>2023</v>
          </cell>
        </row>
        <row r="11310">
          <cell r="D11310" t="str">
            <v>2023</v>
          </cell>
        </row>
        <row r="11311">
          <cell r="D11311" t="str">
            <v>2023</v>
          </cell>
        </row>
        <row r="11312">
          <cell r="D11312" t="str">
            <v>2023</v>
          </cell>
        </row>
        <row r="11313">
          <cell r="D11313" t="str">
            <v>2021</v>
          </cell>
        </row>
        <row r="11314">
          <cell r="D11314" t="str">
            <v>2023</v>
          </cell>
        </row>
        <row r="11315">
          <cell r="D11315" t="str">
            <v>2022</v>
          </cell>
        </row>
        <row r="11316">
          <cell r="D11316" t="str">
            <v>2021</v>
          </cell>
        </row>
        <row r="11317">
          <cell r="D11317" t="str">
            <v>2021</v>
          </cell>
        </row>
        <row r="11318">
          <cell r="D11318" t="str">
            <v>2021</v>
          </cell>
        </row>
        <row r="11319">
          <cell r="D11319" t="str">
            <v>2021</v>
          </cell>
        </row>
        <row r="11320">
          <cell r="D11320" t="str">
            <v>2023</v>
          </cell>
        </row>
        <row r="11321">
          <cell r="D11321" t="str">
            <v>2024</v>
          </cell>
        </row>
        <row r="11322">
          <cell r="D11322" t="str">
            <v>2023</v>
          </cell>
        </row>
        <row r="11323">
          <cell r="D11323" t="str">
            <v>2024</v>
          </cell>
        </row>
        <row r="11324">
          <cell r="D11324" t="str">
            <v>2021</v>
          </cell>
        </row>
        <row r="11325">
          <cell r="D11325" t="str">
            <v>2023</v>
          </cell>
        </row>
        <row r="11326">
          <cell r="D11326" t="str">
            <v>2023</v>
          </cell>
        </row>
        <row r="11327">
          <cell r="D11327" t="str">
            <v>2023</v>
          </cell>
        </row>
        <row r="11328">
          <cell r="D11328" t="str">
            <v>2022</v>
          </cell>
        </row>
        <row r="11329">
          <cell r="D11329" t="str">
            <v>2023</v>
          </cell>
        </row>
        <row r="11330">
          <cell r="D11330" t="str">
            <v>2023</v>
          </cell>
        </row>
        <row r="11331">
          <cell r="D11331" t="str">
            <v>2023</v>
          </cell>
        </row>
        <row r="11332">
          <cell r="D11332" t="str">
            <v>2023</v>
          </cell>
        </row>
        <row r="11333">
          <cell r="D11333" t="str">
            <v>2022</v>
          </cell>
        </row>
        <row r="11334">
          <cell r="D11334" t="str">
            <v>2023</v>
          </cell>
        </row>
        <row r="11335">
          <cell r="D11335" t="str">
            <v>2023</v>
          </cell>
        </row>
        <row r="11336">
          <cell r="D11336" t="str">
            <v>2023</v>
          </cell>
        </row>
        <row r="11337">
          <cell r="D11337" t="str">
            <v>2022</v>
          </cell>
        </row>
        <row r="11338">
          <cell r="D11338" t="str">
            <v>2023</v>
          </cell>
        </row>
        <row r="11339">
          <cell r="D11339" t="str">
            <v>2023</v>
          </cell>
        </row>
        <row r="11340">
          <cell r="D11340" t="str">
            <v>2023</v>
          </cell>
        </row>
        <row r="11341">
          <cell r="D11341" t="str">
            <v>2021</v>
          </cell>
        </row>
        <row r="11342">
          <cell r="D11342" t="str">
            <v>2022</v>
          </cell>
        </row>
        <row r="11343">
          <cell r="D11343" t="str">
            <v>2022</v>
          </cell>
        </row>
        <row r="11344">
          <cell r="D11344" t="str">
            <v>2021</v>
          </cell>
        </row>
        <row r="11345">
          <cell r="D11345" t="str">
            <v>2023</v>
          </cell>
        </row>
        <row r="11346">
          <cell r="D11346" t="str">
            <v>2023</v>
          </cell>
        </row>
        <row r="11347">
          <cell r="D11347" t="str">
            <v>2021</v>
          </cell>
        </row>
        <row r="11348">
          <cell r="D11348" t="str">
            <v>2023</v>
          </cell>
        </row>
        <row r="11349">
          <cell r="D11349" t="str">
            <v>2023</v>
          </cell>
        </row>
        <row r="11350">
          <cell r="D11350" t="str">
            <v>2021</v>
          </cell>
        </row>
        <row r="11351">
          <cell r="D11351" t="str">
            <v>2023</v>
          </cell>
        </row>
        <row r="11352">
          <cell r="D11352" t="str">
            <v>2021</v>
          </cell>
        </row>
        <row r="11353">
          <cell r="D11353" t="str">
            <v>2023</v>
          </cell>
        </row>
        <row r="11354">
          <cell r="D11354" t="str">
            <v>2021</v>
          </cell>
        </row>
        <row r="11355">
          <cell r="D11355" t="str">
            <v>2023</v>
          </cell>
        </row>
        <row r="11356">
          <cell r="D11356" t="str">
            <v>2023</v>
          </cell>
        </row>
        <row r="11357">
          <cell r="D11357" t="str">
            <v>2023</v>
          </cell>
        </row>
        <row r="11358">
          <cell r="D11358" t="str">
            <v>2022</v>
          </cell>
        </row>
        <row r="11359">
          <cell r="D11359" t="str">
            <v>2021</v>
          </cell>
        </row>
        <row r="11360">
          <cell r="D11360" t="str">
            <v>2022</v>
          </cell>
        </row>
        <row r="11361">
          <cell r="D11361" t="str">
            <v>2023</v>
          </cell>
        </row>
        <row r="11362">
          <cell r="D11362" t="str">
            <v>2021</v>
          </cell>
        </row>
        <row r="11363">
          <cell r="D11363" t="str">
            <v>2021</v>
          </cell>
        </row>
        <row r="11364">
          <cell r="D11364" t="str">
            <v>2022</v>
          </cell>
        </row>
        <row r="11365">
          <cell r="D11365" t="str">
            <v>2022</v>
          </cell>
        </row>
        <row r="11366">
          <cell r="D11366" t="str">
            <v>2023</v>
          </cell>
        </row>
        <row r="11367">
          <cell r="D11367" t="str">
            <v>2023</v>
          </cell>
        </row>
        <row r="11368">
          <cell r="D11368" t="str">
            <v>2022</v>
          </cell>
        </row>
        <row r="11369">
          <cell r="D11369" t="str">
            <v>2023</v>
          </cell>
        </row>
        <row r="11370">
          <cell r="D11370" t="str">
            <v>2023</v>
          </cell>
        </row>
        <row r="11371">
          <cell r="D11371" t="str">
            <v>2023</v>
          </cell>
        </row>
        <row r="11372">
          <cell r="D11372" t="str">
            <v>2023</v>
          </cell>
        </row>
        <row r="11373">
          <cell r="D11373" t="str">
            <v>2022</v>
          </cell>
        </row>
        <row r="11374">
          <cell r="D11374" t="str">
            <v>2023</v>
          </cell>
        </row>
        <row r="11375">
          <cell r="D11375" t="str">
            <v>2023</v>
          </cell>
        </row>
        <row r="11376">
          <cell r="D11376" t="str">
            <v>2022</v>
          </cell>
        </row>
        <row r="11377">
          <cell r="D11377" t="str">
            <v>2022</v>
          </cell>
        </row>
        <row r="11378">
          <cell r="D11378" t="str">
            <v>2023</v>
          </cell>
        </row>
        <row r="11379">
          <cell r="D11379" t="str">
            <v>2023</v>
          </cell>
        </row>
        <row r="11380">
          <cell r="D11380" t="str">
            <v>2023</v>
          </cell>
        </row>
        <row r="11381">
          <cell r="D11381" t="str">
            <v>2023</v>
          </cell>
        </row>
        <row r="11382">
          <cell r="D11382" t="str">
            <v>2023</v>
          </cell>
        </row>
        <row r="11383">
          <cell r="D11383" t="str">
            <v>2023</v>
          </cell>
        </row>
        <row r="11384">
          <cell r="D11384" t="str">
            <v>2023</v>
          </cell>
        </row>
        <row r="11385">
          <cell r="D11385" t="str">
            <v>2021</v>
          </cell>
        </row>
        <row r="11386">
          <cell r="D11386" t="str">
            <v>2021</v>
          </cell>
        </row>
        <row r="11387">
          <cell r="D11387" t="str">
            <v>2023</v>
          </cell>
        </row>
        <row r="11388">
          <cell r="D11388" t="str">
            <v>2022</v>
          </cell>
        </row>
        <row r="11389">
          <cell r="D11389" t="str">
            <v>2023</v>
          </cell>
        </row>
        <row r="11390">
          <cell r="D11390" t="str">
            <v>2022</v>
          </cell>
        </row>
        <row r="11391">
          <cell r="D11391" t="str">
            <v>2023</v>
          </cell>
        </row>
        <row r="11392">
          <cell r="D11392" t="str">
            <v>2023</v>
          </cell>
        </row>
        <row r="11393">
          <cell r="D11393" t="str">
            <v>2021</v>
          </cell>
        </row>
        <row r="11394">
          <cell r="D11394" t="str">
            <v>2021</v>
          </cell>
        </row>
        <row r="11395">
          <cell r="D11395" t="str">
            <v>2023</v>
          </cell>
        </row>
        <row r="11396">
          <cell r="D11396" t="str">
            <v>2023</v>
          </cell>
        </row>
        <row r="11397">
          <cell r="D11397" t="str">
            <v>2021</v>
          </cell>
        </row>
        <row r="11398">
          <cell r="D11398" t="str">
            <v>2021</v>
          </cell>
        </row>
        <row r="11399">
          <cell r="D11399" t="str">
            <v>2021</v>
          </cell>
        </row>
        <row r="11400">
          <cell r="D11400" t="str">
            <v>2023</v>
          </cell>
        </row>
        <row r="11401">
          <cell r="D11401" t="str">
            <v>2021</v>
          </cell>
        </row>
        <row r="11402">
          <cell r="D11402" t="str">
            <v>2022</v>
          </cell>
        </row>
        <row r="11403">
          <cell r="D11403" t="str">
            <v>2023</v>
          </cell>
        </row>
        <row r="11404">
          <cell r="D11404" t="str">
            <v>2023</v>
          </cell>
        </row>
        <row r="11405">
          <cell r="D11405" t="str">
            <v>2022</v>
          </cell>
        </row>
        <row r="11406">
          <cell r="D11406" t="str">
            <v>2023</v>
          </cell>
        </row>
        <row r="11407">
          <cell r="D11407" t="str">
            <v>2023</v>
          </cell>
        </row>
        <row r="11408">
          <cell r="D11408" t="str">
            <v>2021</v>
          </cell>
        </row>
        <row r="11409">
          <cell r="D11409" t="str">
            <v>2023</v>
          </cell>
        </row>
        <row r="11410">
          <cell r="D11410" t="str">
            <v>2023</v>
          </cell>
        </row>
        <row r="11411">
          <cell r="D11411" t="str">
            <v>2021</v>
          </cell>
        </row>
        <row r="11412">
          <cell r="D11412" t="str">
            <v>2023</v>
          </cell>
        </row>
        <row r="11413">
          <cell r="D11413" t="str">
            <v>2021</v>
          </cell>
        </row>
        <row r="11414">
          <cell r="D11414" t="str">
            <v>2023</v>
          </cell>
        </row>
        <row r="11415">
          <cell r="D11415" t="str">
            <v>2023</v>
          </cell>
        </row>
        <row r="11416">
          <cell r="D11416" t="str">
            <v>2023</v>
          </cell>
        </row>
        <row r="11417">
          <cell r="D11417" t="str">
            <v>2023</v>
          </cell>
        </row>
        <row r="11418">
          <cell r="D11418" t="str">
            <v>2023</v>
          </cell>
        </row>
        <row r="11419">
          <cell r="D11419" t="str">
            <v>2023</v>
          </cell>
        </row>
        <row r="11420">
          <cell r="D11420" t="str">
            <v>2023</v>
          </cell>
        </row>
        <row r="11421">
          <cell r="D11421" t="str">
            <v>2022</v>
          </cell>
        </row>
        <row r="11422">
          <cell r="D11422" t="str">
            <v>2023</v>
          </cell>
        </row>
        <row r="11423">
          <cell r="D11423" t="str">
            <v>2023</v>
          </cell>
        </row>
        <row r="11424">
          <cell r="D11424" t="str">
            <v>2023</v>
          </cell>
        </row>
        <row r="11425">
          <cell r="D11425" t="str">
            <v>2023</v>
          </cell>
        </row>
        <row r="11426">
          <cell r="D11426" t="str">
            <v>2023</v>
          </cell>
        </row>
        <row r="11427">
          <cell r="D11427" t="str">
            <v>2023</v>
          </cell>
        </row>
        <row r="11428">
          <cell r="D11428" t="str">
            <v>2023</v>
          </cell>
        </row>
        <row r="11429">
          <cell r="D11429" t="str">
            <v>2023</v>
          </cell>
        </row>
        <row r="11430">
          <cell r="D11430" t="str">
            <v>2023</v>
          </cell>
        </row>
        <row r="11431">
          <cell r="D11431" t="str">
            <v>2021</v>
          </cell>
        </row>
        <row r="11432">
          <cell r="D11432" t="str">
            <v>2023</v>
          </cell>
        </row>
        <row r="11433">
          <cell r="D11433" t="str">
            <v>2023</v>
          </cell>
        </row>
        <row r="11434">
          <cell r="D11434" t="str">
            <v>2022</v>
          </cell>
        </row>
        <row r="11435">
          <cell r="D11435" t="str">
            <v>2023</v>
          </cell>
        </row>
        <row r="11436">
          <cell r="D11436" t="str">
            <v>2023</v>
          </cell>
        </row>
        <row r="11437">
          <cell r="D11437" t="str">
            <v>2023</v>
          </cell>
        </row>
        <row r="11438">
          <cell r="D11438" t="str">
            <v>2023</v>
          </cell>
        </row>
        <row r="11439">
          <cell r="D11439" t="str">
            <v>2023</v>
          </cell>
        </row>
        <row r="11440">
          <cell r="D11440" t="str">
            <v>2021</v>
          </cell>
        </row>
        <row r="11441">
          <cell r="D11441" t="str">
            <v>2021</v>
          </cell>
        </row>
        <row r="11442">
          <cell r="D11442" t="str">
            <v>2021</v>
          </cell>
        </row>
        <row r="11443">
          <cell r="D11443" t="str">
            <v>2023</v>
          </cell>
        </row>
        <row r="11444">
          <cell r="D11444" t="str">
            <v>2023</v>
          </cell>
        </row>
        <row r="11445">
          <cell r="D11445" t="str">
            <v>2023</v>
          </cell>
        </row>
        <row r="11446">
          <cell r="D11446" t="str">
            <v>2021</v>
          </cell>
        </row>
        <row r="11447">
          <cell r="D11447" t="str">
            <v>2023</v>
          </cell>
        </row>
        <row r="11448">
          <cell r="D11448" t="str">
            <v>2021</v>
          </cell>
        </row>
        <row r="11449">
          <cell r="D11449" t="str">
            <v>2023</v>
          </cell>
        </row>
        <row r="11450">
          <cell r="D11450" t="str">
            <v>2023</v>
          </cell>
        </row>
        <row r="11451">
          <cell r="D11451" t="str">
            <v>2023</v>
          </cell>
        </row>
        <row r="11452">
          <cell r="D11452" t="str">
            <v>2023</v>
          </cell>
        </row>
        <row r="11453">
          <cell r="D11453" t="str">
            <v>2023</v>
          </cell>
        </row>
        <row r="11454">
          <cell r="D11454" t="str">
            <v>2021</v>
          </cell>
        </row>
        <row r="11455">
          <cell r="D11455" t="str">
            <v>2023</v>
          </cell>
        </row>
        <row r="11456">
          <cell r="D11456" t="str">
            <v>2023</v>
          </cell>
        </row>
        <row r="11457">
          <cell r="D11457" t="str">
            <v>2023</v>
          </cell>
        </row>
        <row r="11458">
          <cell r="D11458" t="str">
            <v>2023</v>
          </cell>
        </row>
        <row r="11459">
          <cell r="D11459" t="str">
            <v>2023</v>
          </cell>
        </row>
        <row r="11460">
          <cell r="D11460" t="str">
            <v>2023</v>
          </cell>
        </row>
        <row r="11461">
          <cell r="D11461" t="str">
            <v>2021</v>
          </cell>
        </row>
        <row r="11462">
          <cell r="D11462" t="str">
            <v>2021</v>
          </cell>
        </row>
        <row r="11463">
          <cell r="D11463" t="str">
            <v>2022</v>
          </cell>
        </row>
        <row r="11464">
          <cell r="D11464" t="str">
            <v>2023</v>
          </cell>
        </row>
        <row r="11465">
          <cell r="D11465" t="str">
            <v>2023</v>
          </cell>
        </row>
        <row r="11466">
          <cell r="D11466" t="str">
            <v>2021</v>
          </cell>
        </row>
        <row r="11467">
          <cell r="D11467" t="str">
            <v>2023</v>
          </cell>
        </row>
        <row r="11468">
          <cell r="D11468" t="str">
            <v>2023</v>
          </cell>
        </row>
        <row r="11469">
          <cell r="D11469" t="str">
            <v>2023</v>
          </cell>
        </row>
        <row r="11470">
          <cell r="D11470" t="str">
            <v>2023</v>
          </cell>
        </row>
        <row r="11471">
          <cell r="D11471" t="str">
            <v>2023</v>
          </cell>
        </row>
        <row r="11472">
          <cell r="D11472" t="str">
            <v>2023</v>
          </cell>
        </row>
        <row r="11473">
          <cell r="D11473" t="str">
            <v>2023</v>
          </cell>
        </row>
        <row r="11474">
          <cell r="D11474" t="str">
            <v>2021</v>
          </cell>
        </row>
        <row r="11475">
          <cell r="D11475" t="str">
            <v>2023</v>
          </cell>
        </row>
        <row r="11476">
          <cell r="D11476" t="str">
            <v>2021</v>
          </cell>
        </row>
        <row r="11477">
          <cell r="D11477" t="str">
            <v>2021</v>
          </cell>
        </row>
        <row r="11478">
          <cell r="D11478" t="str">
            <v>2023</v>
          </cell>
        </row>
        <row r="11479">
          <cell r="D11479" t="str">
            <v>2022</v>
          </cell>
        </row>
        <row r="11480">
          <cell r="D11480" t="str">
            <v>2022</v>
          </cell>
        </row>
        <row r="11481">
          <cell r="D11481" t="str">
            <v>2023</v>
          </cell>
        </row>
        <row r="11482">
          <cell r="D11482" t="str">
            <v>2023</v>
          </cell>
        </row>
        <row r="11483">
          <cell r="D11483" t="str">
            <v>2023</v>
          </cell>
        </row>
        <row r="11484">
          <cell r="D11484" t="str">
            <v>2023</v>
          </cell>
        </row>
        <row r="11485">
          <cell r="D11485" t="str">
            <v>2023</v>
          </cell>
        </row>
        <row r="11486">
          <cell r="D11486" t="str">
            <v>2023</v>
          </cell>
        </row>
        <row r="11487">
          <cell r="D11487" t="str">
            <v>2021</v>
          </cell>
        </row>
        <row r="11488">
          <cell r="D11488" t="str">
            <v>2023</v>
          </cell>
        </row>
        <row r="11489">
          <cell r="D11489" t="str">
            <v>2023</v>
          </cell>
        </row>
        <row r="11490">
          <cell r="D11490" t="str">
            <v>2024</v>
          </cell>
        </row>
        <row r="11491">
          <cell r="D11491" t="str">
            <v>2023</v>
          </cell>
        </row>
        <row r="11492">
          <cell r="D11492" t="str">
            <v>2021</v>
          </cell>
        </row>
        <row r="11493">
          <cell r="D11493" t="str">
            <v>2021</v>
          </cell>
        </row>
        <row r="11494">
          <cell r="D11494" t="str">
            <v>2023</v>
          </cell>
        </row>
        <row r="11495">
          <cell r="D11495" t="str">
            <v>2023</v>
          </cell>
        </row>
        <row r="11496">
          <cell r="D11496" t="str">
            <v>2021</v>
          </cell>
        </row>
        <row r="11497">
          <cell r="D11497" t="str">
            <v>2023</v>
          </cell>
        </row>
        <row r="11498">
          <cell r="D11498" t="str">
            <v>2023</v>
          </cell>
        </row>
        <row r="11499">
          <cell r="D11499" t="str">
            <v>2023</v>
          </cell>
        </row>
        <row r="11500">
          <cell r="D11500" t="str">
            <v>2023</v>
          </cell>
        </row>
        <row r="11501">
          <cell r="D11501" t="str">
            <v>2021</v>
          </cell>
        </row>
        <row r="11502">
          <cell r="D11502" t="str">
            <v>2023</v>
          </cell>
        </row>
        <row r="11503">
          <cell r="D11503" t="str">
            <v>2021</v>
          </cell>
        </row>
        <row r="11504">
          <cell r="D11504" t="str">
            <v>2021</v>
          </cell>
        </row>
        <row r="11505">
          <cell r="D11505" t="str">
            <v>2023</v>
          </cell>
        </row>
        <row r="11506">
          <cell r="D11506" t="str">
            <v>2021</v>
          </cell>
        </row>
        <row r="11507">
          <cell r="D11507" t="str">
            <v>2023</v>
          </cell>
        </row>
        <row r="11508">
          <cell r="D11508" t="str">
            <v>2021</v>
          </cell>
        </row>
        <row r="11509">
          <cell r="D11509" t="str">
            <v>2023</v>
          </cell>
        </row>
        <row r="11510">
          <cell r="D11510" t="str">
            <v>2023</v>
          </cell>
        </row>
        <row r="11511">
          <cell r="D11511" t="str">
            <v>2023</v>
          </cell>
        </row>
        <row r="11512">
          <cell r="D11512" t="str">
            <v>2023</v>
          </cell>
        </row>
        <row r="11513">
          <cell r="D11513" t="str">
            <v>2022</v>
          </cell>
        </row>
        <row r="11514">
          <cell r="D11514" t="str">
            <v>2023</v>
          </cell>
        </row>
        <row r="11515">
          <cell r="D11515" t="str">
            <v>2023</v>
          </cell>
        </row>
        <row r="11516">
          <cell r="D11516" t="str">
            <v>2023</v>
          </cell>
        </row>
        <row r="11517">
          <cell r="D11517" t="str">
            <v>2023</v>
          </cell>
        </row>
        <row r="11518">
          <cell r="D11518" t="str">
            <v>2023</v>
          </cell>
        </row>
        <row r="11519">
          <cell r="D11519" t="str">
            <v>2023</v>
          </cell>
        </row>
        <row r="11520">
          <cell r="D11520" t="str">
            <v>2023</v>
          </cell>
        </row>
        <row r="11521">
          <cell r="D11521" t="str">
            <v>2023</v>
          </cell>
        </row>
        <row r="11522">
          <cell r="D11522" t="str">
            <v>2023</v>
          </cell>
        </row>
        <row r="11523">
          <cell r="D11523" t="str">
            <v>2021</v>
          </cell>
        </row>
        <row r="11524">
          <cell r="D11524" t="str">
            <v>2023</v>
          </cell>
        </row>
        <row r="11525">
          <cell r="D11525" t="str">
            <v>2023</v>
          </cell>
        </row>
        <row r="11526">
          <cell r="D11526" t="str">
            <v>2023</v>
          </cell>
        </row>
        <row r="11527">
          <cell r="D11527" t="str">
            <v>2023</v>
          </cell>
        </row>
        <row r="11528">
          <cell r="D11528" t="str">
            <v>2021</v>
          </cell>
        </row>
        <row r="11529">
          <cell r="D11529" t="str">
            <v>2023</v>
          </cell>
        </row>
        <row r="11530">
          <cell r="D11530" t="str">
            <v>2023</v>
          </cell>
        </row>
        <row r="11531">
          <cell r="D11531" t="str">
            <v>2024</v>
          </cell>
        </row>
        <row r="11532">
          <cell r="D11532" t="str">
            <v>2023</v>
          </cell>
        </row>
        <row r="11533">
          <cell r="D11533" t="str">
            <v>2023</v>
          </cell>
        </row>
        <row r="11534">
          <cell r="D11534" t="str">
            <v>2023</v>
          </cell>
        </row>
        <row r="11535">
          <cell r="D11535" t="str">
            <v>2023</v>
          </cell>
        </row>
        <row r="11536">
          <cell r="D11536" t="str">
            <v>2022</v>
          </cell>
        </row>
        <row r="11537">
          <cell r="D11537" t="str">
            <v>2023</v>
          </cell>
        </row>
        <row r="11538">
          <cell r="D11538" t="str">
            <v>2023</v>
          </cell>
        </row>
        <row r="11539">
          <cell r="D11539" t="str">
            <v>2022</v>
          </cell>
        </row>
        <row r="11540">
          <cell r="D11540" t="str">
            <v>2023</v>
          </cell>
        </row>
        <row r="11541">
          <cell r="D11541" t="str">
            <v>2023</v>
          </cell>
        </row>
        <row r="11542">
          <cell r="D11542" t="str">
            <v>2023</v>
          </cell>
        </row>
        <row r="11543">
          <cell r="D11543" t="str">
            <v>2022</v>
          </cell>
        </row>
        <row r="11544">
          <cell r="D11544" t="str">
            <v>2023</v>
          </cell>
        </row>
        <row r="11545">
          <cell r="D11545" t="str">
            <v>2023</v>
          </cell>
        </row>
        <row r="11546">
          <cell r="D11546" t="str">
            <v>2021</v>
          </cell>
        </row>
        <row r="11547">
          <cell r="D11547" t="str">
            <v>2022</v>
          </cell>
        </row>
        <row r="11548">
          <cell r="D11548" t="str">
            <v>2023</v>
          </cell>
        </row>
        <row r="11549">
          <cell r="D11549" t="str">
            <v>2023</v>
          </cell>
        </row>
        <row r="11550">
          <cell r="D11550" t="str">
            <v>2023</v>
          </cell>
        </row>
        <row r="11551">
          <cell r="D11551" t="str">
            <v>2023</v>
          </cell>
        </row>
        <row r="11552">
          <cell r="D11552" t="str">
            <v>2023</v>
          </cell>
        </row>
        <row r="11553">
          <cell r="D11553" t="str">
            <v>2022</v>
          </cell>
        </row>
        <row r="11554">
          <cell r="D11554" t="str">
            <v>2023</v>
          </cell>
        </row>
        <row r="11555">
          <cell r="D11555" t="str">
            <v>2023</v>
          </cell>
        </row>
        <row r="11556">
          <cell r="D11556" t="str">
            <v>2023</v>
          </cell>
        </row>
        <row r="11557">
          <cell r="D11557" t="str">
            <v>2023</v>
          </cell>
        </row>
        <row r="11558">
          <cell r="D11558" t="str">
            <v>2023</v>
          </cell>
        </row>
        <row r="11559">
          <cell r="D11559" t="str">
            <v>2023</v>
          </cell>
        </row>
        <row r="11560">
          <cell r="D11560" t="str">
            <v>2023</v>
          </cell>
        </row>
        <row r="11561">
          <cell r="D11561" t="str">
            <v>2021</v>
          </cell>
        </row>
        <row r="11562">
          <cell r="D11562" t="str">
            <v>2022</v>
          </cell>
        </row>
        <row r="11563">
          <cell r="D11563" t="str">
            <v>2023</v>
          </cell>
        </row>
        <row r="11564">
          <cell r="D11564" t="str">
            <v>2021</v>
          </cell>
        </row>
        <row r="11565">
          <cell r="D11565" t="str">
            <v>2023</v>
          </cell>
        </row>
        <row r="11566">
          <cell r="D11566" t="str">
            <v>2023</v>
          </cell>
        </row>
        <row r="11567">
          <cell r="D11567" t="str">
            <v>2023</v>
          </cell>
        </row>
        <row r="11568">
          <cell r="D11568" t="str">
            <v>2023</v>
          </cell>
        </row>
        <row r="11569">
          <cell r="D11569" t="str">
            <v>2023</v>
          </cell>
        </row>
        <row r="11570">
          <cell r="D11570" t="str">
            <v>2023</v>
          </cell>
        </row>
        <row r="11571">
          <cell r="D11571" t="str">
            <v>2023</v>
          </cell>
        </row>
        <row r="11572">
          <cell r="D11572" t="str">
            <v>2023</v>
          </cell>
        </row>
        <row r="11573">
          <cell r="D11573" t="str">
            <v>2023</v>
          </cell>
        </row>
        <row r="11574">
          <cell r="D11574" t="str">
            <v>2022</v>
          </cell>
        </row>
        <row r="11575">
          <cell r="D11575" t="str">
            <v>2023</v>
          </cell>
        </row>
        <row r="11576">
          <cell r="D11576" t="str">
            <v>2022</v>
          </cell>
        </row>
        <row r="11577">
          <cell r="D11577" t="str">
            <v>2021</v>
          </cell>
        </row>
        <row r="11578">
          <cell r="D11578" t="str">
            <v>2023</v>
          </cell>
        </row>
        <row r="11579">
          <cell r="D11579" t="str">
            <v>2023</v>
          </cell>
        </row>
        <row r="11580">
          <cell r="D11580" t="str">
            <v>2023</v>
          </cell>
        </row>
        <row r="11581">
          <cell r="D11581" t="str">
            <v>2023</v>
          </cell>
        </row>
        <row r="11582">
          <cell r="D11582" t="str">
            <v>2023</v>
          </cell>
        </row>
        <row r="11583">
          <cell r="D11583" t="str">
            <v>2023</v>
          </cell>
        </row>
        <row r="11584">
          <cell r="D11584" t="str">
            <v>2023</v>
          </cell>
        </row>
        <row r="11585">
          <cell r="D11585" t="str">
            <v>2021</v>
          </cell>
        </row>
        <row r="11586">
          <cell r="D11586" t="str">
            <v>2022</v>
          </cell>
        </row>
        <row r="11587">
          <cell r="D11587" t="str">
            <v>2021</v>
          </cell>
        </row>
        <row r="11588">
          <cell r="D11588" t="str">
            <v>2022</v>
          </cell>
        </row>
        <row r="11589">
          <cell r="D11589" t="str">
            <v>2023</v>
          </cell>
        </row>
        <row r="11590">
          <cell r="D11590" t="str">
            <v>2023</v>
          </cell>
        </row>
        <row r="11591">
          <cell r="D11591" t="str">
            <v>2023</v>
          </cell>
        </row>
        <row r="11592">
          <cell r="D11592" t="str">
            <v>2023</v>
          </cell>
        </row>
        <row r="11593">
          <cell r="D11593" t="str">
            <v>2023</v>
          </cell>
        </row>
        <row r="11594">
          <cell r="D11594" t="str">
            <v>2023</v>
          </cell>
        </row>
        <row r="11595">
          <cell r="D11595" t="str">
            <v>2023</v>
          </cell>
        </row>
        <row r="11596">
          <cell r="D11596" t="str">
            <v>2023</v>
          </cell>
        </row>
        <row r="11597">
          <cell r="D11597" t="str">
            <v>2023</v>
          </cell>
        </row>
        <row r="11598">
          <cell r="D11598" t="str">
            <v>2023</v>
          </cell>
        </row>
        <row r="11599">
          <cell r="D11599" t="str">
            <v>2023</v>
          </cell>
        </row>
        <row r="11600">
          <cell r="D11600" t="str">
            <v>2023</v>
          </cell>
        </row>
        <row r="11601">
          <cell r="D11601" t="str">
            <v>2021</v>
          </cell>
        </row>
        <row r="11602">
          <cell r="D11602" t="str">
            <v>2023</v>
          </cell>
        </row>
        <row r="11603">
          <cell r="D11603" t="str">
            <v>2023</v>
          </cell>
        </row>
        <row r="11604">
          <cell r="D11604" t="str">
            <v>2023</v>
          </cell>
        </row>
        <row r="11605">
          <cell r="D11605" t="str">
            <v>2023</v>
          </cell>
        </row>
        <row r="11606">
          <cell r="D11606" t="str">
            <v>2023</v>
          </cell>
        </row>
        <row r="11607">
          <cell r="D11607" t="str">
            <v>2023</v>
          </cell>
        </row>
        <row r="11608">
          <cell r="D11608" t="str">
            <v>2023</v>
          </cell>
        </row>
        <row r="11609">
          <cell r="D11609" t="str">
            <v>2023</v>
          </cell>
        </row>
        <row r="11610">
          <cell r="D11610" t="str">
            <v>2023</v>
          </cell>
        </row>
        <row r="11611">
          <cell r="D11611" t="str">
            <v>2023</v>
          </cell>
        </row>
        <row r="11612">
          <cell r="D11612" t="str">
            <v>2022</v>
          </cell>
        </row>
        <row r="11613">
          <cell r="D11613" t="str">
            <v>2023</v>
          </cell>
        </row>
        <row r="11614">
          <cell r="D11614" t="str">
            <v>2023</v>
          </cell>
        </row>
        <row r="11615">
          <cell r="D11615" t="str">
            <v>2023</v>
          </cell>
        </row>
        <row r="11616">
          <cell r="D11616" t="str">
            <v>2023</v>
          </cell>
        </row>
        <row r="11617">
          <cell r="D11617" t="str">
            <v>2023</v>
          </cell>
        </row>
        <row r="11618">
          <cell r="D11618" t="str">
            <v>2023</v>
          </cell>
        </row>
        <row r="11619">
          <cell r="D11619" t="str">
            <v>2023</v>
          </cell>
        </row>
        <row r="11620">
          <cell r="D11620" t="str">
            <v>2023</v>
          </cell>
        </row>
        <row r="11621">
          <cell r="D11621" t="str">
            <v>2023</v>
          </cell>
        </row>
        <row r="11622">
          <cell r="D11622" t="str">
            <v>2023</v>
          </cell>
        </row>
        <row r="11623">
          <cell r="D11623" t="str">
            <v>2024</v>
          </cell>
        </row>
        <row r="11624">
          <cell r="D11624" t="str">
            <v>2023</v>
          </cell>
        </row>
        <row r="11625">
          <cell r="D11625" t="str">
            <v>2023</v>
          </cell>
        </row>
        <row r="11626">
          <cell r="D11626" t="str">
            <v>2023</v>
          </cell>
        </row>
        <row r="11627">
          <cell r="D11627" t="str">
            <v>2023</v>
          </cell>
        </row>
        <row r="11628">
          <cell r="D11628" t="str">
            <v>2023</v>
          </cell>
        </row>
        <row r="11629">
          <cell r="D11629" t="str">
            <v>2022</v>
          </cell>
        </row>
        <row r="11630">
          <cell r="D11630" t="str">
            <v>2023</v>
          </cell>
        </row>
        <row r="11631">
          <cell r="D11631" t="str">
            <v>2023</v>
          </cell>
        </row>
        <row r="11632">
          <cell r="D11632" t="str">
            <v>2021</v>
          </cell>
        </row>
        <row r="11633">
          <cell r="D11633" t="str">
            <v>2023</v>
          </cell>
        </row>
        <row r="11634">
          <cell r="D11634" t="str">
            <v>2021</v>
          </cell>
        </row>
        <row r="11635">
          <cell r="D11635" t="str">
            <v>2023</v>
          </cell>
        </row>
        <row r="11636">
          <cell r="D11636" t="str">
            <v>2023</v>
          </cell>
        </row>
        <row r="11637">
          <cell r="D11637" t="str">
            <v>2023</v>
          </cell>
        </row>
        <row r="11638">
          <cell r="D11638" t="str">
            <v>2023</v>
          </cell>
        </row>
        <row r="11639">
          <cell r="D11639" t="str">
            <v>2022</v>
          </cell>
        </row>
        <row r="11640">
          <cell r="D11640" t="str">
            <v>2023</v>
          </cell>
        </row>
        <row r="11641">
          <cell r="D11641" t="str">
            <v>2021</v>
          </cell>
        </row>
        <row r="11642">
          <cell r="D11642" t="str">
            <v>2023</v>
          </cell>
        </row>
        <row r="11643">
          <cell r="D11643" t="str">
            <v>2023</v>
          </cell>
        </row>
        <row r="11644">
          <cell r="D11644" t="str">
            <v>2021</v>
          </cell>
        </row>
        <row r="11645">
          <cell r="D11645" t="str">
            <v>2021</v>
          </cell>
        </row>
        <row r="11646">
          <cell r="D11646" t="str">
            <v>2023</v>
          </cell>
        </row>
        <row r="11647">
          <cell r="D11647" t="str">
            <v>2021</v>
          </cell>
        </row>
        <row r="11648">
          <cell r="D11648" t="str">
            <v>2023</v>
          </cell>
        </row>
        <row r="11649">
          <cell r="D11649" t="str">
            <v>2022</v>
          </cell>
        </row>
        <row r="11650">
          <cell r="D11650" t="str">
            <v>2022</v>
          </cell>
        </row>
        <row r="11651">
          <cell r="D11651" t="str">
            <v>2021</v>
          </cell>
        </row>
        <row r="11652">
          <cell r="D11652" t="str">
            <v>2023</v>
          </cell>
        </row>
        <row r="11653">
          <cell r="D11653" t="str">
            <v>2022</v>
          </cell>
        </row>
        <row r="11654">
          <cell r="D11654" t="str">
            <v>2023</v>
          </cell>
        </row>
        <row r="11655">
          <cell r="D11655" t="str">
            <v>2023</v>
          </cell>
        </row>
        <row r="11656">
          <cell r="D11656" t="str">
            <v>2023</v>
          </cell>
        </row>
        <row r="11657">
          <cell r="D11657" t="str">
            <v>2023</v>
          </cell>
        </row>
        <row r="11658">
          <cell r="D11658" t="str">
            <v>2022</v>
          </cell>
        </row>
        <row r="11659">
          <cell r="D11659" t="str">
            <v>2023</v>
          </cell>
        </row>
        <row r="11660">
          <cell r="D11660" t="str">
            <v>2023</v>
          </cell>
        </row>
        <row r="11661">
          <cell r="D11661" t="str">
            <v>2023</v>
          </cell>
        </row>
        <row r="11662">
          <cell r="D11662" t="str">
            <v>2023</v>
          </cell>
        </row>
        <row r="11663">
          <cell r="D11663" t="str">
            <v>2023</v>
          </cell>
        </row>
        <row r="11664">
          <cell r="D11664" t="str">
            <v>2023</v>
          </cell>
        </row>
        <row r="11665">
          <cell r="D11665" t="str">
            <v>2023</v>
          </cell>
        </row>
        <row r="11666">
          <cell r="D11666" t="str">
            <v>2023</v>
          </cell>
        </row>
        <row r="11667">
          <cell r="D11667" t="str">
            <v>2021</v>
          </cell>
        </row>
        <row r="11668">
          <cell r="D11668" t="str">
            <v>2023</v>
          </cell>
        </row>
        <row r="11669">
          <cell r="D11669" t="str">
            <v>2023</v>
          </cell>
        </row>
        <row r="11670">
          <cell r="D11670" t="str">
            <v>2023</v>
          </cell>
        </row>
        <row r="11671">
          <cell r="D11671" t="str">
            <v>2022</v>
          </cell>
        </row>
        <row r="11672">
          <cell r="D11672" t="str">
            <v>2021</v>
          </cell>
        </row>
        <row r="11673">
          <cell r="D11673" t="str">
            <v>2023</v>
          </cell>
        </row>
        <row r="11674">
          <cell r="D11674" t="str">
            <v>2023</v>
          </cell>
        </row>
        <row r="11675">
          <cell r="D11675" t="str">
            <v>2021</v>
          </cell>
        </row>
        <row r="11676">
          <cell r="D11676" t="str">
            <v>2023</v>
          </cell>
        </row>
        <row r="11677">
          <cell r="D11677" t="str">
            <v>2023</v>
          </cell>
        </row>
        <row r="11678">
          <cell r="D11678" t="str">
            <v>2023</v>
          </cell>
        </row>
        <row r="11679">
          <cell r="D11679" t="str">
            <v>2022</v>
          </cell>
        </row>
        <row r="11680">
          <cell r="D11680" t="str">
            <v>2023</v>
          </cell>
        </row>
        <row r="11681">
          <cell r="D11681" t="str">
            <v>2023</v>
          </cell>
        </row>
        <row r="11682">
          <cell r="D11682" t="str">
            <v>2023</v>
          </cell>
        </row>
        <row r="11683">
          <cell r="D11683" t="str">
            <v>2024</v>
          </cell>
        </row>
        <row r="11684">
          <cell r="D11684" t="str">
            <v>2023</v>
          </cell>
        </row>
        <row r="11685">
          <cell r="D11685" t="str">
            <v>2023</v>
          </cell>
        </row>
        <row r="11686">
          <cell r="D11686" t="str">
            <v>2023</v>
          </cell>
        </row>
        <row r="11687">
          <cell r="D11687" t="str">
            <v>2023</v>
          </cell>
        </row>
        <row r="11688">
          <cell r="D11688" t="str">
            <v>2023</v>
          </cell>
        </row>
        <row r="11689">
          <cell r="D11689" t="str">
            <v>2021</v>
          </cell>
        </row>
        <row r="11690">
          <cell r="D11690" t="str">
            <v>2023</v>
          </cell>
        </row>
        <row r="11691">
          <cell r="D11691" t="str">
            <v>2023</v>
          </cell>
        </row>
        <row r="11692">
          <cell r="D11692" t="str">
            <v>2023</v>
          </cell>
        </row>
        <row r="11693">
          <cell r="D11693" t="str">
            <v>2023</v>
          </cell>
        </row>
        <row r="11694">
          <cell r="D11694" t="str">
            <v>2023</v>
          </cell>
        </row>
        <row r="11695">
          <cell r="D11695" t="str">
            <v>2023</v>
          </cell>
        </row>
        <row r="11696">
          <cell r="D11696" t="str">
            <v>2023</v>
          </cell>
        </row>
        <row r="11697">
          <cell r="D11697" t="str">
            <v>2021</v>
          </cell>
        </row>
        <row r="11698">
          <cell r="D11698" t="str">
            <v>2023</v>
          </cell>
        </row>
        <row r="11699">
          <cell r="D11699" t="str">
            <v>2023</v>
          </cell>
        </row>
        <row r="11700">
          <cell r="D11700" t="str">
            <v>2023</v>
          </cell>
        </row>
        <row r="11701">
          <cell r="D11701" t="str">
            <v>2023</v>
          </cell>
        </row>
        <row r="11702">
          <cell r="D11702" t="str">
            <v>2022</v>
          </cell>
        </row>
        <row r="11703">
          <cell r="D11703" t="str">
            <v>2021</v>
          </cell>
        </row>
        <row r="11704">
          <cell r="D11704" t="str">
            <v>2023</v>
          </cell>
        </row>
        <row r="11705">
          <cell r="D11705" t="str">
            <v>2023</v>
          </cell>
        </row>
        <row r="11706">
          <cell r="D11706" t="str">
            <v>2023</v>
          </cell>
        </row>
        <row r="11707">
          <cell r="D11707" t="str">
            <v>2023</v>
          </cell>
        </row>
        <row r="11708">
          <cell r="D11708" t="str">
            <v>2023</v>
          </cell>
        </row>
        <row r="11709">
          <cell r="D11709" t="str">
            <v>2023</v>
          </cell>
        </row>
        <row r="11710">
          <cell r="D11710" t="str">
            <v>2022</v>
          </cell>
        </row>
        <row r="11711">
          <cell r="D11711" t="str">
            <v>2021</v>
          </cell>
        </row>
        <row r="11712">
          <cell r="D11712" t="str">
            <v>2021</v>
          </cell>
        </row>
        <row r="11713">
          <cell r="D11713" t="str">
            <v>2023</v>
          </cell>
        </row>
        <row r="11714">
          <cell r="D11714" t="str">
            <v>2023</v>
          </cell>
        </row>
        <row r="11715">
          <cell r="D11715" t="str">
            <v>2023</v>
          </cell>
        </row>
        <row r="11716">
          <cell r="D11716" t="str">
            <v>2022</v>
          </cell>
        </row>
        <row r="11717">
          <cell r="D11717" t="str">
            <v>2023</v>
          </cell>
        </row>
        <row r="11718">
          <cell r="D11718" t="str">
            <v>2023</v>
          </cell>
        </row>
        <row r="11719">
          <cell r="D11719" t="str">
            <v>2023</v>
          </cell>
        </row>
        <row r="11720">
          <cell r="D11720" t="str">
            <v>2021</v>
          </cell>
        </row>
        <row r="11721">
          <cell r="D11721" t="str">
            <v>2023</v>
          </cell>
        </row>
        <row r="11722">
          <cell r="D11722" t="str">
            <v>2022</v>
          </cell>
        </row>
        <row r="11723">
          <cell r="D11723" t="str">
            <v>2023</v>
          </cell>
        </row>
        <row r="11724">
          <cell r="D11724" t="str">
            <v>2023</v>
          </cell>
        </row>
        <row r="11725">
          <cell r="D11725" t="str">
            <v>2022</v>
          </cell>
        </row>
        <row r="11726">
          <cell r="D11726" t="str">
            <v>2023</v>
          </cell>
        </row>
        <row r="11727">
          <cell r="D11727" t="str">
            <v>2022</v>
          </cell>
        </row>
        <row r="11728">
          <cell r="D11728" t="str">
            <v>2023</v>
          </cell>
        </row>
        <row r="11729">
          <cell r="D11729" t="str">
            <v>2023</v>
          </cell>
        </row>
        <row r="11730">
          <cell r="D11730" t="str">
            <v>2023</v>
          </cell>
        </row>
        <row r="11731">
          <cell r="D11731" t="str">
            <v>2023</v>
          </cell>
        </row>
        <row r="11732">
          <cell r="D11732" t="str">
            <v>2023</v>
          </cell>
        </row>
        <row r="11733">
          <cell r="D11733" t="str">
            <v>2022</v>
          </cell>
        </row>
        <row r="11734">
          <cell r="D11734" t="str">
            <v>2023</v>
          </cell>
        </row>
        <row r="11735">
          <cell r="D11735" t="str">
            <v>2023</v>
          </cell>
        </row>
        <row r="11736">
          <cell r="D11736" t="str">
            <v>2022</v>
          </cell>
        </row>
        <row r="11737">
          <cell r="D11737" t="str">
            <v>2023</v>
          </cell>
        </row>
        <row r="11738">
          <cell r="D11738" t="str">
            <v>2023</v>
          </cell>
        </row>
        <row r="11739">
          <cell r="D11739" t="str">
            <v>2023</v>
          </cell>
        </row>
        <row r="11740">
          <cell r="D11740" t="str">
            <v>2023</v>
          </cell>
        </row>
        <row r="11741">
          <cell r="D11741" t="str">
            <v>2021</v>
          </cell>
        </row>
        <row r="11742">
          <cell r="D11742" t="str">
            <v>2023</v>
          </cell>
        </row>
        <row r="11743">
          <cell r="D11743" t="str">
            <v>2023</v>
          </cell>
        </row>
        <row r="11744">
          <cell r="D11744" t="str">
            <v>2023</v>
          </cell>
        </row>
        <row r="11745">
          <cell r="D11745" t="str">
            <v>2023</v>
          </cell>
        </row>
        <row r="11746">
          <cell r="D11746" t="str">
            <v>2023</v>
          </cell>
        </row>
        <row r="11747">
          <cell r="D11747" t="str">
            <v>2023</v>
          </cell>
        </row>
        <row r="11748">
          <cell r="D11748" t="str">
            <v>2023</v>
          </cell>
        </row>
        <row r="11749">
          <cell r="D11749" t="str">
            <v>2023</v>
          </cell>
        </row>
        <row r="11750">
          <cell r="D11750" t="str">
            <v>2023</v>
          </cell>
        </row>
        <row r="11751">
          <cell r="D11751" t="str">
            <v>2023</v>
          </cell>
        </row>
        <row r="11752">
          <cell r="D11752" t="str">
            <v>2023</v>
          </cell>
        </row>
        <row r="11753">
          <cell r="D11753" t="str">
            <v>2023</v>
          </cell>
        </row>
        <row r="11754">
          <cell r="D11754" t="str">
            <v>2023</v>
          </cell>
        </row>
        <row r="11755">
          <cell r="D11755" t="str">
            <v>2023</v>
          </cell>
        </row>
        <row r="11756">
          <cell r="D11756" t="str">
            <v>2023</v>
          </cell>
        </row>
        <row r="11757">
          <cell r="D11757" t="str">
            <v>2023</v>
          </cell>
        </row>
        <row r="11758">
          <cell r="D11758" t="str">
            <v>2021</v>
          </cell>
        </row>
        <row r="11759">
          <cell r="D11759" t="str">
            <v>2023</v>
          </cell>
        </row>
        <row r="11760">
          <cell r="D11760" t="str">
            <v>2023</v>
          </cell>
        </row>
        <row r="11761">
          <cell r="D11761" t="str">
            <v>2022</v>
          </cell>
        </row>
        <row r="11762">
          <cell r="D11762" t="str">
            <v>2023</v>
          </cell>
        </row>
        <row r="11763">
          <cell r="D11763" t="str">
            <v>2023</v>
          </cell>
        </row>
        <row r="11764">
          <cell r="D11764" t="str">
            <v>2023</v>
          </cell>
        </row>
        <row r="11765">
          <cell r="D11765" t="str">
            <v>2023</v>
          </cell>
        </row>
        <row r="11766">
          <cell r="D11766" t="str">
            <v>2022</v>
          </cell>
        </row>
        <row r="11767">
          <cell r="D11767" t="str">
            <v>2022</v>
          </cell>
        </row>
        <row r="11768">
          <cell r="D11768" t="str">
            <v>2023</v>
          </cell>
        </row>
        <row r="11769">
          <cell r="D11769" t="str">
            <v>2023</v>
          </cell>
        </row>
        <row r="11770">
          <cell r="D11770" t="str">
            <v>2023</v>
          </cell>
        </row>
        <row r="11771">
          <cell r="D11771" t="str">
            <v>2022</v>
          </cell>
        </row>
        <row r="11772">
          <cell r="D11772" t="str">
            <v>2023</v>
          </cell>
        </row>
        <row r="11773">
          <cell r="D11773" t="str">
            <v>2023</v>
          </cell>
        </row>
        <row r="11774">
          <cell r="D11774" t="str">
            <v>2023</v>
          </cell>
        </row>
        <row r="11775">
          <cell r="D11775" t="str">
            <v>2021</v>
          </cell>
        </row>
        <row r="11776">
          <cell r="D11776" t="str">
            <v>2023</v>
          </cell>
        </row>
        <row r="11777">
          <cell r="D11777" t="str">
            <v>2024</v>
          </cell>
        </row>
        <row r="11778">
          <cell r="D11778" t="str">
            <v>2022</v>
          </cell>
        </row>
        <row r="11779">
          <cell r="D11779" t="str">
            <v>2021</v>
          </cell>
        </row>
        <row r="11780">
          <cell r="D11780" t="str">
            <v>2023</v>
          </cell>
        </row>
        <row r="11781">
          <cell r="D11781" t="str">
            <v>2023</v>
          </cell>
        </row>
        <row r="11782">
          <cell r="D11782" t="str">
            <v>2023</v>
          </cell>
        </row>
        <row r="11783">
          <cell r="D11783" t="str">
            <v>2023</v>
          </cell>
        </row>
        <row r="11784">
          <cell r="D11784" t="str">
            <v>2023</v>
          </cell>
        </row>
        <row r="11785">
          <cell r="D11785" t="str">
            <v>2023</v>
          </cell>
        </row>
        <row r="11786">
          <cell r="D11786" t="str">
            <v>2023</v>
          </cell>
        </row>
        <row r="11787">
          <cell r="D11787" t="str">
            <v>2023</v>
          </cell>
        </row>
        <row r="11788">
          <cell r="D11788" t="str">
            <v>2023</v>
          </cell>
        </row>
        <row r="11789">
          <cell r="D11789" t="str">
            <v>2021</v>
          </cell>
        </row>
        <row r="11790">
          <cell r="D11790" t="str">
            <v>2023</v>
          </cell>
        </row>
        <row r="11791">
          <cell r="D11791" t="str">
            <v>2023</v>
          </cell>
        </row>
        <row r="11792">
          <cell r="D11792" t="str">
            <v>2023</v>
          </cell>
        </row>
        <row r="11793">
          <cell r="D11793" t="str">
            <v>2023</v>
          </cell>
        </row>
        <row r="11794">
          <cell r="D11794" t="str">
            <v>2023</v>
          </cell>
        </row>
        <row r="11795">
          <cell r="D11795" t="str">
            <v>2023</v>
          </cell>
        </row>
        <row r="11796">
          <cell r="D11796" t="str">
            <v>2023</v>
          </cell>
        </row>
        <row r="11797">
          <cell r="D11797" t="str">
            <v>2023</v>
          </cell>
        </row>
        <row r="11798">
          <cell r="D11798" t="str">
            <v>2023</v>
          </cell>
        </row>
        <row r="11799">
          <cell r="D11799" t="str">
            <v>2022</v>
          </cell>
        </row>
        <row r="11800">
          <cell r="D11800" t="str">
            <v>2023</v>
          </cell>
        </row>
        <row r="11801">
          <cell r="D11801" t="str">
            <v>2022</v>
          </cell>
        </row>
        <row r="11802">
          <cell r="D11802" t="str">
            <v>2023</v>
          </cell>
        </row>
        <row r="11803">
          <cell r="D11803" t="str">
            <v>2023</v>
          </cell>
        </row>
        <row r="11804">
          <cell r="D11804" t="str">
            <v>2022</v>
          </cell>
        </row>
        <row r="11805">
          <cell r="D11805" t="str">
            <v>2023</v>
          </cell>
        </row>
        <row r="11806">
          <cell r="D11806" t="str">
            <v>2023</v>
          </cell>
        </row>
        <row r="11807">
          <cell r="D11807" t="str">
            <v>2023</v>
          </cell>
        </row>
        <row r="11808">
          <cell r="D11808" t="str">
            <v>2023</v>
          </cell>
        </row>
        <row r="11809">
          <cell r="D11809" t="str">
            <v>2023</v>
          </cell>
        </row>
        <row r="11810">
          <cell r="D11810" t="str">
            <v>2023</v>
          </cell>
        </row>
        <row r="11811">
          <cell r="D11811" t="str">
            <v>2021</v>
          </cell>
        </row>
        <row r="11812">
          <cell r="D11812" t="str">
            <v>2023</v>
          </cell>
        </row>
        <row r="11813">
          <cell r="D11813" t="str">
            <v>2023</v>
          </cell>
        </row>
        <row r="11814">
          <cell r="D11814" t="str">
            <v>2022</v>
          </cell>
        </row>
        <row r="11815">
          <cell r="D11815" t="str">
            <v>2023</v>
          </cell>
        </row>
        <row r="11816">
          <cell r="D11816" t="str">
            <v>2023</v>
          </cell>
        </row>
        <row r="11817">
          <cell r="D11817" t="str">
            <v>2023</v>
          </cell>
        </row>
        <row r="11818">
          <cell r="D11818" t="str">
            <v>2023</v>
          </cell>
        </row>
        <row r="11819">
          <cell r="D11819" t="str">
            <v>2023</v>
          </cell>
        </row>
        <row r="11820">
          <cell r="D11820" t="str">
            <v>2021</v>
          </cell>
        </row>
        <row r="11821">
          <cell r="D11821" t="str">
            <v>2023</v>
          </cell>
        </row>
        <row r="11822">
          <cell r="D11822" t="str">
            <v>2023</v>
          </cell>
        </row>
        <row r="11823">
          <cell r="D11823" t="str">
            <v>2023</v>
          </cell>
        </row>
        <row r="11824">
          <cell r="D11824" t="str">
            <v>2023</v>
          </cell>
        </row>
        <row r="11825">
          <cell r="D11825" t="str">
            <v>2023</v>
          </cell>
        </row>
        <row r="11826">
          <cell r="D11826" t="str">
            <v>2023</v>
          </cell>
        </row>
        <row r="11827">
          <cell r="D11827" t="str">
            <v>2023</v>
          </cell>
        </row>
        <row r="11828">
          <cell r="D11828" t="str">
            <v>2024</v>
          </cell>
        </row>
        <row r="11829">
          <cell r="D11829" t="str">
            <v>2023</v>
          </cell>
        </row>
        <row r="11830">
          <cell r="D11830" t="str">
            <v>2023</v>
          </cell>
        </row>
        <row r="11831">
          <cell r="D11831" t="str">
            <v>2021</v>
          </cell>
        </row>
        <row r="11832">
          <cell r="D11832" t="str">
            <v>2022</v>
          </cell>
        </row>
        <row r="11833">
          <cell r="D11833" t="str">
            <v>2021</v>
          </cell>
        </row>
        <row r="11834">
          <cell r="D11834" t="str">
            <v>2022</v>
          </cell>
        </row>
        <row r="11835">
          <cell r="D11835" t="str">
            <v>2023</v>
          </cell>
        </row>
        <row r="11836">
          <cell r="D11836" t="str">
            <v>2021</v>
          </cell>
        </row>
        <row r="11837">
          <cell r="D11837" t="str">
            <v>2021</v>
          </cell>
        </row>
        <row r="11838">
          <cell r="D11838" t="str">
            <v>2023</v>
          </cell>
        </row>
        <row r="11839">
          <cell r="D11839" t="str">
            <v>2023</v>
          </cell>
        </row>
        <row r="11840">
          <cell r="D11840" t="str">
            <v>2023</v>
          </cell>
        </row>
        <row r="11841">
          <cell r="D11841" t="str">
            <v>2022</v>
          </cell>
        </row>
        <row r="11842">
          <cell r="D11842" t="str">
            <v>2022</v>
          </cell>
        </row>
        <row r="11843">
          <cell r="D11843" t="str">
            <v>2023</v>
          </cell>
        </row>
        <row r="11844">
          <cell r="D11844" t="str">
            <v>2023</v>
          </cell>
        </row>
        <row r="11845">
          <cell r="D11845" t="str">
            <v>2023</v>
          </cell>
        </row>
        <row r="11846">
          <cell r="D11846" t="str">
            <v>2023</v>
          </cell>
        </row>
        <row r="11847">
          <cell r="D11847" t="str">
            <v>2021</v>
          </cell>
        </row>
        <row r="11848">
          <cell r="D11848" t="str">
            <v>2023</v>
          </cell>
        </row>
        <row r="11849">
          <cell r="D11849" t="str">
            <v>2023</v>
          </cell>
        </row>
        <row r="11850">
          <cell r="D11850" t="str">
            <v>2023</v>
          </cell>
        </row>
        <row r="11851">
          <cell r="D11851" t="str">
            <v>2022</v>
          </cell>
        </row>
        <row r="11852">
          <cell r="D11852" t="str">
            <v>2023</v>
          </cell>
        </row>
        <row r="11853">
          <cell r="D11853" t="str">
            <v>2023</v>
          </cell>
        </row>
        <row r="11854">
          <cell r="D11854" t="str">
            <v>2024</v>
          </cell>
        </row>
        <row r="11855">
          <cell r="D11855" t="str">
            <v>2022</v>
          </cell>
        </row>
        <row r="11856">
          <cell r="D11856" t="str">
            <v>2023</v>
          </cell>
        </row>
        <row r="11857">
          <cell r="D11857" t="str">
            <v>2023</v>
          </cell>
        </row>
        <row r="11858">
          <cell r="D11858" t="str">
            <v>2023</v>
          </cell>
        </row>
        <row r="11859">
          <cell r="D11859" t="str">
            <v>2023</v>
          </cell>
        </row>
        <row r="11860">
          <cell r="D11860" t="str">
            <v>2023</v>
          </cell>
        </row>
        <row r="11861">
          <cell r="D11861" t="str">
            <v>2023</v>
          </cell>
        </row>
        <row r="11862">
          <cell r="D11862" t="str">
            <v>2024</v>
          </cell>
        </row>
        <row r="11863">
          <cell r="D11863" t="str">
            <v>2023</v>
          </cell>
        </row>
        <row r="11864">
          <cell r="D11864" t="str">
            <v>2023</v>
          </cell>
        </row>
        <row r="11865">
          <cell r="D11865" t="str">
            <v>2023</v>
          </cell>
        </row>
        <row r="11866">
          <cell r="D11866" t="str">
            <v>2023</v>
          </cell>
        </row>
        <row r="11867">
          <cell r="D11867" t="str">
            <v>2021</v>
          </cell>
        </row>
        <row r="11868">
          <cell r="D11868" t="str">
            <v>2023</v>
          </cell>
        </row>
        <row r="11869">
          <cell r="D11869" t="str">
            <v>2023</v>
          </cell>
        </row>
        <row r="11870">
          <cell r="D11870" t="str">
            <v>2021</v>
          </cell>
        </row>
        <row r="11871">
          <cell r="D11871" t="str">
            <v>2023</v>
          </cell>
        </row>
        <row r="11872">
          <cell r="D11872" t="str">
            <v>2022</v>
          </cell>
        </row>
        <row r="11873">
          <cell r="D11873" t="str">
            <v>2023</v>
          </cell>
        </row>
        <row r="11874">
          <cell r="D11874" t="str">
            <v>2023</v>
          </cell>
        </row>
        <row r="11875">
          <cell r="D11875" t="str">
            <v>2023</v>
          </cell>
        </row>
        <row r="11876">
          <cell r="D11876" t="str">
            <v>2023</v>
          </cell>
        </row>
        <row r="11877">
          <cell r="D11877" t="str">
            <v>2021</v>
          </cell>
        </row>
        <row r="11878">
          <cell r="D11878" t="str">
            <v>2023</v>
          </cell>
        </row>
        <row r="11879">
          <cell r="D11879" t="str">
            <v>2023</v>
          </cell>
        </row>
        <row r="11880">
          <cell r="D11880" t="str">
            <v>2023</v>
          </cell>
        </row>
        <row r="11881">
          <cell r="D11881" t="str">
            <v>2023</v>
          </cell>
        </row>
        <row r="11882">
          <cell r="D11882" t="str">
            <v>2023</v>
          </cell>
        </row>
        <row r="11883">
          <cell r="D11883" t="str">
            <v>2023</v>
          </cell>
        </row>
        <row r="11884">
          <cell r="D11884" t="str">
            <v>2021</v>
          </cell>
        </row>
        <row r="11885">
          <cell r="D11885" t="str">
            <v>2023</v>
          </cell>
        </row>
        <row r="11886">
          <cell r="D11886" t="str">
            <v>2021</v>
          </cell>
        </row>
        <row r="11887">
          <cell r="D11887" t="str">
            <v>2023</v>
          </cell>
        </row>
        <row r="11888">
          <cell r="D11888" t="str">
            <v>2023</v>
          </cell>
        </row>
        <row r="11889">
          <cell r="D11889" t="str">
            <v>2023</v>
          </cell>
        </row>
        <row r="11890">
          <cell r="D11890" t="str">
            <v>2023</v>
          </cell>
        </row>
        <row r="11891">
          <cell r="D11891" t="str">
            <v>2023</v>
          </cell>
        </row>
        <row r="11892">
          <cell r="D11892" t="str">
            <v>2023</v>
          </cell>
        </row>
        <row r="11893">
          <cell r="D11893" t="str">
            <v>2023</v>
          </cell>
        </row>
        <row r="11894">
          <cell r="D11894" t="str">
            <v>2023</v>
          </cell>
        </row>
        <row r="11895">
          <cell r="D11895" t="str">
            <v>2023</v>
          </cell>
        </row>
        <row r="11896">
          <cell r="D11896" t="str">
            <v>2022</v>
          </cell>
        </row>
        <row r="11897">
          <cell r="D11897" t="str">
            <v>2022</v>
          </cell>
        </row>
        <row r="11898">
          <cell r="D11898" t="str">
            <v>2022</v>
          </cell>
        </row>
        <row r="11899">
          <cell r="D11899" t="str">
            <v>2023</v>
          </cell>
        </row>
        <row r="11900">
          <cell r="D11900" t="str">
            <v>2023</v>
          </cell>
        </row>
        <row r="11901">
          <cell r="D11901" t="str">
            <v>2021</v>
          </cell>
        </row>
        <row r="11902">
          <cell r="D11902" t="str">
            <v>2023</v>
          </cell>
        </row>
        <row r="11903">
          <cell r="D11903" t="str">
            <v>2023</v>
          </cell>
        </row>
        <row r="11904">
          <cell r="D11904" t="str">
            <v>2023</v>
          </cell>
        </row>
        <row r="11905">
          <cell r="D11905" t="str">
            <v>2023</v>
          </cell>
        </row>
        <row r="11906">
          <cell r="D11906" t="str">
            <v>2023</v>
          </cell>
        </row>
        <row r="11907">
          <cell r="D11907" t="str">
            <v>2023</v>
          </cell>
        </row>
        <row r="11908">
          <cell r="D11908" t="str">
            <v>2023</v>
          </cell>
        </row>
        <row r="11909">
          <cell r="D11909" t="str">
            <v>2021</v>
          </cell>
        </row>
        <row r="11910">
          <cell r="D11910" t="str">
            <v>2023</v>
          </cell>
        </row>
        <row r="11911">
          <cell r="D11911" t="str">
            <v>2023</v>
          </cell>
        </row>
        <row r="11912">
          <cell r="D11912" t="str">
            <v>2023</v>
          </cell>
        </row>
        <row r="11913">
          <cell r="D11913" t="str">
            <v>2023</v>
          </cell>
        </row>
        <row r="11914">
          <cell r="D11914" t="str">
            <v>2021</v>
          </cell>
        </row>
        <row r="11915">
          <cell r="D11915" t="str">
            <v>2022</v>
          </cell>
        </row>
        <row r="11916">
          <cell r="D11916" t="str">
            <v>2023</v>
          </cell>
        </row>
        <row r="11917">
          <cell r="D11917" t="str">
            <v>2021</v>
          </cell>
        </row>
        <row r="11918">
          <cell r="D11918" t="str">
            <v>2022</v>
          </cell>
        </row>
        <row r="11919">
          <cell r="D11919" t="str">
            <v>2023</v>
          </cell>
        </row>
        <row r="11920">
          <cell r="D11920" t="str">
            <v>2023</v>
          </cell>
        </row>
        <row r="11921">
          <cell r="D11921" t="str">
            <v>2023</v>
          </cell>
        </row>
        <row r="11922">
          <cell r="D11922" t="str">
            <v>2022</v>
          </cell>
        </row>
        <row r="11923">
          <cell r="D11923" t="str">
            <v>2023</v>
          </cell>
        </row>
        <row r="11924">
          <cell r="D11924" t="str">
            <v>2023</v>
          </cell>
        </row>
        <row r="11925">
          <cell r="D11925" t="str">
            <v>2023</v>
          </cell>
        </row>
        <row r="11926">
          <cell r="D11926" t="str">
            <v>2023</v>
          </cell>
        </row>
        <row r="11927">
          <cell r="D11927" t="str">
            <v>2021</v>
          </cell>
        </row>
        <row r="11928">
          <cell r="D11928" t="str">
            <v>2023</v>
          </cell>
        </row>
        <row r="11929">
          <cell r="D11929" t="str">
            <v>2021</v>
          </cell>
        </row>
        <row r="11930">
          <cell r="D11930" t="str">
            <v>2023</v>
          </cell>
        </row>
        <row r="11931">
          <cell r="D11931" t="str">
            <v>2023</v>
          </cell>
        </row>
        <row r="11932">
          <cell r="D11932" t="str">
            <v>2023</v>
          </cell>
        </row>
        <row r="11933">
          <cell r="D11933" t="str">
            <v>2023</v>
          </cell>
        </row>
        <row r="11934">
          <cell r="D11934" t="str">
            <v>2023</v>
          </cell>
        </row>
        <row r="11935">
          <cell r="D11935" t="str">
            <v>2023</v>
          </cell>
        </row>
        <row r="11936">
          <cell r="D11936" t="str">
            <v>2023</v>
          </cell>
        </row>
        <row r="11937">
          <cell r="D11937" t="str">
            <v>2022</v>
          </cell>
        </row>
        <row r="11938">
          <cell r="D11938" t="str">
            <v>2023</v>
          </cell>
        </row>
        <row r="11939">
          <cell r="D11939" t="str">
            <v>2021</v>
          </cell>
        </row>
        <row r="11940">
          <cell r="D11940" t="str">
            <v>2023</v>
          </cell>
        </row>
        <row r="11941">
          <cell r="D11941" t="str">
            <v>2023</v>
          </cell>
        </row>
        <row r="11942">
          <cell r="D11942" t="str">
            <v>2021</v>
          </cell>
        </row>
        <row r="11943">
          <cell r="D11943" t="str">
            <v>2023</v>
          </cell>
        </row>
        <row r="11944">
          <cell r="D11944" t="str">
            <v>2023</v>
          </cell>
        </row>
        <row r="11945">
          <cell r="D11945" t="str">
            <v>2023</v>
          </cell>
        </row>
        <row r="11946">
          <cell r="D11946" t="str">
            <v>2023</v>
          </cell>
        </row>
        <row r="11947">
          <cell r="D11947" t="str">
            <v>2023</v>
          </cell>
        </row>
        <row r="11948">
          <cell r="D11948" t="str">
            <v>2022</v>
          </cell>
        </row>
        <row r="11949">
          <cell r="D11949" t="str">
            <v>2023</v>
          </cell>
        </row>
        <row r="11950">
          <cell r="D11950" t="str">
            <v>2023</v>
          </cell>
        </row>
        <row r="11951">
          <cell r="D11951" t="str">
            <v>2023</v>
          </cell>
        </row>
        <row r="11952">
          <cell r="D11952" t="str">
            <v>2023</v>
          </cell>
        </row>
        <row r="11953">
          <cell r="D11953" t="str">
            <v>2022</v>
          </cell>
        </row>
        <row r="11954">
          <cell r="D11954" t="str">
            <v>2023</v>
          </cell>
        </row>
        <row r="11955">
          <cell r="D11955" t="str">
            <v>2023</v>
          </cell>
        </row>
        <row r="11956">
          <cell r="D11956" t="str">
            <v>2023</v>
          </cell>
        </row>
        <row r="11957">
          <cell r="D11957" t="str">
            <v>2023</v>
          </cell>
        </row>
        <row r="11958">
          <cell r="D11958" t="str">
            <v>2023</v>
          </cell>
        </row>
        <row r="11959">
          <cell r="D11959" t="str">
            <v>2023</v>
          </cell>
        </row>
        <row r="11960">
          <cell r="D11960" t="str">
            <v>2022</v>
          </cell>
        </row>
        <row r="11961">
          <cell r="D11961" t="str">
            <v>2022</v>
          </cell>
        </row>
        <row r="11962">
          <cell r="D11962" t="str">
            <v>2021</v>
          </cell>
        </row>
        <row r="11963">
          <cell r="D11963" t="str">
            <v>2023</v>
          </cell>
        </row>
        <row r="11964">
          <cell r="D11964" t="str">
            <v>2021</v>
          </cell>
        </row>
        <row r="11965">
          <cell r="D11965" t="str">
            <v>2023</v>
          </cell>
        </row>
        <row r="11966">
          <cell r="D11966" t="str">
            <v>2023</v>
          </cell>
        </row>
        <row r="11967">
          <cell r="D11967" t="str">
            <v>2023</v>
          </cell>
        </row>
        <row r="11968">
          <cell r="D11968" t="str">
            <v>2023</v>
          </cell>
        </row>
        <row r="11969">
          <cell r="D11969" t="str">
            <v>2023</v>
          </cell>
        </row>
        <row r="11970">
          <cell r="D11970" t="str">
            <v>2023</v>
          </cell>
        </row>
        <row r="11971">
          <cell r="D11971" t="str">
            <v>2023</v>
          </cell>
        </row>
        <row r="11972">
          <cell r="D11972" t="str">
            <v>2023</v>
          </cell>
        </row>
        <row r="11973">
          <cell r="D11973" t="str">
            <v>2023</v>
          </cell>
        </row>
        <row r="11974">
          <cell r="D11974" t="str">
            <v>2021</v>
          </cell>
        </row>
        <row r="11975">
          <cell r="D11975" t="str">
            <v>2021</v>
          </cell>
        </row>
        <row r="11976">
          <cell r="D11976" t="str">
            <v>2023</v>
          </cell>
        </row>
        <row r="11977">
          <cell r="D11977" t="str">
            <v>2024</v>
          </cell>
        </row>
        <row r="11978">
          <cell r="D11978" t="str">
            <v>2023</v>
          </cell>
        </row>
        <row r="11979">
          <cell r="D11979" t="str">
            <v>2022</v>
          </cell>
        </row>
        <row r="11980">
          <cell r="D11980" t="str">
            <v>2023</v>
          </cell>
        </row>
        <row r="11981">
          <cell r="D11981" t="str">
            <v>2023</v>
          </cell>
        </row>
        <row r="11982">
          <cell r="D11982" t="str">
            <v>2021</v>
          </cell>
        </row>
        <row r="11983">
          <cell r="D11983" t="str">
            <v>2021</v>
          </cell>
        </row>
        <row r="11984">
          <cell r="D11984" t="str">
            <v>2023</v>
          </cell>
        </row>
        <row r="11985">
          <cell r="D11985" t="str">
            <v>2023</v>
          </cell>
        </row>
        <row r="11986">
          <cell r="D11986" t="str">
            <v>2022</v>
          </cell>
        </row>
        <row r="11987">
          <cell r="D11987" t="str">
            <v>2023</v>
          </cell>
        </row>
        <row r="11988">
          <cell r="D11988" t="str">
            <v>2023</v>
          </cell>
        </row>
        <row r="11989">
          <cell r="D11989" t="str">
            <v>2023</v>
          </cell>
        </row>
        <row r="11990">
          <cell r="D11990" t="str">
            <v>2023</v>
          </cell>
        </row>
        <row r="11991">
          <cell r="D11991" t="str">
            <v>2021</v>
          </cell>
        </row>
        <row r="11992">
          <cell r="D11992" t="str">
            <v>2023</v>
          </cell>
        </row>
        <row r="11993">
          <cell r="D11993" t="str">
            <v>2023</v>
          </cell>
        </row>
        <row r="11994">
          <cell r="D11994" t="str">
            <v>2023</v>
          </cell>
        </row>
        <row r="11995">
          <cell r="D11995" t="str">
            <v>2023</v>
          </cell>
        </row>
        <row r="11996">
          <cell r="D11996" t="str">
            <v>2023</v>
          </cell>
        </row>
        <row r="11997">
          <cell r="D11997" t="str">
            <v>2023</v>
          </cell>
        </row>
        <row r="11998">
          <cell r="D11998" t="str">
            <v>2023</v>
          </cell>
        </row>
        <row r="11999">
          <cell r="D11999" t="str">
            <v>2023</v>
          </cell>
        </row>
        <row r="12000">
          <cell r="D12000" t="str">
            <v>2023</v>
          </cell>
        </row>
        <row r="12001">
          <cell r="D12001" t="str">
            <v>2023</v>
          </cell>
        </row>
        <row r="12002">
          <cell r="D12002" t="str">
            <v>2023</v>
          </cell>
        </row>
        <row r="12003">
          <cell r="D12003" t="str">
            <v>2023</v>
          </cell>
        </row>
        <row r="12004">
          <cell r="D12004" t="str">
            <v>2022</v>
          </cell>
        </row>
        <row r="12005">
          <cell r="D12005" t="str">
            <v>2023</v>
          </cell>
        </row>
        <row r="12006">
          <cell r="D12006" t="str">
            <v>2022</v>
          </cell>
        </row>
        <row r="12007">
          <cell r="D12007" t="str">
            <v>2023</v>
          </cell>
        </row>
        <row r="12008">
          <cell r="D12008" t="str">
            <v>2023</v>
          </cell>
        </row>
        <row r="12009">
          <cell r="D12009" t="str">
            <v>2023</v>
          </cell>
        </row>
        <row r="12010">
          <cell r="D12010" t="str">
            <v>2023</v>
          </cell>
        </row>
        <row r="12011">
          <cell r="D12011" t="str">
            <v>2023</v>
          </cell>
        </row>
        <row r="12012">
          <cell r="D12012" t="str">
            <v>2023</v>
          </cell>
        </row>
        <row r="12013">
          <cell r="D12013" t="str">
            <v>2023</v>
          </cell>
        </row>
        <row r="12014">
          <cell r="D12014" t="str">
            <v>2023</v>
          </cell>
        </row>
        <row r="12015">
          <cell r="D12015" t="str">
            <v>2023</v>
          </cell>
        </row>
        <row r="12016">
          <cell r="D12016" t="str">
            <v>2021</v>
          </cell>
        </row>
        <row r="12017">
          <cell r="D12017" t="str">
            <v>2021</v>
          </cell>
        </row>
        <row r="12018">
          <cell r="D12018" t="str">
            <v>2021</v>
          </cell>
        </row>
        <row r="12019">
          <cell r="D12019" t="str">
            <v>2023</v>
          </cell>
        </row>
        <row r="12020">
          <cell r="D12020" t="str">
            <v>2021</v>
          </cell>
        </row>
        <row r="12021">
          <cell r="D12021" t="str">
            <v>2023</v>
          </cell>
        </row>
        <row r="12022">
          <cell r="D12022" t="str">
            <v>2023</v>
          </cell>
        </row>
        <row r="12023">
          <cell r="D12023" t="str">
            <v>2022</v>
          </cell>
        </row>
        <row r="12024">
          <cell r="D12024" t="str">
            <v>2023</v>
          </cell>
        </row>
        <row r="12025">
          <cell r="D12025" t="str">
            <v>2023</v>
          </cell>
        </row>
        <row r="12026">
          <cell r="D12026" t="str">
            <v>2023</v>
          </cell>
        </row>
        <row r="12027">
          <cell r="D12027" t="str">
            <v>2023</v>
          </cell>
        </row>
        <row r="12028">
          <cell r="D12028" t="str">
            <v>2023</v>
          </cell>
        </row>
        <row r="12029">
          <cell r="D12029" t="str">
            <v>2023</v>
          </cell>
        </row>
        <row r="12030">
          <cell r="D12030" t="str">
            <v>2023</v>
          </cell>
        </row>
        <row r="12031">
          <cell r="D12031" t="str">
            <v>2022</v>
          </cell>
        </row>
        <row r="12032">
          <cell r="D12032" t="str">
            <v>2023</v>
          </cell>
        </row>
        <row r="12033">
          <cell r="D12033" t="str">
            <v>2023</v>
          </cell>
        </row>
        <row r="12034">
          <cell r="D12034" t="str">
            <v>2023</v>
          </cell>
        </row>
        <row r="12035">
          <cell r="D12035" t="str">
            <v>2023</v>
          </cell>
        </row>
        <row r="12036">
          <cell r="D12036" t="str">
            <v>2023</v>
          </cell>
        </row>
        <row r="12037">
          <cell r="D12037" t="str">
            <v>2023</v>
          </cell>
        </row>
        <row r="12038">
          <cell r="D12038" t="str">
            <v>2023</v>
          </cell>
        </row>
        <row r="12039">
          <cell r="D12039" t="str">
            <v>2023</v>
          </cell>
        </row>
        <row r="12040">
          <cell r="D12040" t="str">
            <v>2023</v>
          </cell>
        </row>
        <row r="12041">
          <cell r="D12041" t="str">
            <v>2023</v>
          </cell>
        </row>
        <row r="12042">
          <cell r="D12042" t="str">
            <v>2023</v>
          </cell>
        </row>
        <row r="12043">
          <cell r="D12043" t="str">
            <v>2023</v>
          </cell>
        </row>
        <row r="12044">
          <cell r="D12044" t="str">
            <v>2022</v>
          </cell>
        </row>
        <row r="12045">
          <cell r="D12045" t="str">
            <v>2022</v>
          </cell>
        </row>
        <row r="12046">
          <cell r="D12046" t="str">
            <v>2023</v>
          </cell>
        </row>
        <row r="12047">
          <cell r="D12047" t="str">
            <v>2023</v>
          </cell>
        </row>
        <row r="12048">
          <cell r="D12048" t="str">
            <v>2022</v>
          </cell>
        </row>
        <row r="12049">
          <cell r="D12049" t="str">
            <v>2023</v>
          </cell>
        </row>
        <row r="12050">
          <cell r="D12050" t="str">
            <v>2023</v>
          </cell>
        </row>
        <row r="12051">
          <cell r="D12051" t="str">
            <v>2023</v>
          </cell>
        </row>
        <row r="12052">
          <cell r="D12052" t="str">
            <v>2023</v>
          </cell>
        </row>
        <row r="12053">
          <cell r="D12053" t="str">
            <v>2023</v>
          </cell>
        </row>
        <row r="12054">
          <cell r="D12054" t="str">
            <v>2021</v>
          </cell>
        </row>
        <row r="12055">
          <cell r="D12055" t="str">
            <v>2023</v>
          </cell>
        </row>
        <row r="12056">
          <cell r="D12056" t="str">
            <v>2023</v>
          </cell>
        </row>
        <row r="12057">
          <cell r="D12057" t="str">
            <v>2023</v>
          </cell>
        </row>
        <row r="12058">
          <cell r="D12058" t="str">
            <v>2023</v>
          </cell>
        </row>
        <row r="12059">
          <cell r="D12059" t="str">
            <v>2023</v>
          </cell>
        </row>
        <row r="12060">
          <cell r="D12060" t="str">
            <v>2023</v>
          </cell>
        </row>
        <row r="12061">
          <cell r="D12061" t="str">
            <v>2021</v>
          </cell>
        </row>
        <row r="12062">
          <cell r="D12062" t="str">
            <v>2023</v>
          </cell>
        </row>
        <row r="12063">
          <cell r="D12063" t="str">
            <v>2023</v>
          </cell>
        </row>
        <row r="12064">
          <cell r="D12064" t="str">
            <v>2023</v>
          </cell>
        </row>
        <row r="12065">
          <cell r="D12065" t="str">
            <v>2022</v>
          </cell>
        </row>
        <row r="12066">
          <cell r="D12066" t="str">
            <v>2023</v>
          </cell>
        </row>
        <row r="12067">
          <cell r="D12067" t="str">
            <v>2023</v>
          </cell>
        </row>
        <row r="12068">
          <cell r="D12068" t="str">
            <v>2023</v>
          </cell>
        </row>
        <row r="12069">
          <cell r="D12069" t="str">
            <v>2023</v>
          </cell>
        </row>
        <row r="12070">
          <cell r="D12070" t="str">
            <v>2023</v>
          </cell>
        </row>
        <row r="12071">
          <cell r="D12071" t="str">
            <v>2023</v>
          </cell>
        </row>
        <row r="12072">
          <cell r="D12072" t="str">
            <v>2023</v>
          </cell>
        </row>
        <row r="12073">
          <cell r="D12073" t="str">
            <v>2023</v>
          </cell>
        </row>
        <row r="12074">
          <cell r="D12074" t="str">
            <v>2023</v>
          </cell>
        </row>
        <row r="12075">
          <cell r="D12075" t="str">
            <v>2023</v>
          </cell>
        </row>
        <row r="12076">
          <cell r="D12076" t="str">
            <v>2023</v>
          </cell>
        </row>
        <row r="12077">
          <cell r="D12077" t="str">
            <v>2023</v>
          </cell>
        </row>
        <row r="12078">
          <cell r="D12078" t="str">
            <v>2023</v>
          </cell>
        </row>
        <row r="12079">
          <cell r="D12079" t="str">
            <v>2023</v>
          </cell>
        </row>
        <row r="12080">
          <cell r="D12080" t="str">
            <v>2023</v>
          </cell>
        </row>
        <row r="12081">
          <cell r="D12081" t="str">
            <v>2022</v>
          </cell>
        </row>
        <row r="12082">
          <cell r="D12082" t="str">
            <v>2023</v>
          </cell>
        </row>
        <row r="12083">
          <cell r="D12083" t="str">
            <v>2023</v>
          </cell>
        </row>
        <row r="12084">
          <cell r="D12084" t="str">
            <v>2021</v>
          </cell>
        </row>
        <row r="12085">
          <cell r="D12085" t="str">
            <v>2024</v>
          </cell>
        </row>
        <row r="12086">
          <cell r="D12086" t="str">
            <v>2023</v>
          </cell>
        </row>
        <row r="12087">
          <cell r="D12087" t="str">
            <v>2022</v>
          </cell>
        </row>
        <row r="12088">
          <cell r="D12088" t="str">
            <v>2023</v>
          </cell>
        </row>
        <row r="12089">
          <cell r="D12089" t="str">
            <v>2023</v>
          </cell>
        </row>
        <row r="12090">
          <cell r="D12090" t="str">
            <v>2023</v>
          </cell>
        </row>
        <row r="12091">
          <cell r="D12091" t="str">
            <v>2023</v>
          </cell>
        </row>
        <row r="12092">
          <cell r="D12092" t="str">
            <v>2023</v>
          </cell>
        </row>
        <row r="12093">
          <cell r="D12093" t="str">
            <v>2023</v>
          </cell>
        </row>
        <row r="12094">
          <cell r="D12094" t="str">
            <v>2023</v>
          </cell>
        </row>
        <row r="12095">
          <cell r="D12095" t="str">
            <v>2023</v>
          </cell>
        </row>
        <row r="12096">
          <cell r="D12096" t="str">
            <v>2023</v>
          </cell>
        </row>
        <row r="12097">
          <cell r="D12097" t="str">
            <v>2023</v>
          </cell>
        </row>
        <row r="12098">
          <cell r="D12098" t="str">
            <v>2023</v>
          </cell>
        </row>
        <row r="12099">
          <cell r="D12099" t="str">
            <v>2023</v>
          </cell>
        </row>
        <row r="12100">
          <cell r="D12100" t="str">
            <v>2022</v>
          </cell>
        </row>
        <row r="12101">
          <cell r="D12101" t="str">
            <v>2023</v>
          </cell>
        </row>
        <row r="12102">
          <cell r="D12102" t="str">
            <v>2021</v>
          </cell>
        </row>
        <row r="12103">
          <cell r="D12103" t="str">
            <v>2023</v>
          </cell>
        </row>
        <row r="12104">
          <cell r="D12104" t="str">
            <v>2023</v>
          </cell>
        </row>
        <row r="12105">
          <cell r="D12105" t="str">
            <v>2023</v>
          </cell>
        </row>
        <row r="12106">
          <cell r="D12106" t="str">
            <v>2023</v>
          </cell>
        </row>
        <row r="12107">
          <cell r="D12107" t="str">
            <v>2023</v>
          </cell>
        </row>
        <row r="12108">
          <cell r="D12108" t="str">
            <v>2021</v>
          </cell>
        </row>
        <row r="12109">
          <cell r="D12109" t="str">
            <v>2023</v>
          </cell>
        </row>
        <row r="12110">
          <cell r="D12110" t="str">
            <v>2023</v>
          </cell>
        </row>
        <row r="12111">
          <cell r="D12111" t="str">
            <v>2023</v>
          </cell>
        </row>
        <row r="12112">
          <cell r="D12112" t="str">
            <v>2023</v>
          </cell>
        </row>
        <row r="12113">
          <cell r="D12113" t="str">
            <v>2023</v>
          </cell>
        </row>
        <row r="12114">
          <cell r="D12114" t="str">
            <v>2023</v>
          </cell>
        </row>
        <row r="12115">
          <cell r="D12115" t="str">
            <v>2023</v>
          </cell>
        </row>
        <row r="12116">
          <cell r="D12116" t="str">
            <v>2023</v>
          </cell>
        </row>
        <row r="12117">
          <cell r="D12117" t="str">
            <v>2023</v>
          </cell>
        </row>
        <row r="12118">
          <cell r="D12118" t="str">
            <v>2023</v>
          </cell>
        </row>
        <row r="12119">
          <cell r="D12119" t="str">
            <v>2023</v>
          </cell>
        </row>
        <row r="12120">
          <cell r="D12120" t="str">
            <v>2023</v>
          </cell>
        </row>
        <row r="12121">
          <cell r="D12121" t="str">
            <v>2023</v>
          </cell>
        </row>
        <row r="12122">
          <cell r="D12122" t="str">
            <v>2023</v>
          </cell>
        </row>
        <row r="12123">
          <cell r="D12123" t="str">
            <v>2023</v>
          </cell>
        </row>
        <row r="12124">
          <cell r="D12124" t="str">
            <v>2023</v>
          </cell>
        </row>
        <row r="12125">
          <cell r="D12125" t="str">
            <v>2022</v>
          </cell>
        </row>
        <row r="12126">
          <cell r="D12126" t="str">
            <v>2023</v>
          </cell>
        </row>
        <row r="12127">
          <cell r="D12127" t="str">
            <v>2023</v>
          </cell>
        </row>
        <row r="12128">
          <cell r="D12128" t="str">
            <v>2023</v>
          </cell>
        </row>
        <row r="12129">
          <cell r="D12129" t="str">
            <v>2023</v>
          </cell>
        </row>
        <row r="12130">
          <cell r="D12130" t="str">
            <v>2023</v>
          </cell>
        </row>
        <row r="12131">
          <cell r="D12131" t="str">
            <v>2023</v>
          </cell>
        </row>
        <row r="12132">
          <cell r="D12132" t="str">
            <v>2023</v>
          </cell>
        </row>
        <row r="12133">
          <cell r="D12133" t="str">
            <v>2023</v>
          </cell>
        </row>
        <row r="12134">
          <cell r="D12134" t="str">
            <v>2023</v>
          </cell>
        </row>
        <row r="12135">
          <cell r="D12135" t="str">
            <v>2023</v>
          </cell>
        </row>
        <row r="12136">
          <cell r="D12136" t="str">
            <v>2023</v>
          </cell>
        </row>
        <row r="12137">
          <cell r="D12137" t="str">
            <v>2023</v>
          </cell>
        </row>
        <row r="12138">
          <cell r="D12138" t="str">
            <v>2022</v>
          </cell>
        </row>
        <row r="12139">
          <cell r="D12139" t="str">
            <v>2023</v>
          </cell>
        </row>
        <row r="12140">
          <cell r="D12140" t="str">
            <v>2023</v>
          </cell>
        </row>
        <row r="12141">
          <cell r="D12141" t="str">
            <v>2023</v>
          </cell>
        </row>
        <row r="12142">
          <cell r="D12142" t="str">
            <v>2023</v>
          </cell>
        </row>
        <row r="12143">
          <cell r="D12143" t="str">
            <v>2023</v>
          </cell>
        </row>
        <row r="12144">
          <cell r="D12144" t="str">
            <v>2023</v>
          </cell>
        </row>
        <row r="12145">
          <cell r="D12145" t="str">
            <v>2023</v>
          </cell>
        </row>
        <row r="12146">
          <cell r="D12146" t="str">
            <v>2022</v>
          </cell>
        </row>
        <row r="12147">
          <cell r="D12147" t="str">
            <v>2023</v>
          </cell>
        </row>
        <row r="12148">
          <cell r="D12148" t="str">
            <v>2023</v>
          </cell>
        </row>
        <row r="12149">
          <cell r="D12149" t="str">
            <v>2022</v>
          </cell>
        </row>
        <row r="12150">
          <cell r="D12150" t="str">
            <v>2023</v>
          </cell>
        </row>
        <row r="12151">
          <cell r="D12151" t="str">
            <v>2023</v>
          </cell>
        </row>
        <row r="12152">
          <cell r="D12152" t="str">
            <v>2023</v>
          </cell>
        </row>
        <row r="12153">
          <cell r="D12153" t="str">
            <v>2023</v>
          </cell>
        </row>
        <row r="12154">
          <cell r="D12154" t="str">
            <v>2023</v>
          </cell>
        </row>
        <row r="12155">
          <cell r="D12155" t="str">
            <v>2023</v>
          </cell>
        </row>
        <row r="12156">
          <cell r="D12156" t="str">
            <v>2023</v>
          </cell>
        </row>
        <row r="12157">
          <cell r="D12157" t="str">
            <v>2023</v>
          </cell>
        </row>
        <row r="12158">
          <cell r="D12158" t="str">
            <v>2023</v>
          </cell>
        </row>
        <row r="12159">
          <cell r="D12159" t="str">
            <v>2023</v>
          </cell>
        </row>
        <row r="12160">
          <cell r="D12160" t="str">
            <v>2021</v>
          </cell>
        </row>
        <row r="12161">
          <cell r="D12161" t="str">
            <v>2022</v>
          </cell>
        </row>
        <row r="12162">
          <cell r="D12162" t="str">
            <v>2022</v>
          </cell>
        </row>
        <row r="12163">
          <cell r="D12163" t="str">
            <v>2023</v>
          </cell>
        </row>
        <row r="12164">
          <cell r="D12164" t="str">
            <v>2023</v>
          </cell>
        </row>
        <row r="12165">
          <cell r="D12165" t="str">
            <v>2022</v>
          </cell>
        </row>
        <row r="12166">
          <cell r="D12166" t="str">
            <v>2023</v>
          </cell>
        </row>
        <row r="12167">
          <cell r="D12167" t="str">
            <v>2023</v>
          </cell>
        </row>
        <row r="12168">
          <cell r="D12168" t="str">
            <v>2023</v>
          </cell>
        </row>
        <row r="12169">
          <cell r="D12169" t="str">
            <v>2023</v>
          </cell>
        </row>
        <row r="12170">
          <cell r="D12170" t="str">
            <v>2023</v>
          </cell>
        </row>
        <row r="12171">
          <cell r="D12171" t="str">
            <v>2023</v>
          </cell>
        </row>
        <row r="12172">
          <cell r="D12172" t="str">
            <v>2023</v>
          </cell>
        </row>
        <row r="12173">
          <cell r="D12173" t="str">
            <v>2023</v>
          </cell>
        </row>
        <row r="12174">
          <cell r="D12174" t="str">
            <v>2022</v>
          </cell>
        </row>
        <row r="12175">
          <cell r="D12175" t="str">
            <v>2023</v>
          </cell>
        </row>
        <row r="12176">
          <cell r="D12176" t="str">
            <v>2024</v>
          </cell>
        </row>
        <row r="12177">
          <cell r="D12177" t="str">
            <v>2023</v>
          </cell>
        </row>
        <row r="12178">
          <cell r="D12178" t="str">
            <v>2023</v>
          </cell>
        </row>
        <row r="12179">
          <cell r="D12179" t="str">
            <v>2023</v>
          </cell>
        </row>
        <row r="12180">
          <cell r="D12180" t="str">
            <v>2023</v>
          </cell>
        </row>
        <row r="12181">
          <cell r="D12181" t="str">
            <v>2023</v>
          </cell>
        </row>
        <row r="12182">
          <cell r="D12182" t="str">
            <v>2024</v>
          </cell>
        </row>
        <row r="12183">
          <cell r="D12183" t="str">
            <v>2023</v>
          </cell>
        </row>
        <row r="12184">
          <cell r="D12184" t="str">
            <v>2022</v>
          </cell>
        </row>
        <row r="12185">
          <cell r="D12185" t="str">
            <v>2023</v>
          </cell>
        </row>
        <row r="12186">
          <cell r="D12186" t="str">
            <v>2023</v>
          </cell>
        </row>
        <row r="12187">
          <cell r="D12187" t="str">
            <v>2023</v>
          </cell>
        </row>
        <row r="12188">
          <cell r="D12188" t="str">
            <v>2023</v>
          </cell>
        </row>
        <row r="12189">
          <cell r="D12189" t="str">
            <v>2023</v>
          </cell>
        </row>
        <row r="12190">
          <cell r="D12190" t="str">
            <v>2023</v>
          </cell>
        </row>
        <row r="12191">
          <cell r="D12191" t="str">
            <v>2023</v>
          </cell>
        </row>
        <row r="12192">
          <cell r="D12192" t="str">
            <v>2021</v>
          </cell>
        </row>
        <row r="12193">
          <cell r="D12193" t="str">
            <v>2023</v>
          </cell>
        </row>
        <row r="12194">
          <cell r="D12194" t="str">
            <v>2023</v>
          </cell>
        </row>
        <row r="12195">
          <cell r="D12195" t="str">
            <v>2023</v>
          </cell>
        </row>
        <row r="12196">
          <cell r="D12196" t="str">
            <v>2023</v>
          </cell>
        </row>
        <row r="12197">
          <cell r="D12197" t="str">
            <v>2023</v>
          </cell>
        </row>
        <row r="12198">
          <cell r="D12198" t="str">
            <v>2023</v>
          </cell>
        </row>
        <row r="12199">
          <cell r="D12199" t="str">
            <v>2023</v>
          </cell>
        </row>
        <row r="12200">
          <cell r="D12200" t="str">
            <v>2021</v>
          </cell>
        </row>
        <row r="12201">
          <cell r="D12201" t="str">
            <v>2023</v>
          </cell>
        </row>
        <row r="12202">
          <cell r="D12202" t="str">
            <v>2023</v>
          </cell>
        </row>
        <row r="12203">
          <cell r="D12203" t="str">
            <v>2023</v>
          </cell>
        </row>
        <row r="12204">
          <cell r="D12204" t="str">
            <v>2023</v>
          </cell>
        </row>
        <row r="12205">
          <cell r="D12205" t="str">
            <v>2023</v>
          </cell>
        </row>
        <row r="12206">
          <cell r="D12206" t="str">
            <v>2023</v>
          </cell>
        </row>
        <row r="12207">
          <cell r="D12207" t="str">
            <v>2023</v>
          </cell>
        </row>
        <row r="12208">
          <cell r="D12208" t="str">
            <v>2023</v>
          </cell>
        </row>
        <row r="12209">
          <cell r="D12209" t="str">
            <v>2022</v>
          </cell>
        </row>
        <row r="12210">
          <cell r="D12210" t="str">
            <v>2023</v>
          </cell>
        </row>
        <row r="12211">
          <cell r="D12211" t="str">
            <v>2023</v>
          </cell>
        </row>
        <row r="12212">
          <cell r="D12212" t="str">
            <v>2023</v>
          </cell>
        </row>
        <row r="12213">
          <cell r="D12213" t="str">
            <v>2023</v>
          </cell>
        </row>
        <row r="12214">
          <cell r="D12214" t="str">
            <v>2021</v>
          </cell>
        </row>
        <row r="12215">
          <cell r="D12215" t="str">
            <v>2023</v>
          </cell>
        </row>
        <row r="12216">
          <cell r="D12216" t="str">
            <v>2023</v>
          </cell>
        </row>
        <row r="12217">
          <cell r="D12217" t="str">
            <v>2021</v>
          </cell>
        </row>
        <row r="12218">
          <cell r="D12218" t="str">
            <v>2023</v>
          </cell>
        </row>
        <row r="12219">
          <cell r="D12219" t="str">
            <v>2023</v>
          </cell>
        </row>
        <row r="12220">
          <cell r="D12220" t="str">
            <v>2023</v>
          </cell>
        </row>
        <row r="12221">
          <cell r="D12221" t="str">
            <v>2023</v>
          </cell>
        </row>
        <row r="12222">
          <cell r="D12222" t="str">
            <v>2021</v>
          </cell>
        </row>
        <row r="12223">
          <cell r="D12223" t="str">
            <v>2021</v>
          </cell>
        </row>
        <row r="12224">
          <cell r="D12224" t="str">
            <v>2023</v>
          </cell>
        </row>
        <row r="12225">
          <cell r="D12225" t="str">
            <v>2023</v>
          </cell>
        </row>
        <row r="12226">
          <cell r="D12226" t="str">
            <v>2023</v>
          </cell>
        </row>
        <row r="12227">
          <cell r="D12227" t="str">
            <v>2023</v>
          </cell>
        </row>
        <row r="12228">
          <cell r="D12228" t="str">
            <v>2024</v>
          </cell>
        </row>
        <row r="12229">
          <cell r="D12229" t="str">
            <v>2023</v>
          </cell>
        </row>
        <row r="12230">
          <cell r="D12230" t="str">
            <v>2023</v>
          </cell>
        </row>
        <row r="12231">
          <cell r="D12231" t="str">
            <v>2023</v>
          </cell>
        </row>
        <row r="12232">
          <cell r="D12232" t="str">
            <v>2023</v>
          </cell>
        </row>
        <row r="12233">
          <cell r="D12233" t="str">
            <v>2023</v>
          </cell>
        </row>
        <row r="12234">
          <cell r="D12234" t="str">
            <v>2022</v>
          </cell>
        </row>
        <row r="12235">
          <cell r="D12235" t="str">
            <v>2023</v>
          </cell>
        </row>
        <row r="12236">
          <cell r="D12236" t="str">
            <v>2023</v>
          </cell>
        </row>
        <row r="12237">
          <cell r="D12237" t="str">
            <v>2023</v>
          </cell>
        </row>
        <row r="12238">
          <cell r="D12238" t="str">
            <v>2023</v>
          </cell>
        </row>
        <row r="12239">
          <cell r="D12239" t="str">
            <v>2023</v>
          </cell>
        </row>
        <row r="12240">
          <cell r="D12240" t="str">
            <v>2023</v>
          </cell>
        </row>
        <row r="12241">
          <cell r="D12241" t="str">
            <v>2023</v>
          </cell>
        </row>
        <row r="12242">
          <cell r="D12242" t="str">
            <v>2023</v>
          </cell>
        </row>
        <row r="12243">
          <cell r="D12243" t="str">
            <v>2023</v>
          </cell>
        </row>
        <row r="12244">
          <cell r="D12244" t="str">
            <v>2022</v>
          </cell>
        </row>
        <row r="12245">
          <cell r="D12245" t="str">
            <v>2023</v>
          </cell>
        </row>
        <row r="12246">
          <cell r="D12246" t="str">
            <v>2023</v>
          </cell>
        </row>
        <row r="12247">
          <cell r="D12247" t="str">
            <v>2023</v>
          </cell>
        </row>
        <row r="12248">
          <cell r="D12248" t="str">
            <v>2023</v>
          </cell>
        </row>
        <row r="12249">
          <cell r="D12249" t="str">
            <v>2023</v>
          </cell>
        </row>
        <row r="12250">
          <cell r="D12250" t="str">
            <v>2022</v>
          </cell>
        </row>
        <row r="12251">
          <cell r="D12251" t="str">
            <v>2023</v>
          </cell>
        </row>
        <row r="12252">
          <cell r="D12252" t="str">
            <v>2023</v>
          </cell>
        </row>
        <row r="12253">
          <cell r="D12253" t="str">
            <v>2023</v>
          </cell>
        </row>
        <row r="12254">
          <cell r="D12254" t="str">
            <v>2023</v>
          </cell>
        </row>
        <row r="12255">
          <cell r="D12255" t="str">
            <v>2022</v>
          </cell>
        </row>
        <row r="12256">
          <cell r="D12256" t="str">
            <v>2023</v>
          </cell>
        </row>
        <row r="12257">
          <cell r="D12257" t="str">
            <v>2023</v>
          </cell>
        </row>
        <row r="12258">
          <cell r="D12258" t="str">
            <v>2022</v>
          </cell>
        </row>
        <row r="12259">
          <cell r="D12259" t="str">
            <v>2023</v>
          </cell>
        </row>
        <row r="12260">
          <cell r="D12260" t="str">
            <v>2023</v>
          </cell>
        </row>
        <row r="12261">
          <cell r="D12261" t="str">
            <v>2023</v>
          </cell>
        </row>
        <row r="12262">
          <cell r="D12262" t="str">
            <v>2022</v>
          </cell>
        </row>
        <row r="12263">
          <cell r="D12263" t="str">
            <v>2022</v>
          </cell>
        </row>
        <row r="12264">
          <cell r="D12264" t="str">
            <v>2023</v>
          </cell>
        </row>
        <row r="12265">
          <cell r="D12265" t="str">
            <v>2023</v>
          </cell>
        </row>
        <row r="12266">
          <cell r="D12266" t="str">
            <v>2023</v>
          </cell>
        </row>
        <row r="12267">
          <cell r="D12267" t="str">
            <v>2023</v>
          </cell>
        </row>
        <row r="12268">
          <cell r="D12268" t="str">
            <v>2023</v>
          </cell>
        </row>
        <row r="12269">
          <cell r="D12269" t="str">
            <v>2021</v>
          </cell>
        </row>
        <row r="12270">
          <cell r="D12270" t="str">
            <v>2023</v>
          </cell>
        </row>
        <row r="12271">
          <cell r="D12271" t="str">
            <v>2021</v>
          </cell>
        </row>
        <row r="12272">
          <cell r="D12272" t="str">
            <v>2023</v>
          </cell>
        </row>
        <row r="12273">
          <cell r="D12273" t="str">
            <v>2023</v>
          </cell>
        </row>
        <row r="12274">
          <cell r="D12274" t="str">
            <v>2023</v>
          </cell>
        </row>
        <row r="12275">
          <cell r="D12275" t="str">
            <v>2023</v>
          </cell>
        </row>
        <row r="12276">
          <cell r="D12276" t="str">
            <v>2023</v>
          </cell>
        </row>
        <row r="12277">
          <cell r="D12277" t="str">
            <v>2023</v>
          </cell>
        </row>
        <row r="12278">
          <cell r="D12278" t="str">
            <v>2023</v>
          </cell>
        </row>
        <row r="12279">
          <cell r="D12279" t="str">
            <v>2021</v>
          </cell>
        </row>
        <row r="12280">
          <cell r="D12280" t="str">
            <v>2023</v>
          </cell>
        </row>
        <row r="12281">
          <cell r="D12281" t="str">
            <v>2021</v>
          </cell>
        </row>
        <row r="12282">
          <cell r="D12282" t="str">
            <v>2023</v>
          </cell>
        </row>
        <row r="12283">
          <cell r="D12283" t="str">
            <v>2023</v>
          </cell>
        </row>
        <row r="12284">
          <cell r="D12284" t="str">
            <v>2022</v>
          </cell>
        </row>
        <row r="12285">
          <cell r="D12285" t="str">
            <v>2023</v>
          </cell>
        </row>
        <row r="12286">
          <cell r="D12286" t="str">
            <v>2023</v>
          </cell>
        </row>
        <row r="12287">
          <cell r="D12287" t="str">
            <v>2023</v>
          </cell>
        </row>
        <row r="12288">
          <cell r="D12288" t="str">
            <v>2022</v>
          </cell>
        </row>
        <row r="12289">
          <cell r="D12289" t="str">
            <v>2023</v>
          </cell>
        </row>
        <row r="12290">
          <cell r="D12290" t="str">
            <v>2023</v>
          </cell>
        </row>
        <row r="12291">
          <cell r="D12291" t="str">
            <v>2021</v>
          </cell>
        </row>
        <row r="12292">
          <cell r="D12292" t="str">
            <v>2023</v>
          </cell>
        </row>
        <row r="12293">
          <cell r="D12293" t="str">
            <v>2022</v>
          </cell>
        </row>
        <row r="12294">
          <cell r="D12294" t="str">
            <v>2022</v>
          </cell>
        </row>
        <row r="12295">
          <cell r="D12295" t="str">
            <v>2023</v>
          </cell>
        </row>
        <row r="12296">
          <cell r="D12296" t="str">
            <v>2023</v>
          </cell>
        </row>
        <row r="12297">
          <cell r="D12297" t="str">
            <v>2023</v>
          </cell>
        </row>
        <row r="12298">
          <cell r="D12298" t="str">
            <v>2023</v>
          </cell>
        </row>
        <row r="12299">
          <cell r="D12299" t="str">
            <v>2023</v>
          </cell>
        </row>
        <row r="12300">
          <cell r="D12300" t="str">
            <v>2021</v>
          </cell>
        </row>
        <row r="12301">
          <cell r="D12301" t="str">
            <v>2024</v>
          </cell>
        </row>
        <row r="12302">
          <cell r="D12302" t="str">
            <v>2024</v>
          </cell>
        </row>
        <row r="12303">
          <cell r="D12303" t="str">
            <v>2023</v>
          </cell>
        </row>
        <row r="12304">
          <cell r="D12304" t="str">
            <v>2023</v>
          </cell>
        </row>
        <row r="12305">
          <cell r="D12305" t="str">
            <v>2021</v>
          </cell>
        </row>
        <row r="12306">
          <cell r="D12306" t="str">
            <v>2023</v>
          </cell>
        </row>
        <row r="12307">
          <cell r="D12307" t="str">
            <v>2023</v>
          </cell>
        </row>
        <row r="12308">
          <cell r="D12308" t="str">
            <v>2022</v>
          </cell>
        </row>
        <row r="12309">
          <cell r="D12309" t="str">
            <v>2023</v>
          </cell>
        </row>
        <row r="12310">
          <cell r="D12310" t="str">
            <v>2023</v>
          </cell>
        </row>
        <row r="12311">
          <cell r="D12311" t="str">
            <v>2023</v>
          </cell>
        </row>
        <row r="12312">
          <cell r="D12312" t="str">
            <v>2023</v>
          </cell>
        </row>
        <row r="12313">
          <cell r="D12313" t="str">
            <v>2023</v>
          </cell>
        </row>
        <row r="12314">
          <cell r="D12314" t="str">
            <v>2023</v>
          </cell>
        </row>
        <row r="12315">
          <cell r="D12315" t="str">
            <v>2023</v>
          </cell>
        </row>
        <row r="12316">
          <cell r="D12316" t="str">
            <v>2023</v>
          </cell>
        </row>
        <row r="12317">
          <cell r="D12317" t="str">
            <v>2023</v>
          </cell>
        </row>
        <row r="12318">
          <cell r="D12318" t="str">
            <v>2023</v>
          </cell>
        </row>
        <row r="12319">
          <cell r="D12319" t="str">
            <v>2023</v>
          </cell>
        </row>
        <row r="12320">
          <cell r="D12320" t="str">
            <v>2023</v>
          </cell>
        </row>
        <row r="12321">
          <cell r="D12321" t="str">
            <v>2023</v>
          </cell>
        </row>
        <row r="12322">
          <cell r="D12322" t="str">
            <v>2023</v>
          </cell>
        </row>
        <row r="12323">
          <cell r="D12323" t="str">
            <v>2023</v>
          </cell>
        </row>
        <row r="12324">
          <cell r="D12324" t="str">
            <v>2023</v>
          </cell>
        </row>
        <row r="12325">
          <cell r="D12325" t="str">
            <v>2021</v>
          </cell>
        </row>
        <row r="12326">
          <cell r="D12326" t="str">
            <v>2023</v>
          </cell>
        </row>
        <row r="12327">
          <cell r="D12327" t="str">
            <v>2023</v>
          </cell>
        </row>
        <row r="12328">
          <cell r="D12328" t="str">
            <v>2023</v>
          </cell>
        </row>
        <row r="12329">
          <cell r="D12329" t="str">
            <v>2023</v>
          </cell>
        </row>
        <row r="12330">
          <cell r="D12330" t="str">
            <v>2023</v>
          </cell>
        </row>
        <row r="12331">
          <cell r="D12331" t="str">
            <v>2022</v>
          </cell>
        </row>
        <row r="12332">
          <cell r="D12332" t="str">
            <v>2021</v>
          </cell>
        </row>
        <row r="12333">
          <cell r="D12333" t="str">
            <v>2023</v>
          </cell>
        </row>
        <row r="12334">
          <cell r="D12334" t="str">
            <v>2023</v>
          </cell>
        </row>
        <row r="12335">
          <cell r="D12335" t="str">
            <v>2023</v>
          </cell>
        </row>
        <row r="12336">
          <cell r="D12336" t="str">
            <v>2023</v>
          </cell>
        </row>
        <row r="12337">
          <cell r="D12337" t="str">
            <v>2023</v>
          </cell>
        </row>
        <row r="12338">
          <cell r="D12338" t="str">
            <v>2024</v>
          </cell>
        </row>
        <row r="12339">
          <cell r="D12339" t="str">
            <v>2023</v>
          </cell>
        </row>
        <row r="12340">
          <cell r="D12340" t="str">
            <v>2021</v>
          </cell>
        </row>
        <row r="12341">
          <cell r="D12341" t="str">
            <v>2023</v>
          </cell>
        </row>
        <row r="12342">
          <cell r="D12342" t="str">
            <v>2023</v>
          </cell>
        </row>
        <row r="12343">
          <cell r="D12343" t="str">
            <v>2023</v>
          </cell>
        </row>
        <row r="12344">
          <cell r="D12344" t="str">
            <v>2021</v>
          </cell>
        </row>
        <row r="12345">
          <cell r="D12345" t="str">
            <v>2023</v>
          </cell>
        </row>
        <row r="12346">
          <cell r="D12346" t="str">
            <v>2023</v>
          </cell>
        </row>
        <row r="12347">
          <cell r="D12347" t="str">
            <v>2023</v>
          </cell>
        </row>
        <row r="12348">
          <cell r="D12348" t="str">
            <v>2022</v>
          </cell>
        </row>
        <row r="12349">
          <cell r="D12349" t="str">
            <v>2023</v>
          </cell>
        </row>
        <row r="12350">
          <cell r="D12350" t="str">
            <v>2023</v>
          </cell>
        </row>
        <row r="12351">
          <cell r="D12351" t="str">
            <v>2023</v>
          </cell>
        </row>
        <row r="12352">
          <cell r="D12352" t="str">
            <v>2023</v>
          </cell>
        </row>
        <row r="12353">
          <cell r="D12353" t="str">
            <v>2023</v>
          </cell>
        </row>
        <row r="12354">
          <cell r="D12354" t="str">
            <v>2023</v>
          </cell>
        </row>
        <row r="12355">
          <cell r="D12355" t="str">
            <v>2023</v>
          </cell>
        </row>
        <row r="12356">
          <cell r="D12356" t="str">
            <v>2023</v>
          </cell>
        </row>
        <row r="12357">
          <cell r="D12357" t="str">
            <v>2023</v>
          </cell>
        </row>
        <row r="12358">
          <cell r="D12358" t="str">
            <v>2023</v>
          </cell>
        </row>
        <row r="12359">
          <cell r="D12359" t="str">
            <v>2023</v>
          </cell>
        </row>
        <row r="12360">
          <cell r="D12360" t="str">
            <v>2021</v>
          </cell>
        </row>
        <row r="12361">
          <cell r="D12361" t="str">
            <v>2023</v>
          </cell>
        </row>
        <row r="12362">
          <cell r="D12362" t="str">
            <v>2021</v>
          </cell>
        </row>
        <row r="12363">
          <cell r="D12363" t="str">
            <v>2023</v>
          </cell>
        </row>
        <row r="12364">
          <cell r="D12364" t="str">
            <v>2023</v>
          </cell>
        </row>
        <row r="12365">
          <cell r="D12365" t="str">
            <v>2023</v>
          </cell>
        </row>
        <row r="12366">
          <cell r="D12366" t="str">
            <v>2021</v>
          </cell>
        </row>
        <row r="12367">
          <cell r="D12367" t="str">
            <v>2023</v>
          </cell>
        </row>
        <row r="12368">
          <cell r="D12368" t="str">
            <v>2022</v>
          </cell>
        </row>
        <row r="12369">
          <cell r="D12369" t="str">
            <v>2023</v>
          </cell>
        </row>
        <row r="12370">
          <cell r="D12370" t="str">
            <v>2023</v>
          </cell>
        </row>
        <row r="12371">
          <cell r="D12371" t="str">
            <v>2023</v>
          </cell>
        </row>
        <row r="12372">
          <cell r="D12372" t="str">
            <v>2023</v>
          </cell>
        </row>
        <row r="12373">
          <cell r="D12373" t="str">
            <v>2023</v>
          </cell>
        </row>
        <row r="12374">
          <cell r="D12374" t="str">
            <v>2023</v>
          </cell>
        </row>
        <row r="12375">
          <cell r="D12375" t="str">
            <v>2023</v>
          </cell>
        </row>
        <row r="12376">
          <cell r="D12376" t="str">
            <v>2023</v>
          </cell>
        </row>
        <row r="12377">
          <cell r="D12377" t="str">
            <v>2023</v>
          </cell>
        </row>
        <row r="12378">
          <cell r="D12378" t="str">
            <v>2023</v>
          </cell>
        </row>
        <row r="12379">
          <cell r="D12379" t="str">
            <v>2023</v>
          </cell>
        </row>
        <row r="12380">
          <cell r="D12380" t="str">
            <v>2021</v>
          </cell>
        </row>
        <row r="12381">
          <cell r="D12381" t="str">
            <v>2023</v>
          </cell>
        </row>
        <row r="12382">
          <cell r="D12382" t="str">
            <v>2023</v>
          </cell>
        </row>
        <row r="12383">
          <cell r="D12383" t="str">
            <v>2023</v>
          </cell>
        </row>
        <row r="12384">
          <cell r="D12384" t="str">
            <v>2023</v>
          </cell>
        </row>
        <row r="12385">
          <cell r="D12385" t="str">
            <v>2023</v>
          </cell>
        </row>
        <row r="12386">
          <cell r="D12386" t="str">
            <v>2023</v>
          </cell>
        </row>
        <row r="12387">
          <cell r="D12387" t="str">
            <v>2023</v>
          </cell>
        </row>
        <row r="12388">
          <cell r="D12388" t="str">
            <v>2023</v>
          </cell>
        </row>
        <row r="12389">
          <cell r="D12389" t="str">
            <v>2023</v>
          </cell>
        </row>
        <row r="12390">
          <cell r="D12390" t="str">
            <v>2023</v>
          </cell>
        </row>
        <row r="12391">
          <cell r="D12391" t="str">
            <v>2023</v>
          </cell>
        </row>
        <row r="12392">
          <cell r="D12392" t="str">
            <v>2022</v>
          </cell>
        </row>
        <row r="12393">
          <cell r="D12393" t="str">
            <v>2023</v>
          </cell>
        </row>
        <row r="12394">
          <cell r="D12394" t="str">
            <v>2023</v>
          </cell>
        </row>
        <row r="12395">
          <cell r="D12395" t="str">
            <v>2023</v>
          </cell>
        </row>
        <row r="12396">
          <cell r="D12396" t="str">
            <v>2023</v>
          </cell>
        </row>
        <row r="12397">
          <cell r="D12397" t="str">
            <v>2023</v>
          </cell>
        </row>
        <row r="12398">
          <cell r="D12398" t="str">
            <v>2023</v>
          </cell>
        </row>
        <row r="12399">
          <cell r="D12399" t="str">
            <v>2023</v>
          </cell>
        </row>
        <row r="12400">
          <cell r="D12400" t="str">
            <v>2023</v>
          </cell>
        </row>
        <row r="12401">
          <cell r="D12401" t="str">
            <v>2023</v>
          </cell>
        </row>
        <row r="12402">
          <cell r="D12402" t="str">
            <v>2023</v>
          </cell>
        </row>
        <row r="12403">
          <cell r="D12403" t="str">
            <v>2022</v>
          </cell>
        </row>
        <row r="12404">
          <cell r="D12404" t="str">
            <v>2021</v>
          </cell>
        </row>
        <row r="12405">
          <cell r="D12405" t="str">
            <v>2023</v>
          </cell>
        </row>
        <row r="12406">
          <cell r="D12406" t="str">
            <v>2023</v>
          </cell>
        </row>
        <row r="12407">
          <cell r="D12407" t="str">
            <v>2022</v>
          </cell>
        </row>
        <row r="12408">
          <cell r="D12408" t="str">
            <v>2023</v>
          </cell>
        </row>
        <row r="12409">
          <cell r="D12409" t="str">
            <v>2023</v>
          </cell>
        </row>
        <row r="12410">
          <cell r="D12410" t="str">
            <v>2024</v>
          </cell>
        </row>
        <row r="12411">
          <cell r="D12411" t="str">
            <v>2021</v>
          </cell>
        </row>
        <row r="12412">
          <cell r="D12412" t="str">
            <v>2023</v>
          </cell>
        </row>
        <row r="12413">
          <cell r="D12413" t="str">
            <v>2024</v>
          </cell>
        </row>
        <row r="12414">
          <cell r="D12414" t="str">
            <v>2023</v>
          </cell>
        </row>
        <row r="12415">
          <cell r="D12415" t="str">
            <v>2023</v>
          </cell>
        </row>
        <row r="12416">
          <cell r="D12416" t="str">
            <v>2023</v>
          </cell>
        </row>
        <row r="12417">
          <cell r="D12417" t="str">
            <v>2022</v>
          </cell>
        </row>
        <row r="12418">
          <cell r="D12418" t="str">
            <v>2022</v>
          </cell>
        </row>
        <row r="12419">
          <cell r="D12419" t="str">
            <v>2023</v>
          </cell>
        </row>
        <row r="12420">
          <cell r="D12420" t="str">
            <v>2023</v>
          </cell>
        </row>
        <row r="12421">
          <cell r="D12421" t="str">
            <v>2023</v>
          </cell>
        </row>
        <row r="12422">
          <cell r="D12422" t="str">
            <v>2023</v>
          </cell>
        </row>
        <row r="12423">
          <cell r="D12423" t="str">
            <v>2023</v>
          </cell>
        </row>
        <row r="12424">
          <cell r="D12424" t="str">
            <v>2023</v>
          </cell>
        </row>
        <row r="12425">
          <cell r="D12425" t="str">
            <v>2023</v>
          </cell>
        </row>
        <row r="12426">
          <cell r="D12426" t="str">
            <v>2023</v>
          </cell>
        </row>
        <row r="12427">
          <cell r="D12427" t="str">
            <v>2023</v>
          </cell>
        </row>
        <row r="12428">
          <cell r="D12428" t="str">
            <v>2023</v>
          </cell>
        </row>
        <row r="12429">
          <cell r="D12429" t="str">
            <v>2023</v>
          </cell>
        </row>
        <row r="12430">
          <cell r="D12430" t="str">
            <v>2023</v>
          </cell>
        </row>
        <row r="12431">
          <cell r="D12431" t="str">
            <v>2021</v>
          </cell>
        </row>
        <row r="12432">
          <cell r="D12432" t="str">
            <v>2023</v>
          </cell>
        </row>
        <row r="12433">
          <cell r="D12433" t="str">
            <v>2023</v>
          </cell>
        </row>
        <row r="12434">
          <cell r="D12434" t="str">
            <v>2023</v>
          </cell>
        </row>
        <row r="12435">
          <cell r="D12435" t="str">
            <v>2023</v>
          </cell>
        </row>
        <row r="12436">
          <cell r="D12436" t="str">
            <v>2023</v>
          </cell>
        </row>
        <row r="12437">
          <cell r="D12437" t="str">
            <v>2023</v>
          </cell>
        </row>
        <row r="12438">
          <cell r="D12438" t="str">
            <v>2023</v>
          </cell>
        </row>
        <row r="12439">
          <cell r="D12439" t="str">
            <v>2021</v>
          </cell>
        </row>
        <row r="12440">
          <cell r="D12440" t="str">
            <v>2023</v>
          </cell>
        </row>
        <row r="12441">
          <cell r="D12441" t="str">
            <v>2023</v>
          </cell>
        </row>
        <row r="12442">
          <cell r="D12442" t="str">
            <v>2024</v>
          </cell>
        </row>
        <row r="12443">
          <cell r="D12443" t="str">
            <v>2023</v>
          </cell>
        </row>
        <row r="12444">
          <cell r="D12444" t="str">
            <v>2023</v>
          </cell>
        </row>
        <row r="12445">
          <cell r="D12445" t="str">
            <v>2023</v>
          </cell>
        </row>
        <row r="12446">
          <cell r="D12446" t="str">
            <v>2023</v>
          </cell>
        </row>
        <row r="12447">
          <cell r="D12447" t="str">
            <v>2023</v>
          </cell>
        </row>
        <row r="12448">
          <cell r="D12448" t="str">
            <v>2023</v>
          </cell>
        </row>
        <row r="12449">
          <cell r="D12449" t="str">
            <v>2022</v>
          </cell>
        </row>
        <row r="12450">
          <cell r="D12450" t="str">
            <v>2023</v>
          </cell>
        </row>
        <row r="12451">
          <cell r="D12451" t="str">
            <v>2023</v>
          </cell>
        </row>
        <row r="12452">
          <cell r="D12452" t="str">
            <v>2023</v>
          </cell>
        </row>
        <row r="12453">
          <cell r="D12453" t="str">
            <v>2022</v>
          </cell>
        </row>
        <row r="12454">
          <cell r="D12454" t="str">
            <v>2023</v>
          </cell>
        </row>
        <row r="12455">
          <cell r="D12455" t="str">
            <v>2023</v>
          </cell>
        </row>
        <row r="12456">
          <cell r="D12456" t="str">
            <v>2022</v>
          </cell>
        </row>
        <row r="12457">
          <cell r="D12457" t="str">
            <v>2023</v>
          </cell>
        </row>
        <row r="12458">
          <cell r="D12458" t="str">
            <v>2021</v>
          </cell>
        </row>
        <row r="12459">
          <cell r="D12459" t="str">
            <v>2023</v>
          </cell>
        </row>
        <row r="12460">
          <cell r="D12460" t="str">
            <v>2023</v>
          </cell>
        </row>
        <row r="12461">
          <cell r="D12461" t="str">
            <v>2023</v>
          </cell>
        </row>
        <row r="12462">
          <cell r="D12462" t="str">
            <v>2023</v>
          </cell>
        </row>
        <row r="12463">
          <cell r="D12463" t="str">
            <v>2023</v>
          </cell>
        </row>
        <row r="12464">
          <cell r="D12464" t="str">
            <v>2023</v>
          </cell>
        </row>
        <row r="12465">
          <cell r="D12465" t="str">
            <v>2023</v>
          </cell>
        </row>
        <row r="12466">
          <cell r="D12466" t="str">
            <v>2023</v>
          </cell>
        </row>
        <row r="12467">
          <cell r="D12467" t="str">
            <v>2022</v>
          </cell>
        </row>
        <row r="12468">
          <cell r="D12468" t="str">
            <v>2023</v>
          </cell>
        </row>
        <row r="12469">
          <cell r="D12469" t="str">
            <v>2022</v>
          </cell>
        </row>
        <row r="12470">
          <cell r="D12470" t="str">
            <v>2023</v>
          </cell>
        </row>
        <row r="12471">
          <cell r="D12471" t="str">
            <v>2022</v>
          </cell>
        </row>
        <row r="12472">
          <cell r="D12472" t="str">
            <v>2023</v>
          </cell>
        </row>
        <row r="12473">
          <cell r="D12473" t="str">
            <v>2023</v>
          </cell>
        </row>
        <row r="12474">
          <cell r="D12474" t="str">
            <v>2023</v>
          </cell>
        </row>
        <row r="12475">
          <cell r="D12475" t="str">
            <v>2023</v>
          </cell>
        </row>
        <row r="12476">
          <cell r="D12476" t="str">
            <v>2023</v>
          </cell>
        </row>
        <row r="12477">
          <cell r="D12477" t="str">
            <v>2023</v>
          </cell>
        </row>
        <row r="12478">
          <cell r="D12478" t="str">
            <v>2021</v>
          </cell>
        </row>
        <row r="12479">
          <cell r="D12479" t="str">
            <v>2023</v>
          </cell>
        </row>
        <row r="12480">
          <cell r="D12480" t="str">
            <v>2023</v>
          </cell>
        </row>
        <row r="12481">
          <cell r="D12481" t="str">
            <v>2023</v>
          </cell>
        </row>
        <row r="12482">
          <cell r="D12482" t="str">
            <v>2023</v>
          </cell>
        </row>
        <row r="12483">
          <cell r="D12483" t="str">
            <v>2023</v>
          </cell>
        </row>
        <row r="12484">
          <cell r="D12484" t="str">
            <v>2023</v>
          </cell>
        </row>
        <row r="12485">
          <cell r="D12485" t="str">
            <v>2023</v>
          </cell>
        </row>
        <row r="12486">
          <cell r="D12486" t="str">
            <v>2023</v>
          </cell>
        </row>
        <row r="12487">
          <cell r="D12487" t="str">
            <v>2023</v>
          </cell>
        </row>
        <row r="12488">
          <cell r="D12488" t="str">
            <v>2024</v>
          </cell>
        </row>
        <row r="12489">
          <cell r="D12489" t="str">
            <v>2023</v>
          </cell>
        </row>
        <row r="12490">
          <cell r="D12490" t="str">
            <v>2023</v>
          </cell>
        </row>
        <row r="12491">
          <cell r="D12491" t="str">
            <v>2023</v>
          </cell>
        </row>
        <row r="12492">
          <cell r="D12492" t="str">
            <v>2023</v>
          </cell>
        </row>
        <row r="12493">
          <cell r="D12493" t="str">
            <v>2023</v>
          </cell>
        </row>
        <row r="12494">
          <cell r="D12494" t="str">
            <v>2023</v>
          </cell>
        </row>
        <row r="12495">
          <cell r="D12495" t="str">
            <v>2023</v>
          </cell>
        </row>
        <row r="12496">
          <cell r="D12496" t="str">
            <v>2022</v>
          </cell>
        </row>
        <row r="12497">
          <cell r="D12497" t="str">
            <v>2023</v>
          </cell>
        </row>
        <row r="12498">
          <cell r="D12498" t="str">
            <v>2022</v>
          </cell>
        </row>
        <row r="12499">
          <cell r="D12499" t="str">
            <v>2023</v>
          </cell>
        </row>
        <row r="12500">
          <cell r="D12500" t="str">
            <v>2023</v>
          </cell>
        </row>
        <row r="12501">
          <cell r="D12501" t="str">
            <v>2023</v>
          </cell>
        </row>
        <row r="12502">
          <cell r="D12502" t="str">
            <v>2021</v>
          </cell>
        </row>
        <row r="12503">
          <cell r="D12503" t="str">
            <v>2023</v>
          </cell>
        </row>
        <row r="12504">
          <cell r="D12504" t="str">
            <v>2023</v>
          </cell>
        </row>
        <row r="12505">
          <cell r="D12505" t="str">
            <v>2023</v>
          </cell>
        </row>
        <row r="12506">
          <cell r="D12506" t="str">
            <v>2023</v>
          </cell>
        </row>
        <row r="12507">
          <cell r="D12507" t="str">
            <v>2021</v>
          </cell>
        </row>
        <row r="12508">
          <cell r="D12508" t="str">
            <v>2022</v>
          </cell>
        </row>
        <row r="12509">
          <cell r="D12509" t="str">
            <v>2022</v>
          </cell>
        </row>
        <row r="12510">
          <cell r="D12510" t="str">
            <v>2024</v>
          </cell>
        </row>
        <row r="12511">
          <cell r="D12511" t="str">
            <v>2023</v>
          </cell>
        </row>
        <row r="12512">
          <cell r="D12512" t="str">
            <v>2023</v>
          </cell>
        </row>
        <row r="12513">
          <cell r="D12513" t="str">
            <v>2022</v>
          </cell>
        </row>
        <row r="12514">
          <cell r="D12514" t="str">
            <v>2023</v>
          </cell>
        </row>
        <row r="12515">
          <cell r="D12515" t="str">
            <v>2023</v>
          </cell>
        </row>
        <row r="12516">
          <cell r="D12516" t="str">
            <v>2022</v>
          </cell>
        </row>
        <row r="12517">
          <cell r="D12517" t="str">
            <v>2023</v>
          </cell>
        </row>
        <row r="12518">
          <cell r="D12518" t="str">
            <v>2023</v>
          </cell>
        </row>
        <row r="12519">
          <cell r="D12519" t="str">
            <v>2023</v>
          </cell>
        </row>
        <row r="12520">
          <cell r="D12520" t="str">
            <v>2023</v>
          </cell>
        </row>
        <row r="12521">
          <cell r="D12521" t="str">
            <v>2023</v>
          </cell>
        </row>
        <row r="12522">
          <cell r="D12522" t="str">
            <v>2023</v>
          </cell>
        </row>
        <row r="12523">
          <cell r="D12523" t="str">
            <v>2023</v>
          </cell>
        </row>
        <row r="12524">
          <cell r="D12524" t="str">
            <v>2022</v>
          </cell>
        </row>
        <row r="12525">
          <cell r="D12525" t="str">
            <v>2023</v>
          </cell>
        </row>
        <row r="12526">
          <cell r="D12526" t="str">
            <v>2023</v>
          </cell>
        </row>
        <row r="12527">
          <cell r="D12527" t="str">
            <v>2023</v>
          </cell>
        </row>
        <row r="12528">
          <cell r="D12528" t="str">
            <v>2023</v>
          </cell>
        </row>
        <row r="12529">
          <cell r="D12529" t="str">
            <v>2023</v>
          </cell>
        </row>
        <row r="12530">
          <cell r="D12530" t="str">
            <v>2023</v>
          </cell>
        </row>
        <row r="12531">
          <cell r="D12531" t="str">
            <v>2023</v>
          </cell>
        </row>
        <row r="12532">
          <cell r="D12532" t="str">
            <v>2023</v>
          </cell>
        </row>
        <row r="12533">
          <cell r="D12533" t="str">
            <v>2024</v>
          </cell>
        </row>
        <row r="12534">
          <cell r="D12534" t="str">
            <v>2023</v>
          </cell>
        </row>
        <row r="12535">
          <cell r="D12535" t="str">
            <v>2023</v>
          </cell>
        </row>
        <row r="12536">
          <cell r="D12536" t="str">
            <v>2023</v>
          </cell>
        </row>
        <row r="12537">
          <cell r="D12537" t="str">
            <v>2023</v>
          </cell>
        </row>
        <row r="12538">
          <cell r="D12538" t="str">
            <v>2023</v>
          </cell>
        </row>
        <row r="12539">
          <cell r="D12539" t="str">
            <v>2023</v>
          </cell>
        </row>
        <row r="12540">
          <cell r="D12540" t="str">
            <v>2023</v>
          </cell>
        </row>
        <row r="12541">
          <cell r="D12541" t="str">
            <v>2023</v>
          </cell>
        </row>
        <row r="12542">
          <cell r="D12542" t="str">
            <v>2024</v>
          </cell>
        </row>
        <row r="12543">
          <cell r="D12543" t="str">
            <v>2023</v>
          </cell>
        </row>
        <row r="12544">
          <cell r="D12544" t="str">
            <v>2022</v>
          </cell>
        </row>
        <row r="12545">
          <cell r="D12545" t="str">
            <v>2023</v>
          </cell>
        </row>
        <row r="12546">
          <cell r="D12546" t="str">
            <v>2023</v>
          </cell>
        </row>
        <row r="12547">
          <cell r="D12547" t="str">
            <v>2023</v>
          </cell>
        </row>
        <row r="12548">
          <cell r="D12548" t="str">
            <v>2023</v>
          </cell>
        </row>
        <row r="12549">
          <cell r="D12549" t="str">
            <v>2023</v>
          </cell>
        </row>
        <row r="12550">
          <cell r="D12550" t="str">
            <v>2022</v>
          </cell>
        </row>
        <row r="12551">
          <cell r="D12551" t="str">
            <v>2023</v>
          </cell>
        </row>
        <row r="12552">
          <cell r="D12552" t="str">
            <v>2023</v>
          </cell>
        </row>
        <row r="12553">
          <cell r="D12553" t="str">
            <v>2022</v>
          </cell>
        </row>
        <row r="12554">
          <cell r="D12554" t="str">
            <v>2023</v>
          </cell>
        </row>
        <row r="12555">
          <cell r="D12555" t="str">
            <v>2023</v>
          </cell>
        </row>
        <row r="12556">
          <cell r="D12556" t="str">
            <v>2022</v>
          </cell>
        </row>
        <row r="12557">
          <cell r="D12557" t="str">
            <v>2023</v>
          </cell>
        </row>
        <row r="12558">
          <cell r="D12558" t="str">
            <v>2023</v>
          </cell>
        </row>
        <row r="12559">
          <cell r="D12559" t="str">
            <v>2023</v>
          </cell>
        </row>
        <row r="12560">
          <cell r="D12560" t="str">
            <v>2023</v>
          </cell>
        </row>
        <row r="12561">
          <cell r="D12561" t="str">
            <v>2023</v>
          </cell>
        </row>
        <row r="12562">
          <cell r="D12562" t="str">
            <v>2023</v>
          </cell>
        </row>
        <row r="12563">
          <cell r="D12563" t="str">
            <v>2023</v>
          </cell>
        </row>
        <row r="12564">
          <cell r="D12564" t="str">
            <v>2023</v>
          </cell>
        </row>
        <row r="12565">
          <cell r="D12565" t="str">
            <v>2023</v>
          </cell>
        </row>
        <row r="12566">
          <cell r="D12566" t="str">
            <v>2023</v>
          </cell>
        </row>
        <row r="12567">
          <cell r="D12567" t="str">
            <v>2023</v>
          </cell>
        </row>
        <row r="12568">
          <cell r="D12568" t="str">
            <v>2021</v>
          </cell>
        </row>
        <row r="12569">
          <cell r="D12569" t="str">
            <v>2023</v>
          </cell>
        </row>
        <row r="12570">
          <cell r="D12570" t="str">
            <v>2023</v>
          </cell>
        </row>
        <row r="12571">
          <cell r="D12571" t="str">
            <v>2023</v>
          </cell>
        </row>
        <row r="12572">
          <cell r="D12572" t="str">
            <v>2021</v>
          </cell>
        </row>
        <row r="12573">
          <cell r="D12573" t="str">
            <v>2023</v>
          </cell>
        </row>
        <row r="12574">
          <cell r="D12574" t="str">
            <v>2023</v>
          </cell>
        </row>
        <row r="12575">
          <cell r="D12575" t="str">
            <v>2023</v>
          </cell>
        </row>
        <row r="12576">
          <cell r="D12576" t="str">
            <v>2023</v>
          </cell>
        </row>
        <row r="12577">
          <cell r="D12577" t="str">
            <v>2022</v>
          </cell>
        </row>
        <row r="12578">
          <cell r="D12578" t="str">
            <v>2023</v>
          </cell>
        </row>
        <row r="12579">
          <cell r="D12579" t="str">
            <v>2022</v>
          </cell>
        </row>
        <row r="12580">
          <cell r="D12580" t="str">
            <v>2023</v>
          </cell>
        </row>
        <row r="12581">
          <cell r="D12581" t="str">
            <v>2023</v>
          </cell>
        </row>
        <row r="12582">
          <cell r="D12582" t="str">
            <v>2022</v>
          </cell>
        </row>
        <row r="12583">
          <cell r="D12583" t="str">
            <v>2023</v>
          </cell>
        </row>
        <row r="12584">
          <cell r="D12584" t="str">
            <v>2023</v>
          </cell>
        </row>
        <row r="12585">
          <cell r="D12585" t="str">
            <v>2023</v>
          </cell>
        </row>
        <row r="12586">
          <cell r="D12586" t="str">
            <v>2023</v>
          </cell>
        </row>
        <row r="12587">
          <cell r="D12587" t="str">
            <v>2023</v>
          </cell>
        </row>
        <row r="12588">
          <cell r="D12588" t="str">
            <v>2023</v>
          </cell>
        </row>
        <row r="12589">
          <cell r="D12589" t="str">
            <v>2023</v>
          </cell>
        </row>
        <row r="12590">
          <cell r="D12590" t="str">
            <v>2024</v>
          </cell>
        </row>
        <row r="12591">
          <cell r="D12591" t="str">
            <v>2023</v>
          </cell>
        </row>
        <row r="12592">
          <cell r="D12592" t="str">
            <v>2023</v>
          </cell>
        </row>
        <row r="12593">
          <cell r="D12593" t="str">
            <v>2021</v>
          </cell>
        </row>
        <row r="12594">
          <cell r="D12594" t="str">
            <v>2023</v>
          </cell>
        </row>
        <row r="12595">
          <cell r="D12595" t="str">
            <v>2023</v>
          </cell>
        </row>
        <row r="12596">
          <cell r="D12596" t="str">
            <v>2023</v>
          </cell>
        </row>
        <row r="12597">
          <cell r="D12597" t="str">
            <v>2023</v>
          </cell>
        </row>
        <row r="12598">
          <cell r="D12598" t="str">
            <v>2023</v>
          </cell>
        </row>
        <row r="12599">
          <cell r="D12599" t="str">
            <v>2024</v>
          </cell>
        </row>
        <row r="12600">
          <cell r="D12600" t="str">
            <v>2022</v>
          </cell>
        </row>
        <row r="12601">
          <cell r="D12601" t="str">
            <v>2023</v>
          </cell>
        </row>
        <row r="12602">
          <cell r="D12602" t="str">
            <v>2021</v>
          </cell>
        </row>
        <row r="12603">
          <cell r="D12603" t="str">
            <v>2023</v>
          </cell>
        </row>
        <row r="12604">
          <cell r="D12604" t="str">
            <v>2023</v>
          </cell>
        </row>
        <row r="12605">
          <cell r="D12605" t="str">
            <v>2023</v>
          </cell>
        </row>
        <row r="12606">
          <cell r="D12606" t="str">
            <v>2023</v>
          </cell>
        </row>
        <row r="12607">
          <cell r="D12607" t="str">
            <v>2023</v>
          </cell>
        </row>
        <row r="12608">
          <cell r="D12608" t="str">
            <v>2023</v>
          </cell>
        </row>
        <row r="12609">
          <cell r="D12609" t="str">
            <v>2023</v>
          </cell>
        </row>
        <row r="12610">
          <cell r="D12610" t="str">
            <v>2023</v>
          </cell>
        </row>
        <row r="12611">
          <cell r="D12611" t="str">
            <v>2023</v>
          </cell>
        </row>
        <row r="12612">
          <cell r="D12612" t="str">
            <v>2023</v>
          </cell>
        </row>
        <row r="12613">
          <cell r="D12613" t="str">
            <v>2023</v>
          </cell>
        </row>
        <row r="12614">
          <cell r="D12614" t="str">
            <v>2023</v>
          </cell>
        </row>
        <row r="12615">
          <cell r="D12615" t="str">
            <v>2023</v>
          </cell>
        </row>
        <row r="12616">
          <cell r="D12616" t="str">
            <v>2023</v>
          </cell>
        </row>
        <row r="12617">
          <cell r="D12617" t="str">
            <v>2023</v>
          </cell>
        </row>
        <row r="12618">
          <cell r="D12618" t="str">
            <v>2023</v>
          </cell>
        </row>
        <row r="12619">
          <cell r="D12619" t="str">
            <v>2023</v>
          </cell>
        </row>
        <row r="12620">
          <cell r="D12620" t="str">
            <v>2022</v>
          </cell>
        </row>
        <row r="12621">
          <cell r="D12621" t="str">
            <v>2022</v>
          </cell>
        </row>
        <row r="12622">
          <cell r="D12622" t="str">
            <v>2024</v>
          </cell>
        </row>
        <row r="12623">
          <cell r="D12623" t="str">
            <v>2023</v>
          </cell>
        </row>
        <row r="12624">
          <cell r="D12624" t="str">
            <v>2023</v>
          </cell>
        </row>
        <row r="12625">
          <cell r="D12625" t="str">
            <v>2023</v>
          </cell>
        </row>
        <row r="12626">
          <cell r="D12626" t="str">
            <v>2023</v>
          </cell>
        </row>
        <row r="12627">
          <cell r="D12627" t="str">
            <v>2023</v>
          </cell>
        </row>
        <row r="12628">
          <cell r="D12628" t="str">
            <v>2023</v>
          </cell>
        </row>
        <row r="12629">
          <cell r="D12629" t="str">
            <v>2023</v>
          </cell>
        </row>
        <row r="12630">
          <cell r="D12630" t="str">
            <v>2023</v>
          </cell>
        </row>
        <row r="12631">
          <cell r="D12631" t="str">
            <v>2023</v>
          </cell>
        </row>
        <row r="12632">
          <cell r="D12632" t="str">
            <v>2022</v>
          </cell>
        </row>
        <row r="12633">
          <cell r="D12633" t="str">
            <v>2022</v>
          </cell>
        </row>
        <row r="12634">
          <cell r="D12634" t="str">
            <v>2021</v>
          </cell>
        </row>
        <row r="12635">
          <cell r="D12635" t="str">
            <v>2023</v>
          </cell>
        </row>
        <row r="12636">
          <cell r="D12636" t="str">
            <v>2023</v>
          </cell>
        </row>
        <row r="12637">
          <cell r="D12637" t="str">
            <v>2023</v>
          </cell>
        </row>
        <row r="12638">
          <cell r="D12638" t="str">
            <v>2023</v>
          </cell>
        </row>
        <row r="12639">
          <cell r="D12639" t="str">
            <v>2023</v>
          </cell>
        </row>
        <row r="12640">
          <cell r="D12640" t="str">
            <v>2022</v>
          </cell>
        </row>
        <row r="12641">
          <cell r="D12641" t="str">
            <v>2023</v>
          </cell>
        </row>
        <row r="12642">
          <cell r="D12642" t="str">
            <v>2023</v>
          </cell>
        </row>
        <row r="12643">
          <cell r="D12643" t="str">
            <v>2023</v>
          </cell>
        </row>
        <row r="12644">
          <cell r="D12644" t="str">
            <v>2021</v>
          </cell>
        </row>
        <row r="12645">
          <cell r="D12645" t="str">
            <v>2023</v>
          </cell>
        </row>
        <row r="12646">
          <cell r="D12646" t="str">
            <v>2021</v>
          </cell>
        </row>
        <row r="12647">
          <cell r="D12647" t="str">
            <v>2023</v>
          </cell>
        </row>
        <row r="12648">
          <cell r="D12648" t="str">
            <v>2023</v>
          </cell>
        </row>
        <row r="12649">
          <cell r="D12649" t="str">
            <v>2023</v>
          </cell>
        </row>
        <row r="12650">
          <cell r="D12650" t="str">
            <v>2024</v>
          </cell>
        </row>
        <row r="12651">
          <cell r="D12651" t="str">
            <v>2023</v>
          </cell>
        </row>
        <row r="12652">
          <cell r="D12652" t="str">
            <v>2023</v>
          </cell>
        </row>
        <row r="12653">
          <cell r="D12653" t="str">
            <v>2023</v>
          </cell>
        </row>
        <row r="12654">
          <cell r="D12654" t="str">
            <v>2024</v>
          </cell>
        </row>
        <row r="12655">
          <cell r="D12655" t="str">
            <v>2023</v>
          </cell>
        </row>
        <row r="12656">
          <cell r="D12656" t="str">
            <v>2023</v>
          </cell>
        </row>
        <row r="12657">
          <cell r="D12657" t="str">
            <v>2023</v>
          </cell>
        </row>
        <row r="12658">
          <cell r="D12658" t="str">
            <v>2023</v>
          </cell>
        </row>
        <row r="12659">
          <cell r="D12659" t="str">
            <v>2023</v>
          </cell>
        </row>
        <row r="12660">
          <cell r="D12660" t="str">
            <v>2023</v>
          </cell>
        </row>
        <row r="12661">
          <cell r="D12661" t="str">
            <v>2023</v>
          </cell>
        </row>
        <row r="12662">
          <cell r="D12662" t="str">
            <v>2022</v>
          </cell>
        </row>
        <row r="12663">
          <cell r="D12663" t="str">
            <v>2022</v>
          </cell>
        </row>
        <row r="12664">
          <cell r="D12664" t="str">
            <v>2023</v>
          </cell>
        </row>
        <row r="12665">
          <cell r="D12665" t="str">
            <v>2023</v>
          </cell>
        </row>
        <row r="12666">
          <cell r="D12666" t="str">
            <v>2023</v>
          </cell>
        </row>
        <row r="12667">
          <cell r="D12667" t="str">
            <v>2023</v>
          </cell>
        </row>
        <row r="12668">
          <cell r="D12668" t="str">
            <v>2023</v>
          </cell>
        </row>
        <row r="12669">
          <cell r="D12669" t="str">
            <v>2023</v>
          </cell>
        </row>
        <row r="12670">
          <cell r="D12670" t="str">
            <v>2023</v>
          </cell>
        </row>
        <row r="12671">
          <cell r="D12671" t="str">
            <v>2023</v>
          </cell>
        </row>
        <row r="12672">
          <cell r="D12672" t="str">
            <v>2023</v>
          </cell>
        </row>
        <row r="12673">
          <cell r="D12673" t="str">
            <v>2023</v>
          </cell>
        </row>
        <row r="12674">
          <cell r="D12674" t="str">
            <v>2023</v>
          </cell>
        </row>
        <row r="12675">
          <cell r="D12675" t="str">
            <v>2023</v>
          </cell>
        </row>
        <row r="12676">
          <cell r="D12676" t="str">
            <v>2023</v>
          </cell>
        </row>
        <row r="12677">
          <cell r="D12677" t="str">
            <v>2023</v>
          </cell>
        </row>
        <row r="12678">
          <cell r="D12678" t="str">
            <v>2023</v>
          </cell>
        </row>
        <row r="12679">
          <cell r="D12679" t="str">
            <v>2022</v>
          </cell>
        </row>
        <row r="12680">
          <cell r="D12680" t="str">
            <v>2023</v>
          </cell>
        </row>
        <row r="12681">
          <cell r="D12681" t="str">
            <v>2022</v>
          </cell>
        </row>
        <row r="12682">
          <cell r="D12682" t="str">
            <v>2023</v>
          </cell>
        </row>
        <row r="12683">
          <cell r="D12683" t="str">
            <v>2022</v>
          </cell>
        </row>
        <row r="12684">
          <cell r="D12684" t="str">
            <v>2021</v>
          </cell>
        </row>
        <row r="12685">
          <cell r="D12685" t="str">
            <v>2024</v>
          </cell>
        </row>
        <row r="12686">
          <cell r="D12686" t="str">
            <v>2023</v>
          </cell>
        </row>
        <row r="12687">
          <cell r="D12687" t="str">
            <v>2023</v>
          </cell>
        </row>
        <row r="12688">
          <cell r="D12688" t="str">
            <v>2023</v>
          </cell>
        </row>
        <row r="12689">
          <cell r="D12689" t="str">
            <v>2021</v>
          </cell>
        </row>
        <row r="12690">
          <cell r="D12690" t="str">
            <v>2023</v>
          </cell>
        </row>
        <row r="12691">
          <cell r="D12691" t="str">
            <v>2023</v>
          </cell>
        </row>
        <row r="12692">
          <cell r="D12692" t="str">
            <v>2023</v>
          </cell>
        </row>
        <row r="12693">
          <cell r="D12693" t="str">
            <v>2022</v>
          </cell>
        </row>
        <row r="12694">
          <cell r="D12694" t="str">
            <v>2023</v>
          </cell>
        </row>
        <row r="12695">
          <cell r="D12695" t="str">
            <v>2023</v>
          </cell>
        </row>
        <row r="12696">
          <cell r="D12696" t="str">
            <v>2023</v>
          </cell>
        </row>
        <row r="12697">
          <cell r="D12697" t="str">
            <v>2023</v>
          </cell>
        </row>
        <row r="12698">
          <cell r="D12698" t="str">
            <v>2022</v>
          </cell>
        </row>
        <row r="12699">
          <cell r="D12699" t="str">
            <v>2023</v>
          </cell>
        </row>
        <row r="12700">
          <cell r="D12700" t="str">
            <v>2023</v>
          </cell>
        </row>
        <row r="12701">
          <cell r="D12701" t="str">
            <v>2022</v>
          </cell>
        </row>
        <row r="12702">
          <cell r="D12702" t="str">
            <v>2022</v>
          </cell>
        </row>
        <row r="12703">
          <cell r="D12703" t="str">
            <v>2022</v>
          </cell>
        </row>
        <row r="12704">
          <cell r="D12704" t="str">
            <v>2023</v>
          </cell>
        </row>
        <row r="12705">
          <cell r="D12705" t="str">
            <v>2023</v>
          </cell>
        </row>
        <row r="12706">
          <cell r="D12706" t="str">
            <v>2023</v>
          </cell>
        </row>
        <row r="12707">
          <cell r="D12707" t="str">
            <v>2023</v>
          </cell>
        </row>
        <row r="12708">
          <cell r="D12708" t="str">
            <v>2023</v>
          </cell>
        </row>
        <row r="12709">
          <cell r="D12709" t="str">
            <v>2023</v>
          </cell>
        </row>
        <row r="12710">
          <cell r="D12710" t="str">
            <v>2023</v>
          </cell>
        </row>
        <row r="12711">
          <cell r="D12711" t="str">
            <v>2023</v>
          </cell>
        </row>
        <row r="12712">
          <cell r="D12712" t="str">
            <v>2023</v>
          </cell>
        </row>
        <row r="12713">
          <cell r="D12713" t="str">
            <v>2023</v>
          </cell>
        </row>
        <row r="12714">
          <cell r="D12714" t="str">
            <v>2021</v>
          </cell>
        </row>
        <row r="12715">
          <cell r="D12715" t="str">
            <v>2023</v>
          </cell>
        </row>
        <row r="12716">
          <cell r="D12716" t="str">
            <v>2023</v>
          </cell>
        </row>
        <row r="12717">
          <cell r="D12717" t="str">
            <v>2023</v>
          </cell>
        </row>
        <row r="12718">
          <cell r="D12718" t="str">
            <v>2021</v>
          </cell>
        </row>
        <row r="12719">
          <cell r="D12719" t="str">
            <v>2023</v>
          </cell>
        </row>
        <row r="12720">
          <cell r="D12720" t="str">
            <v>2023</v>
          </cell>
        </row>
        <row r="12721">
          <cell r="D12721" t="str">
            <v>2021</v>
          </cell>
        </row>
        <row r="12722">
          <cell r="D12722" t="str">
            <v>2023</v>
          </cell>
        </row>
        <row r="12723">
          <cell r="D12723" t="str">
            <v>2023</v>
          </cell>
        </row>
        <row r="12724">
          <cell r="D12724" t="str">
            <v>2023</v>
          </cell>
        </row>
        <row r="12725">
          <cell r="D12725" t="str">
            <v>2022</v>
          </cell>
        </row>
        <row r="12726">
          <cell r="D12726" t="str">
            <v>2023</v>
          </cell>
        </row>
        <row r="12727">
          <cell r="D12727" t="str">
            <v>2023</v>
          </cell>
        </row>
        <row r="12728">
          <cell r="D12728" t="str">
            <v>2023</v>
          </cell>
        </row>
        <row r="12729">
          <cell r="D12729" t="str">
            <v>2024</v>
          </cell>
        </row>
        <row r="12730">
          <cell r="D12730" t="str">
            <v>2023</v>
          </cell>
        </row>
        <row r="12731">
          <cell r="D12731" t="str">
            <v>2023</v>
          </cell>
        </row>
        <row r="12732">
          <cell r="D12732" t="str">
            <v>2023</v>
          </cell>
        </row>
        <row r="12733">
          <cell r="D12733" t="str">
            <v>2023</v>
          </cell>
        </row>
        <row r="12734">
          <cell r="D12734" t="str">
            <v>2023</v>
          </cell>
        </row>
        <row r="12735">
          <cell r="D12735" t="str">
            <v>2023</v>
          </cell>
        </row>
        <row r="12736">
          <cell r="D12736" t="str">
            <v>2023</v>
          </cell>
        </row>
        <row r="12737">
          <cell r="D12737" t="str">
            <v>2023</v>
          </cell>
        </row>
        <row r="12738">
          <cell r="D12738" t="str">
            <v>2023</v>
          </cell>
        </row>
        <row r="12739">
          <cell r="D12739" t="str">
            <v>2021</v>
          </cell>
        </row>
        <row r="12740">
          <cell r="D12740" t="str">
            <v>2023</v>
          </cell>
        </row>
        <row r="12741">
          <cell r="D12741" t="str">
            <v>2023</v>
          </cell>
        </row>
        <row r="12742">
          <cell r="D12742" t="str">
            <v>2023</v>
          </cell>
        </row>
        <row r="12743">
          <cell r="D12743" t="str">
            <v>2023</v>
          </cell>
        </row>
        <row r="12744">
          <cell r="D12744" t="str">
            <v>2021</v>
          </cell>
        </row>
        <row r="12745">
          <cell r="D12745" t="str">
            <v>2023</v>
          </cell>
        </row>
        <row r="12746">
          <cell r="D12746" t="str">
            <v>2023</v>
          </cell>
        </row>
        <row r="12747">
          <cell r="D12747" t="str">
            <v>2023</v>
          </cell>
        </row>
        <row r="12748">
          <cell r="D12748" t="str">
            <v>2024</v>
          </cell>
        </row>
        <row r="12749">
          <cell r="D12749" t="str">
            <v>2023</v>
          </cell>
        </row>
        <row r="12750">
          <cell r="D12750" t="str">
            <v>2023</v>
          </cell>
        </row>
        <row r="12751">
          <cell r="D12751" t="str">
            <v>2021</v>
          </cell>
        </row>
        <row r="12752">
          <cell r="D12752" t="str">
            <v>2023</v>
          </cell>
        </row>
        <row r="12753">
          <cell r="D12753" t="str">
            <v>2023</v>
          </cell>
        </row>
        <row r="12754">
          <cell r="D12754" t="str">
            <v>2023</v>
          </cell>
        </row>
        <row r="12755">
          <cell r="D12755" t="str">
            <v>2023</v>
          </cell>
        </row>
        <row r="12756">
          <cell r="D12756" t="str">
            <v>2021</v>
          </cell>
        </row>
        <row r="12757">
          <cell r="D12757" t="str">
            <v>2022</v>
          </cell>
        </row>
        <row r="12758">
          <cell r="D12758" t="str">
            <v>2023</v>
          </cell>
        </row>
        <row r="12759">
          <cell r="D12759" t="str">
            <v>2022</v>
          </cell>
        </row>
        <row r="12760">
          <cell r="D12760" t="str">
            <v>2023</v>
          </cell>
        </row>
        <row r="12761">
          <cell r="D12761" t="str">
            <v>2023</v>
          </cell>
        </row>
        <row r="12762">
          <cell r="D12762" t="str">
            <v>2023</v>
          </cell>
        </row>
        <row r="12763">
          <cell r="D12763" t="str">
            <v>2023</v>
          </cell>
        </row>
        <row r="12764">
          <cell r="D12764" t="str">
            <v>2023</v>
          </cell>
        </row>
        <row r="12765">
          <cell r="D12765" t="str">
            <v>2023</v>
          </cell>
        </row>
        <row r="12766">
          <cell r="D12766" t="str">
            <v>2023</v>
          </cell>
        </row>
        <row r="12767">
          <cell r="D12767" t="str">
            <v>2024</v>
          </cell>
        </row>
        <row r="12768">
          <cell r="D12768" t="str">
            <v>2023</v>
          </cell>
        </row>
        <row r="12769">
          <cell r="D12769" t="str">
            <v>2021</v>
          </cell>
        </row>
        <row r="12770">
          <cell r="D12770" t="str">
            <v>2023</v>
          </cell>
        </row>
        <row r="12771">
          <cell r="D12771" t="str">
            <v>2023</v>
          </cell>
        </row>
        <row r="12772">
          <cell r="D12772" t="str">
            <v>2023</v>
          </cell>
        </row>
        <row r="12773">
          <cell r="D12773" t="str">
            <v>2023</v>
          </cell>
        </row>
        <row r="12774">
          <cell r="D12774" t="str">
            <v>2023</v>
          </cell>
        </row>
        <row r="12775">
          <cell r="D12775" t="str">
            <v>2023</v>
          </cell>
        </row>
        <row r="12776">
          <cell r="D12776" t="str">
            <v>2023</v>
          </cell>
        </row>
        <row r="12777">
          <cell r="D12777" t="str">
            <v>2023</v>
          </cell>
        </row>
        <row r="12778">
          <cell r="D12778" t="str">
            <v>2023</v>
          </cell>
        </row>
        <row r="12779">
          <cell r="D12779" t="str">
            <v>2024</v>
          </cell>
        </row>
        <row r="12780">
          <cell r="D12780" t="str">
            <v>2023</v>
          </cell>
        </row>
        <row r="12781">
          <cell r="D12781" t="str">
            <v>2023</v>
          </cell>
        </row>
        <row r="12782">
          <cell r="D12782" t="str">
            <v>2022</v>
          </cell>
        </row>
        <row r="12783">
          <cell r="D12783" t="str">
            <v>2022</v>
          </cell>
        </row>
        <row r="12784">
          <cell r="D12784" t="str">
            <v>2023</v>
          </cell>
        </row>
        <row r="12785">
          <cell r="D12785" t="str">
            <v>2023</v>
          </cell>
        </row>
        <row r="12786">
          <cell r="D12786" t="str">
            <v>2023</v>
          </cell>
        </row>
        <row r="12787">
          <cell r="D12787" t="str">
            <v>2023</v>
          </cell>
        </row>
        <row r="12788">
          <cell r="D12788" t="str">
            <v>2023</v>
          </cell>
        </row>
        <row r="12789">
          <cell r="D12789" t="str">
            <v>2023</v>
          </cell>
        </row>
        <row r="12790">
          <cell r="D12790" t="str">
            <v>2023</v>
          </cell>
        </row>
        <row r="12791">
          <cell r="D12791" t="str">
            <v>2024</v>
          </cell>
        </row>
        <row r="12792">
          <cell r="D12792" t="str">
            <v>2023</v>
          </cell>
        </row>
        <row r="12793">
          <cell r="D12793" t="str">
            <v>2023</v>
          </cell>
        </row>
        <row r="12794">
          <cell r="D12794" t="str">
            <v>2023</v>
          </cell>
        </row>
        <row r="12795">
          <cell r="D12795" t="str">
            <v>2023</v>
          </cell>
        </row>
        <row r="12796">
          <cell r="D12796" t="str">
            <v>2023</v>
          </cell>
        </row>
        <row r="12797">
          <cell r="D12797" t="str">
            <v>2024</v>
          </cell>
        </row>
        <row r="12798">
          <cell r="D12798" t="str">
            <v>2023</v>
          </cell>
        </row>
        <row r="12799">
          <cell r="D12799" t="str">
            <v>2023</v>
          </cell>
        </row>
        <row r="12800">
          <cell r="D12800" t="str">
            <v>2023</v>
          </cell>
        </row>
        <row r="12801">
          <cell r="D12801" t="str">
            <v>2021</v>
          </cell>
        </row>
        <row r="12802">
          <cell r="D12802" t="str">
            <v>2024</v>
          </cell>
        </row>
        <row r="12803">
          <cell r="D12803" t="str">
            <v>2023</v>
          </cell>
        </row>
        <row r="12804">
          <cell r="D12804" t="str">
            <v>2024</v>
          </cell>
        </row>
        <row r="12805">
          <cell r="D12805" t="str">
            <v>2023</v>
          </cell>
        </row>
        <row r="12806">
          <cell r="D12806" t="str">
            <v>2023</v>
          </cell>
        </row>
        <row r="12807">
          <cell r="D12807" t="str">
            <v>2023</v>
          </cell>
        </row>
        <row r="12808">
          <cell r="D12808" t="str">
            <v>2023</v>
          </cell>
        </row>
        <row r="12809">
          <cell r="D12809" t="str">
            <v>2023</v>
          </cell>
        </row>
        <row r="12810">
          <cell r="D12810" t="str">
            <v>2023</v>
          </cell>
        </row>
        <row r="12811">
          <cell r="D12811" t="str">
            <v>2023</v>
          </cell>
        </row>
        <row r="12812">
          <cell r="D12812" t="str">
            <v>2023</v>
          </cell>
        </row>
        <row r="12813">
          <cell r="D12813" t="str">
            <v>2023</v>
          </cell>
        </row>
        <row r="12814">
          <cell r="D12814" t="str">
            <v>2023</v>
          </cell>
        </row>
        <row r="12815">
          <cell r="D12815" t="str">
            <v>2023</v>
          </cell>
        </row>
        <row r="12816">
          <cell r="D12816" t="str">
            <v>2023</v>
          </cell>
        </row>
        <row r="12817">
          <cell r="D12817" t="str">
            <v>2024</v>
          </cell>
        </row>
        <row r="12818">
          <cell r="D12818" t="str">
            <v>2024</v>
          </cell>
        </row>
        <row r="12819">
          <cell r="D12819" t="str">
            <v>2023</v>
          </cell>
        </row>
        <row r="12820">
          <cell r="D12820" t="str">
            <v>2023</v>
          </cell>
        </row>
        <row r="12821">
          <cell r="D12821" t="str">
            <v>2023</v>
          </cell>
        </row>
        <row r="12822">
          <cell r="D12822" t="str">
            <v>2023</v>
          </cell>
        </row>
        <row r="12823">
          <cell r="D12823" t="str">
            <v>2023</v>
          </cell>
        </row>
        <row r="12824">
          <cell r="D12824" t="str">
            <v>2023</v>
          </cell>
        </row>
        <row r="12825">
          <cell r="D12825" t="str">
            <v>2023</v>
          </cell>
        </row>
        <row r="12826">
          <cell r="D12826" t="str">
            <v>2023</v>
          </cell>
        </row>
        <row r="12827">
          <cell r="D12827" t="str">
            <v>2023</v>
          </cell>
        </row>
        <row r="12828">
          <cell r="D12828" t="str">
            <v>2023</v>
          </cell>
        </row>
        <row r="12829">
          <cell r="D12829" t="str">
            <v>2023</v>
          </cell>
        </row>
        <row r="12830">
          <cell r="D12830" t="str">
            <v>2023</v>
          </cell>
        </row>
        <row r="12831">
          <cell r="D12831" t="str">
            <v>2023</v>
          </cell>
        </row>
        <row r="12832">
          <cell r="D12832" t="str">
            <v>2023</v>
          </cell>
        </row>
        <row r="12833">
          <cell r="D12833" t="str">
            <v>2023</v>
          </cell>
        </row>
        <row r="12834">
          <cell r="D12834" t="str">
            <v>2023</v>
          </cell>
        </row>
        <row r="12835">
          <cell r="D12835" t="str">
            <v>2023</v>
          </cell>
        </row>
        <row r="12836">
          <cell r="D12836" t="str">
            <v>2024</v>
          </cell>
        </row>
        <row r="12837">
          <cell r="D12837" t="str">
            <v>2023</v>
          </cell>
        </row>
        <row r="12838">
          <cell r="D12838" t="str">
            <v>2023</v>
          </cell>
        </row>
        <row r="12839">
          <cell r="D12839" t="str">
            <v>2023</v>
          </cell>
        </row>
        <row r="12840">
          <cell r="D12840" t="str">
            <v>2023</v>
          </cell>
        </row>
        <row r="12841">
          <cell r="D12841" t="str">
            <v>2023</v>
          </cell>
        </row>
        <row r="12842">
          <cell r="D12842" t="str">
            <v>2023</v>
          </cell>
        </row>
        <row r="12843">
          <cell r="D12843" t="str">
            <v>2023</v>
          </cell>
        </row>
        <row r="12844">
          <cell r="D12844" t="str">
            <v>2024</v>
          </cell>
        </row>
        <row r="12845">
          <cell r="D12845" t="str">
            <v>2023</v>
          </cell>
        </row>
        <row r="12846">
          <cell r="D12846" t="str">
            <v>2023</v>
          </cell>
        </row>
        <row r="12847">
          <cell r="D12847" t="str">
            <v>2023</v>
          </cell>
        </row>
        <row r="12848">
          <cell r="D12848" t="str">
            <v>2023</v>
          </cell>
        </row>
        <row r="12849">
          <cell r="D12849" t="str">
            <v>2023</v>
          </cell>
        </row>
        <row r="12850">
          <cell r="D12850" t="str">
            <v>2023</v>
          </cell>
        </row>
        <row r="12851">
          <cell r="D12851" t="str">
            <v>2023</v>
          </cell>
        </row>
        <row r="12852">
          <cell r="D12852" t="str">
            <v>2023</v>
          </cell>
        </row>
        <row r="12853">
          <cell r="D12853" t="str">
            <v>2023</v>
          </cell>
        </row>
        <row r="12854">
          <cell r="D12854" t="str">
            <v>2023</v>
          </cell>
        </row>
        <row r="12855">
          <cell r="D12855" t="str">
            <v>2023</v>
          </cell>
        </row>
        <row r="12856">
          <cell r="D12856" t="str">
            <v>2023</v>
          </cell>
        </row>
        <row r="12857">
          <cell r="D12857" t="str">
            <v>2023</v>
          </cell>
        </row>
        <row r="12858">
          <cell r="D12858" t="str">
            <v>2024</v>
          </cell>
        </row>
        <row r="12859">
          <cell r="D12859" t="str">
            <v>2023</v>
          </cell>
        </row>
        <row r="12860">
          <cell r="D12860" t="str">
            <v>2023</v>
          </cell>
        </row>
        <row r="12861">
          <cell r="D12861" t="str">
            <v>2024</v>
          </cell>
        </row>
        <row r="12862">
          <cell r="D12862" t="str">
            <v>2023</v>
          </cell>
        </row>
        <row r="12863">
          <cell r="D12863" t="str">
            <v>2023</v>
          </cell>
        </row>
        <row r="12864">
          <cell r="D12864" t="str">
            <v>2023</v>
          </cell>
        </row>
        <row r="12865">
          <cell r="D12865" t="str">
            <v>2023</v>
          </cell>
        </row>
        <row r="12866">
          <cell r="D12866" t="str">
            <v>2023</v>
          </cell>
        </row>
        <row r="12867">
          <cell r="D12867" t="str">
            <v>2023</v>
          </cell>
        </row>
        <row r="12868">
          <cell r="D12868" t="str">
            <v>2023</v>
          </cell>
        </row>
        <row r="12869">
          <cell r="D12869" t="str">
            <v>2023</v>
          </cell>
        </row>
        <row r="12870">
          <cell r="D12870" t="str">
            <v>2023</v>
          </cell>
        </row>
        <row r="12871">
          <cell r="D12871" t="str">
            <v>2023</v>
          </cell>
        </row>
        <row r="12872">
          <cell r="D12872" t="str">
            <v>2023</v>
          </cell>
        </row>
        <row r="12873">
          <cell r="D12873" t="str">
            <v>2023</v>
          </cell>
        </row>
        <row r="12874">
          <cell r="D12874" t="str">
            <v>2023</v>
          </cell>
        </row>
        <row r="12875">
          <cell r="D12875" t="str">
            <v>2023</v>
          </cell>
        </row>
        <row r="12876">
          <cell r="D12876" t="str">
            <v>2023</v>
          </cell>
        </row>
        <row r="12877">
          <cell r="D12877" t="str">
            <v>2023</v>
          </cell>
        </row>
        <row r="12878">
          <cell r="D12878" t="str">
            <v>2023</v>
          </cell>
        </row>
        <row r="12879">
          <cell r="D12879" t="str">
            <v>2023</v>
          </cell>
        </row>
        <row r="12880">
          <cell r="D12880" t="str">
            <v>2023</v>
          </cell>
        </row>
        <row r="12881">
          <cell r="D12881" t="str">
            <v>2024</v>
          </cell>
        </row>
        <row r="12882">
          <cell r="D12882" t="str">
            <v>2024</v>
          </cell>
        </row>
        <row r="12883">
          <cell r="D12883" t="str">
            <v>2023</v>
          </cell>
        </row>
        <row r="12884">
          <cell r="D12884" t="str">
            <v>2024</v>
          </cell>
        </row>
        <row r="12885">
          <cell r="D12885" t="str">
            <v>2023</v>
          </cell>
        </row>
        <row r="12886">
          <cell r="D12886" t="str">
            <v>2023</v>
          </cell>
        </row>
        <row r="12887">
          <cell r="D12887" t="str">
            <v>2024</v>
          </cell>
        </row>
        <row r="12888">
          <cell r="D12888" t="str">
            <v>2024</v>
          </cell>
        </row>
        <row r="12889">
          <cell r="D12889" t="str">
            <v>2024</v>
          </cell>
        </row>
        <row r="12890">
          <cell r="D12890" t="str">
            <v>2023</v>
          </cell>
        </row>
        <row r="12891">
          <cell r="D12891" t="str">
            <v>2023</v>
          </cell>
        </row>
        <row r="12892">
          <cell r="D12892" t="str">
            <v>2024</v>
          </cell>
        </row>
        <row r="12893">
          <cell r="D12893" t="str">
            <v>2023</v>
          </cell>
        </row>
        <row r="12894">
          <cell r="D12894" t="str">
            <v>2023</v>
          </cell>
        </row>
        <row r="12895">
          <cell r="D12895" t="str">
            <v>2024</v>
          </cell>
        </row>
        <row r="12896">
          <cell r="D12896" t="str">
            <v>2024</v>
          </cell>
        </row>
        <row r="12897">
          <cell r="D12897" t="str">
            <v>2024</v>
          </cell>
        </row>
        <row r="12898">
          <cell r="D12898" t="str">
            <v>2023</v>
          </cell>
        </row>
        <row r="12899">
          <cell r="D12899" t="str">
            <v>2023</v>
          </cell>
        </row>
        <row r="12900">
          <cell r="D12900" t="str">
            <v>2024</v>
          </cell>
        </row>
        <row r="12901">
          <cell r="D12901" t="str">
            <v>2024</v>
          </cell>
        </row>
        <row r="12902">
          <cell r="D12902" t="str">
            <v>2024</v>
          </cell>
        </row>
        <row r="12903">
          <cell r="D12903" t="str">
            <v>2024</v>
          </cell>
        </row>
        <row r="12904">
          <cell r="D12904" t="str">
            <v>2024</v>
          </cell>
        </row>
        <row r="12905">
          <cell r="D12905" t="str">
            <v>2023</v>
          </cell>
        </row>
        <row r="12906">
          <cell r="D12906" t="str">
            <v>2024</v>
          </cell>
        </row>
        <row r="12907">
          <cell r="D12907" t="str">
            <v>2023</v>
          </cell>
        </row>
        <row r="12908">
          <cell r="D12908" t="str">
            <v>2023</v>
          </cell>
        </row>
        <row r="12909">
          <cell r="D12909" t="str">
            <v>2023</v>
          </cell>
        </row>
        <row r="12910">
          <cell r="D12910" t="str">
            <v>2023</v>
          </cell>
        </row>
        <row r="12911">
          <cell r="D12911" t="str">
            <v>2023</v>
          </cell>
        </row>
        <row r="12912">
          <cell r="D12912" t="str">
            <v>2023</v>
          </cell>
        </row>
        <row r="12913">
          <cell r="D12913" t="str">
            <v>2023</v>
          </cell>
        </row>
        <row r="12914">
          <cell r="D12914" t="str">
            <v>2023</v>
          </cell>
        </row>
        <row r="12915">
          <cell r="D12915" t="str">
            <v>2024</v>
          </cell>
        </row>
        <row r="12916">
          <cell r="D12916" t="str">
            <v>2023</v>
          </cell>
        </row>
        <row r="12917">
          <cell r="D12917" t="str">
            <v>2023</v>
          </cell>
        </row>
        <row r="12918">
          <cell r="D12918" t="str">
            <v>2023</v>
          </cell>
        </row>
        <row r="12919">
          <cell r="D12919" t="str">
            <v>2023</v>
          </cell>
        </row>
        <row r="12920">
          <cell r="D12920" t="str">
            <v>2023</v>
          </cell>
        </row>
        <row r="12921">
          <cell r="D12921" t="str">
            <v>2023</v>
          </cell>
        </row>
        <row r="12922">
          <cell r="D12922" t="str">
            <v>2023</v>
          </cell>
        </row>
        <row r="12923">
          <cell r="D12923" t="str">
            <v>2023</v>
          </cell>
        </row>
        <row r="12924">
          <cell r="D12924" t="str">
            <v>2023</v>
          </cell>
        </row>
        <row r="12925">
          <cell r="D12925" t="str">
            <v>2023</v>
          </cell>
        </row>
        <row r="12926">
          <cell r="D12926" t="str">
            <v>2023</v>
          </cell>
        </row>
        <row r="12927">
          <cell r="D12927" t="str">
            <v>2024</v>
          </cell>
        </row>
        <row r="12928">
          <cell r="D12928" t="str">
            <v>2024</v>
          </cell>
        </row>
        <row r="12929">
          <cell r="D12929" t="str">
            <v>2023</v>
          </cell>
        </row>
        <row r="12930">
          <cell r="D12930" t="str">
            <v>2023</v>
          </cell>
        </row>
        <row r="12931">
          <cell r="D12931" t="str">
            <v>2023</v>
          </cell>
        </row>
        <row r="12932">
          <cell r="D12932" t="str">
            <v>2024</v>
          </cell>
        </row>
        <row r="12933">
          <cell r="D12933" t="str">
            <v>2023</v>
          </cell>
        </row>
        <row r="12934">
          <cell r="D12934" t="str">
            <v>2023</v>
          </cell>
        </row>
        <row r="12935">
          <cell r="D12935" t="str">
            <v>2023</v>
          </cell>
        </row>
        <row r="12936">
          <cell r="D12936" t="str">
            <v>2024</v>
          </cell>
        </row>
        <row r="12937">
          <cell r="D12937" t="str">
            <v>2023</v>
          </cell>
        </row>
        <row r="12938">
          <cell r="D12938" t="str">
            <v>2023</v>
          </cell>
        </row>
        <row r="12939">
          <cell r="D12939" t="str">
            <v>2024</v>
          </cell>
        </row>
        <row r="12940">
          <cell r="D12940" t="str">
            <v>2022</v>
          </cell>
        </row>
        <row r="12941">
          <cell r="D12941" t="str">
            <v>2022</v>
          </cell>
        </row>
        <row r="12942">
          <cell r="D12942" t="str">
            <v>2023</v>
          </cell>
        </row>
        <row r="12943">
          <cell r="D12943" t="str">
            <v>2023</v>
          </cell>
        </row>
        <row r="12944">
          <cell r="D12944" t="str">
            <v>2021</v>
          </cell>
        </row>
        <row r="12945">
          <cell r="D12945" t="str">
            <v>2023</v>
          </cell>
        </row>
        <row r="12946">
          <cell r="D12946" t="str">
            <v>2023</v>
          </cell>
        </row>
        <row r="12947">
          <cell r="D12947" t="str">
            <v>2021</v>
          </cell>
        </row>
        <row r="12948">
          <cell r="D12948" t="str">
            <v>2023</v>
          </cell>
        </row>
        <row r="12949">
          <cell r="D12949" t="str">
            <v>2021</v>
          </cell>
        </row>
        <row r="12950">
          <cell r="D12950" t="str">
            <v>2023</v>
          </cell>
        </row>
        <row r="12951">
          <cell r="D12951" t="str">
            <v>2021</v>
          </cell>
        </row>
        <row r="12952">
          <cell r="D12952" t="str">
            <v>2021</v>
          </cell>
        </row>
        <row r="12953">
          <cell r="D12953" t="str">
            <v>2022</v>
          </cell>
        </row>
        <row r="12954">
          <cell r="D12954" t="str">
            <v>2023</v>
          </cell>
        </row>
        <row r="12955">
          <cell r="D12955" t="str">
            <v>2023</v>
          </cell>
        </row>
        <row r="12956">
          <cell r="D12956" t="str">
            <v>2022</v>
          </cell>
        </row>
        <row r="12957">
          <cell r="D12957" t="str">
            <v>2023</v>
          </cell>
        </row>
        <row r="12958">
          <cell r="D12958" t="str">
            <v>2022</v>
          </cell>
        </row>
        <row r="12959">
          <cell r="D12959" t="str">
            <v>2023</v>
          </cell>
        </row>
        <row r="12960">
          <cell r="D12960" t="str">
            <v>2023</v>
          </cell>
        </row>
        <row r="12961">
          <cell r="D12961" t="str">
            <v>2023</v>
          </cell>
        </row>
        <row r="12962">
          <cell r="D12962" t="str">
            <v>2023</v>
          </cell>
        </row>
        <row r="12963">
          <cell r="D12963" t="str">
            <v>2023</v>
          </cell>
        </row>
        <row r="12964">
          <cell r="D12964" t="str">
            <v>2023</v>
          </cell>
        </row>
        <row r="12965">
          <cell r="D12965" t="str">
            <v>2023</v>
          </cell>
        </row>
        <row r="12966">
          <cell r="D12966" t="str">
            <v>2023</v>
          </cell>
        </row>
        <row r="12967">
          <cell r="D12967" t="str">
            <v>2023</v>
          </cell>
        </row>
        <row r="12968">
          <cell r="D12968" t="str">
            <v>2022</v>
          </cell>
        </row>
        <row r="12969">
          <cell r="D12969" t="str">
            <v>2022</v>
          </cell>
        </row>
        <row r="12970">
          <cell r="D12970" t="str">
            <v>2022</v>
          </cell>
        </row>
        <row r="12971">
          <cell r="D12971" t="str">
            <v>2022</v>
          </cell>
        </row>
        <row r="12972">
          <cell r="D12972" t="str">
            <v>2022</v>
          </cell>
        </row>
        <row r="12973">
          <cell r="D12973" t="str">
            <v>2023</v>
          </cell>
        </row>
        <row r="12974">
          <cell r="D12974" t="str">
            <v>2023</v>
          </cell>
        </row>
        <row r="12975">
          <cell r="D12975" t="str">
            <v>2023</v>
          </cell>
        </row>
        <row r="12976">
          <cell r="D12976" t="str">
            <v>2022</v>
          </cell>
        </row>
        <row r="12977">
          <cell r="D12977" t="str">
            <v>2022</v>
          </cell>
        </row>
        <row r="12978">
          <cell r="D12978" t="str">
            <v>2023</v>
          </cell>
        </row>
        <row r="12979">
          <cell r="D12979" t="str">
            <v>2022</v>
          </cell>
        </row>
        <row r="12980">
          <cell r="D12980" t="str">
            <v>2022</v>
          </cell>
        </row>
        <row r="12981">
          <cell r="D12981" t="str">
            <v>2022</v>
          </cell>
        </row>
        <row r="12982">
          <cell r="D12982" t="str">
            <v>2022</v>
          </cell>
        </row>
        <row r="12983">
          <cell r="D12983" t="str">
            <v>2022</v>
          </cell>
        </row>
        <row r="12984">
          <cell r="D12984" t="str">
            <v>2022</v>
          </cell>
        </row>
        <row r="12985">
          <cell r="D12985" t="str">
            <v>2022</v>
          </cell>
        </row>
        <row r="12986">
          <cell r="D12986" t="str">
            <v>2022</v>
          </cell>
        </row>
        <row r="12987">
          <cell r="D12987" t="str">
            <v>2021</v>
          </cell>
        </row>
        <row r="12988">
          <cell r="D12988" t="str">
            <v>2023</v>
          </cell>
        </row>
        <row r="12989">
          <cell r="D12989" t="str">
            <v>2023</v>
          </cell>
        </row>
        <row r="12990">
          <cell r="D12990" t="str">
            <v>2023</v>
          </cell>
        </row>
        <row r="12991">
          <cell r="D12991" t="str">
            <v>2023</v>
          </cell>
        </row>
        <row r="12992">
          <cell r="D12992" t="str">
            <v>2023</v>
          </cell>
        </row>
        <row r="12993">
          <cell r="D12993" t="str">
            <v>2023</v>
          </cell>
        </row>
        <row r="12994">
          <cell r="D12994" t="str">
            <v>2022</v>
          </cell>
        </row>
        <row r="12995">
          <cell r="D12995" t="str">
            <v>2023</v>
          </cell>
        </row>
        <row r="12996">
          <cell r="D12996" t="str">
            <v>2022</v>
          </cell>
        </row>
        <row r="12997">
          <cell r="D12997" t="str">
            <v>2023</v>
          </cell>
        </row>
        <row r="12998">
          <cell r="D12998" t="str">
            <v>2023</v>
          </cell>
        </row>
        <row r="12999">
          <cell r="D12999" t="str">
            <v>2021</v>
          </cell>
        </row>
        <row r="13000">
          <cell r="D13000" t="str">
            <v>2023</v>
          </cell>
        </row>
        <row r="13001">
          <cell r="D13001" t="str">
            <v>2022</v>
          </cell>
        </row>
        <row r="13002">
          <cell r="D13002" t="str">
            <v>2023</v>
          </cell>
        </row>
        <row r="13003">
          <cell r="D13003" t="str">
            <v>2023</v>
          </cell>
        </row>
        <row r="13004">
          <cell r="D13004" t="str">
            <v>2021</v>
          </cell>
        </row>
        <row r="13005">
          <cell r="D13005" t="str">
            <v>2023</v>
          </cell>
        </row>
        <row r="13006">
          <cell r="D13006" t="str">
            <v>2023</v>
          </cell>
        </row>
        <row r="13007">
          <cell r="D13007" t="str">
            <v>2023</v>
          </cell>
        </row>
        <row r="13008">
          <cell r="D13008" t="str">
            <v>2023</v>
          </cell>
        </row>
        <row r="13009">
          <cell r="D13009" t="str">
            <v>2023</v>
          </cell>
        </row>
        <row r="13010">
          <cell r="D13010" t="str">
            <v>2023</v>
          </cell>
        </row>
        <row r="13011">
          <cell r="D13011" t="str">
            <v>2023</v>
          </cell>
        </row>
        <row r="13012">
          <cell r="D13012" t="str">
            <v>2023</v>
          </cell>
        </row>
        <row r="13013">
          <cell r="D13013" t="str">
            <v>2023</v>
          </cell>
        </row>
        <row r="13014">
          <cell r="D13014" t="str">
            <v>2023</v>
          </cell>
        </row>
        <row r="13015">
          <cell r="D13015" t="str">
            <v>2023</v>
          </cell>
        </row>
        <row r="13016">
          <cell r="D13016" t="str">
            <v>2023</v>
          </cell>
        </row>
        <row r="13017">
          <cell r="D13017" t="str">
            <v>2023</v>
          </cell>
        </row>
        <row r="13018">
          <cell r="D13018" t="str">
            <v>2023</v>
          </cell>
        </row>
        <row r="13019">
          <cell r="D13019" t="str">
            <v>2023</v>
          </cell>
        </row>
        <row r="13020">
          <cell r="D13020" t="str">
            <v>2021</v>
          </cell>
        </row>
        <row r="13021">
          <cell r="D13021" t="str">
            <v>2023</v>
          </cell>
        </row>
        <row r="13022">
          <cell r="D13022" t="str">
            <v>2023</v>
          </cell>
        </row>
        <row r="13023">
          <cell r="D13023" t="str">
            <v>2023</v>
          </cell>
        </row>
        <row r="13024">
          <cell r="D13024" t="str">
            <v>2022</v>
          </cell>
        </row>
        <row r="13025">
          <cell r="D13025" t="str">
            <v>2023</v>
          </cell>
        </row>
        <row r="13026">
          <cell r="D13026" t="str">
            <v>2023</v>
          </cell>
        </row>
        <row r="13027">
          <cell r="D13027" t="str">
            <v>2023</v>
          </cell>
        </row>
        <row r="13028">
          <cell r="D13028" t="str">
            <v>2023</v>
          </cell>
        </row>
        <row r="13029">
          <cell r="D13029" t="str">
            <v>2022</v>
          </cell>
        </row>
        <row r="13030">
          <cell r="D13030" t="str">
            <v>2021</v>
          </cell>
        </row>
        <row r="13031">
          <cell r="D13031" t="str">
            <v>2023</v>
          </cell>
        </row>
        <row r="13032">
          <cell r="D13032" t="str">
            <v>2023</v>
          </cell>
        </row>
        <row r="13033">
          <cell r="D13033" t="str">
            <v>2023</v>
          </cell>
        </row>
        <row r="13034">
          <cell r="D13034" t="str">
            <v>2023</v>
          </cell>
        </row>
        <row r="13035">
          <cell r="D13035" t="str">
            <v>2023</v>
          </cell>
        </row>
        <row r="13036">
          <cell r="D13036" t="str">
            <v>2021</v>
          </cell>
        </row>
        <row r="13037">
          <cell r="D13037" t="str">
            <v>2023</v>
          </cell>
        </row>
        <row r="13038">
          <cell r="D13038" t="str">
            <v>2023</v>
          </cell>
        </row>
        <row r="13039">
          <cell r="D13039" t="str">
            <v>2023</v>
          </cell>
        </row>
        <row r="13040">
          <cell r="D13040" t="str">
            <v>2023</v>
          </cell>
        </row>
        <row r="13041">
          <cell r="D13041" t="str">
            <v>2023</v>
          </cell>
        </row>
        <row r="13042">
          <cell r="D13042" t="str">
            <v>2023</v>
          </cell>
        </row>
        <row r="13043">
          <cell r="D13043" t="str">
            <v>2023</v>
          </cell>
        </row>
        <row r="13044">
          <cell r="D13044" t="str">
            <v>2023</v>
          </cell>
        </row>
        <row r="13045">
          <cell r="D13045" t="str">
            <v>2022</v>
          </cell>
        </row>
        <row r="13046">
          <cell r="D13046" t="str">
            <v>2022</v>
          </cell>
        </row>
        <row r="13047">
          <cell r="D13047" t="str">
            <v>2023</v>
          </cell>
        </row>
        <row r="13048">
          <cell r="D13048" t="str">
            <v>2023</v>
          </cell>
        </row>
        <row r="13049">
          <cell r="D13049" t="str">
            <v>2023</v>
          </cell>
        </row>
        <row r="13050">
          <cell r="D13050" t="str">
            <v>2023</v>
          </cell>
        </row>
        <row r="13051">
          <cell r="D13051" t="str">
            <v>2023</v>
          </cell>
        </row>
        <row r="13052">
          <cell r="D13052" t="str">
            <v>2023</v>
          </cell>
        </row>
        <row r="13053">
          <cell r="D13053" t="str">
            <v>2023</v>
          </cell>
        </row>
        <row r="13054">
          <cell r="D13054" t="str">
            <v>2023</v>
          </cell>
        </row>
        <row r="13055">
          <cell r="D13055" t="str">
            <v>2023</v>
          </cell>
        </row>
        <row r="13056">
          <cell r="D13056" t="str">
            <v>2023</v>
          </cell>
        </row>
        <row r="13057">
          <cell r="D13057" t="str">
            <v>2023</v>
          </cell>
        </row>
        <row r="13058">
          <cell r="D13058" t="str">
            <v>2023</v>
          </cell>
        </row>
        <row r="13059">
          <cell r="D13059" t="str">
            <v>2022</v>
          </cell>
        </row>
        <row r="13060">
          <cell r="D13060" t="str">
            <v>2023</v>
          </cell>
        </row>
        <row r="13061">
          <cell r="D13061" t="str">
            <v>2023</v>
          </cell>
        </row>
        <row r="13062">
          <cell r="D13062" t="str">
            <v>2022</v>
          </cell>
        </row>
        <row r="13063">
          <cell r="D13063" t="str">
            <v>2023</v>
          </cell>
        </row>
        <row r="13064">
          <cell r="D13064" t="str">
            <v>2023</v>
          </cell>
        </row>
        <row r="13065">
          <cell r="D13065" t="str">
            <v>2023</v>
          </cell>
        </row>
        <row r="13066">
          <cell r="D13066" t="str">
            <v>2023</v>
          </cell>
        </row>
        <row r="13067">
          <cell r="D13067" t="str">
            <v>2022</v>
          </cell>
        </row>
        <row r="13068">
          <cell r="D13068" t="str">
            <v>2023</v>
          </cell>
        </row>
        <row r="13069">
          <cell r="D13069" t="str">
            <v>2022</v>
          </cell>
        </row>
        <row r="13070">
          <cell r="D13070" t="str">
            <v>2022</v>
          </cell>
        </row>
        <row r="13071">
          <cell r="D13071" t="str">
            <v>2022</v>
          </cell>
        </row>
        <row r="13072">
          <cell r="D13072" t="str">
            <v>2023</v>
          </cell>
        </row>
        <row r="13073">
          <cell r="D13073" t="str">
            <v>2023</v>
          </cell>
        </row>
        <row r="13074">
          <cell r="D13074" t="str">
            <v>2023</v>
          </cell>
        </row>
        <row r="13075">
          <cell r="D13075" t="str">
            <v>2023</v>
          </cell>
        </row>
        <row r="13076">
          <cell r="D13076" t="str">
            <v>2023</v>
          </cell>
        </row>
        <row r="13077">
          <cell r="D13077" t="str">
            <v>2024</v>
          </cell>
        </row>
        <row r="13078">
          <cell r="D13078" t="str">
            <v>2023</v>
          </cell>
        </row>
        <row r="13079">
          <cell r="D13079" t="str">
            <v>2021</v>
          </cell>
        </row>
        <row r="13080">
          <cell r="D13080" t="str">
            <v>2022</v>
          </cell>
        </row>
        <row r="13081">
          <cell r="D13081" t="str">
            <v>2022</v>
          </cell>
        </row>
        <row r="13082">
          <cell r="D13082" t="str">
            <v>2023</v>
          </cell>
        </row>
        <row r="13083">
          <cell r="D13083" t="str">
            <v>2023</v>
          </cell>
        </row>
        <row r="13084">
          <cell r="D13084" t="str">
            <v>2023</v>
          </cell>
        </row>
        <row r="13085">
          <cell r="D13085" t="str">
            <v>2021</v>
          </cell>
        </row>
        <row r="13086">
          <cell r="D13086" t="str">
            <v>2023</v>
          </cell>
        </row>
        <row r="13087">
          <cell r="D13087" t="str">
            <v>2021</v>
          </cell>
        </row>
        <row r="13088">
          <cell r="D13088" t="str">
            <v>2021</v>
          </cell>
        </row>
        <row r="13089">
          <cell r="D13089" t="str">
            <v>2022</v>
          </cell>
        </row>
        <row r="13090">
          <cell r="D13090" t="str">
            <v>2022</v>
          </cell>
        </row>
        <row r="13091">
          <cell r="D13091" t="str">
            <v>2023</v>
          </cell>
        </row>
        <row r="13092">
          <cell r="D13092" t="str">
            <v>2023</v>
          </cell>
        </row>
        <row r="13093">
          <cell r="D13093" t="str">
            <v>2023</v>
          </cell>
        </row>
        <row r="13094">
          <cell r="D13094" t="str">
            <v>2023</v>
          </cell>
        </row>
        <row r="13095">
          <cell r="D13095" t="str">
            <v>2023</v>
          </cell>
        </row>
        <row r="13096">
          <cell r="D13096" t="str">
            <v>2023</v>
          </cell>
        </row>
        <row r="13097">
          <cell r="D13097" t="str">
            <v>2023</v>
          </cell>
        </row>
        <row r="13098">
          <cell r="D13098" t="str">
            <v>2023</v>
          </cell>
        </row>
        <row r="13099">
          <cell r="D13099" t="str">
            <v>2023</v>
          </cell>
        </row>
        <row r="13100">
          <cell r="D13100" t="str">
            <v>2023</v>
          </cell>
        </row>
        <row r="13101">
          <cell r="D13101" t="str">
            <v>2023</v>
          </cell>
        </row>
        <row r="13102">
          <cell r="D13102" t="str">
            <v>2023</v>
          </cell>
        </row>
        <row r="13103">
          <cell r="D13103" t="str">
            <v>2023</v>
          </cell>
        </row>
        <row r="13104">
          <cell r="D13104" t="str">
            <v>2023</v>
          </cell>
        </row>
        <row r="13105">
          <cell r="D13105" t="str">
            <v>2023</v>
          </cell>
        </row>
        <row r="13106">
          <cell r="D13106" t="str">
            <v>2023</v>
          </cell>
        </row>
        <row r="13107">
          <cell r="D13107" t="str">
            <v>2023</v>
          </cell>
        </row>
        <row r="13108">
          <cell r="D13108" t="str">
            <v>2022</v>
          </cell>
        </row>
        <row r="13109">
          <cell r="D13109" t="str">
            <v>2023</v>
          </cell>
        </row>
        <row r="13110">
          <cell r="D13110" t="str">
            <v>2023</v>
          </cell>
        </row>
        <row r="13111">
          <cell r="D13111" t="str">
            <v>2023</v>
          </cell>
        </row>
        <row r="13112">
          <cell r="D13112" t="str">
            <v>2023</v>
          </cell>
        </row>
        <row r="13113">
          <cell r="D13113" t="str">
            <v>2023</v>
          </cell>
        </row>
        <row r="13114">
          <cell r="D13114" t="str">
            <v>2023</v>
          </cell>
        </row>
        <row r="13115">
          <cell r="D13115" t="str">
            <v>2023</v>
          </cell>
        </row>
        <row r="13116">
          <cell r="D13116" t="str">
            <v>2023</v>
          </cell>
        </row>
        <row r="13117">
          <cell r="D13117" t="str">
            <v>2023</v>
          </cell>
        </row>
        <row r="13118">
          <cell r="D13118" t="str">
            <v>2023</v>
          </cell>
        </row>
        <row r="13119">
          <cell r="D13119" t="str">
            <v>2023</v>
          </cell>
        </row>
        <row r="13120">
          <cell r="D13120" t="str">
            <v>2023</v>
          </cell>
        </row>
        <row r="13121">
          <cell r="D13121" t="str">
            <v>2023</v>
          </cell>
        </row>
        <row r="13122">
          <cell r="D13122" t="str">
            <v>2023</v>
          </cell>
        </row>
        <row r="13123">
          <cell r="D13123" t="str">
            <v>2022</v>
          </cell>
        </row>
        <row r="13124">
          <cell r="D13124" t="str">
            <v>2022</v>
          </cell>
        </row>
        <row r="13125">
          <cell r="D13125" t="str">
            <v>2023</v>
          </cell>
        </row>
        <row r="13126">
          <cell r="D13126" t="str">
            <v>2022</v>
          </cell>
        </row>
        <row r="13127">
          <cell r="D13127" t="str">
            <v>2023</v>
          </cell>
        </row>
        <row r="13128">
          <cell r="D13128" t="str">
            <v>2023</v>
          </cell>
        </row>
        <row r="13129">
          <cell r="D13129" t="str">
            <v>2023</v>
          </cell>
        </row>
        <row r="13130">
          <cell r="D13130" t="str">
            <v>2023</v>
          </cell>
        </row>
        <row r="13131">
          <cell r="D13131" t="str">
            <v>2024</v>
          </cell>
        </row>
        <row r="13132">
          <cell r="D13132" t="str">
            <v>2023</v>
          </cell>
        </row>
        <row r="13133">
          <cell r="D13133" t="str">
            <v>2022</v>
          </cell>
        </row>
        <row r="13134">
          <cell r="D13134" t="str">
            <v>2023</v>
          </cell>
        </row>
        <row r="13135">
          <cell r="D13135" t="str">
            <v>2023</v>
          </cell>
        </row>
        <row r="13136">
          <cell r="D13136" t="str">
            <v>2023</v>
          </cell>
        </row>
        <row r="13137">
          <cell r="D13137" t="str">
            <v>2022</v>
          </cell>
        </row>
        <row r="13138">
          <cell r="D13138" t="str">
            <v>2023</v>
          </cell>
        </row>
        <row r="13139">
          <cell r="D13139" t="str">
            <v>2021</v>
          </cell>
        </row>
        <row r="13140">
          <cell r="D13140" t="str">
            <v>2022</v>
          </cell>
        </row>
        <row r="13141">
          <cell r="D13141" t="str">
            <v>2023</v>
          </cell>
        </row>
        <row r="13142">
          <cell r="D13142" t="str">
            <v>2023</v>
          </cell>
        </row>
        <row r="13143">
          <cell r="D13143" t="str">
            <v>2023</v>
          </cell>
        </row>
        <row r="13144">
          <cell r="D13144" t="str">
            <v>2023</v>
          </cell>
        </row>
        <row r="13145">
          <cell r="D13145" t="str">
            <v>2023</v>
          </cell>
        </row>
        <row r="13146">
          <cell r="D13146" t="str">
            <v>2023</v>
          </cell>
        </row>
        <row r="13147">
          <cell r="D13147" t="str">
            <v>2023</v>
          </cell>
        </row>
        <row r="13148">
          <cell r="D13148" t="str">
            <v>2023</v>
          </cell>
        </row>
        <row r="13149">
          <cell r="D13149" t="str">
            <v>2021</v>
          </cell>
        </row>
        <row r="13150">
          <cell r="D13150" t="str">
            <v>2023</v>
          </cell>
        </row>
        <row r="13151">
          <cell r="D13151" t="str">
            <v>2023</v>
          </cell>
        </row>
        <row r="13152">
          <cell r="D13152" t="str">
            <v>2023</v>
          </cell>
        </row>
        <row r="13153">
          <cell r="D13153" t="str">
            <v>2023</v>
          </cell>
        </row>
        <row r="13154">
          <cell r="D13154" t="str">
            <v>2023</v>
          </cell>
        </row>
        <row r="13155">
          <cell r="D13155" t="str">
            <v>2022</v>
          </cell>
        </row>
        <row r="13156">
          <cell r="D13156" t="str">
            <v>2023</v>
          </cell>
        </row>
        <row r="13157">
          <cell r="D13157" t="str">
            <v>2023</v>
          </cell>
        </row>
        <row r="13158">
          <cell r="D13158" t="str">
            <v>2023</v>
          </cell>
        </row>
        <row r="13159">
          <cell r="D13159" t="str">
            <v>2023</v>
          </cell>
        </row>
        <row r="13160">
          <cell r="D13160" t="str">
            <v>2023</v>
          </cell>
        </row>
        <row r="13161">
          <cell r="D13161" t="str">
            <v>2023</v>
          </cell>
        </row>
        <row r="13162">
          <cell r="D13162" t="str">
            <v>2022</v>
          </cell>
        </row>
        <row r="13163">
          <cell r="D13163" t="str">
            <v>2023</v>
          </cell>
        </row>
        <row r="13164">
          <cell r="D13164" t="str">
            <v>2023</v>
          </cell>
        </row>
        <row r="13165">
          <cell r="D13165" t="str">
            <v>2023</v>
          </cell>
        </row>
        <row r="13166">
          <cell r="D13166" t="str">
            <v>2023</v>
          </cell>
        </row>
        <row r="13167">
          <cell r="D13167" t="str">
            <v>2022</v>
          </cell>
        </row>
        <row r="13168">
          <cell r="D13168" t="str">
            <v>2023</v>
          </cell>
        </row>
        <row r="13169">
          <cell r="D13169" t="str">
            <v>2023</v>
          </cell>
        </row>
        <row r="13170">
          <cell r="D13170" t="str">
            <v>2022</v>
          </cell>
        </row>
        <row r="13171">
          <cell r="D13171" t="str">
            <v>2023</v>
          </cell>
        </row>
        <row r="13172">
          <cell r="D13172" t="str">
            <v>2023</v>
          </cell>
        </row>
        <row r="13173">
          <cell r="D13173" t="str">
            <v>2023</v>
          </cell>
        </row>
        <row r="13174">
          <cell r="D13174" t="str">
            <v>2023</v>
          </cell>
        </row>
        <row r="13175">
          <cell r="D13175" t="str">
            <v>2023</v>
          </cell>
        </row>
        <row r="13176">
          <cell r="D13176" t="str">
            <v>2023</v>
          </cell>
        </row>
        <row r="13177">
          <cell r="D13177" t="str">
            <v>2023</v>
          </cell>
        </row>
        <row r="13178">
          <cell r="D13178" t="str">
            <v>2022</v>
          </cell>
        </row>
        <row r="13179">
          <cell r="D13179" t="str">
            <v>2023</v>
          </cell>
        </row>
        <row r="13180">
          <cell r="D13180" t="str">
            <v>2023</v>
          </cell>
        </row>
        <row r="13181">
          <cell r="D13181" t="str">
            <v>2023</v>
          </cell>
        </row>
        <row r="13182">
          <cell r="D13182" t="str">
            <v>2023</v>
          </cell>
        </row>
        <row r="13183">
          <cell r="D13183" t="str">
            <v>2023</v>
          </cell>
        </row>
        <row r="13184">
          <cell r="D13184" t="str">
            <v>2023</v>
          </cell>
        </row>
        <row r="13185">
          <cell r="D13185" t="str">
            <v>2023</v>
          </cell>
        </row>
        <row r="13186">
          <cell r="D13186" t="str">
            <v>2023</v>
          </cell>
        </row>
        <row r="13187">
          <cell r="D13187" t="str">
            <v>2023</v>
          </cell>
        </row>
        <row r="13188">
          <cell r="D13188" t="str">
            <v>2023</v>
          </cell>
        </row>
        <row r="13189">
          <cell r="D13189" t="str">
            <v>2023</v>
          </cell>
        </row>
        <row r="13190">
          <cell r="D13190" t="str">
            <v>2023</v>
          </cell>
        </row>
        <row r="13191">
          <cell r="D13191" t="str">
            <v>2023</v>
          </cell>
        </row>
        <row r="13192">
          <cell r="D13192" t="str">
            <v>2023</v>
          </cell>
        </row>
        <row r="13193">
          <cell r="D13193" t="str">
            <v>2023</v>
          </cell>
        </row>
        <row r="13194">
          <cell r="D13194" t="str">
            <v>2024</v>
          </cell>
        </row>
        <row r="13195">
          <cell r="D13195" t="str">
            <v>2023</v>
          </cell>
        </row>
        <row r="13196">
          <cell r="D13196" t="str">
            <v>2023</v>
          </cell>
        </row>
        <row r="13197">
          <cell r="D13197" t="str">
            <v>2024</v>
          </cell>
        </row>
        <row r="13198">
          <cell r="D13198" t="str">
            <v>2023</v>
          </cell>
        </row>
        <row r="13199">
          <cell r="D13199" t="str">
            <v>2023</v>
          </cell>
        </row>
        <row r="13200">
          <cell r="D13200" t="str">
            <v>2023</v>
          </cell>
        </row>
        <row r="13201">
          <cell r="D13201" t="str">
            <v>2023</v>
          </cell>
        </row>
        <row r="13202">
          <cell r="D13202" t="str">
            <v>2023</v>
          </cell>
        </row>
        <row r="13203">
          <cell r="D13203" t="str">
            <v>2023</v>
          </cell>
        </row>
        <row r="13204">
          <cell r="D13204" t="str">
            <v>2023</v>
          </cell>
        </row>
        <row r="13205">
          <cell r="D13205" t="str">
            <v>2023</v>
          </cell>
        </row>
        <row r="13206">
          <cell r="D13206" t="str">
            <v>2023</v>
          </cell>
        </row>
        <row r="13207">
          <cell r="D13207" t="str">
            <v>2023</v>
          </cell>
        </row>
        <row r="13208">
          <cell r="D13208" t="str">
            <v>2023</v>
          </cell>
        </row>
        <row r="13209">
          <cell r="D13209" t="str">
            <v>2023</v>
          </cell>
        </row>
        <row r="13210">
          <cell r="D13210" t="str">
            <v>2023</v>
          </cell>
        </row>
        <row r="13211">
          <cell r="D13211" t="str">
            <v>2023</v>
          </cell>
        </row>
        <row r="13212">
          <cell r="D13212" t="str">
            <v>2023</v>
          </cell>
        </row>
        <row r="13213">
          <cell r="D13213" t="str">
            <v>2023</v>
          </cell>
        </row>
        <row r="13214">
          <cell r="D13214" t="str">
            <v>2023</v>
          </cell>
        </row>
        <row r="13215">
          <cell r="D13215" t="str">
            <v>2023</v>
          </cell>
        </row>
        <row r="13216">
          <cell r="D13216" t="str">
            <v>2023</v>
          </cell>
        </row>
        <row r="13217">
          <cell r="D13217" t="str">
            <v>2023</v>
          </cell>
        </row>
        <row r="13218">
          <cell r="D13218" t="str">
            <v>2023</v>
          </cell>
        </row>
        <row r="13219">
          <cell r="D13219" t="str">
            <v>2024</v>
          </cell>
        </row>
        <row r="13220">
          <cell r="D13220" t="str">
            <v>2023</v>
          </cell>
        </row>
        <row r="13221">
          <cell r="D13221" t="str">
            <v>2023</v>
          </cell>
        </row>
        <row r="13222">
          <cell r="D13222" t="str">
            <v>2023</v>
          </cell>
        </row>
        <row r="13223">
          <cell r="D13223" t="str">
            <v>2023</v>
          </cell>
        </row>
        <row r="13224">
          <cell r="D13224" t="str">
            <v>2023</v>
          </cell>
        </row>
        <row r="13225">
          <cell r="D13225" t="str">
            <v>2023</v>
          </cell>
        </row>
        <row r="13226">
          <cell r="D13226" t="str">
            <v>2023</v>
          </cell>
        </row>
        <row r="13227">
          <cell r="D13227" t="str">
            <v>2023</v>
          </cell>
        </row>
        <row r="13228">
          <cell r="D13228" t="str">
            <v>2023</v>
          </cell>
        </row>
        <row r="13229">
          <cell r="D13229" t="str">
            <v>2023</v>
          </cell>
        </row>
        <row r="13230">
          <cell r="D13230" t="str">
            <v>2024</v>
          </cell>
        </row>
        <row r="13231">
          <cell r="D13231" t="str">
            <v>2023</v>
          </cell>
        </row>
        <row r="13232">
          <cell r="D13232" t="str">
            <v>2023</v>
          </cell>
        </row>
        <row r="13233">
          <cell r="D13233" t="str">
            <v>2023</v>
          </cell>
        </row>
        <row r="13234">
          <cell r="D13234" t="str">
            <v>2023</v>
          </cell>
        </row>
        <row r="13235">
          <cell r="D13235" t="str">
            <v>2023</v>
          </cell>
        </row>
        <row r="13236">
          <cell r="D13236" t="str">
            <v>2023</v>
          </cell>
        </row>
        <row r="13237">
          <cell r="D13237" t="str">
            <v>2023</v>
          </cell>
        </row>
        <row r="13238">
          <cell r="D13238" t="str">
            <v>2023</v>
          </cell>
        </row>
        <row r="13239">
          <cell r="D13239" t="str">
            <v>2023</v>
          </cell>
        </row>
        <row r="13240">
          <cell r="D13240" t="str">
            <v>2023</v>
          </cell>
        </row>
        <row r="13241">
          <cell r="D13241" t="str">
            <v>2023</v>
          </cell>
        </row>
        <row r="13242">
          <cell r="D13242" t="str">
            <v>2023</v>
          </cell>
        </row>
        <row r="13243">
          <cell r="D13243" t="str">
            <v>2023</v>
          </cell>
        </row>
        <row r="13244">
          <cell r="D13244" t="str">
            <v>2023</v>
          </cell>
        </row>
        <row r="13245">
          <cell r="D13245" t="str">
            <v>2023</v>
          </cell>
        </row>
        <row r="13246">
          <cell r="D13246" t="str">
            <v>2023</v>
          </cell>
        </row>
        <row r="13247">
          <cell r="D13247" t="str">
            <v>2023</v>
          </cell>
        </row>
        <row r="13248">
          <cell r="D13248" t="str">
            <v>2023</v>
          </cell>
        </row>
        <row r="13249">
          <cell r="D13249" t="str">
            <v>2023</v>
          </cell>
        </row>
        <row r="13250">
          <cell r="D13250" t="str">
            <v>2024</v>
          </cell>
        </row>
        <row r="13251">
          <cell r="D13251" t="str">
            <v>2023</v>
          </cell>
        </row>
        <row r="13252">
          <cell r="D13252" t="str">
            <v>2023</v>
          </cell>
        </row>
        <row r="13253">
          <cell r="D13253" t="str">
            <v>2023</v>
          </cell>
        </row>
        <row r="13254">
          <cell r="D13254" t="str">
            <v>2023</v>
          </cell>
        </row>
        <row r="13255">
          <cell r="D13255" t="str">
            <v>2023</v>
          </cell>
        </row>
        <row r="13256">
          <cell r="D13256" t="str">
            <v>2023</v>
          </cell>
        </row>
        <row r="13257">
          <cell r="D13257" t="str">
            <v>2023</v>
          </cell>
        </row>
        <row r="13258">
          <cell r="D13258" t="str">
            <v>2023</v>
          </cell>
        </row>
        <row r="13259">
          <cell r="D13259" t="str">
            <v>2023</v>
          </cell>
        </row>
        <row r="13260">
          <cell r="D13260" t="str">
            <v>2023</v>
          </cell>
        </row>
        <row r="13261">
          <cell r="D13261" t="str">
            <v>2023</v>
          </cell>
        </row>
        <row r="13262">
          <cell r="D13262" t="str">
            <v>2023</v>
          </cell>
        </row>
        <row r="13263">
          <cell r="D13263" t="str">
            <v>2023</v>
          </cell>
        </row>
        <row r="13264">
          <cell r="D13264" t="str">
            <v>2023</v>
          </cell>
        </row>
        <row r="13265">
          <cell r="D13265" t="str">
            <v>2023</v>
          </cell>
        </row>
        <row r="13266">
          <cell r="D13266" t="str">
            <v>2023</v>
          </cell>
        </row>
        <row r="13267">
          <cell r="D13267" t="str">
            <v>2023</v>
          </cell>
        </row>
        <row r="13268">
          <cell r="D13268" t="str">
            <v>2023</v>
          </cell>
        </row>
        <row r="13269">
          <cell r="D13269" t="str">
            <v>2023</v>
          </cell>
        </row>
        <row r="13270">
          <cell r="D13270" t="str">
            <v>2023</v>
          </cell>
        </row>
        <row r="13271">
          <cell r="D13271" t="str">
            <v>2023</v>
          </cell>
        </row>
        <row r="13272">
          <cell r="D13272" t="str">
            <v>2023</v>
          </cell>
        </row>
        <row r="13273">
          <cell r="D13273" t="str">
            <v>2023</v>
          </cell>
        </row>
        <row r="13274">
          <cell r="D13274" t="str">
            <v>2023</v>
          </cell>
        </row>
        <row r="13275">
          <cell r="D13275" t="str">
            <v>2023</v>
          </cell>
        </row>
        <row r="13276">
          <cell r="D13276" t="str">
            <v>2024</v>
          </cell>
        </row>
        <row r="13277">
          <cell r="D13277" t="str">
            <v>2023</v>
          </cell>
        </row>
        <row r="13278">
          <cell r="D13278" t="str">
            <v>2023</v>
          </cell>
        </row>
        <row r="13279">
          <cell r="D13279" t="str">
            <v>2023</v>
          </cell>
        </row>
        <row r="13280">
          <cell r="D13280" t="str">
            <v>2023</v>
          </cell>
        </row>
        <row r="13281">
          <cell r="D13281" t="str">
            <v>2023</v>
          </cell>
        </row>
        <row r="13282">
          <cell r="D13282" t="str">
            <v>2023</v>
          </cell>
        </row>
        <row r="13283">
          <cell r="D13283" t="str">
            <v>2023</v>
          </cell>
        </row>
        <row r="13284">
          <cell r="D13284" t="str">
            <v>2023</v>
          </cell>
        </row>
        <row r="13285">
          <cell r="D13285" t="str">
            <v>2023</v>
          </cell>
        </row>
        <row r="13286">
          <cell r="D13286" t="str">
            <v>2023</v>
          </cell>
        </row>
        <row r="13287">
          <cell r="D13287" t="str">
            <v>2023</v>
          </cell>
        </row>
        <row r="13288">
          <cell r="D13288" t="str">
            <v>2023</v>
          </cell>
        </row>
        <row r="13289">
          <cell r="D13289" t="str">
            <v>2023</v>
          </cell>
        </row>
        <row r="13290">
          <cell r="D13290" t="str">
            <v>2023</v>
          </cell>
        </row>
        <row r="13291">
          <cell r="D13291" t="str">
            <v>2023</v>
          </cell>
        </row>
        <row r="13292">
          <cell r="D13292" t="str">
            <v>2023</v>
          </cell>
        </row>
        <row r="13293">
          <cell r="D13293" t="str">
            <v>2023</v>
          </cell>
        </row>
        <row r="13294">
          <cell r="D13294" t="str">
            <v>2023</v>
          </cell>
        </row>
        <row r="13295">
          <cell r="D13295" t="str">
            <v>2023</v>
          </cell>
        </row>
        <row r="13296">
          <cell r="D13296" t="str">
            <v>2023</v>
          </cell>
        </row>
        <row r="13297">
          <cell r="D13297" t="str">
            <v>2023</v>
          </cell>
        </row>
        <row r="13298">
          <cell r="D13298" t="str">
            <v>2023</v>
          </cell>
        </row>
        <row r="13299">
          <cell r="D13299" t="str">
            <v>2023</v>
          </cell>
        </row>
        <row r="13300">
          <cell r="D13300" t="str">
            <v>2023</v>
          </cell>
        </row>
        <row r="13301">
          <cell r="D13301" t="str">
            <v>2023</v>
          </cell>
        </row>
        <row r="13302">
          <cell r="D13302" t="str">
            <v>2023</v>
          </cell>
        </row>
        <row r="13303">
          <cell r="D13303" t="str">
            <v>2023</v>
          </cell>
        </row>
        <row r="13304">
          <cell r="D13304" t="str">
            <v>2023</v>
          </cell>
        </row>
        <row r="13305">
          <cell r="D13305" t="str">
            <v>2023</v>
          </cell>
        </row>
        <row r="13306">
          <cell r="D13306" t="str">
            <v>2023</v>
          </cell>
        </row>
        <row r="13307">
          <cell r="D13307" t="str">
            <v>2023</v>
          </cell>
        </row>
        <row r="13308">
          <cell r="D13308" t="str">
            <v>2023</v>
          </cell>
        </row>
        <row r="13309">
          <cell r="D13309" t="str">
            <v>2023</v>
          </cell>
        </row>
        <row r="13310">
          <cell r="D13310" t="str">
            <v>2023</v>
          </cell>
        </row>
        <row r="13311">
          <cell r="D13311" t="str">
            <v>2023</v>
          </cell>
        </row>
        <row r="13312">
          <cell r="D13312" t="str">
            <v>2023</v>
          </cell>
        </row>
        <row r="13313">
          <cell r="D13313" t="str">
            <v>2023</v>
          </cell>
        </row>
        <row r="13314">
          <cell r="D13314" t="str">
            <v>2024</v>
          </cell>
        </row>
        <row r="13315">
          <cell r="D13315" t="str">
            <v>2023</v>
          </cell>
        </row>
        <row r="13316">
          <cell r="D13316" t="str">
            <v>2023</v>
          </cell>
        </row>
        <row r="13317">
          <cell r="D13317" t="str">
            <v>2024</v>
          </cell>
        </row>
        <row r="13318">
          <cell r="D13318" t="str">
            <v>2023</v>
          </cell>
        </row>
        <row r="13319">
          <cell r="D13319" t="str">
            <v>2023</v>
          </cell>
        </row>
        <row r="13320">
          <cell r="D13320" t="str">
            <v>2023</v>
          </cell>
        </row>
        <row r="13321">
          <cell r="D13321" t="str">
            <v>2023</v>
          </cell>
        </row>
        <row r="13322">
          <cell r="D13322" t="str">
            <v>2023</v>
          </cell>
        </row>
        <row r="13323">
          <cell r="D13323" t="str">
            <v>2023</v>
          </cell>
        </row>
        <row r="13324">
          <cell r="D13324" t="str">
            <v>2023</v>
          </cell>
        </row>
        <row r="13325">
          <cell r="D13325" t="str">
            <v>2023</v>
          </cell>
        </row>
        <row r="13326">
          <cell r="D13326" t="str">
            <v>2023</v>
          </cell>
        </row>
        <row r="13327">
          <cell r="D13327" t="str">
            <v>2023</v>
          </cell>
        </row>
        <row r="13328">
          <cell r="D13328" t="str">
            <v>2023</v>
          </cell>
        </row>
        <row r="13329">
          <cell r="D13329" t="str">
            <v>2023</v>
          </cell>
        </row>
        <row r="13330">
          <cell r="D13330" t="str">
            <v>2023</v>
          </cell>
        </row>
        <row r="13331">
          <cell r="D13331" t="str">
            <v>2023</v>
          </cell>
        </row>
        <row r="13332">
          <cell r="D13332" t="str">
            <v>2024</v>
          </cell>
        </row>
        <row r="13333">
          <cell r="D13333" t="str">
            <v>2023</v>
          </cell>
        </row>
        <row r="13334">
          <cell r="D13334" t="str">
            <v>2024</v>
          </cell>
        </row>
        <row r="13335">
          <cell r="D13335" t="str">
            <v>2023</v>
          </cell>
        </row>
        <row r="13336">
          <cell r="D13336" t="str">
            <v>2024</v>
          </cell>
        </row>
        <row r="13337">
          <cell r="D13337" t="str">
            <v>2023</v>
          </cell>
        </row>
        <row r="13338">
          <cell r="D13338" t="str">
            <v>2024</v>
          </cell>
        </row>
        <row r="13339">
          <cell r="D13339" t="str">
            <v>2023</v>
          </cell>
        </row>
        <row r="13340">
          <cell r="D13340" t="str">
            <v>2023</v>
          </cell>
        </row>
        <row r="13341">
          <cell r="D13341" t="str">
            <v>2023</v>
          </cell>
        </row>
        <row r="13342">
          <cell r="D13342" t="str">
            <v>2023</v>
          </cell>
        </row>
        <row r="13343">
          <cell r="D13343" t="str">
            <v>2023</v>
          </cell>
        </row>
        <row r="13344">
          <cell r="D13344" t="str">
            <v>2023</v>
          </cell>
        </row>
        <row r="13345">
          <cell r="D13345" t="str">
            <v>2024</v>
          </cell>
        </row>
        <row r="13346">
          <cell r="D13346" t="str">
            <v>2024</v>
          </cell>
        </row>
        <row r="13347">
          <cell r="D13347" t="str">
            <v>2024</v>
          </cell>
        </row>
        <row r="13348">
          <cell r="D13348" t="str">
            <v>2023</v>
          </cell>
        </row>
        <row r="13349">
          <cell r="D13349" t="str">
            <v>2023</v>
          </cell>
        </row>
        <row r="13350">
          <cell r="D13350" t="str">
            <v>2023</v>
          </cell>
        </row>
        <row r="13351">
          <cell r="D13351" t="str">
            <v>2023</v>
          </cell>
        </row>
        <row r="13352">
          <cell r="D13352" t="str">
            <v>2023</v>
          </cell>
        </row>
        <row r="13353">
          <cell r="D13353" t="str">
            <v>2023</v>
          </cell>
        </row>
        <row r="13354">
          <cell r="D13354" t="str">
            <v>2023</v>
          </cell>
        </row>
        <row r="13355">
          <cell r="D13355" t="str">
            <v>2023</v>
          </cell>
        </row>
        <row r="13356">
          <cell r="D13356" t="str">
            <v>2024</v>
          </cell>
        </row>
        <row r="13357">
          <cell r="D13357" t="str">
            <v>2023</v>
          </cell>
        </row>
        <row r="13358">
          <cell r="D13358" t="str">
            <v>2023</v>
          </cell>
        </row>
        <row r="13359">
          <cell r="D13359" t="str">
            <v>2023</v>
          </cell>
        </row>
        <row r="13360">
          <cell r="D13360" t="str">
            <v>2023</v>
          </cell>
        </row>
        <row r="13361">
          <cell r="D13361" t="str">
            <v>2023</v>
          </cell>
        </row>
        <row r="13362">
          <cell r="D13362" t="str">
            <v>2023</v>
          </cell>
        </row>
        <row r="13363">
          <cell r="D13363" t="str">
            <v>2023</v>
          </cell>
        </row>
        <row r="13364">
          <cell r="D13364" t="str">
            <v>2023</v>
          </cell>
        </row>
        <row r="13365">
          <cell r="D13365" t="str">
            <v>2023</v>
          </cell>
        </row>
        <row r="13366">
          <cell r="D13366" t="str">
            <v>2023</v>
          </cell>
        </row>
        <row r="13367">
          <cell r="D13367" t="str">
            <v>2023</v>
          </cell>
        </row>
        <row r="13368">
          <cell r="D13368" t="str">
            <v>2023</v>
          </cell>
        </row>
        <row r="13369">
          <cell r="D13369" t="str">
            <v>2023</v>
          </cell>
        </row>
        <row r="13370">
          <cell r="D13370" t="str">
            <v>2023</v>
          </cell>
        </row>
        <row r="13371">
          <cell r="D13371" t="str">
            <v>2023</v>
          </cell>
        </row>
        <row r="13372">
          <cell r="D13372" t="str">
            <v>2023</v>
          </cell>
        </row>
        <row r="13373">
          <cell r="D13373" t="str">
            <v>2023</v>
          </cell>
        </row>
        <row r="13374">
          <cell r="D13374" t="str">
            <v>2023</v>
          </cell>
        </row>
        <row r="13375">
          <cell r="D13375" t="str">
            <v>2023</v>
          </cell>
        </row>
        <row r="13376">
          <cell r="D13376" t="str">
            <v>2023</v>
          </cell>
        </row>
        <row r="13377">
          <cell r="D13377" t="str">
            <v>2023</v>
          </cell>
        </row>
        <row r="13378">
          <cell r="D13378" t="str">
            <v>2023</v>
          </cell>
        </row>
        <row r="13379">
          <cell r="D13379" t="str">
            <v>2023</v>
          </cell>
        </row>
        <row r="13380">
          <cell r="D13380" t="str">
            <v>2023</v>
          </cell>
        </row>
        <row r="13381">
          <cell r="D13381" t="str">
            <v>2023</v>
          </cell>
        </row>
        <row r="13382">
          <cell r="D13382" t="str">
            <v>2024</v>
          </cell>
        </row>
        <row r="13383">
          <cell r="D13383" t="str">
            <v>2023</v>
          </cell>
        </row>
        <row r="13384">
          <cell r="D13384" t="str">
            <v>2024</v>
          </cell>
        </row>
        <row r="13385">
          <cell r="D13385" t="str">
            <v>2023</v>
          </cell>
        </row>
        <row r="13386">
          <cell r="D13386" t="str">
            <v>2024</v>
          </cell>
        </row>
        <row r="13387">
          <cell r="D13387" t="str">
            <v>2024</v>
          </cell>
        </row>
        <row r="13388">
          <cell r="D13388" t="str">
            <v>2024</v>
          </cell>
        </row>
        <row r="13389">
          <cell r="D13389" t="str">
            <v>2023</v>
          </cell>
        </row>
        <row r="13390">
          <cell r="D13390" t="str">
            <v>2023</v>
          </cell>
        </row>
        <row r="13391">
          <cell r="D13391" t="str">
            <v>2023</v>
          </cell>
        </row>
        <row r="13392">
          <cell r="D13392" t="str">
            <v>2024</v>
          </cell>
        </row>
        <row r="13393">
          <cell r="D13393" t="str">
            <v>2023</v>
          </cell>
        </row>
        <row r="13394">
          <cell r="D13394" t="str">
            <v>2024</v>
          </cell>
        </row>
        <row r="13395">
          <cell r="D13395" t="str">
            <v>2023</v>
          </cell>
        </row>
        <row r="13396">
          <cell r="D13396" t="str">
            <v>2023</v>
          </cell>
        </row>
        <row r="13397">
          <cell r="D13397" t="str">
            <v>2024</v>
          </cell>
        </row>
        <row r="13398">
          <cell r="D13398" t="str">
            <v>2023</v>
          </cell>
        </row>
        <row r="13399">
          <cell r="D13399" t="str">
            <v>2023</v>
          </cell>
        </row>
        <row r="13400">
          <cell r="D13400" t="str">
            <v>2023</v>
          </cell>
        </row>
        <row r="13401">
          <cell r="D13401" t="str">
            <v>2023</v>
          </cell>
        </row>
        <row r="13402">
          <cell r="D13402" t="str">
            <v>2023</v>
          </cell>
        </row>
        <row r="13403">
          <cell r="D13403" t="str">
            <v>2023</v>
          </cell>
        </row>
        <row r="13404">
          <cell r="D13404" t="str">
            <v>2023</v>
          </cell>
        </row>
        <row r="13405">
          <cell r="D13405" t="str">
            <v>2023</v>
          </cell>
        </row>
        <row r="13406">
          <cell r="D13406" t="str">
            <v>2023</v>
          </cell>
        </row>
        <row r="13407">
          <cell r="D13407" t="str">
            <v>2023</v>
          </cell>
        </row>
        <row r="13408">
          <cell r="D13408" t="str">
            <v>2023</v>
          </cell>
        </row>
        <row r="13409">
          <cell r="D13409" t="str">
            <v>2023</v>
          </cell>
        </row>
        <row r="13410">
          <cell r="D13410" t="str">
            <v>2023</v>
          </cell>
        </row>
        <row r="13411">
          <cell r="D13411" t="str">
            <v>2023</v>
          </cell>
        </row>
        <row r="13412">
          <cell r="D13412" t="str">
            <v>2023</v>
          </cell>
        </row>
        <row r="13413">
          <cell r="D13413" t="str">
            <v>2023</v>
          </cell>
        </row>
        <row r="13414">
          <cell r="D13414" t="str">
            <v>2023</v>
          </cell>
        </row>
        <row r="13415">
          <cell r="D13415" t="str">
            <v>2023</v>
          </cell>
        </row>
        <row r="13416">
          <cell r="D13416" t="str">
            <v>2023</v>
          </cell>
        </row>
        <row r="13417">
          <cell r="D13417" t="str">
            <v>2023</v>
          </cell>
        </row>
        <row r="13418">
          <cell r="D13418" t="str">
            <v>2023</v>
          </cell>
        </row>
        <row r="13419">
          <cell r="D13419" t="str">
            <v>2023</v>
          </cell>
        </row>
        <row r="13420">
          <cell r="D13420" t="str">
            <v>2023</v>
          </cell>
        </row>
        <row r="13421">
          <cell r="D13421" t="str">
            <v>2023</v>
          </cell>
        </row>
        <row r="13422">
          <cell r="D13422" t="str">
            <v>2023</v>
          </cell>
        </row>
        <row r="13423">
          <cell r="D13423" t="str">
            <v>2023</v>
          </cell>
        </row>
        <row r="13424">
          <cell r="D13424" t="str">
            <v>2023</v>
          </cell>
        </row>
        <row r="13425">
          <cell r="D13425" t="str">
            <v>2024</v>
          </cell>
        </row>
        <row r="13426">
          <cell r="D13426" t="str">
            <v>2023</v>
          </cell>
        </row>
        <row r="13427">
          <cell r="D13427" t="str">
            <v>2023</v>
          </cell>
        </row>
        <row r="13428">
          <cell r="D13428" t="str">
            <v>2023</v>
          </cell>
        </row>
        <row r="13429">
          <cell r="D13429" t="str">
            <v>2023</v>
          </cell>
        </row>
        <row r="13430">
          <cell r="D13430" t="str">
            <v>2024</v>
          </cell>
        </row>
        <row r="13431">
          <cell r="D13431" t="str">
            <v>2023</v>
          </cell>
        </row>
        <row r="13432">
          <cell r="D13432" t="str">
            <v>2023</v>
          </cell>
        </row>
        <row r="13433">
          <cell r="D13433" t="str">
            <v>2023</v>
          </cell>
        </row>
        <row r="13434">
          <cell r="D13434" t="str">
            <v>2024</v>
          </cell>
        </row>
        <row r="13435">
          <cell r="D13435" t="str">
            <v>2023</v>
          </cell>
        </row>
        <row r="13436">
          <cell r="D13436" t="str">
            <v>2023</v>
          </cell>
        </row>
        <row r="13437">
          <cell r="D13437" t="str">
            <v>2023</v>
          </cell>
        </row>
        <row r="13438">
          <cell r="D13438" t="str">
            <v>2024</v>
          </cell>
        </row>
        <row r="13439">
          <cell r="D13439" t="str">
            <v>2023</v>
          </cell>
        </row>
        <row r="13440">
          <cell r="D13440" t="str">
            <v>2024</v>
          </cell>
        </row>
        <row r="13441">
          <cell r="D13441" t="str">
            <v>2023</v>
          </cell>
        </row>
        <row r="13442">
          <cell r="D13442" t="str">
            <v>2023</v>
          </cell>
        </row>
        <row r="13443">
          <cell r="D13443" t="str">
            <v>2023</v>
          </cell>
        </row>
        <row r="13444">
          <cell r="D13444" t="str">
            <v>2023</v>
          </cell>
        </row>
        <row r="13445">
          <cell r="D13445" t="str">
            <v>2024</v>
          </cell>
        </row>
        <row r="13446">
          <cell r="D13446" t="str">
            <v>2023</v>
          </cell>
        </row>
        <row r="13447">
          <cell r="D13447" t="str">
            <v>2023</v>
          </cell>
        </row>
        <row r="13448">
          <cell r="D13448" t="str">
            <v>2024</v>
          </cell>
        </row>
        <row r="13449">
          <cell r="D13449" t="str">
            <v>2023</v>
          </cell>
        </row>
        <row r="13450">
          <cell r="D13450" t="str">
            <v>2024</v>
          </cell>
        </row>
        <row r="13451">
          <cell r="D13451" t="str">
            <v>2023</v>
          </cell>
        </row>
        <row r="13452">
          <cell r="D13452" t="str">
            <v>2024</v>
          </cell>
        </row>
        <row r="13453">
          <cell r="D13453" t="str">
            <v>2024</v>
          </cell>
        </row>
        <row r="13454">
          <cell r="D13454" t="str">
            <v>2024</v>
          </cell>
        </row>
        <row r="13455">
          <cell r="D13455" t="str">
            <v>2023</v>
          </cell>
        </row>
        <row r="13456">
          <cell r="D13456" t="str">
            <v>2024</v>
          </cell>
        </row>
        <row r="13457">
          <cell r="D13457" t="str">
            <v>2024</v>
          </cell>
        </row>
        <row r="13458">
          <cell r="D13458" t="str">
            <v>2024</v>
          </cell>
        </row>
        <row r="13459">
          <cell r="D13459" t="str">
            <v>2024</v>
          </cell>
        </row>
        <row r="13460">
          <cell r="D13460" t="str">
            <v>2023</v>
          </cell>
        </row>
        <row r="13461">
          <cell r="D13461" t="str">
            <v>2024</v>
          </cell>
        </row>
        <row r="13462">
          <cell r="D13462" t="str">
            <v>2024</v>
          </cell>
        </row>
        <row r="13463">
          <cell r="D13463" t="str">
            <v>2024</v>
          </cell>
        </row>
        <row r="13464">
          <cell r="D13464" t="str">
            <v>2024</v>
          </cell>
        </row>
        <row r="13465">
          <cell r="D13465" t="str">
            <v>2023</v>
          </cell>
        </row>
        <row r="13466">
          <cell r="D13466" t="str">
            <v>2024</v>
          </cell>
        </row>
        <row r="13467">
          <cell r="D13467" t="str">
            <v>2024</v>
          </cell>
        </row>
        <row r="13468">
          <cell r="D13468" t="str">
            <v>2023</v>
          </cell>
        </row>
        <row r="13469">
          <cell r="D13469" t="str">
            <v>2023</v>
          </cell>
        </row>
        <row r="13470">
          <cell r="D13470" t="str">
            <v>2023</v>
          </cell>
        </row>
        <row r="13471">
          <cell r="D13471" t="str">
            <v>2023</v>
          </cell>
        </row>
        <row r="13472">
          <cell r="D13472" t="str">
            <v>2023</v>
          </cell>
        </row>
        <row r="13473">
          <cell r="D13473" t="str">
            <v>2023</v>
          </cell>
        </row>
        <row r="13474">
          <cell r="D13474" t="str">
            <v>2023</v>
          </cell>
        </row>
        <row r="13475">
          <cell r="D13475" t="str">
            <v>2023</v>
          </cell>
        </row>
        <row r="13476">
          <cell r="D13476" t="str">
            <v>2024</v>
          </cell>
        </row>
        <row r="13477">
          <cell r="D13477" t="str">
            <v>2023</v>
          </cell>
        </row>
        <row r="13478">
          <cell r="D13478" t="str">
            <v>2024</v>
          </cell>
        </row>
        <row r="13479">
          <cell r="D13479" t="str">
            <v>2023</v>
          </cell>
        </row>
        <row r="13480">
          <cell r="D13480" t="str">
            <v>2023</v>
          </cell>
        </row>
        <row r="13481">
          <cell r="D13481" t="str">
            <v>2023</v>
          </cell>
        </row>
        <row r="13482">
          <cell r="D13482" t="str">
            <v>2024</v>
          </cell>
        </row>
        <row r="13483">
          <cell r="D13483" t="str">
            <v>2024</v>
          </cell>
        </row>
        <row r="13484">
          <cell r="D13484" t="str">
            <v>2024</v>
          </cell>
        </row>
        <row r="13485">
          <cell r="D13485" t="str">
            <v>2023</v>
          </cell>
        </row>
        <row r="13486">
          <cell r="D13486" t="str">
            <v>2024</v>
          </cell>
        </row>
        <row r="13487">
          <cell r="D13487" t="str">
            <v>2024</v>
          </cell>
        </row>
        <row r="13488">
          <cell r="D13488" t="str">
            <v>2024</v>
          </cell>
        </row>
        <row r="13489">
          <cell r="D13489" t="str">
            <v>2023</v>
          </cell>
        </row>
        <row r="13490">
          <cell r="D13490" t="str">
            <v>2024</v>
          </cell>
        </row>
        <row r="13491">
          <cell r="D13491" t="str">
            <v>2024</v>
          </cell>
        </row>
        <row r="13492">
          <cell r="D13492" t="str">
            <v>2023</v>
          </cell>
        </row>
        <row r="13493">
          <cell r="D13493" t="str">
            <v>2023</v>
          </cell>
        </row>
        <row r="13494">
          <cell r="D13494" t="str">
            <v>2024</v>
          </cell>
        </row>
        <row r="13495">
          <cell r="D13495" t="str">
            <v>2024</v>
          </cell>
        </row>
        <row r="13496">
          <cell r="D13496" t="str">
            <v>2024</v>
          </cell>
        </row>
        <row r="13497">
          <cell r="D13497" t="str">
            <v>2023</v>
          </cell>
        </row>
        <row r="13498">
          <cell r="D13498" t="str">
            <v>2023</v>
          </cell>
        </row>
        <row r="13499">
          <cell r="D13499" t="str">
            <v>2023</v>
          </cell>
        </row>
        <row r="13500">
          <cell r="D13500" t="str">
            <v>2023</v>
          </cell>
        </row>
        <row r="13501">
          <cell r="D13501" t="str">
            <v>2023</v>
          </cell>
        </row>
        <row r="13502">
          <cell r="D13502" t="str">
            <v>2024</v>
          </cell>
        </row>
        <row r="13503">
          <cell r="D13503" t="str">
            <v>2024</v>
          </cell>
        </row>
        <row r="13504">
          <cell r="D13504" t="str">
            <v>2024</v>
          </cell>
        </row>
        <row r="13505">
          <cell r="D13505" t="str">
            <v>2024</v>
          </cell>
        </row>
        <row r="13506">
          <cell r="D13506" t="str">
            <v>2023</v>
          </cell>
        </row>
        <row r="13507">
          <cell r="D13507" t="str">
            <v>2023</v>
          </cell>
        </row>
        <row r="13508">
          <cell r="D13508" t="str">
            <v>2024</v>
          </cell>
        </row>
        <row r="13509">
          <cell r="D13509" t="str">
            <v>2023</v>
          </cell>
        </row>
        <row r="13510">
          <cell r="D13510" t="str">
            <v>2023</v>
          </cell>
        </row>
        <row r="13511">
          <cell r="D13511" t="str">
            <v>2024</v>
          </cell>
        </row>
        <row r="13512">
          <cell r="D13512" t="str">
            <v>2023</v>
          </cell>
        </row>
        <row r="13513">
          <cell r="D13513" t="str">
            <v>2024</v>
          </cell>
        </row>
        <row r="13514">
          <cell r="D13514" t="str">
            <v>2023</v>
          </cell>
        </row>
        <row r="13515">
          <cell r="D13515" t="str">
            <v>2024</v>
          </cell>
        </row>
        <row r="13516">
          <cell r="D13516" t="str">
            <v>2023</v>
          </cell>
        </row>
        <row r="13517">
          <cell r="D13517" t="str">
            <v>2023</v>
          </cell>
        </row>
        <row r="13518">
          <cell r="D13518" t="str">
            <v>2024</v>
          </cell>
        </row>
        <row r="13519">
          <cell r="D13519" t="str">
            <v>2023</v>
          </cell>
        </row>
        <row r="13520">
          <cell r="D13520" t="str">
            <v>2024</v>
          </cell>
        </row>
        <row r="13521">
          <cell r="D13521" t="str">
            <v>2024</v>
          </cell>
        </row>
        <row r="13522">
          <cell r="D13522" t="str">
            <v>2023</v>
          </cell>
        </row>
        <row r="13523">
          <cell r="D13523" t="str">
            <v>2023</v>
          </cell>
        </row>
        <row r="13524">
          <cell r="D13524" t="str">
            <v>2024</v>
          </cell>
        </row>
        <row r="13525">
          <cell r="D13525" t="str">
            <v>2023</v>
          </cell>
        </row>
        <row r="13526">
          <cell r="D13526" t="str">
            <v>2023</v>
          </cell>
        </row>
        <row r="13527">
          <cell r="D13527" t="str">
            <v>2024</v>
          </cell>
        </row>
        <row r="13528">
          <cell r="D13528" t="str">
            <v>2024</v>
          </cell>
        </row>
        <row r="13529">
          <cell r="D13529" t="str">
            <v>2023</v>
          </cell>
        </row>
        <row r="13530">
          <cell r="D13530" t="str">
            <v>2023</v>
          </cell>
        </row>
        <row r="13531">
          <cell r="D13531" t="str">
            <v>2023</v>
          </cell>
        </row>
        <row r="13532">
          <cell r="D13532" t="str">
            <v>2023</v>
          </cell>
        </row>
        <row r="13533">
          <cell r="D13533" t="str">
            <v>2023</v>
          </cell>
        </row>
        <row r="13534">
          <cell r="D13534" t="str">
            <v>2023</v>
          </cell>
        </row>
        <row r="13535">
          <cell r="D13535" t="str">
            <v>2023</v>
          </cell>
        </row>
        <row r="13536">
          <cell r="D13536" t="str">
            <v>2024</v>
          </cell>
        </row>
        <row r="13537">
          <cell r="D13537" t="str">
            <v>2024</v>
          </cell>
        </row>
        <row r="13538">
          <cell r="D13538" t="str">
            <v>2024</v>
          </cell>
        </row>
        <row r="13539">
          <cell r="D13539" t="str">
            <v>2024</v>
          </cell>
        </row>
        <row r="13540">
          <cell r="D13540" t="str">
            <v>2024</v>
          </cell>
        </row>
        <row r="13541">
          <cell r="D13541" t="str">
            <v>2024</v>
          </cell>
        </row>
        <row r="13542">
          <cell r="D13542" t="str">
            <v>2023</v>
          </cell>
        </row>
        <row r="13543">
          <cell r="D13543" t="str">
            <v>2023</v>
          </cell>
        </row>
        <row r="13544">
          <cell r="D13544" t="str">
            <v>2024</v>
          </cell>
        </row>
        <row r="13545">
          <cell r="D13545" t="str">
            <v>2023</v>
          </cell>
        </row>
        <row r="13546">
          <cell r="D13546" t="str">
            <v>2024</v>
          </cell>
        </row>
        <row r="13547">
          <cell r="D13547" t="str">
            <v>2023</v>
          </cell>
        </row>
        <row r="13548">
          <cell r="D13548" t="str">
            <v>2023</v>
          </cell>
        </row>
        <row r="13549">
          <cell r="D13549" t="str">
            <v>2023</v>
          </cell>
        </row>
        <row r="13550">
          <cell r="D13550" t="str">
            <v>2024</v>
          </cell>
        </row>
        <row r="13551">
          <cell r="D13551" t="str">
            <v>2023</v>
          </cell>
        </row>
        <row r="13552">
          <cell r="D13552" t="str">
            <v>2023</v>
          </cell>
        </row>
        <row r="13553">
          <cell r="D13553" t="str">
            <v>2024</v>
          </cell>
        </row>
        <row r="13554">
          <cell r="D13554" t="str">
            <v>2023</v>
          </cell>
        </row>
        <row r="13555">
          <cell r="D13555" t="str">
            <v>2024</v>
          </cell>
        </row>
        <row r="13556">
          <cell r="D13556" t="str">
            <v>2023</v>
          </cell>
        </row>
        <row r="13557">
          <cell r="D13557" t="str">
            <v>2023</v>
          </cell>
        </row>
        <row r="13558">
          <cell r="D13558" t="str">
            <v>2024</v>
          </cell>
        </row>
        <row r="13559">
          <cell r="D13559" t="str">
            <v>2023</v>
          </cell>
        </row>
        <row r="13560">
          <cell r="D13560" t="str">
            <v>2023</v>
          </cell>
        </row>
        <row r="13561">
          <cell r="D13561" t="str">
            <v>2024</v>
          </cell>
        </row>
        <row r="13562">
          <cell r="D13562" t="str">
            <v>2024</v>
          </cell>
        </row>
        <row r="13563">
          <cell r="D13563" t="str">
            <v>2023</v>
          </cell>
        </row>
        <row r="13564">
          <cell r="D13564" t="str">
            <v>2023</v>
          </cell>
        </row>
        <row r="13565">
          <cell r="D13565" t="str">
            <v>2024</v>
          </cell>
        </row>
        <row r="13566">
          <cell r="D13566" t="str">
            <v>2024</v>
          </cell>
        </row>
        <row r="13567">
          <cell r="D13567" t="str">
            <v>2023</v>
          </cell>
        </row>
        <row r="13568">
          <cell r="D13568" t="str">
            <v>2023</v>
          </cell>
        </row>
        <row r="13569">
          <cell r="D13569" t="str">
            <v>2024</v>
          </cell>
        </row>
        <row r="13570">
          <cell r="D13570" t="str">
            <v>2024</v>
          </cell>
        </row>
        <row r="13571">
          <cell r="D13571" t="str">
            <v>2024</v>
          </cell>
        </row>
        <row r="13572">
          <cell r="D13572" t="str">
            <v>2024</v>
          </cell>
        </row>
        <row r="13573">
          <cell r="D13573" t="str">
            <v>2023</v>
          </cell>
        </row>
        <row r="13574">
          <cell r="D13574" t="str">
            <v>2024</v>
          </cell>
        </row>
        <row r="13575">
          <cell r="D13575" t="str">
            <v>2023</v>
          </cell>
        </row>
        <row r="13576">
          <cell r="D13576" t="str">
            <v>2023</v>
          </cell>
        </row>
        <row r="13577">
          <cell r="D13577" t="str">
            <v>2023</v>
          </cell>
        </row>
        <row r="13578">
          <cell r="D13578" t="str">
            <v>2024</v>
          </cell>
        </row>
        <row r="13579">
          <cell r="D13579" t="str">
            <v>2023</v>
          </cell>
        </row>
        <row r="13580">
          <cell r="D13580" t="str">
            <v>2024</v>
          </cell>
        </row>
        <row r="13581">
          <cell r="D13581" t="str">
            <v>2023</v>
          </cell>
        </row>
        <row r="13582">
          <cell r="D13582" t="str">
            <v>2023</v>
          </cell>
        </row>
        <row r="13583">
          <cell r="D13583" t="str">
            <v>2024</v>
          </cell>
        </row>
        <row r="13584">
          <cell r="D13584" t="str">
            <v>2024</v>
          </cell>
        </row>
        <row r="13585">
          <cell r="D13585" t="str">
            <v>2023</v>
          </cell>
        </row>
        <row r="13586">
          <cell r="D13586" t="str">
            <v>2024</v>
          </cell>
        </row>
        <row r="13587">
          <cell r="D13587" t="str">
            <v>2023</v>
          </cell>
        </row>
        <row r="13588">
          <cell r="D13588" t="str">
            <v>2023</v>
          </cell>
        </row>
        <row r="13589">
          <cell r="D13589" t="str">
            <v>2024</v>
          </cell>
        </row>
        <row r="13590">
          <cell r="D13590" t="str">
            <v>2024</v>
          </cell>
        </row>
        <row r="13591">
          <cell r="D13591" t="str">
            <v>2024</v>
          </cell>
        </row>
        <row r="13592">
          <cell r="D13592" t="str">
            <v>2024</v>
          </cell>
        </row>
        <row r="13593">
          <cell r="D13593" t="str">
            <v>2023</v>
          </cell>
        </row>
        <row r="13594">
          <cell r="D13594" t="str">
            <v>2023</v>
          </cell>
        </row>
        <row r="13595">
          <cell r="D13595" t="str">
            <v>2024</v>
          </cell>
        </row>
        <row r="13596">
          <cell r="D13596" t="str">
            <v>2024</v>
          </cell>
        </row>
        <row r="13597">
          <cell r="D13597" t="str">
            <v>2023</v>
          </cell>
        </row>
        <row r="13598">
          <cell r="D13598" t="str">
            <v>2024</v>
          </cell>
        </row>
        <row r="13599">
          <cell r="D13599" t="str">
            <v>2023</v>
          </cell>
        </row>
        <row r="13600">
          <cell r="D13600" t="str">
            <v>2024</v>
          </cell>
        </row>
        <row r="13601">
          <cell r="D13601" t="str">
            <v>2023</v>
          </cell>
        </row>
        <row r="13602">
          <cell r="D13602" t="str">
            <v>2024</v>
          </cell>
        </row>
        <row r="13603">
          <cell r="D13603" t="str">
            <v>2023</v>
          </cell>
        </row>
        <row r="13604">
          <cell r="D13604" t="str">
            <v>2023</v>
          </cell>
        </row>
        <row r="13605">
          <cell r="D13605" t="str">
            <v>2024</v>
          </cell>
        </row>
        <row r="13606">
          <cell r="D13606" t="str">
            <v>2023</v>
          </cell>
        </row>
        <row r="13607">
          <cell r="D13607" t="str">
            <v>2023</v>
          </cell>
        </row>
        <row r="13608">
          <cell r="D13608" t="str">
            <v>2023</v>
          </cell>
        </row>
        <row r="13609">
          <cell r="D13609" t="str">
            <v>2023</v>
          </cell>
        </row>
        <row r="13610">
          <cell r="D13610" t="str">
            <v>2024</v>
          </cell>
        </row>
        <row r="13611">
          <cell r="D13611" t="str">
            <v>2023</v>
          </cell>
        </row>
        <row r="13612">
          <cell r="D13612" t="str">
            <v>2024</v>
          </cell>
        </row>
        <row r="13613">
          <cell r="D13613" t="str">
            <v>2024</v>
          </cell>
        </row>
        <row r="13614">
          <cell r="D13614" t="str">
            <v>2023</v>
          </cell>
        </row>
        <row r="13615">
          <cell r="D13615" t="str">
            <v>2023</v>
          </cell>
        </row>
        <row r="13616">
          <cell r="D13616" t="str">
            <v>2024</v>
          </cell>
        </row>
        <row r="13617">
          <cell r="D13617" t="str">
            <v>2024</v>
          </cell>
        </row>
        <row r="13618">
          <cell r="D13618" t="str">
            <v>2023</v>
          </cell>
        </row>
        <row r="13619">
          <cell r="D13619" t="str">
            <v>2023</v>
          </cell>
        </row>
        <row r="13620">
          <cell r="D13620" t="str">
            <v>2024</v>
          </cell>
        </row>
        <row r="13621">
          <cell r="D13621" t="str">
            <v>2023</v>
          </cell>
        </row>
        <row r="13622">
          <cell r="D13622" t="str">
            <v>2023</v>
          </cell>
        </row>
        <row r="13623">
          <cell r="D13623" t="str">
            <v>2024</v>
          </cell>
        </row>
        <row r="13624">
          <cell r="D13624" t="str">
            <v>2024</v>
          </cell>
        </row>
        <row r="13625">
          <cell r="D13625" t="str">
            <v>2024</v>
          </cell>
        </row>
        <row r="13626">
          <cell r="D13626" t="str">
            <v>2024</v>
          </cell>
        </row>
        <row r="13627">
          <cell r="D13627" t="str">
            <v>2024</v>
          </cell>
        </row>
        <row r="13628">
          <cell r="D13628" t="str">
            <v>2023</v>
          </cell>
        </row>
        <row r="13629">
          <cell r="D13629" t="str">
            <v>2024</v>
          </cell>
        </row>
        <row r="13630">
          <cell r="D13630" t="str">
            <v>2023</v>
          </cell>
        </row>
        <row r="13631">
          <cell r="D13631" t="str">
            <v>2023</v>
          </cell>
        </row>
        <row r="13632">
          <cell r="D13632" t="str">
            <v>2024</v>
          </cell>
        </row>
        <row r="13633">
          <cell r="D13633" t="str">
            <v>2024</v>
          </cell>
        </row>
        <row r="13634">
          <cell r="D13634" t="str">
            <v>2024</v>
          </cell>
        </row>
        <row r="13635">
          <cell r="D13635" t="str">
            <v>2024</v>
          </cell>
        </row>
        <row r="13636">
          <cell r="D13636" t="str">
            <v>2023</v>
          </cell>
        </row>
        <row r="13637">
          <cell r="D13637" t="str">
            <v>2023</v>
          </cell>
        </row>
        <row r="13638">
          <cell r="D13638" t="str">
            <v>2023</v>
          </cell>
        </row>
        <row r="13639">
          <cell r="D13639" t="str">
            <v>2024</v>
          </cell>
        </row>
        <row r="13640">
          <cell r="D13640" t="str">
            <v>2023</v>
          </cell>
        </row>
        <row r="13641">
          <cell r="D13641" t="str">
            <v>2024</v>
          </cell>
        </row>
        <row r="13642">
          <cell r="D13642" t="str">
            <v>2023</v>
          </cell>
        </row>
        <row r="13643">
          <cell r="D13643" t="str">
            <v>2024</v>
          </cell>
        </row>
        <row r="13644">
          <cell r="D13644" t="str">
            <v>2023</v>
          </cell>
        </row>
        <row r="13645">
          <cell r="D13645" t="str">
            <v>2024</v>
          </cell>
        </row>
        <row r="13646">
          <cell r="D13646" t="str">
            <v>2023</v>
          </cell>
        </row>
        <row r="13647">
          <cell r="D13647" t="str">
            <v>2023</v>
          </cell>
        </row>
        <row r="13648">
          <cell r="D13648" t="str">
            <v>2023</v>
          </cell>
        </row>
        <row r="13649">
          <cell r="D13649" t="str">
            <v>2024</v>
          </cell>
        </row>
        <row r="13650">
          <cell r="D13650" t="str">
            <v>2023</v>
          </cell>
        </row>
        <row r="13651">
          <cell r="D13651" t="str">
            <v>2024</v>
          </cell>
        </row>
        <row r="13652">
          <cell r="D13652" t="str">
            <v>2024</v>
          </cell>
        </row>
        <row r="13653">
          <cell r="D13653" t="str">
            <v>2024</v>
          </cell>
        </row>
        <row r="13654">
          <cell r="D13654" t="str">
            <v>2024</v>
          </cell>
        </row>
        <row r="13655">
          <cell r="D13655" t="str">
            <v>2023</v>
          </cell>
        </row>
        <row r="13656">
          <cell r="D13656" t="str">
            <v>2023</v>
          </cell>
        </row>
        <row r="13657">
          <cell r="D13657" t="str">
            <v>2024</v>
          </cell>
        </row>
        <row r="13658">
          <cell r="D13658" t="str">
            <v>2024</v>
          </cell>
        </row>
        <row r="13659">
          <cell r="D13659" t="str">
            <v>2023</v>
          </cell>
        </row>
        <row r="13660">
          <cell r="D13660" t="str">
            <v>2024</v>
          </cell>
        </row>
        <row r="13661">
          <cell r="D13661" t="str">
            <v>2024</v>
          </cell>
        </row>
        <row r="13662">
          <cell r="D13662" t="str">
            <v>2023</v>
          </cell>
        </row>
        <row r="13663">
          <cell r="D13663" t="str">
            <v>2023</v>
          </cell>
        </row>
        <row r="13664">
          <cell r="D13664" t="str">
            <v>2023</v>
          </cell>
        </row>
        <row r="13665">
          <cell r="D13665" t="str">
            <v>2024</v>
          </cell>
        </row>
        <row r="13666">
          <cell r="D13666" t="str">
            <v>2023</v>
          </cell>
        </row>
        <row r="13667">
          <cell r="D13667" t="str">
            <v>2024</v>
          </cell>
        </row>
        <row r="13668">
          <cell r="D13668" t="str">
            <v>2024</v>
          </cell>
        </row>
        <row r="13669">
          <cell r="D13669" t="str">
            <v>2024</v>
          </cell>
        </row>
        <row r="13670">
          <cell r="D13670" t="str">
            <v>2023</v>
          </cell>
        </row>
        <row r="13671">
          <cell r="D13671" t="str">
            <v>2024</v>
          </cell>
        </row>
        <row r="13672">
          <cell r="D13672" t="str">
            <v>2024</v>
          </cell>
        </row>
        <row r="13673">
          <cell r="D13673" t="str">
            <v>2023</v>
          </cell>
        </row>
        <row r="13674">
          <cell r="D13674" t="str">
            <v>2024</v>
          </cell>
        </row>
        <row r="13675">
          <cell r="D13675" t="str">
            <v>2024</v>
          </cell>
        </row>
        <row r="13676">
          <cell r="D13676" t="str">
            <v>2024</v>
          </cell>
        </row>
        <row r="13677">
          <cell r="D13677" t="str">
            <v>2024</v>
          </cell>
        </row>
        <row r="13678">
          <cell r="D13678" t="str">
            <v>2024</v>
          </cell>
        </row>
        <row r="13679">
          <cell r="D13679" t="str">
            <v>2024</v>
          </cell>
        </row>
        <row r="13680">
          <cell r="D13680" t="str">
            <v>2024</v>
          </cell>
        </row>
        <row r="13681">
          <cell r="D13681" t="str">
            <v>2024</v>
          </cell>
        </row>
        <row r="13682">
          <cell r="D13682" t="str">
            <v>2024</v>
          </cell>
        </row>
        <row r="13683">
          <cell r="D13683" t="str">
            <v>2023</v>
          </cell>
        </row>
        <row r="13684">
          <cell r="D13684" t="str">
            <v>2024</v>
          </cell>
        </row>
        <row r="13685">
          <cell r="D13685" t="str">
            <v>2023</v>
          </cell>
        </row>
        <row r="13686">
          <cell r="D13686" t="str">
            <v>2024</v>
          </cell>
        </row>
        <row r="13687">
          <cell r="D13687" t="str">
            <v>2023</v>
          </cell>
        </row>
        <row r="13688">
          <cell r="D13688" t="str">
            <v>2023</v>
          </cell>
        </row>
        <row r="13689">
          <cell r="D13689" t="str">
            <v>2023</v>
          </cell>
        </row>
        <row r="13690">
          <cell r="D13690" t="str">
            <v>2023</v>
          </cell>
        </row>
        <row r="13691">
          <cell r="D13691" t="str">
            <v>2023</v>
          </cell>
        </row>
        <row r="13692">
          <cell r="D13692" t="str">
            <v>2023</v>
          </cell>
        </row>
        <row r="13693">
          <cell r="D13693" t="str">
            <v>2023</v>
          </cell>
        </row>
        <row r="13694">
          <cell r="D13694" t="str">
            <v>2023</v>
          </cell>
        </row>
        <row r="13695">
          <cell r="D13695" t="str">
            <v>2023</v>
          </cell>
        </row>
        <row r="13696">
          <cell r="D13696" t="str">
            <v>2023</v>
          </cell>
        </row>
        <row r="13697">
          <cell r="D13697" t="str">
            <v>2023</v>
          </cell>
        </row>
        <row r="13698">
          <cell r="D13698" t="str">
            <v>2023</v>
          </cell>
        </row>
        <row r="13699">
          <cell r="D13699" t="str">
            <v>2023</v>
          </cell>
        </row>
        <row r="13700">
          <cell r="D13700" t="str">
            <v>2023</v>
          </cell>
        </row>
        <row r="13701">
          <cell r="D13701" t="str">
            <v>2023</v>
          </cell>
        </row>
        <row r="13702">
          <cell r="D13702" t="str">
            <v>2023</v>
          </cell>
        </row>
        <row r="13703">
          <cell r="D13703" t="str">
            <v>2023</v>
          </cell>
        </row>
        <row r="13704">
          <cell r="D13704" t="str">
            <v>2023</v>
          </cell>
        </row>
        <row r="13705">
          <cell r="D13705" t="str">
            <v>2023</v>
          </cell>
        </row>
        <row r="13706">
          <cell r="D13706" t="str">
            <v>2023</v>
          </cell>
        </row>
        <row r="13707">
          <cell r="D13707" t="str">
            <v>2023</v>
          </cell>
        </row>
        <row r="13708">
          <cell r="D13708" t="str">
            <v>2023</v>
          </cell>
        </row>
        <row r="13709">
          <cell r="D13709" t="str">
            <v>2023</v>
          </cell>
        </row>
        <row r="13710">
          <cell r="D13710" t="str">
            <v>2023</v>
          </cell>
        </row>
        <row r="13711">
          <cell r="D13711" t="str">
            <v>2023</v>
          </cell>
        </row>
        <row r="13712">
          <cell r="D13712" t="str">
            <v>2023</v>
          </cell>
        </row>
        <row r="13713">
          <cell r="D13713" t="str">
            <v>2023</v>
          </cell>
        </row>
        <row r="13714">
          <cell r="D13714" t="str">
            <v>2023</v>
          </cell>
        </row>
        <row r="13715">
          <cell r="D13715" t="str">
            <v>2024</v>
          </cell>
        </row>
        <row r="13716">
          <cell r="D13716" t="str">
            <v>2023</v>
          </cell>
        </row>
        <row r="13717">
          <cell r="D13717" t="str">
            <v>2023</v>
          </cell>
        </row>
        <row r="13718">
          <cell r="D13718" t="str">
            <v>2023</v>
          </cell>
        </row>
        <row r="13719">
          <cell r="D13719" t="str">
            <v>2023</v>
          </cell>
        </row>
        <row r="13720">
          <cell r="D13720" t="str">
            <v>2023</v>
          </cell>
        </row>
        <row r="13721">
          <cell r="D13721" t="str">
            <v>2023</v>
          </cell>
        </row>
        <row r="13722">
          <cell r="D13722" t="str">
            <v>2023</v>
          </cell>
        </row>
        <row r="13723">
          <cell r="D13723" t="str">
            <v>2023</v>
          </cell>
        </row>
        <row r="13724">
          <cell r="D13724" t="str">
            <v>2023</v>
          </cell>
        </row>
        <row r="13725">
          <cell r="D13725" t="str">
            <v>2023</v>
          </cell>
        </row>
        <row r="13726">
          <cell r="D13726" t="str">
            <v>2023</v>
          </cell>
        </row>
        <row r="13727">
          <cell r="D13727" t="str">
            <v>2023</v>
          </cell>
        </row>
        <row r="13728">
          <cell r="D13728" t="str">
            <v>2023</v>
          </cell>
        </row>
        <row r="13729">
          <cell r="D13729" t="str">
            <v>2023</v>
          </cell>
        </row>
        <row r="13730">
          <cell r="D13730" t="str">
            <v>2023</v>
          </cell>
        </row>
        <row r="13731">
          <cell r="D13731" t="str">
            <v>2023</v>
          </cell>
        </row>
        <row r="13732">
          <cell r="D13732" t="str">
            <v>2023</v>
          </cell>
        </row>
        <row r="13733">
          <cell r="D13733" t="str">
            <v>2023</v>
          </cell>
        </row>
        <row r="13734">
          <cell r="D13734" t="str">
            <v>2023</v>
          </cell>
        </row>
        <row r="13735">
          <cell r="D13735" t="str">
            <v>2024</v>
          </cell>
        </row>
        <row r="13736">
          <cell r="D13736" t="str">
            <v>2023</v>
          </cell>
        </row>
        <row r="13737">
          <cell r="D13737" t="str">
            <v>2023</v>
          </cell>
        </row>
        <row r="13738">
          <cell r="D13738" t="str">
            <v>2023</v>
          </cell>
        </row>
        <row r="13739">
          <cell r="D13739" t="str">
            <v>2023</v>
          </cell>
        </row>
        <row r="13740">
          <cell r="D13740" t="str">
            <v>2023</v>
          </cell>
        </row>
        <row r="13741">
          <cell r="D13741" t="str">
            <v>2024</v>
          </cell>
        </row>
        <row r="13742">
          <cell r="D13742" t="str">
            <v>2023</v>
          </cell>
        </row>
        <row r="13743">
          <cell r="D13743" t="str">
            <v>2024</v>
          </cell>
        </row>
        <row r="13744">
          <cell r="D13744" t="str">
            <v>2023</v>
          </cell>
        </row>
        <row r="13745">
          <cell r="D13745" t="str">
            <v>2023</v>
          </cell>
        </row>
        <row r="13746">
          <cell r="D13746" t="str">
            <v>2023</v>
          </cell>
        </row>
        <row r="13747">
          <cell r="D13747" t="str">
            <v>2023</v>
          </cell>
        </row>
        <row r="13748">
          <cell r="D13748" t="str">
            <v>2023</v>
          </cell>
        </row>
        <row r="13749">
          <cell r="D13749" t="str">
            <v>2023</v>
          </cell>
        </row>
        <row r="13750">
          <cell r="D13750" t="str">
            <v>2023</v>
          </cell>
        </row>
        <row r="13751">
          <cell r="D13751" t="str">
            <v>2023</v>
          </cell>
        </row>
        <row r="13752">
          <cell r="D13752" t="str">
            <v>2024</v>
          </cell>
        </row>
        <row r="13753">
          <cell r="D13753" t="str">
            <v>2023</v>
          </cell>
        </row>
        <row r="13754">
          <cell r="D13754" t="str">
            <v>2023</v>
          </cell>
        </row>
        <row r="13755">
          <cell r="D13755" t="str">
            <v>2023</v>
          </cell>
        </row>
        <row r="13756">
          <cell r="D13756" t="str">
            <v>2023</v>
          </cell>
        </row>
        <row r="13757">
          <cell r="D13757" t="str">
            <v>2023</v>
          </cell>
        </row>
        <row r="13758">
          <cell r="D13758" t="str">
            <v>2023</v>
          </cell>
        </row>
        <row r="13759">
          <cell r="D13759" t="str">
            <v>2023</v>
          </cell>
        </row>
        <row r="13760">
          <cell r="D13760" t="str">
            <v>2023</v>
          </cell>
        </row>
        <row r="13761">
          <cell r="D13761" t="str">
            <v>2023</v>
          </cell>
        </row>
        <row r="13762">
          <cell r="D13762" t="str">
            <v>2023</v>
          </cell>
        </row>
        <row r="13763">
          <cell r="D13763" t="str">
            <v>2023</v>
          </cell>
        </row>
        <row r="13764">
          <cell r="D13764" t="str">
            <v>2023</v>
          </cell>
        </row>
        <row r="13765">
          <cell r="D13765" t="str">
            <v>2023</v>
          </cell>
        </row>
        <row r="13766">
          <cell r="D13766" t="str">
            <v>2023</v>
          </cell>
        </row>
        <row r="13767">
          <cell r="D13767" t="str">
            <v>2023</v>
          </cell>
        </row>
        <row r="13768">
          <cell r="D13768" t="str">
            <v>2023</v>
          </cell>
        </row>
        <row r="13769">
          <cell r="D13769" t="str">
            <v>2023</v>
          </cell>
        </row>
        <row r="13770">
          <cell r="D13770" t="str">
            <v>2023</v>
          </cell>
        </row>
        <row r="13771">
          <cell r="D13771" t="str">
            <v>2023</v>
          </cell>
        </row>
        <row r="13772">
          <cell r="D13772" t="str">
            <v>2023</v>
          </cell>
        </row>
        <row r="13773">
          <cell r="D13773" t="str">
            <v>2023</v>
          </cell>
        </row>
        <row r="13774">
          <cell r="D13774" t="str">
            <v>2023</v>
          </cell>
        </row>
        <row r="13775">
          <cell r="D13775" t="str">
            <v>2023</v>
          </cell>
        </row>
        <row r="13776">
          <cell r="D13776" t="str">
            <v>2023</v>
          </cell>
        </row>
        <row r="13777">
          <cell r="D13777" t="str">
            <v>2023</v>
          </cell>
        </row>
        <row r="13778">
          <cell r="D13778" t="str">
            <v>2023</v>
          </cell>
        </row>
        <row r="13779">
          <cell r="D13779" t="str">
            <v>2023</v>
          </cell>
        </row>
        <row r="13780">
          <cell r="D13780" t="str">
            <v>2023</v>
          </cell>
        </row>
        <row r="13781">
          <cell r="D13781" t="str">
            <v>2023</v>
          </cell>
        </row>
        <row r="13782">
          <cell r="D13782" t="str">
            <v>2023</v>
          </cell>
        </row>
        <row r="13783">
          <cell r="D13783" t="str">
            <v>2023</v>
          </cell>
        </row>
        <row r="13784">
          <cell r="D13784" t="str">
            <v>2024</v>
          </cell>
        </row>
        <row r="13785">
          <cell r="D13785" t="str">
            <v>2023</v>
          </cell>
        </row>
        <row r="13786">
          <cell r="D13786" t="str">
            <v>2023</v>
          </cell>
        </row>
        <row r="13787">
          <cell r="D13787" t="str">
            <v>2023</v>
          </cell>
        </row>
        <row r="13788">
          <cell r="D13788" t="str">
            <v>2023</v>
          </cell>
        </row>
        <row r="13789">
          <cell r="D13789" t="str">
            <v>2023</v>
          </cell>
        </row>
        <row r="13790">
          <cell r="D13790" t="str">
            <v>2023</v>
          </cell>
        </row>
        <row r="13791">
          <cell r="D13791" t="str">
            <v>2023</v>
          </cell>
        </row>
        <row r="13792">
          <cell r="D13792" t="str">
            <v>2023</v>
          </cell>
        </row>
        <row r="13793">
          <cell r="D13793" t="str">
            <v>2023</v>
          </cell>
        </row>
        <row r="13794">
          <cell r="D13794" t="str">
            <v>2023</v>
          </cell>
        </row>
        <row r="13795">
          <cell r="D13795" t="str">
            <v>2023</v>
          </cell>
        </row>
        <row r="13796">
          <cell r="D13796" t="str">
            <v>2023</v>
          </cell>
        </row>
        <row r="13797">
          <cell r="D13797" t="str">
            <v>2023</v>
          </cell>
        </row>
        <row r="13798">
          <cell r="D13798" t="str">
            <v>2023</v>
          </cell>
        </row>
        <row r="13799">
          <cell r="D13799" t="str">
            <v>2023</v>
          </cell>
        </row>
        <row r="13800">
          <cell r="D13800" t="str">
            <v>2023</v>
          </cell>
        </row>
        <row r="13801">
          <cell r="D13801" t="str">
            <v>2023</v>
          </cell>
        </row>
        <row r="13802">
          <cell r="D13802" t="str">
            <v>2023</v>
          </cell>
        </row>
        <row r="13803">
          <cell r="D13803" t="str">
            <v>2023</v>
          </cell>
        </row>
        <row r="13804">
          <cell r="D13804" t="str">
            <v>2023</v>
          </cell>
        </row>
        <row r="13805">
          <cell r="D13805" t="str">
            <v>2023</v>
          </cell>
        </row>
        <row r="13806">
          <cell r="D13806" t="str">
            <v>2023</v>
          </cell>
        </row>
        <row r="13807">
          <cell r="D13807" t="str">
            <v>2023</v>
          </cell>
        </row>
        <row r="13808">
          <cell r="D13808" t="str">
            <v>2023</v>
          </cell>
        </row>
        <row r="13809">
          <cell r="D13809" t="str">
            <v>2023</v>
          </cell>
        </row>
        <row r="13810">
          <cell r="D13810" t="str">
            <v>2023</v>
          </cell>
        </row>
        <row r="13811">
          <cell r="D13811" t="str">
            <v>2023</v>
          </cell>
        </row>
        <row r="13812">
          <cell r="D13812" t="str">
            <v>2023</v>
          </cell>
        </row>
        <row r="13813">
          <cell r="D13813" t="str">
            <v>2023</v>
          </cell>
        </row>
        <row r="13814">
          <cell r="D13814" t="str">
            <v>2023</v>
          </cell>
        </row>
        <row r="13815">
          <cell r="D13815" t="str">
            <v>2023</v>
          </cell>
        </row>
        <row r="13816">
          <cell r="D13816" t="str">
            <v>2023</v>
          </cell>
        </row>
        <row r="13817">
          <cell r="D13817" t="str">
            <v>2023</v>
          </cell>
        </row>
        <row r="13818">
          <cell r="D13818" t="str">
            <v>2023</v>
          </cell>
        </row>
        <row r="13819">
          <cell r="D13819" t="str">
            <v>2023</v>
          </cell>
        </row>
        <row r="13820">
          <cell r="D13820" t="str">
            <v>2023</v>
          </cell>
        </row>
        <row r="13821">
          <cell r="D13821" t="str">
            <v>2023</v>
          </cell>
        </row>
        <row r="13822">
          <cell r="D13822" t="str">
            <v>2023</v>
          </cell>
        </row>
        <row r="13823">
          <cell r="D13823" t="str">
            <v>2023</v>
          </cell>
        </row>
        <row r="13824">
          <cell r="D13824" t="str">
            <v>2023</v>
          </cell>
        </row>
        <row r="13825">
          <cell r="D13825" t="str">
            <v>2023</v>
          </cell>
        </row>
        <row r="13826">
          <cell r="D13826" t="str">
            <v>2023</v>
          </cell>
        </row>
        <row r="13827">
          <cell r="D13827" t="str">
            <v>2023</v>
          </cell>
        </row>
        <row r="13828">
          <cell r="D13828" t="str">
            <v>2023</v>
          </cell>
        </row>
        <row r="13829">
          <cell r="D13829" t="str">
            <v>2023</v>
          </cell>
        </row>
        <row r="13830">
          <cell r="D13830" t="str">
            <v>2023</v>
          </cell>
        </row>
        <row r="13831">
          <cell r="D13831" t="str">
            <v>2023</v>
          </cell>
        </row>
        <row r="13832">
          <cell r="D13832" t="str">
            <v>2023</v>
          </cell>
        </row>
        <row r="13833">
          <cell r="D13833" t="str">
            <v>2023</v>
          </cell>
        </row>
        <row r="13834">
          <cell r="D13834" t="str">
            <v>2023</v>
          </cell>
        </row>
        <row r="13835">
          <cell r="D13835" t="str">
            <v>2023</v>
          </cell>
        </row>
        <row r="13836">
          <cell r="D13836" t="str">
            <v>2023</v>
          </cell>
        </row>
        <row r="13837">
          <cell r="D13837" t="str">
            <v>2023</v>
          </cell>
        </row>
        <row r="13838">
          <cell r="D13838" t="str">
            <v>2023</v>
          </cell>
        </row>
        <row r="13839">
          <cell r="D13839" t="str">
            <v>2023</v>
          </cell>
        </row>
        <row r="13840">
          <cell r="D13840" t="str">
            <v>2023</v>
          </cell>
        </row>
        <row r="13841">
          <cell r="D13841" t="str">
            <v>2023</v>
          </cell>
        </row>
        <row r="13842">
          <cell r="D13842" t="str">
            <v>2023</v>
          </cell>
        </row>
        <row r="13843">
          <cell r="D13843" t="str">
            <v>2023</v>
          </cell>
        </row>
        <row r="13844">
          <cell r="D13844" t="str">
            <v>2023</v>
          </cell>
        </row>
        <row r="13845">
          <cell r="D13845" t="str">
            <v>2023</v>
          </cell>
        </row>
        <row r="13846">
          <cell r="D13846" t="str">
            <v>2023</v>
          </cell>
        </row>
        <row r="13847">
          <cell r="D13847" t="str">
            <v>2023</v>
          </cell>
        </row>
        <row r="13848">
          <cell r="D13848" t="str">
            <v>2023</v>
          </cell>
        </row>
        <row r="13849">
          <cell r="D13849" t="str">
            <v>2023</v>
          </cell>
        </row>
        <row r="13850">
          <cell r="D13850" t="str">
            <v>2023</v>
          </cell>
        </row>
        <row r="13851">
          <cell r="D13851" t="str">
            <v>2023</v>
          </cell>
        </row>
        <row r="13852">
          <cell r="D13852" t="str">
            <v>2023</v>
          </cell>
        </row>
        <row r="13853">
          <cell r="D13853" t="str">
            <v>2023</v>
          </cell>
        </row>
        <row r="13854">
          <cell r="D13854" t="str">
            <v>2023</v>
          </cell>
        </row>
        <row r="13855">
          <cell r="D13855" t="str">
            <v>2023</v>
          </cell>
        </row>
        <row r="13856">
          <cell r="D13856" t="str">
            <v>2023</v>
          </cell>
        </row>
        <row r="13857">
          <cell r="D13857" t="str">
            <v>2023</v>
          </cell>
        </row>
        <row r="13858">
          <cell r="D13858" t="str">
            <v>2023</v>
          </cell>
        </row>
        <row r="13859">
          <cell r="D13859" t="str">
            <v>2023</v>
          </cell>
        </row>
        <row r="13860">
          <cell r="D13860" t="str">
            <v>2023</v>
          </cell>
        </row>
        <row r="13861">
          <cell r="D13861" t="str">
            <v>2023</v>
          </cell>
        </row>
        <row r="13862">
          <cell r="D13862" t="str">
            <v>2023</v>
          </cell>
        </row>
        <row r="13863">
          <cell r="D13863" t="str">
            <v>2023</v>
          </cell>
        </row>
        <row r="13864">
          <cell r="D13864" t="str">
            <v>2023</v>
          </cell>
        </row>
        <row r="13865">
          <cell r="D13865" t="str">
            <v>2023</v>
          </cell>
        </row>
        <row r="13866">
          <cell r="D13866" t="str">
            <v>2023</v>
          </cell>
        </row>
        <row r="13867">
          <cell r="D13867" t="str">
            <v>2023</v>
          </cell>
        </row>
        <row r="13868">
          <cell r="D13868" t="str">
            <v>2023</v>
          </cell>
        </row>
        <row r="13869">
          <cell r="D13869" t="str">
            <v>2023</v>
          </cell>
        </row>
        <row r="13870">
          <cell r="D13870" t="str">
            <v>2023</v>
          </cell>
        </row>
        <row r="13871">
          <cell r="D13871" t="str">
            <v>2023</v>
          </cell>
        </row>
        <row r="13872">
          <cell r="D13872" t="str">
            <v>2023</v>
          </cell>
        </row>
        <row r="13873">
          <cell r="D13873" t="str">
            <v>2023</v>
          </cell>
        </row>
        <row r="13874">
          <cell r="D13874" t="str">
            <v>2023</v>
          </cell>
        </row>
        <row r="13875">
          <cell r="D13875" t="str">
            <v>2023</v>
          </cell>
        </row>
        <row r="13876">
          <cell r="D13876" t="str">
            <v>2023</v>
          </cell>
        </row>
        <row r="13877">
          <cell r="D13877" t="str">
            <v>2023</v>
          </cell>
        </row>
        <row r="13878">
          <cell r="D13878" t="str">
            <v>2023</v>
          </cell>
        </row>
        <row r="13879">
          <cell r="D13879" t="str">
            <v>2023</v>
          </cell>
        </row>
        <row r="13880">
          <cell r="D13880" t="str">
            <v>2023</v>
          </cell>
        </row>
        <row r="13881">
          <cell r="D13881" t="str">
            <v>2023</v>
          </cell>
        </row>
        <row r="13882">
          <cell r="D13882" t="str">
            <v>2023</v>
          </cell>
        </row>
        <row r="13883">
          <cell r="D13883" t="str">
            <v>2023</v>
          </cell>
        </row>
        <row r="13884">
          <cell r="D13884" t="str">
            <v>2023</v>
          </cell>
        </row>
        <row r="13885">
          <cell r="D13885" t="str">
            <v>2023</v>
          </cell>
        </row>
        <row r="13886">
          <cell r="D13886" t="str">
            <v>2024</v>
          </cell>
        </row>
        <row r="13887">
          <cell r="D13887" t="str">
            <v>2023</v>
          </cell>
        </row>
        <row r="13888">
          <cell r="D13888" t="str">
            <v>2023</v>
          </cell>
        </row>
        <row r="13889">
          <cell r="D13889" t="str">
            <v>2023</v>
          </cell>
        </row>
        <row r="13890">
          <cell r="D13890" t="str">
            <v>2023</v>
          </cell>
        </row>
        <row r="13891">
          <cell r="D13891" t="str">
            <v>2023</v>
          </cell>
        </row>
        <row r="13892">
          <cell r="D13892" t="str">
            <v>2023</v>
          </cell>
        </row>
        <row r="13893">
          <cell r="D13893" t="str">
            <v>2023</v>
          </cell>
        </row>
        <row r="13894">
          <cell r="D13894" t="str">
            <v>2023</v>
          </cell>
        </row>
        <row r="13895">
          <cell r="D13895" t="str">
            <v>2023</v>
          </cell>
        </row>
        <row r="13896">
          <cell r="D13896" t="str">
            <v>2024</v>
          </cell>
        </row>
        <row r="13897">
          <cell r="D13897" t="str">
            <v>2023</v>
          </cell>
        </row>
        <row r="13898">
          <cell r="D13898" t="str">
            <v>2023</v>
          </cell>
        </row>
        <row r="13899">
          <cell r="D13899" t="str">
            <v>2023</v>
          </cell>
        </row>
        <row r="13900">
          <cell r="D13900" t="str">
            <v>2023</v>
          </cell>
        </row>
        <row r="13901">
          <cell r="D13901" t="str">
            <v>2023</v>
          </cell>
        </row>
        <row r="13902">
          <cell r="D13902" t="str">
            <v>2023</v>
          </cell>
        </row>
        <row r="13903">
          <cell r="D13903" t="str">
            <v>2023</v>
          </cell>
        </row>
        <row r="13904">
          <cell r="D13904" t="str">
            <v>2023</v>
          </cell>
        </row>
        <row r="13905">
          <cell r="D13905" t="str">
            <v>2023</v>
          </cell>
        </row>
        <row r="13906">
          <cell r="D13906" t="str">
            <v>2023</v>
          </cell>
        </row>
        <row r="13907">
          <cell r="D13907" t="str">
            <v>2023</v>
          </cell>
        </row>
        <row r="13908">
          <cell r="D13908" t="str">
            <v>2023</v>
          </cell>
        </row>
        <row r="13909">
          <cell r="D13909" t="str">
            <v>2023</v>
          </cell>
        </row>
        <row r="13910">
          <cell r="D13910" t="str">
            <v>2023</v>
          </cell>
        </row>
        <row r="13911">
          <cell r="D13911" t="str">
            <v>2023</v>
          </cell>
        </row>
        <row r="13912">
          <cell r="D13912" t="str">
            <v>2023</v>
          </cell>
        </row>
        <row r="13913">
          <cell r="D13913" t="str">
            <v>2023</v>
          </cell>
        </row>
        <row r="13914">
          <cell r="D13914" t="str">
            <v>2023</v>
          </cell>
        </row>
        <row r="13915">
          <cell r="D13915" t="str">
            <v>2023</v>
          </cell>
        </row>
        <row r="13916">
          <cell r="D13916" t="str">
            <v>2023</v>
          </cell>
        </row>
        <row r="13917">
          <cell r="D13917" t="str">
            <v>2023</v>
          </cell>
        </row>
        <row r="13918">
          <cell r="D13918" t="str">
            <v>2023</v>
          </cell>
        </row>
        <row r="13919">
          <cell r="D13919" t="str">
            <v>2023</v>
          </cell>
        </row>
        <row r="13920">
          <cell r="D13920" t="str">
            <v>2023</v>
          </cell>
        </row>
        <row r="13921">
          <cell r="D13921" t="str">
            <v>2023</v>
          </cell>
        </row>
        <row r="13922">
          <cell r="D13922" t="str">
            <v>2023</v>
          </cell>
        </row>
        <row r="13923">
          <cell r="D13923" t="str">
            <v>2023</v>
          </cell>
        </row>
        <row r="13924">
          <cell r="D13924" t="str">
            <v>2023</v>
          </cell>
        </row>
        <row r="13925">
          <cell r="D13925" t="str">
            <v>2023</v>
          </cell>
        </row>
        <row r="13926">
          <cell r="D13926" t="str">
            <v>2023</v>
          </cell>
        </row>
        <row r="13927">
          <cell r="D13927" t="str">
            <v>2023</v>
          </cell>
        </row>
        <row r="13928">
          <cell r="D13928" t="str">
            <v>2023</v>
          </cell>
        </row>
        <row r="13929">
          <cell r="D13929" t="str">
            <v>2023</v>
          </cell>
        </row>
        <row r="13930">
          <cell r="D13930" t="str">
            <v>2023</v>
          </cell>
        </row>
        <row r="13931">
          <cell r="D13931" t="str">
            <v>2023</v>
          </cell>
        </row>
        <row r="13932">
          <cell r="D13932" t="str">
            <v>2023</v>
          </cell>
        </row>
        <row r="13933">
          <cell r="D13933" t="str">
            <v>2023</v>
          </cell>
        </row>
        <row r="13934">
          <cell r="D13934" t="str">
            <v>2023</v>
          </cell>
        </row>
        <row r="13935">
          <cell r="D13935" t="str">
            <v>2023</v>
          </cell>
        </row>
        <row r="13936">
          <cell r="D13936" t="str">
            <v>2023</v>
          </cell>
        </row>
        <row r="13937">
          <cell r="D13937" t="str">
            <v>2023</v>
          </cell>
        </row>
        <row r="13938">
          <cell r="D13938" t="str">
            <v>2023</v>
          </cell>
        </row>
        <row r="13939">
          <cell r="D13939" t="str">
            <v>2023</v>
          </cell>
        </row>
        <row r="13940">
          <cell r="D13940" t="str">
            <v>2023</v>
          </cell>
        </row>
        <row r="13941">
          <cell r="D13941" t="str">
            <v>2023</v>
          </cell>
        </row>
        <row r="13942">
          <cell r="D13942" t="str">
            <v>2023</v>
          </cell>
        </row>
        <row r="13943">
          <cell r="D13943" t="str">
            <v>2023</v>
          </cell>
        </row>
        <row r="13944">
          <cell r="D13944" t="str">
            <v>2023</v>
          </cell>
        </row>
        <row r="13945">
          <cell r="D13945" t="str">
            <v>2023</v>
          </cell>
        </row>
        <row r="13946">
          <cell r="D13946" t="str">
            <v>2023</v>
          </cell>
        </row>
        <row r="13947">
          <cell r="D13947" t="str">
            <v>2023</v>
          </cell>
        </row>
        <row r="13948">
          <cell r="D13948" t="str">
            <v>2023</v>
          </cell>
        </row>
        <row r="13949">
          <cell r="D13949" t="str">
            <v>2023</v>
          </cell>
        </row>
        <row r="13950">
          <cell r="D13950" t="str">
            <v>2023</v>
          </cell>
        </row>
        <row r="13951">
          <cell r="D13951" t="str">
            <v>2023</v>
          </cell>
        </row>
        <row r="13952">
          <cell r="D13952" t="str">
            <v>2023</v>
          </cell>
        </row>
        <row r="13953">
          <cell r="D13953" t="str">
            <v>2023</v>
          </cell>
        </row>
        <row r="13954">
          <cell r="D13954" t="str">
            <v>2023</v>
          </cell>
        </row>
        <row r="13955">
          <cell r="D13955" t="str">
            <v>2023</v>
          </cell>
        </row>
        <row r="13956">
          <cell r="D13956" t="str">
            <v>2023</v>
          </cell>
        </row>
        <row r="13957">
          <cell r="D13957" t="str">
            <v>2023</v>
          </cell>
        </row>
        <row r="13958">
          <cell r="D13958" t="str">
            <v>2023</v>
          </cell>
        </row>
        <row r="13959">
          <cell r="D13959" t="str">
            <v>2023</v>
          </cell>
        </row>
        <row r="13960">
          <cell r="D13960" t="str">
            <v>2023</v>
          </cell>
        </row>
        <row r="13961">
          <cell r="D13961" t="str">
            <v>2023</v>
          </cell>
        </row>
        <row r="13962">
          <cell r="D13962" t="str">
            <v>2023</v>
          </cell>
        </row>
        <row r="13963">
          <cell r="D13963" t="str">
            <v>2023</v>
          </cell>
        </row>
        <row r="13964">
          <cell r="D13964" t="str">
            <v>2023</v>
          </cell>
        </row>
        <row r="13965">
          <cell r="D13965" t="str">
            <v>2023</v>
          </cell>
        </row>
        <row r="13966">
          <cell r="D13966" t="str">
            <v>2023</v>
          </cell>
        </row>
        <row r="13967">
          <cell r="D13967" t="str">
            <v>2023</v>
          </cell>
        </row>
        <row r="13968">
          <cell r="D13968" t="str">
            <v>2023</v>
          </cell>
        </row>
        <row r="13969">
          <cell r="D13969" t="str">
            <v>2023</v>
          </cell>
        </row>
        <row r="13970">
          <cell r="D13970" t="str">
            <v>2023</v>
          </cell>
        </row>
        <row r="13971">
          <cell r="D13971" t="str">
            <v>2023</v>
          </cell>
        </row>
        <row r="13972">
          <cell r="D13972" t="str">
            <v>2023</v>
          </cell>
        </row>
        <row r="13973">
          <cell r="D13973" t="str">
            <v>2023</v>
          </cell>
        </row>
        <row r="13974">
          <cell r="D13974" t="str">
            <v>2023</v>
          </cell>
        </row>
        <row r="13975">
          <cell r="D13975" t="str">
            <v>2023</v>
          </cell>
        </row>
        <row r="13976">
          <cell r="D13976" t="str">
            <v>2023</v>
          </cell>
        </row>
        <row r="13977">
          <cell r="D13977" t="str">
            <v>2023</v>
          </cell>
        </row>
        <row r="13978">
          <cell r="D13978" t="str">
            <v>2023</v>
          </cell>
        </row>
        <row r="13979">
          <cell r="D13979" t="str">
            <v>2023</v>
          </cell>
        </row>
        <row r="13980">
          <cell r="D13980" t="str">
            <v>2023</v>
          </cell>
        </row>
        <row r="13981">
          <cell r="D13981" t="str">
            <v>2023</v>
          </cell>
        </row>
        <row r="13982">
          <cell r="D13982" t="str">
            <v>2023</v>
          </cell>
        </row>
        <row r="13983">
          <cell r="D13983" t="str">
            <v>2023</v>
          </cell>
        </row>
        <row r="13984">
          <cell r="D13984" t="str">
            <v>2023</v>
          </cell>
        </row>
        <row r="13985">
          <cell r="D13985" t="str">
            <v>2023</v>
          </cell>
        </row>
        <row r="13986">
          <cell r="D13986" t="str">
            <v>2023</v>
          </cell>
        </row>
        <row r="13987">
          <cell r="D13987" t="str">
            <v>2023</v>
          </cell>
        </row>
        <row r="13988">
          <cell r="D13988" t="str">
            <v>2023</v>
          </cell>
        </row>
        <row r="13989">
          <cell r="D13989" t="str">
            <v>2023</v>
          </cell>
        </row>
        <row r="13990">
          <cell r="D13990" t="str">
            <v>2023</v>
          </cell>
        </row>
        <row r="13991">
          <cell r="D13991" t="str">
            <v>2023</v>
          </cell>
        </row>
        <row r="13992">
          <cell r="D13992" t="str">
            <v>2023</v>
          </cell>
        </row>
        <row r="13993">
          <cell r="D13993" t="str">
            <v>2023</v>
          </cell>
        </row>
        <row r="13994">
          <cell r="D13994" t="str">
            <v>2023</v>
          </cell>
        </row>
        <row r="13995">
          <cell r="D13995" t="str">
            <v>2023</v>
          </cell>
        </row>
        <row r="13996">
          <cell r="D13996" t="str">
            <v>2023</v>
          </cell>
        </row>
        <row r="13997">
          <cell r="D13997" t="str">
            <v>2023</v>
          </cell>
        </row>
        <row r="13998">
          <cell r="D13998" t="str">
            <v>2023</v>
          </cell>
        </row>
        <row r="13999">
          <cell r="D13999" t="str">
            <v>2023</v>
          </cell>
        </row>
        <row r="14000">
          <cell r="D14000" t="str">
            <v>2023</v>
          </cell>
        </row>
        <row r="14001">
          <cell r="D14001" t="str">
            <v>2023</v>
          </cell>
        </row>
        <row r="14002">
          <cell r="D14002" t="str">
            <v>2023</v>
          </cell>
        </row>
        <row r="14003">
          <cell r="D14003" t="str">
            <v>2023</v>
          </cell>
        </row>
        <row r="14004">
          <cell r="D14004" t="str">
            <v>2023</v>
          </cell>
        </row>
        <row r="14005">
          <cell r="D14005" t="str">
            <v>2023</v>
          </cell>
        </row>
        <row r="14006">
          <cell r="D14006" t="str">
            <v>2024</v>
          </cell>
        </row>
        <row r="14007">
          <cell r="D14007" t="str">
            <v>2023</v>
          </cell>
        </row>
        <row r="14008">
          <cell r="D14008" t="str">
            <v>2024</v>
          </cell>
        </row>
        <row r="14009">
          <cell r="D14009" t="str">
            <v>2023</v>
          </cell>
        </row>
        <row r="14010">
          <cell r="D14010" t="str">
            <v>2023</v>
          </cell>
        </row>
        <row r="14011">
          <cell r="D14011" t="str">
            <v>2023</v>
          </cell>
        </row>
        <row r="14012">
          <cell r="D14012" t="str">
            <v>2023</v>
          </cell>
        </row>
        <row r="14013">
          <cell r="D14013" t="str">
            <v>2023</v>
          </cell>
        </row>
        <row r="14014">
          <cell r="D14014" t="str">
            <v>2023</v>
          </cell>
        </row>
        <row r="14015">
          <cell r="D14015" t="str">
            <v>2023</v>
          </cell>
        </row>
        <row r="14016">
          <cell r="D14016" t="str">
            <v>2023</v>
          </cell>
        </row>
        <row r="14017">
          <cell r="D14017" t="str">
            <v>2023</v>
          </cell>
        </row>
        <row r="14018">
          <cell r="D14018" t="str">
            <v>2023</v>
          </cell>
        </row>
        <row r="14019">
          <cell r="D14019" t="str">
            <v>2023</v>
          </cell>
        </row>
        <row r="14020">
          <cell r="D14020" t="str">
            <v>2023</v>
          </cell>
        </row>
        <row r="14021">
          <cell r="D14021" t="str">
            <v>2023</v>
          </cell>
        </row>
        <row r="14022">
          <cell r="D14022" t="str">
            <v>2023</v>
          </cell>
        </row>
        <row r="14023">
          <cell r="D14023" t="str">
            <v>2023</v>
          </cell>
        </row>
        <row r="14024">
          <cell r="D14024" t="str">
            <v>2023</v>
          </cell>
        </row>
        <row r="14025">
          <cell r="D14025" t="str">
            <v>2023</v>
          </cell>
        </row>
        <row r="14026">
          <cell r="D14026" t="str">
            <v>2023</v>
          </cell>
        </row>
        <row r="14027">
          <cell r="D14027" t="str">
            <v>2023</v>
          </cell>
        </row>
        <row r="14028">
          <cell r="D14028" t="str">
            <v>2023</v>
          </cell>
        </row>
        <row r="14029">
          <cell r="D14029" t="str">
            <v>2023</v>
          </cell>
        </row>
        <row r="14030">
          <cell r="D14030" t="str">
            <v>2023</v>
          </cell>
        </row>
        <row r="14031">
          <cell r="D14031" t="str">
            <v>2023</v>
          </cell>
        </row>
        <row r="14032">
          <cell r="D14032" t="str">
            <v>2023</v>
          </cell>
        </row>
        <row r="14033">
          <cell r="D14033" t="str">
            <v>2023</v>
          </cell>
        </row>
        <row r="14034">
          <cell r="D14034" t="str">
            <v>2023</v>
          </cell>
        </row>
        <row r="14035">
          <cell r="D14035" t="str">
            <v>2023</v>
          </cell>
        </row>
        <row r="14036">
          <cell r="D14036" t="str">
            <v>2023</v>
          </cell>
        </row>
        <row r="14037">
          <cell r="D14037" t="str">
            <v>2023</v>
          </cell>
        </row>
        <row r="14038">
          <cell r="D14038" t="str">
            <v>2023</v>
          </cell>
        </row>
        <row r="14039">
          <cell r="D14039" t="str">
            <v>2023</v>
          </cell>
        </row>
        <row r="14040">
          <cell r="D14040" t="str">
            <v>2023</v>
          </cell>
        </row>
        <row r="14041">
          <cell r="D14041" t="str">
            <v>2023</v>
          </cell>
        </row>
        <row r="14042">
          <cell r="D14042" t="str">
            <v>2023</v>
          </cell>
        </row>
        <row r="14043">
          <cell r="D14043" t="str">
            <v>2023</v>
          </cell>
        </row>
        <row r="14044">
          <cell r="D14044" t="str">
            <v>2024</v>
          </cell>
        </row>
        <row r="14045">
          <cell r="D14045" t="str">
            <v>2023</v>
          </cell>
        </row>
        <row r="14046">
          <cell r="D14046" t="str">
            <v>2023</v>
          </cell>
        </row>
        <row r="14047">
          <cell r="D14047" t="str">
            <v>2023</v>
          </cell>
        </row>
        <row r="14048">
          <cell r="D14048" t="str">
            <v>2023</v>
          </cell>
        </row>
        <row r="14049">
          <cell r="D14049" t="str">
            <v>2023</v>
          </cell>
        </row>
        <row r="14050">
          <cell r="D14050" t="str">
            <v>2023</v>
          </cell>
        </row>
        <row r="14051">
          <cell r="D14051" t="str">
            <v>2023</v>
          </cell>
        </row>
        <row r="14052">
          <cell r="D14052" t="str">
            <v>2023</v>
          </cell>
        </row>
        <row r="14053">
          <cell r="D14053" t="str">
            <v>2023</v>
          </cell>
        </row>
        <row r="14054">
          <cell r="D14054" t="str">
            <v>2023</v>
          </cell>
        </row>
        <row r="14055">
          <cell r="D14055" t="str">
            <v>2023</v>
          </cell>
        </row>
        <row r="14056">
          <cell r="D14056" t="str">
            <v>2023</v>
          </cell>
        </row>
        <row r="14057">
          <cell r="D14057" t="str">
            <v>2023</v>
          </cell>
        </row>
        <row r="14058">
          <cell r="D14058" t="str">
            <v>2023</v>
          </cell>
        </row>
        <row r="14059">
          <cell r="D14059" t="str">
            <v>2023</v>
          </cell>
        </row>
        <row r="14060">
          <cell r="D14060" t="str">
            <v>2023</v>
          </cell>
        </row>
        <row r="14061">
          <cell r="D14061" t="str">
            <v>2023</v>
          </cell>
        </row>
        <row r="14062">
          <cell r="D14062" t="str">
            <v>2023</v>
          </cell>
        </row>
        <row r="14063">
          <cell r="D14063" t="str">
            <v>2023</v>
          </cell>
        </row>
        <row r="14064">
          <cell r="D14064" t="str">
            <v>2023</v>
          </cell>
        </row>
        <row r="14065">
          <cell r="D14065" t="str">
            <v>2023</v>
          </cell>
        </row>
        <row r="14066">
          <cell r="D14066" t="str">
            <v>2023</v>
          </cell>
        </row>
        <row r="14067">
          <cell r="D14067" t="str">
            <v>2023</v>
          </cell>
        </row>
        <row r="14068">
          <cell r="D14068" t="str">
            <v>2023</v>
          </cell>
        </row>
        <row r="14069">
          <cell r="D14069" t="str">
            <v>2023</v>
          </cell>
        </row>
        <row r="14070">
          <cell r="D14070" t="str">
            <v>2023</v>
          </cell>
        </row>
        <row r="14071">
          <cell r="D14071" t="str">
            <v>2023</v>
          </cell>
        </row>
        <row r="14072">
          <cell r="D14072" t="str">
            <v>2023</v>
          </cell>
        </row>
        <row r="14073">
          <cell r="D14073" t="str">
            <v>2023</v>
          </cell>
        </row>
        <row r="14074">
          <cell r="D14074" t="str">
            <v>2023</v>
          </cell>
        </row>
        <row r="14075">
          <cell r="D14075" t="str">
            <v>2023</v>
          </cell>
        </row>
        <row r="14076">
          <cell r="D14076" t="str">
            <v>2023</v>
          </cell>
        </row>
        <row r="14077">
          <cell r="D14077" t="str">
            <v>2023</v>
          </cell>
        </row>
        <row r="14078">
          <cell r="D14078" t="str">
            <v>2023</v>
          </cell>
        </row>
        <row r="14079">
          <cell r="D14079" t="str">
            <v>2023</v>
          </cell>
        </row>
        <row r="14080">
          <cell r="D14080" t="str">
            <v>2023</v>
          </cell>
        </row>
        <row r="14081">
          <cell r="D14081" t="str">
            <v>2023</v>
          </cell>
        </row>
        <row r="14082">
          <cell r="D14082" t="str">
            <v>2023</v>
          </cell>
        </row>
        <row r="14083">
          <cell r="D14083" t="str">
            <v>2023</v>
          </cell>
        </row>
        <row r="14084">
          <cell r="D14084" t="str">
            <v>2023</v>
          </cell>
        </row>
        <row r="14085">
          <cell r="D14085" t="str">
            <v>2023</v>
          </cell>
        </row>
        <row r="14086">
          <cell r="D14086" t="str">
            <v>2023</v>
          </cell>
        </row>
        <row r="14087">
          <cell r="D14087" t="str">
            <v>2023</v>
          </cell>
        </row>
        <row r="14088">
          <cell r="D14088" t="str">
            <v>2023</v>
          </cell>
        </row>
        <row r="14089">
          <cell r="D14089" t="str">
            <v>2023</v>
          </cell>
        </row>
        <row r="14090">
          <cell r="D14090" t="str">
            <v>2023</v>
          </cell>
        </row>
        <row r="14091">
          <cell r="D14091" t="str">
            <v>2023</v>
          </cell>
        </row>
        <row r="14092">
          <cell r="D14092" t="str">
            <v>2023</v>
          </cell>
        </row>
        <row r="14093">
          <cell r="D14093" t="str">
            <v>2023</v>
          </cell>
        </row>
        <row r="14094">
          <cell r="D14094" t="str">
            <v>2023</v>
          </cell>
        </row>
        <row r="14095">
          <cell r="D14095" t="str">
            <v>2023</v>
          </cell>
        </row>
        <row r="14096">
          <cell r="D14096" t="str">
            <v>2023</v>
          </cell>
        </row>
        <row r="14097">
          <cell r="D14097" t="str">
            <v>2024</v>
          </cell>
        </row>
        <row r="14098">
          <cell r="D14098" t="str">
            <v>2023</v>
          </cell>
        </row>
        <row r="14099">
          <cell r="D14099" t="str">
            <v>2023</v>
          </cell>
        </row>
        <row r="14100">
          <cell r="D14100" t="str">
            <v>2023</v>
          </cell>
        </row>
        <row r="14101">
          <cell r="D14101" t="str">
            <v>2023</v>
          </cell>
        </row>
        <row r="14102">
          <cell r="D14102" t="str">
            <v>2023</v>
          </cell>
        </row>
        <row r="14103">
          <cell r="D14103" t="str">
            <v>2023</v>
          </cell>
        </row>
        <row r="14104">
          <cell r="D14104" t="str">
            <v>2023</v>
          </cell>
        </row>
        <row r="14105">
          <cell r="D14105" t="str">
            <v>2023</v>
          </cell>
        </row>
        <row r="14106">
          <cell r="D14106" t="str">
            <v>2024</v>
          </cell>
        </row>
        <row r="14107">
          <cell r="D14107" t="str">
            <v>2023</v>
          </cell>
        </row>
        <row r="14108">
          <cell r="D14108" t="str">
            <v>2023</v>
          </cell>
        </row>
        <row r="14109">
          <cell r="D14109" t="str">
            <v>2023</v>
          </cell>
        </row>
        <row r="14110">
          <cell r="D14110" t="str">
            <v>2023</v>
          </cell>
        </row>
        <row r="14111">
          <cell r="D14111" t="str">
            <v>2023</v>
          </cell>
        </row>
        <row r="14112">
          <cell r="D14112" t="str">
            <v>2023</v>
          </cell>
        </row>
        <row r="14113">
          <cell r="D14113" t="str">
            <v>2023</v>
          </cell>
        </row>
        <row r="14114">
          <cell r="D14114" t="str">
            <v>2023</v>
          </cell>
        </row>
        <row r="14115">
          <cell r="D14115" t="str">
            <v>2023</v>
          </cell>
        </row>
        <row r="14116">
          <cell r="D14116" t="str">
            <v>2023</v>
          </cell>
        </row>
        <row r="14117">
          <cell r="D14117" t="str">
            <v>2023</v>
          </cell>
        </row>
        <row r="14118">
          <cell r="D14118" t="str">
            <v>2023</v>
          </cell>
        </row>
        <row r="14119">
          <cell r="D14119" t="str">
            <v>2023</v>
          </cell>
        </row>
        <row r="14120">
          <cell r="D14120" t="str">
            <v>2023</v>
          </cell>
        </row>
        <row r="14121">
          <cell r="D14121" t="str">
            <v>2023</v>
          </cell>
        </row>
        <row r="14122">
          <cell r="D14122" t="str">
            <v>2023</v>
          </cell>
        </row>
        <row r="14123">
          <cell r="D14123" t="str">
            <v>2023</v>
          </cell>
        </row>
        <row r="14124">
          <cell r="D14124" t="str">
            <v>2023</v>
          </cell>
        </row>
        <row r="14125">
          <cell r="D14125" t="str">
            <v>2023</v>
          </cell>
        </row>
        <row r="14126">
          <cell r="D14126" t="str">
            <v>2023</v>
          </cell>
        </row>
        <row r="14127">
          <cell r="D14127" t="str">
            <v>2023</v>
          </cell>
        </row>
        <row r="14128">
          <cell r="D14128" t="str">
            <v>2023</v>
          </cell>
        </row>
        <row r="14129">
          <cell r="D14129" t="str">
            <v>2023</v>
          </cell>
        </row>
        <row r="14130">
          <cell r="D14130" t="str">
            <v>2023</v>
          </cell>
        </row>
        <row r="14131">
          <cell r="D14131" t="str">
            <v>2023</v>
          </cell>
        </row>
        <row r="14132">
          <cell r="D14132" t="str">
            <v>2023</v>
          </cell>
        </row>
        <row r="14133">
          <cell r="D14133" t="str">
            <v>2023</v>
          </cell>
        </row>
        <row r="14134">
          <cell r="D14134" t="str">
            <v>2024</v>
          </cell>
        </row>
        <row r="14135">
          <cell r="D14135" t="str">
            <v>2023</v>
          </cell>
        </row>
        <row r="14136">
          <cell r="D14136" t="str">
            <v>2023</v>
          </cell>
        </row>
        <row r="14137">
          <cell r="D14137" t="str">
            <v>2023</v>
          </cell>
        </row>
        <row r="14138">
          <cell r="D14138" t="str">
            <v>2023</v>
          </cell>
        </row>
        <row r="14139">
          <cell r="D14139" t="str">
            <v>2023</v>
          </cell>
        </row>
        <row r="14140">
          <cell r="D14140" t="str">
            <v>2023</v>
          </cell>
        </row>
        <row r="14141">
          <cell r="D14141" t="str">
            <v>2023</v>
          </cell>
        </row>
        <row r="14142">
          <cell r="D14142" t="str">
            <v>2023</v>
          </cell>
        </row>
        <row r="14143">
          <cell r="D14143" t="str">
            <v>2023</v>
          </cell>
        </row>
        <row r="14144">
          <cell r="D14144" t="str">
            <v>2023</v>
          </cell>
        </row>
        <row r="14145">
          <cell r="D14145" t="str">
            <v>2023</v>
          </cell>
        </row>
        <row r="14146">
          <cell r="D14146" t="str">
            <v>2023</v>
          </cell>
        </row>
        <row r="14147">
          <cell r="D14147" t="str">
            <v>2023</v>
          </cell>
        </row>
        <row r="14148">
          <cell r="D14148" t="str">
            <v>2023</v>
          </cell>
        </row>
        <row r="14149">
          <cell r="D14149" t="str">
            <v>2023</v>
          </cell>
        </row>
        <row r="14150">
          <cell r="D14150" t="str">
            <v>2023</v>
          </cell>
        </row>
        <row r="14151">
          <cell r="D14151" t="str">
            <v>2023</v>
          </cell>
        </row>
        <row r="14152">
          <cell r="D14152" t="str">
            <v>2023</v>
          </cell>
        </row>
        <row r="14153">
          <cell r="D14153" t="str">
            <v>2023</v>
          </cell>
        </row>
        <row r="14154">
          <cell r="D14154" t="str">
            <v>2023</v>
          </cell>
        </row>
        <row r="14155">
          <cell r="D14155" t="str">
            <v>2023</v>
          </cell>
        </row>
        <row r="14156">
          <cell r="D14156" t="str">
            <v>2023</v>
          </cell>
        </row>
        <row r="14157">
          <cell r="D14157" t="str">
            <v>2023</v>
          </cell>
        </row>
        <row r="14158">
          <cell r="D14158" t="str">
            <v>2023</v>
          </cell>
        </row>
        <row r="14159">
          <cell r="D14159" t="str">
            <v>2023</v>
          </cell>
        </row>
        <row r="14160">
          <cell r="D14160" t="str">
            <v>2023</v>
          </cell>
        </row>
        <row r="14161">
          <cell r="D14161" t="str">
            <v>2023</v>
          </cell>
        </row>
        <row r="14162">
          <cell r="D14162" t="str">
            <v>2023</v>
          </cell>
        </row>
        <row r="14163">
          <cell r="D14163" t="str">
            <v>2023</v>
          </cell>
        </row>
        <row r="14164">
          <cell r="D14164" t="str">
            <v>2023</v>
          </cell>
        </row>
        <row r="14165">
          <cell r="D14165" t="str">
            <v>2023</v>
          </cell>
        </row>
        <row r="14166">
          <cell r="D14166" t="str">
            <v>2023</v>
          </cell>
        </row>
        <row r="14167">
          <cell r="D14167" t="str">
            <v>2023</v>
          </cell>
        </row>
        <row r="14168">
          <cell r="D14168" t="str">
            <v>2023</v>
          </cell>
        </row>
        <row r="14169">
          <cell r="D14169" t="str">
            <v>2023</v>
          </cell>
        </row>
        <row r="14170">
          <cell r="D14170" t="str">
            <v>2023</v>
          </cell>
        </row>
        <row r="14171">
          <cell r="D14171" t="str">
            <v>2023</v>
          </cell>
        </row>
        <row r="14172">
          <cell r="D14172" t="str">
            <v>2023</v>
          </cell>
        </row>
        <row r="14173">
          <cell r="D14173" t="str">
            <v>2023</v>
          </cell>
        </row>
        <row r="14174">
          <cell r="D14174" t="str">
            <v>2023</v>
          </cell>
        </row>
        <row r="14175">
          <cell r="D14175" t="str">
            <v>2023</v>
          </cell>
        </row>
        <row r="14176">
          <cell r="D14176" t="str">
            <v>2023</v>
          </cell>
        </row>
        <row r="14177">
          <cell r="D14177" t="str">
            <v>2023</v>
          </cell>
        </row>
        <row r="14178">
          <cell r="D14178" t="str">
            <v>2023</v>
          </cell>
        </row>
        <row r="14179">
          <cell r="D14179" t="str">
            <v>2023</v>
          </cell>
        </row>
        <row r="14180">
          <cell r="D14180" t="str">
            <v>2023</v>
          </cell>
        </row>
        <row r="14181">
          <cell r="D14181" t="str">
            <v>2023</v>
          </cell>
        </row>
        <row r="14182">
          <cell r="D14182" t="str">
            <v>2023</v>
          </cell>
        </row>
        <row r="14183">
          <cell r="D14183" t="str">
            <v>2023</v>
          </cell>
        </row>
        <row r="14184">
          <cell r="D14184" t="str">
            <v>2023</v>
          </cell>
        </row>
        <row r="14185">
          <cell r="D14185" t="str">
            <v>2023</v>
          </cell>
        </row>
        <row r="14186">
          <cell r="D14186" t="str">
            <v>2023</v>
          </cell>
        </row>
        <row r="14187">
          <cell r="D14187" t="str">
            <v>2023</v>
          </cell>
        </row>
        <row r="14188">
          <cell r="D14188" t="str">
            <v>2023</v>
          </cell>
        </row>
        <row r="14189">
          <cell r="D14189" t="str">
            <v>2023</v>
          </cell>
        </row>
        <row r="14190">
          <cell r="D14190" t="str">
            <v>2023</v>
          </cell>
        </row>
        <row r="14191">
          <cell r="D14191" t="str">
            <v>2023</v>
          </cell>
        </row>
        <row r="14192">
          <cell r="D14192" t="str">
            <v>2023</v>
          </cell>
        </row>
        <row r="14193">
          <cell r="D14193" t="str">
            <v>2023</v>
          </cell>
        </row>
        <row r="14194">
          <cell r="D14194" t="str">
            <v>2023</v>
          </cell>
        </row>
        <row r="14195">
          <cell r="D14195" t="str">
            <v>2023</v>
          </cell>
        </row>
        <row r="14196">
          <cell r="D14196" t="str">
            <v>2023</v>
          </cell>
        </row>
        <row r="14197">
          <cell r="D14197" t="str">
            <v>2023</v>
          </cell>
        </row>
        <row r="14198">
          <cell r="D14198" t="str">
            <v>2023</v>
          </cell>
        </row>
        <row r="14199">
          <cell r="D14199" t="str">
            <v>2023</v>
          </cell>
        </row>
        <row r="14200">
          <cell r="D14200" t="str">
            <v>2023</v>
          </cell>
        </row>
        <row r="14201">
          <cell r="D14201" t="str">
            <v>2023</v>
          </cell>
        </row>
        <row r="14202">
          <cell r="D14202" t="str">
            <v>2023</v>
          </cell>
        </row>
        <row r="14203">
          <cell r="D14203" t="str">
            <v>2023</v>
          </cell>
        </row>
        <row r="14204">
          <cell r="D14204" t="str">
            <v>2023</v>
          </cell>
        </row>
        <row r="14205">
          <cell r="D14205" t="str">
            <v>2023</v>
          </cell>
        </row>
        <row r="14206">
          <cell r="D14206" t="str">
            <v>2023</v>
          </cell>
        </row>
        <row r="14207">
          <cell r="D14207" t="str">
            <v>2023</v>
          </cell>
        </row>
        <row r="14208">
          <cell r="D14208" t="str">
            <v>2023</v>
          </cell>
        </row>
        <row r="14209">
          <cell r="D14209" t="str">
            <v>2023</v>
          </cell>
        </row>
        <row r="14210">
          <cell r="D14210" t="str">
            <v>2023</v>
          </cell>
        </row>
        <row r="14211">
          <cell r="D14211" t="str">
            <v>2023</v>
          </cell>
        </row>
        <row r="14212">
          <cell r="D14212" t="str">
            <v>2023</v>
          </cell>
        </row>
        <row r="14213">
          <cell r="D14213" t="str">
            <v>2023</v>
          </cell>
        </row>
        <row r="14214">
          <cell r="D14214" t="str">
            <v>2023</v>
          </cell>
        </row>
        <row r="14215">
          <cell r="D14215" t="str">
            <v>2023</v>
          </cell>
        </row>
        <row r="14216">
          <cell r="D14216" t="str">
            <v>2023</v>
          </cell>
        </row>
        <row r="14217">
          <cell r="D14217" t="str">
            <v>2023</v>
          </cell>
        </row>
        <row r="14218">
          <cell r="D14218" t="str">
            <v>2023</v>
          </cell>
        </row>
        <row r="14219">
          <cell r="D14219" t="str">
            <v>2023</v>
          </cell>
        </row>
        <row r="14220">
          <cell r="D14220" t="str">
            <v>2023</v>
          </cell>
        </row>
        <row r="14221">
          <cell r="D14221" t="str">
            <v>2023</v>
          </cell>
        </row>
        <row r="14222">
          <cell r="D14222" t="str">
            <v>2023</v>
          </cell>
        </row>
        <row r="14223">
          <cell r="D14223" t="str">
            <v>2023</v>
          </cell>
        </row>
        <row r="14224">
          <cell r="D14224" t="str">
            <v>2023</v>
          </cell>
        </row>
        <row r="14225">
          <cell r="D14225" t="str">
            <v>2023</v>
          </cell>
        </row>
        <row r="14226">
          <cell r="D14226" t="str">
            <v>2023</v>
          </cell>
        </row>
        <row r="14227">
          <cell r="D14227" t="str">
            <v>2023</v>
          </cell>
        </row>
        <row r="14228">
          <cell r="D14228" t="str">
            <v>2023</v>
          </cell>
        </row>
        <row r="14229">
          <cell r="D14229" t="str">
            <v>2023</v>
          </cell>
        </row>
        <row r="14230">
          <cell r="D14230" t="str">
            <v>2023</v>
          </cell>
        </row>
        <row r="14231">
          <cell r="D14231" t="str">
            <v>2023</v>
          </cell>
        </row>
        <row r="14232">
          <cell r="D14232" t="str">
            <v>2023</v>
          </cell>
        </row>
        <row r="14233">
          <cell r="D14233" t="str">
            <v>2023</v>
          </cell>
        </row>
        <row r="14234">
          <cell r="D14234" t="str">
            <v>2023</v>
          </cell>
        </row>
        <row r="14235">
          <cell r="D14235" t="str">
            <v>2023</v>
          </cell>
        </row>
        <row r="14236">
          <cell r="D14236" t="str">
            <v>2023</v>
          </cell>
        </row>
        <row r="14237">
          <cell r="D14237" t="str">
            <v>2023</v>
          </cell>
        </row>
        <row r="14238">
          <cell r="D14238" t="str">
            <v>2023</v>
          </cell>
        </row>
        <row r="14239">
          <cell r="D14239" t="str">
            <v>2023</v>
          </cell>
        </row>
        <row r="14240">
          <cell r="D14240" t="str">
            <v>2023</v>
          </cell>
        </row>
        <row r="14241">
          <cell r="D14241" t="str">
            <v>2023</v>
          </cell>
        </row>
        <row r="14242">
          <cell r="D14242" t="str">
            <v>2023</v>
          </cell>
        </row>
        <row r="14243">
          <cell r="D14243" t="str">
            <v>2024</v>
          </cell>
        </row>
        <row r="14244">
          <cell r="D14244" t="str">
            <v>2023</v>
          </cell>
        </row>
        <row r="14245">
          <cell r="D14245" t="str">
            <v>2023</v>
          </cell>
        </row>
        <row r="14246">
          <cell r="D14246" t="str">
            <v>2023</v>
          </cell>
        </row>
        <row r="14247">
          <cell r="D14247" t="str">
            <v>2023</v>
          </cell>
        </row>
        <row r="14248">
          <cell r="D14248" t="str">
            <v>2023</v>
          </cell>
        </row>
        <row r="14249">
          <cell r="D14249" t="str">
            <v>2023</v>
          </cell>
        </row>
        <row r="14250">
          <cell r="D14250" t="str">
            <v>2023</v>
          </cell>
        </row>
        <row r="14251">
          <cell r="D14251" t="str">
            <v>2023</v>
          </cell>
        </row>
        <row r="14252">
          <cell r="D14252" t="str">
            <v>2023</v>
          </cell>
        </row>
        <row r="14253">
          <cell r="D14253" t="str">
            <v>2023</v>
          </cell>
        </row>
        <row r="14254">
          <cell r="D14254" t="str">
            <v>2023</v>
          </cell>
        </row>
        <row r="14255">
          <cell r="D14255" t="str">
            <v>2023</v>
          </cell>
        </row>
        <row r="14256">
          <cell r="D14256" t="str">
            <v>2023</v>
          </cell>
        </row>
        <row r="14257">
          <cell r="D14257" t="str">
            <v>2023</v>
          </cell>
        </row>
        <row r="14258">
          <cell r="D14258" t="str">
            <v>2023</v>
          </cell>
        </row>
        <row r="14259">
          <cell r="D14259" t="str">
            <v>2023</v>
          </cell>
        </row>
        <row r="14260">
          <cell r="D14260" t="str">
            <v>2023</v>
          </cell>
        </row>
        <row r="14261">
          <cell r="D14261" t="str">
            <v>2023</v>
          </cell>
        </row>
        <row r="14262">
          <cell r="D14262" t="str">
            <v>2023</v>
          </cell>
        </row>
        <row r="14263">
          <cell r="D14263" t="str">
            <v>2023</v>
          </cell>
        </row>
        <row r="14264">
          <cell r="D14264" t="str">
            <v>2023</v>
          </cell>
        </row>
        <row r="14265">
          <cell r="D14265" t="str">
            <v>2023</v>
          </cell>
        </row>
        <row r="14266">
          <cell r="D14266" t="str">
            <v>2023</v>
          </cell>
        </row>
        <row r="14267">
          <cell r="D14267" t="str">
            <v>2023</v>
          </cell>
        </row>
        <row r="14268">
          <cell r="D14268" t="str">
            <v>2023</v>
          </cell>
        </row>
        <row r="14269">
          <cell r="D14269" t="str">
            <v>2023</v>
          </cell>
        </row>
        <row r="14270">
          <cell r="D14270" t="str">
            <v>2023</v>
          </cell>
        </row>
        <row r="14271">
          <cell r="D14271" t="str">
            <v>2023</v>
          </cell>
        </row>
        <row r="14272">
          <cell r="D14272" t="str">
            <v>2023</v>
          </cell>
        </row>
        <row r="14273">
          <cell r="D14273" t="str">
            <v>2023</v>
          </cell>
        </row>
        <row r="14274">
          <cell r="D14274" t="str">
            <v>2023</v>
          </cell>
        </row>
        <row r="14275">
          <cell r="D14275" t="str">
            <v>2023</v>
          </cell>
        </row>
        <row r="14276">
          <cell r="D14276" t="str">
            <v>2023</v>
          </cell>
        </row>
        <row r="14277">
          <cell r="D14277" t="str">
            <v>2023</v>
          </cell>
        </row>
        <row r="14278">
          <cell r="D14278" t="str">
            <v>2024</v>
          </cell>
        </row>
        <row r="14279">
          <cell r="D14279" t="str">
            <v>2023</v>
          </cell>
        </row>
        <row r="14280">
          <cell r="D14280" t="str">
            <v>2023</v>
          </cell>
        </row>
        <row r="14281">
          <cell r="D14281" t="str">
            <v>2023</v>
          </cell>
        </row>
        <row r="14282">
          <cell r="D14282" t="str">
            <v>2023</v>
          </cell>
        </row>
        <row r="14283">
          <cell r="D14283" t="str">
            <v>2023</v>
          </cell>
        </row>
        <row r="14284">
          <cell r="D14284" t="str">
            <v>2023</v>
          </cell>
        </row>
        <row r="14285">
          <cell r="D14285" t="str">
            <v>2023</v>
          </cell>
        </row>
        <row r="14286">
          <cell r="D14286" t="str">
            <v>2023</v>
          </cell>
        </row>
        <row r="14287">
          <cell r="D14287" t="str">
            <v>2023</v>
          </cell>
        </row>
        <row r="14288">
          <cell r="D14288" t="str">
            <v>2023</v>
          </cell>
        </row>
        <row r="14289">
          <cell r="D14289" t="str">
            <v>2023</v>
          </cell>
        </row>
        <row r="14290">
          <cell r="D14290" t="str">
            <v>2023</v>
          </cell>
        </row>
        <row r="14291">
          <cell r="D14291" t="str">
            <v>2023</v>
          </cell>
        </row>
        <row r="14292">
          <cell r="D14292" t="str">
            <v>2023</v>
          </cell>
        </row>
        <row r="14293">
          <cell r="D14293" t="str">
            <v>2023</v>
          </cell>
        </row>
        <row r="14294">
          <cell r="D14294" t="str">
            <v>2023</v>
          </cell>
        </row>
        <row r="14295">
          <cell r="D14295" t="str">
            <v>2023</v>
          </cell>
        </row>
        <row r="14296">
          <cell r="D14296" t="str">
            <v>2023</v>
          </cell>
        </row>
        <row r="14297">
          <cell r="D14297" t="str">
            <v>2024</v>
          </cell>
        </row>
        <row r="14298">
          <cell r="D14298" t="str">
            <v>2023</v>
          </cell>
        </row>
        <row r="14299">
          <cell r="D14299" t="str">
            <v>2023</v>
          </cell>
        </row>
        <row r="14300">
          <cell r="D14300" t="str">
            <v>2023</v>
          </cell>
        </row>
        <row r="14301">
          <cell r="D14301" t="str">
            <v>2023</v>
          </cell>
        </row>
        <row r="14302">
          <cell r="D14302" t="str">
            <v>2023</v>
          </cell>
        </row>
        <row r="14303">
          <cell r="D14303" t="str">
            <v>2023</v>
          </cell>
        </row>
        <row r="14304">
          <cell r="D14304" t="str">
            <v>2023</v>
          </cell>
        </row>
        <row r="14305">
          <cell r="D14305" t="str">
            <v>2023</v>
          </cell>
        </row>
        <row r="14306">
          <cell r="D14306" t="str">
            <v>2023</v>
          </cell>
        </row>
        <row r="14307">
          <cell r="D14307" t="str">
            <v>2023</v>
          </cell>
        </row>
        <row r="14308">
          <cell r="D14308" t="str">
            <v>2023</v>
          </cell>
        </row>
        <row r="14309">
          <cell r="D14309" t="str">
            <v>2023</v>
          </cell>
        </row>
        <row r="14310">
          <cell r="D14310" t="str">
            <v>2023</v>
          </cell>
        </row>
        <row r="14311">
          <cell r="D14311" t="str">
            <v>2023</v>
          </cell>
        </row>
        <row r="14312">
          <cell r="D14312" t="str">
            <v>2023</v>
          </cell>
        </row>
        <row r="14313">
          <cell r="D14313" t="str">
            <v>2023</v>
          </cell>
        </row>
        <row r="14314">
          <cell r="D14314" t="str">
            <v>2023</v>
          </cell>
        </row>
        <row r="14315">
          <cell r="D14315" t="str">
            <v>2023</v>
          </cell>
        </row>
        <row r="14316">
          <cell r="D14316" t="str">
            <v>2023</v>
          </cell>
        </row>
        <row r="14317">
          <cell r="D14317" t="str">
            <v>2023</v>
          </cell>
        </row>
        <row r="14318">
          <cell r="D14318" t="str">
            <v>2023</v>
          </cell>
        </row>
        <row r="14319">
          <cell r="D14319" t="str">
            <v>2023</v>
          </cell>
        </row>
        <row r="14320">
          <cell r="D14320" t="str">
            <v>2023</v>
          </cell>
        </row>
        <row r="14321">
          <cell r="D14321" t="str">
            <v>2023</v>
          </cell>
        </row>
        <row r="14322">
          <cell r="D14322" t="str">
            <v>2023</v>
          </cell>
        </row>
        <row r="14323">
          <cell r="D14323" t="str">
            <v>2023</v>
          </cell>
        </row>
        <row r="14324">
          <cell r="D14324" t="str">
            <v>2023</v>
          </cell>
        </row>
        <row r="14325">
          <cell r="D14325" t="str">
            <v>2023</v>
          </cell>
        </row>
        <row r="14326">
          <cell r="D14326" t="str">
            <v>2023</v>
          </cell>
        </row>
        <row r="14327">
          <cell r="D14327" t="str">
            <v>2023</v>
          </cell>
        </row>
        <row r="14328">
          <cell r="D14328" t="str">
            <v>2023</v>
          </cell>
        </row>
        <row r="14329">
          <cell r="D14329" t="str">
            <v>2023</v>
          </cell>
        </row>
        <row r="14330">
          <cell r="D14330" t="str">
            <v>2023</v>
          </cell>
        </row>
        <row r="14331">
          <cell r="D14331" t="str">
            <v>2023</v>
          </cell>
        </row>
        <row r="14332">
          <cell r="D14332" t="str">
            <v>2023</v>
          </cell>
        </row>
        <row r="14333">
          <cell r="D14333" t="str">
            <v>2023</v>
          </cell>
        </row>
        <row r="14334">
          <cell r="D14334" t="str">
            <v>2023</v>
          </cell>
        </row>
        <row r="14335">
          <cell r="D14335" t="str">
            <v>2023</v>
          </cell>
        </row>
        <row r="14336">
          <cell r="D14336" t="str">
            <v>2023</v>
          </cell>
        </row>
        <row r="14337">
          <cell r="D14337" t="str">
            <v>2023</v>
          </cell>
        </row>
        <row r="14338">
          <cell r="D14338" t="str">
            <v>2023</v>
          </cell>
        </row>
        <row r="14339">
          <cell r="D14339" t="str">
            <v>2023</v>
          </cell>
        </row>
        <row r="14340">
          <cell r="D14340" t="str">
            <v>2023</v>
          </cell>
        </row>
        <row r="14341">
          <cell r="D14341" t="str">
            <v>2023</v>
          </cell>
        </row>
        <row r="14342">
          <cell r="D14342" t="str">
            <v>2023</v>
          </cell>
        </row>
        <row r="14343">
          <cell r="D14343" t="str">
            <v>2023</v>
          </cell>
        </row>
        <row r="14344">
          <cell r="D14344" t="str">
            <v>2023</v>
          </cell>
        </row>
        <row r="14345">
          <cell r="D14345" t="str">
            <v>2023</v>
          </cell>
        </row>
        <row r="14346">
          <cell r="D14346" t="str">
            <v>2023</v>
          </cell>
        </row>
        <row r="14347">
          <cell r="D14347" t="str">
            <v>2023</v>
          </cell>
        </row>
        <row r="14348">
          <cell r="D14348" t="str">
            <v>2023</v>
          </cell>
        </row>
        <row r="14349">
          <cell r="D14349" t="str">
            <v>2023</v>
          </cell>
        </row>
        <row r="14350">
          <cell r="D14350" t="str">
            <v>2023</v>
          </cell>
        </row>
        <row r="14351">
          <cell r="D14351" t="str">
            <v>2023</v>
          </cell>
        </row>
        <row r="14352">
          <cell r="D14352" t="str">
            <v>2023</v>
          </cell>
        </row>
        <row r="14353">
          <cell r="D14353" t="str">
            <v>2023</v>
          </cell>
        </row>
        <row r="14354">
          <cell r="D14354" t="str">
            <v>2023</v>
          </cell>
        </row>
        <row r="14355">
          <cell r="D14355" t="str">
            <v>2023</v>
          </cell>
        </row>
        <row r="14356">
          <cell r="D14356" t="str">
            <v>2023</v>
          </cell>
        </row>
        <row r="14357">
          <cell r="D14357" t="str">
            <v>2023</v>
          </cell>
        </row>
        <row r="14358">
          <cell r="D14358" t="str">
            <v>2023</v>
          </cell>
        </row>
        <row r="14359">
          <cell r="D14359" t="str">
            <v>2023</v>
          </cell>
        </row>
        <row r="14360">
          <cell r="D14360" t="str">
            <v>2023</v>
          </cell>
        </row>
        <row r="14361">
          <cell r="D14361" t="str">
            <v>2023</v>
          </cell>
        </row>
        <row r="14362">
          <cell r="D14362" t="str">
            <v>2023</v>
          </cell>
        </row>
        <row r="14363">
          <cell r="D14363" t="str">
            <v>2023</v>
          </cell>
        </row>
        <row r="14364">
          <cell r="D14364" t="str">
            <v>2023</v>
          </cell>
        </row>
        <row r="14365">
          <cell r="D14365" t="str">
            <v>2023</v>
          </cell>
        </row>
        <row r="14366">
          <cell r="D14366" t="str">
            <v>2023</v>
          </cell>
        </row>
        <row r="14367">
          <cell r="D14367" t="str">
            <v>2023</v>
          </cell>
        </row>
        <row r="14368">
          <cell r="D14368" t="str">
            <v>2023</v>
          </cell>
        </row>
        <row r="14369">
          <cell r="D14369" t="str">
            <v>2023</v>
          </cell>
        </row>
        <row r="14370">
          <cell r="D14370" t="str">
            <v>2024</v>
          </cell>
        </row>
        <row r="14371">
          <cell r="D14371" t="str">
            <v>2023</v>
          </cell>
        </row>
        <row r="14372">
          <cell r="D14372" t="str">
            <v>2023</v>
          </cell>
        </row>
        <row r="14373">
          <cell r="D14373" t="str">
            <v>2023</v>
          </cell>
        </row>
        <row r="14374">
          <cell r="D14374" t="str">
            <v>2023</v>
          </cell>
        </row>
        <row r="14375">
          <cell r="D14375" t="str">
            <v>2023</v>
          </cell>
        </row>
        <row r="14376">
          <cell r="D14376" t="str">
            <v>2023</v>
          </cell>
        </row>
        <row r="14377">
          <cell r="D14377" t="str">
            <v>2023</v>
          </cell>
        </row>
        <row r="14378">
          <cell r="D14378" t="str">
            <v>2023</v>
          </cell>
        </row>
        <row r="14379">
          <cell r="D14379" t="str">
            <v>2023</v>
          </cell>
        </row>
        <row r="14380">
          <cell r="D14380" t="str">
            <v>2023</v>
          </cell>
        </row>
        <row r="14381">
          <cell r="D14381" t="str">
            <v>2023</v>
          </cell>
        </row>
        <row r="14382">
          <cell r="D14382" t="str">
            <v>2023</v>
          </cell>
        </row>
        <row r="14383">
          <cell r="D14383" t="str">
            <v>2023</v>
          </cell>
        </row>
        <row r="14384">
          <cell r="D14384" t="str">
            <v>2023</v>
          </cell>
        </row>
        <row r="14385">
          <cell r="D14385" t="str">
            <v>2023</v>
          </cell>
        </row>
        <row r="14386">
          <cell r="D14386" t="str">
            <v>2023</v>
          </cell>
        </row>
        <row r="14387">
          <cell r="D14387" t="str">
            <v>2023</v>
          </cell>
        </row>
        <row r="14388">
          <cell r="D14388" t="str">
            <v>2023</v>
          </cell>
        </row>
        <row r="14389">
          <cell r="D14389" t="str">
            <v>2023</v>
          </cell>
        </row>
        <row r="14390">
          <cell r="D14390" t="str">
            <v>2023</v>
          </cell>
        </row>
        <row r="14391">
          <cell r="D14391" t="str">
            <v>2023</v>
          </cell>
        </row>
        <row r="14392">
          <cell r="D14392" t="str">
            <v>2023</v>
          </cell>
        </row>
        <row r="14393">
          <cell r="D14393" t="str">
            <v>2024</v>
          </cell>
        </row>
        <row r="14394">
          <cell r="D14394" t="str">
            <v>2023</v>
          </cell>
        </row>
        <row r="14395">
          <cell r="D14395" t="str">
            <v>2023</v>
          </cell>
        </row>
        <row r="14396">
          <cell r="D14396" t="str">
            <v>2023</v>
          </cell>
        </row>
        <row r="14397">
          <cell r="D14397" t="str">
            <v>2023</v>
          </cell>
        </row>
        <row r="14398">
          <cell r="D14398" t="str">
            <v>2023</v>
          </cell>
        </row>
        <row r="14399">
          <cell r="D14399" t="str">
            <v>2023</v>
          </cell>
        </row>
        <row r="14400">
          <cell r="D14400" t="str">
            <v>2023</v>
          </cell>
        </row>
        <row r="14401">
          <cell r="D14401" t="str">
            <v>2023</v>
          </cell>
        </row>
        <row r="14402">
          <cell r="D14402" t="str">
            <v>2023</v>
          </cell>
        </row>
        <row r="14403">
          <cell r="D14403" t="str">
            <v>2023</v>
          </cell>
        </row>
        <row r="14404">
          <cell r="D14404" t="str">
            <v>2023</v>
          </cell>
        </row>
        <row r="14405">
          <cell r="D14405" t="str">
            <v>2023</v>
          </cell>
        </row>
        <row r="14406">
          <cell r="D14406" t="str">
            <v>2023</v>
          </cell>
        </row>
        <row r="14407">
          <cell r="D14407" t="str">
            <v>2023</v>
          </cell>
        </row>
        <row r="14408">
          <cell r="D14408" t="str">
            <v>2023</v>
          </cell>
        </row>
        <row r="14409">
          <cell r="D14409" t="str">
            <v>2024</v>
          </cell>
        </row>
        <row r="14410">
          <cell r="D14410" t="str">
            <v>2023</v>
          </cell>
        </row>
        <row r="14411">
          <cell r="D14411" t="str">
            <v>2023</v>
          </cell>
        </row>
        <row r="14412">
          <cell r="D14412" t="str">
            <v>2023</v>
          </cell>
        </row>
        <row r="14413">
          <cell r="D14413" t="str">
            <v>2023</v>
          </cell>
        </row>
        <row r="14414">
          <cell r="D14414" t="str">
            <v>2023</v>
          </cell>
        </row>
        <row r="14415">
          <cell r="D14415" t="str">
            <v>2023</v>
          </cell>
        </row>
        <row r="14416">
          <cell r="D14416" t="str">
            <v>2023</v>
          </cell>
        </row>
        <row r="14417">
          <cell r="D14417" t="str">
            <v>2023</v>
          </cell>
        </row>
        <row r="14418">
          <cell r="D14418" t="str">
            <v>2023</v>
          </cell>
        </row>
        <row r="14419">
          <cell r="D14419" t="str">
            <v>2023</v>
          </cell>
        </row>
        <row r="14420">
          <cell r="D14420" t="str">
            <v>2023</v>
          </cell>
        </row>
        <row r="14421">
          <cell r="D14421" t="str">
            <v>2023</v>
          </cell>
        </row>
        <row r="14422">
          <cell r="D14422" t="str">
            <v>2023</v>
          </cell>
        </row>
        <row r="14423">
          <cell r="D14423" t="str">
            <v>2023</v>
          </cell>
        </row>
        <row r="14424">
          <cell r="D14424" t="str">
            <v>2023</v>
          </cell>
        </row>
        <row r="14425">
          <cell r="D14425" t="str">
            <v>2023</v>
          </cell>
        </row>
        <row r="14426">
          <cell r="D14426" t="str">
            <v>2023</v>
          </cell>
        </row>
        <row r="14427">
          <cell r="D14427" t="str">
            <v>2023</v>
          </cell>
        </row>
        <row r="14428">
          <cell r="D14428" t="str">
            <v>2023</v>
          </cell>
        </row>
        <row r="14429">
          <cell r="D14429" t="str">
            <v>2023</v>
          </cell>
        </row>
        <row r="14430">
          <cell r="D14430" t="str">
            <v>2023</v>
          </cell>
        </row>
        <row r="14431">
          <cell r="D14431" t="str">
            <v>2023</v>
          </cell>
        </row>
        <row r="14432">
          <cell r="D14432" t="str">
            <v>2023</v>
          </cell>
        </row>
        <row r="14433">
          <cell r="D14433" t="str">
            <v>2023</v>
          </cell>
        </row>
        <row r="14434">
          <cell r="D14434" t="str">
            <v>2023</v>
          </cell>
        </row>
        <row r="14435">
          <cell r="D14435" t="str">
            <v>2023</v>
          </cell>
        </row>
        <row r="14436">
          <cell r="D14436" t="str">
            <v>2023</v>
          </cell>
        </row>
        <row r="14437">
          <cell r="D14437" t="str">
            <v>2023</v>
          </cell>
        </row>
        <row r="14438">
          <cell r="D14438" t="str">
            <v>2023</v>
          </cell>
        </row>
        <row r="14439">
          <cell r="D14439" t="str">
            <v>2023</v>
          </cell>
        </row>
        <row r="14440">
          <cell r="D14440" t="str">
            <v>2023</v>
          </cell>
        </row>
        <row r="14441">
          <cell r="D14441" t="str">
            <v>2023</v>
          </cell>
        </row>
        <row r="14442">
          <cell r="D14442" t="str">
            <v>2023</v>
          </cell>
        </row>
        <row r="14443">
          <cell r="D14443" t="str">
            <v>2023</v>
          </cell>
        </row>
        <row r="14444">
          <cell r="D14444" t="str">
            <v>2023</v>
          </cell>
        </row>
        <row r="14445">
          <cell r="D14445" t="str">
            <v>2024</v>
          </cell>
        </row>
        <row r="14446">
          <cell r="D14446" t="str">
            <v>2023</v>
          </cell>
        </row>
        <row r="14447">
          <cell r="D14447" t="str">
            <v>2023</v>
          </cell>
        </row>
        <row r="14448">
          <cell r="D14448" t="str">
            <v>2023</v>
          </cell>
        </row>
        <row r="14449">
          <cell r="D14449" t="str">
            <v>2023</v>
          </cell>
        </row>
        <row r="14450">
          <cell r="D14450" t="str">
            <v>2023</v>
          </cell>
        </row>
        <row r="14451">
          <cell r="D14451" t="str">
            <v>2023</v>
          </cell>
        </row>
        <row r="14452">
          <cell r="D14452" t="str">
            <v>2023</v>
          </cell>
        </row>
        <row r="14453">
          <cell r="D14453" t="str">
            <v>2023</v>
          </cell>
        </row>
        <row r="14454">
          <cell r="D14454" t="str">
            <v>2023</v>
          </cell>
        </row>
        <row r="14455">
          <cell r="D14455" t="str">
            <v>2023</v>
          </cell>
        </row>
        <row r="14456">
          <cell r="D14456" t="str">
            <v>2023</v>
          </cell>
        </row>
        <row r="14457">
          <cell r="D14457" t="str">
            <v>2023</v>
          </cell>
        </row>
        <row r="14458">
          <cell r="D14458" t="str">
            <v>2023</v>
          </cell>
        </row>
        <row r="14459">
          <cell r="D14459" t="str">
            <v>2023</v>
          </cell>
        </row>
        <row r="14460">
          <cell r="D14460" t="str">
            <v>2023</v>
          </cell>
        </row>
        <row r="14461">
          <cell r="D14461" t="str">
            <v>2023</v>
          </cell>
        </row>
        <row r="14462">
          <cell r="D14462" t="str">
            <v>2023</v>
          </cell>
        </row>
        <row r="14463">
          <cell r="D14463" t="str">
            <v>2023</v>
          </cell>
        </row>
        <row r="14464">
          <cell r="D14464" t="str">
            <v>2023</v>
          </cell>
        </row>
        <row r="14465">
          <cell r="D14465" t="str">
            <v>2023</v>
          </cell>
        </row>
        <row r="14466">
          <cell r="D14466" t="str">
            <v>2023</v>
          </cell>
        </row>
        <row r="14467">
          <cell r="D14467" t="str">
            <v>2023</v>
          </cell>
        </row>
        <row r="14468">
          <cell r="D14468" t="str">
            <v>2023</v>
          </cell>
        </row>
        <row r="14469">
          <cell r="D14469" t="str">
            <v>2023</v>
          </cell>
        </row>
        <row r="14470">
          <cell r="D14470" t="str">
            <v>2024</v>
          </cell>
        </row>
        <row r="14471">
          <cell r="D14471" t="str">
            <v>2023</v>
          </cell>
        </row>
        <row r="14472">
          <cell r="D14472" t="str">
            <v>2023</v>
          </cell>
        </row>
        <row r="14473">
          <cell r="D14473" t="str">
            <v>2023</v>
          </cell>
        </row>
        <row r="14474">
          <cell r="D14474" t="str">
            <v>2023</v>
          </cell>
        </row>
        <row r="14475">
          <cell r="D14475" t="str">
            <v>2023</v>
          </cell>
        </row>
        <row r="14476">
          <cell r="D14476" t="str">
            <v>2023</v>
          </cell>
        </row>
        <row r="14477">
          <cell r="D14477" t="str">
            <v>2023</v>
          </cell>
        </row>
        <row r="14478">
          <cell r="D14478" t="str">
            <v>2023</v>
          </cell>
        </row>
        <row r="14479">
          <cell r="D14479" t="str">
            <v>2023</v>
          </cell>
        </row>
        <row r="14480">
          <cell r="D14480" t="str">
            <v>2023</v>
          </cell>
        </row>
        <row r="14481">
          <cell r="D14481" t="str">
            <v>2024</v>
          </cell>
        </row>
        <row r="14482">
          <cell r="D14482" t="str">
            <v>2023</v>
          </cell>
        </row>
        <row r="14483">
          <cell r="D14483" t="str">
            <v>2023</v>
          </cell>
        </row>
        <row r="14484">
          <cell r="D14484" t="str">
            <v>2023</v>
          </cell>
        </row>
        <row r="14485">
          <cell r="D14485" t="str">
            <v>2023</v>
          </cell>
        </row>
        <row r="14486">
          <cell r="D14486" t="str">
            <v>2023</v>
          </cell>
        </row>
        <row r="14487">
          <cell r="D14487" t="str">
            <v>2023</v>
          </cell>
        </row>
        <row r="14488">
          <cell r="D14488" t="str">
            <v>2023</v>
          </cell>
        </row>
        <row r="14489">
          <cell r="D14489" t="str">
            <v>2023</v>
          </cell>
        </row>
        <row r="14490">
          <cell r="D14490" t="str">
            <v>2023</v>
          </cell>
        </row>
        <row r="14491">
          <cell r="D14491" t="str">
            <v>2024</v>
          </cell>
        </row>
        <row r="14492">
          <cell r="D14492" t="str">
            <v>2023</v>
          </cell>
        </row>
        <row r="14493">
          <cell r="D14493" t="str">
            <v>2023</v>
          </cell>
        </row>
        <row r="14494">
          <cell r="D14494" t="str">
            <v>2023</v>
          </cell>
        </row>
        <row r="14495">
          <cell r="D14495" t="str">
            <v>2023</v>
          </cell>
        </row>
        <row r="14496">
          <cell r="D14496" t="str">
            <v>2024</v>
          </cell>
        </row>
        <row r="14497">
          <cell r="D14497" t="str">
            <v>2023</v>
          </cell>
        </row>
        <row r="14498">
          <cell r="D14498" t="str">
            <v>2023</v>
          </cell>
        </row>
        <row r="14499">
          <cell r="D14499" t="str">
            <v>2023</v>
          </cell>
        </row>
        <row r="14500">
          <cell r="D14500" t="str">
            <v>2023</v>
          </cell>
        </row>
        <row r="14501">
          <cell r="D14501" t="str">
            <v>2023</v>
          </cell>
        </row>
        <row r="14502">
          <cell r="D14502" t="str">
            <v>2023</v>
          </cell>
        </row>
        <row r="14503">
          <cell r="D14503" t="str">
            <v>2023</v>
          </cell>
        </row>
        <row r="14504">
          <cell r="D14504" t="str">
            <v>2023</v>
          </cell>
        </row>
        <row r="14505">
          <cell r="D14505" t="str">
            <v>2023</v>
          </cell>
        </row>
        <row r="14506">
          <cell r="D14506" t="str">
            <v>2023</v>
          </cell>
        </row>
        <row r="14507">
          <cell r="D14507" t="str">
            <v>2023</v>
          </cell>
        </row>
        <row r="14508">
          <cell r="D14508" t="str">
            <v>2023</v>
          </cell>
        </row>
        <row r="14509">
          <cell r="D14509" t="str">
            <v>2023</v>
          </cell>
        </row>
        <row r="14510">
          <cell r="D14510" t="str">
            <v>2023</v>
          </cell>
        </row>
        <row r="14511">
          <cell r="D14511" t="str">
            <v>2023</v>
          </cell>
        </row>
        <row r="14512">
          <cell r="D14512" t="str">
            <v>2023</v>
          </cell>
        </row>
        <row r="14513">
          <cell r="D14513" t="str">
            <v>2023</v>
          </cell>
        </row>
        <row r="14514">
          <cell r="D14514" t="str">
            <v>2023</v>
          </cell>
        </row>
        <row r="14515">
          <cell r="D14515" t="str">
            <v>2023</v>
          </cell>
        </row>
        <row r="14516">
          <cell r="D14516" t="str">
            <v>2023</v>
          </cell>
        </row>
        <row r="14517">
          <cell r="D14517" t="str">
            <v>2023</v>
          </cell>
        </row>
        <row r="14518">
          <cell r="D14518" t="str">
            <v>2023</v>
          </cell>
        </row>
        <row r="14519">
          <cell r="D14519" t="str">
            <v>2023</v>
          </cell>
        </row>
        <row r="14520">
          <cell r="D14520" t="str">
            <v>2023</v>
          </cell>
        </row>
        <row r="14521">
          <cell r="D14521" t="str">
            <v>2023</v>
          </cell>
        </row>
        <row r="14522">
          <cell r="D14522" t="str">
            <v>2023</v>
          </cell>
        </row>
        <row r="14523">
          <cell r="D14523" t="str">
            <v>2023</v>
          </cell>
        </row>
        <row r="14524">
          <cell r="D14524" t="str">
            <v>2023</v>
          </cell>
        </row>
        <row r="14525">
          <cell r="D14525" t="str">
            <v>2023</v>
          </cell>
        </row>
        <row r="14526">
          <cell r="D14526" t="str">
            <v>2023</v>
          </cell>
        </row>
        <row r="14527">
          <cell r="D14527" t="str">
            <v>2023</v>
          </cell>
        </row>
        <row r="14528">
          <cell r="D14528" t="str">
            <v>2023</v>
          </cell>
        </row>
        <row r="14529">
          <cell r="D14529" t="str">
            <v>2023</v>
          </cell>
        </row>
        <row r="14530">
          <cell r="D14530" t="str">
            <v>2023</v>
          </cell>
        </row>
        <row r="14531">
          <cell r="D14531" t="str">
            <v>2023</v>
          </cell>
        </row>
        <row r="14532">
          <cell r="D14532" t="str">
            <v>2023</v>
          </cell>
        </row>
        <row r="14533">
          <cell r="D14533" t="str">
            <v>2023</v>
          </cell>
        </row>
        <row r="14534">
          <cell r="D14534" t="str">
            <v>2023</v>
          </cell>
        </row>
        <row r="14535">
          <cell r="D14535" t="str">
            <v>2023</v>
          </cell>
        </row>
        <row r="14536">
          <cell r="D14536" t="str">
            <v>2023</v>
          </cell>
        </row>
        <row r="14537">
          <cell r="D14537" t="str">
            <v>2023</v>
          </cell>
        </row>
        <row r="14538">
          <cell r="D14538" t="str">
            <v>2023</v>
          </cell>
        </row>
        <row r="14539">
          <cell r="D14539" t="str">
            <v>2023</v>
          </cell>
        </row>
        <row r="14540">
          <cell r="D14540" t="str">
            <v>2023</v>
          </cell>
        </row>
        <row r="14541">
          <cell r="D14541" t="str">
            <v>2023</v>
          </cell>
        </row>
        <row r="14542">
          <cell r="D14542" t="str">
            <v>2023</v>
          </cell>
        </row>
        <row r="14543">
          <cell r="D14543" t="str">
            <v>2023</v>
          </cell>
        </row>
        <row r="14544">
          <cell r="D14544" t="str">
            <v>2023</v>
          </cell>
        </row>
        <row r="14545">
          <cell r="D14545" t="str">
            <v>2023</v>
          </cell>
        </row>
        <row r="14546">
          <cell r="D14546" t="str">
            <v>2023</v>
          </cell>
        </row>
        <row r="14547">
          <cell r="D14547" t="str">
            <v>2023</v>
          </cell>
        </row>
        <row r="14548">
          <cell r="D14548" t="str">
            <v>2023</v>
          </cell>
        </row>
        <row r="14549">
          <cell r="D14549" t="str">
            <v>2023</v>
          </cell>
        </row>
        <row r="14550">
          <cell r="D14550" t="str">
            <v>2023</v>
          </cell>
        </row>
        <row r="14551">
          <cell r="D14551" t="str">
            <v>2023</v>
          </cell>
        </row>
        <row r="14552">
          <cell r="D14552" t="str">
            <v>2023</v>
          </cell>
        </row>
        <row r="14553">
          <cell r="D14553" t="str">
            <v>2023</v>
          </cell>
        </row>
        <row r="14554">
          <cell r="D14554" t="str">
            <v>2023</v>
          </cell>
        </row>
        <row r="14555">
          <cell r="D14555" t="str">
            <v>2023</v>
          </cell>
        </row>
        <row r="14556">
          <cell r="D14556" t="str">
            <v>2023</v>
          </cell>
        </row>
        <row r="14557">
          <cell r="D14557" t="str">
            <v>2023</v>
          </cell>
        </row>
        <row r="14558">
          <cell r="D14558" t="str">
            <v>2023</v>
          </cell>
        </row>
        <row r="14559">
          <cell r="D14559" t="str">
            <v>2023</v>
          </cell>
        </row>
        <row r="14560">
          <cell r="D14560" t="str">
            <v>2023</v>
          </cell>
        </row>
        <row r="14561">
          <cell r="D14561" t="str">
            <v>2023</v>
          </cell>
        </row>
        <row r="14562">
          <cell r="D14562" t="str">
            <v>2023</v>
          </cell>
        </row>
        <row r="14563">
          <cell r="D14563" t="str">
            <v>2023</v>
          </cell>
        </row>
        <row r="14564">
          <cell r="D14564" t="str">
            <v>2023</v>
          </cell>
        </row>
        <row r="14565">
          <cell r="D14565" t="str">
            <v>2023</v>
          </cell>
        </row>
        <row r="14566">
          <cell r="D14566" t="str">
            <v>2023</v>
          </cell>
        </row>
        <row r="14567">
          <cell r="D14567" t="str">
            <v>2023</v>
          </cell>
        </row>
        <row r="14568">
          <cell r="D14568" t="str">
            <v>2023</v>
          </cell>
        </row>
        <row r="14569">
          <cell r="D14569" t="str">
            <v>2023</v>
          </cell>
        </row>
        <row r="14570">
          <cell r="D14570" t="str">
            <v>2023</v>
          </cell>
        </row>
        <row r="14571">
          <cell r="D14571" t="str">
            <v>2023</v>
          </cell>
        </row>
        <row r="14572">
          <cell r="D14572" t="str">
            <v>2023</v>
          </cell>
        </row>
        <row r="14573">
          <cell r="D14573" t="str">
            <v>2023</v>
          </cell>
        </row>
        <row r="14574">
          <cell r="D14574" t="str">
            <v>2023</v>
          </cell>
        </row>
        <row r="14575">
          <cell r="D14575" t="str">
            <v>2023</v>
          </cell>
        </row>
        <row r="14576">
          <cell r="D14576" t="str">
            <v>2023</v>
          </cell>
        </row>
        <row r="14577">
          <cell r="D14577" t="str">
            <v>2023</v>
          </cell>
        </row>
        <row r="14578">
          <cell r="D14578" t="str">
            <v>2023</v>
          </cell>
        </row>
        <row r="14579">
          <cell r="D14579" t="str">
            <v>2023</v>
          </cell>
        </row>
        <row r="14580">
          <cell r="D14580" t="str">
            <v>2023</v>
          </cell>
        </row>
        <row r="14581">
          <cell r="D14581" t="str">
            <v>2023</v>
          </cell>
        </row>
        <row r="14582">
          <cell r="D14582" t="str">
            <v>2023</v>
          </cell>
        </row>
        <row r="14583">
          <cell r="D14583" t="str">
            <v>2023</v>
          </cell>
        </row>
        <row r="14584">
          <cell r="D14584" t="str">
            <v>2023</v>
          </cell>
        </row>
        <row r="14585">
          <cell r="D14585" t="str">
            <v>2024</v>
          </cell>
        </row>
        <row r="14586">
          <cell r="D14586" t="str">
            <v>2023</v>
          </cell>
        </row>
        <row r="14587">
          <cell r="D14587" t="str">
            <v>2023</v>
          </cell>
        </row>
        <row r="14588">
          <cell r="D14588" t="str">
            <v>2023</v>
          </cell>
        </row>
        <row r="14589">
          <cell r="D14589" t="str">
            <v>2023</v>
          </cell>
        </row>
        <row r="14590">
          <cell r="D14590" t="str">
            <v>2023</v>
          </cell>
        </row>
        <row r="14591">
          <cell r="D14591" t="str">
            <v>2023</v>
          </cell>
        </row>
        <row r="14592">
          <cell r="D14592" t="str">
            <v>2023</v>
          </cell>
        </row>
        <row r="14593">
          <cell r="D14593" t="str">
            <v>2023</v>
          </cell>
        </row>
        <row r="14594">
          <cell r="D14594" t="str">
            <v>2023</v>
          </cell>
        </row>
        <row r="14595">
          <cell r="D14595" t="str">
            <v>2023</v>
          </cell>
        </row>
        <row r="14596">
          <cell r="D14596" t="str">
            <v>2023</v>
          </cell>
        </row>
        <row r="14597">
          <cell r="D14597" t="str">
            <v>2024</v>
          </cell>
        </row>
        <row r="14598">
          <cell r="D14598" t="str">
            <v>2023</v>
          </cell>
        </row>
        <row r="14599">
          <cell r="D14599" t="str">
            <v>2023</v>
          </cell>
        </row>
        <row r="14600">
          <cell r="D14600" t="str">
            <v>2023</v>
          </cell>
        </row>
        <row r="14601">
          <cell r="D14601" t="str">
            <v>2023</v>
          </cell>
        </row>
        <row r="14602">
          <cell r="D14602" t="str">
            <v>2023</v>
          </cell>
        </row>
        <row r="14603">
          <cell r="D14603" t="str">
            <v>2023</v>
          </cell>
        </row>
        <row r="14604">
          <cell r="D14604" t="str">
            <v>2023</v>
          </cell>
        </row>
        <row r="14605">
          <cell r="D14605" t="str">
            <v>2023</v>
          </cell>
        </row>
        <row r="14606">
          <cell r="D14606" t="str">
            <v>2023</v>
          </cell>
        </row>
        <row r="14607">
          <cell r="D14607" t="str">
            <v>2023</v>
          </cell>
        </row>
        <row r="14608">
          <cell r="D14608" t="str">
            <v>2023</v>
          </cell>
        </row>
        <row r="14609">
          <cell r="D14609" t="str">
            <v>2023</v>
          </cell>
        </row>
        <row r="14610">
          <cell r="D14610" t="str">
            <v>2023</v>
          </cell>
        </row>
        <row r="14611">
          <cell r="D14611" t="str">
            <v>2023</v>
          </cell>
        </row>
        <row r="14612">
          <cell r="D14612" t="str">
            <v>2023</v>
          </cell>
        </row>
        <row r="14613">
          <cell r="D14613" t="str">
            <v>2023</v>
          </cell>
        </row>
        <row r="14614">
          <cell r="D14614" t="str">
            <v>2023</v>
          </cell>
        </row>
        <row r="14615">
          <cell r="D14615" t="str">
            <v>2023</v>
          </cell>
        </row>
        <row r="14616">
          <cell r="D14616" t="str">
            <v>2023</v>
          </cell>
        </row>
        <row r="14617">
          <cell r="D14617" t="str">
            <v>2023</v>
          </cell>
        </row>
        <row r="14618">
          <cell r="D14618" t="str">
            <v>2023</v>
          </cell>
        </row>
        <row r="14619">
          <cell r="D14619" t="str">
            <v>2023</v>
          </cell>
        </row>
        <row r="14620">
          <cell r="D14620" t="str">
            <v>2023</v>
          </cell>
        </row>
        <row r="14621">
          <cell r="D14621" t="str">
            <v>2023</v>
          </cell>
        </row>
        <row r="14622">
          <cell r="D14622" t="str">
            <v>2023</v>
          </cell>
        </row>
        <row r="14623">
          <cell r="D14623" t="str">
            <v>2023</v>
          </cell>
        </row>
        <row r="14624">
          <cell r="D14624" t="str">
            <v>2023</v>
          </cell>
        </row>
        <row r="14625">
          <cell r="D14625" t="str">
            <v>2023</v>
          </cell>
        </row>
        <row r="14626">
          <cell r="D14626" t="str">
            <v>2023</v>
          </cell>
        </row>
        <row r="14627">
          <cell r="D14627" t="str">
            <v>2023</v>
          </cell>
        </row>
        <row r="14628">
          <cell r="D14628" t="str">
            <v>2023</v>
          </cell>
        </row>
        <row r="14629">
          <cell r="D14629" t="str">
            <v>2023</v>
          </cell>
        </row>
        <row r="14630">
          <cell r="D14630" t="str">
            <v>2023</v>
          </cell>
        </row>
        <row r="14631">
          <cell r="D14631" t="str">
            <v>2023</v>
          </cell>
        </row>
        <row r="14632">
          <cell r="D14632" t="str">
            <v>2023</v>
          </cell>
        </row>
        <row r="14633">
          <cell r="D14633" t="str">
            <v>2024</v>
          </cell>
        </row>
        <row r="14634">
          <cell r="D14634" t="str">
            <v>2023</v>
          </cell>
        </row>
        <row r="14635">
          <cell r="D14635" t="str">
            <v>2023</v>
          </cell>
        </row>
        <row r="14636">
          <cell r="D14636" t="str">
            <v>2023</v>
          </cell>
        </row>
        <row r="14637">
          <cell r="D14637" t="str">
            <v>2023</v>
          </cell>
        </row>
        <row r="14638">
          <cell r="D14638" t="str">
            <v>2023</v>
          </cell>
        </row>
        <row r="14639">
          <cell r="D14639" t="str">
            <v>2023</v>
          </cell>
        </row>
        <row r="14640">
          <cell r="D14640" t="str">
            <v>2023</v>
          </cell>
        </row>
        <row r="14641">
          <cell r="D14641" t="str">
            <v>2023</v>
          </cell>
        </row>
        <row r="14642">
          <cell r="D14642" t="str">
            <v>2023</v>
          </cell>
        </row>
        <row r="14643">
          <cell r="D14643" t="str">
            <v>2023</v>
          </cell>
        </row>
        <row r="14644">
          <cell r="D14644" t="str">
            <v>2023</v>
          </cell>
        </row>
        <row r="14645">
          <cell r="D14645" t="str">
            <v>2023</v>
          </cell>
        </row>
        <row r="14646">
          <cell r="D14646" t="str">
            <v>2024</v>
          </cell>
        </row>
        <row r="14647">
          <cell r="D14647" t="str">
            <v>2023</v>
          </cell>
        </row>
        <row r="14648">
          <cell r="D14648" t="str">
            <v>2023</v>
          </cell>
        </row>
        <row r="14649">
          <cell r="D14649" t="str">
            <v>2023</v>
          </cell>
        </row>
        <row r="14650">
          <cell r="D14650" t="str">
            <v>2023</v>
          </cell>
        </row>
        <row r="14651">
          <cell r="D14651" t="str">
            <v>2023</v>
          </cell>
        </row>
        <row r="14652">
          <cell r="D14652" t="str">
            <v>2023</v>
          </cell>
        </row>
        <row r="14653">
          <cell r="D14653" t="str">
            <v>2024</v>
          </cell>
        </row>
        <row r="14654">
          <cell r="D14654" t="str">
            <v>2023</v>
          </cell>
        </row>
        <row r="14655">
          <cell r="D14655" t="str">
            <v>2023</v>
          </cell>
        </row>
        <row r="14656">
          <cell r="D14656" t="str">
            <v>2023</v>
          </cell>
        </row>
        <row r="14657">
          <cell r="D14657" t="str">
            <v>2023</v>
          </cell>
        </row>
        <row r="14658">
          <cell r="D14658" t="str">
            <v>2023</v>
          </cell>
        </row>
        <row r="14659">
          <cell r="D14659" t="str">
            <v>2023</v>
          </cell>
        </row>
        <row r="14660">
          <cell r="D14660" t="str">
            <v>2023</v>
          </cell>
        </row>
        <row r="14661">
          <cell r="D14661" t="str">
            <v>2023</v>
          </cell>
        </row>
        <row r="14662">
          <cell r="D14662" t="str">
            <v>2023</v>
          </cell>
        </row>
        <row r="14663">
          <cell r="D14663" t="str">
            <v>2023</v>
          </cell>
        </row>
        <row r="14664">
          <cell r="D14664" t="str">
            <v>2023</v>
          </cell>
        </row>
        <row r="14665">
          <cell r="D14665" t="str">
            <v>2023</v>
          </cell>
        </row>
        <row r="14666">
          <cell r="D14666" t="str">
            <v>2023</v>
          </cell>
        </row>
        <row r="14667">
          <cell r="D14667" t="str">
            <v>2023</v>
          </cell>
        </row>
        <row r="14668">
          <cell r="D14668" t="str">
            <v>2023</v>
          </cell>
        </row>
        <row r="14669">
          <cell r="D14669" t="str">
            <v>2023</v>
          </cell>
        </row>
        <row r="14670">
          <cell r="D14670" t="str">
            <v>2023</v>
          </cell>
        </row>
        <row r="14671">
          <cell r="D14671" t="str">
            <v>2023</v>
          </cell>
        </row>
        <row r="14672">
          <cell r="D14672" t="str">
            <v>2023</v>
          </cell>
        </row>
        <row r="14673">
          <cell r="D14673" t="str">
            <v>2023</v>
          </cell>
        </row>
        <row r="14674">
          <cell r="D14674" t="str">
            <v>2023</v>
          </cell>
        </row>
        <row r="14675">
          <cell r="D14675" t="str">
            <v>2023</v>
          </cell>
        </row>
        <row r="14676">
          <cell r="D14676" t="str">
            <v>2023</v>
          </cell>
        </row>
        <row r="14677">
          <cell r="D14677" t="str">
            <v>2023</v>
          </cell>
        </row>
        <row r="14678">
          <cell r="D14678" t="str">
            <v>2023</v>
          </cell>
        </row>
        <row r="14679">
          <cell r="D14679" t="str">
            <v>2023</v>
          </cell>
        </row>
        <row r="14680">
          <cell r="D14680" t="str">
            <v>2023</v>
          </cell>
        </row>
        <row r="14681">
          <cell r="D14681" t="str">
            <v>2023</v>
          </cell>
        </row>
        <row r="14682">
          <cell r="D14682" t="str">
            <v>2023</v>
          </cell>
        </row>
        <row r="14683">
          <cell r="D14683" t="str">
            <v>2023</v>
          </cell>
        </row>
        <row r="14684">
          <cell r="D14684" t="str">
            <v>2023</v>
          </cell>
        </row>
        <row r="14685">
          <cell r="D14685" t="str">
            <v>2023</v>
          </cell>
        </row>
        <row r="14686">
          <cell r="D14686" t="str">
            <v>2023</v>
          </cell>
        </row>
        <row r="14687">
          <cell r="D14687" t="str">
            <v>2023</v>
          </cell>
        </row>
        <row r="14688">
          <cell r="D14688" t="str">
            <v>2023</v>
          </cell>
        </row>
        <row r="14689">
          <cell r="D14689" t="str">
            <v>2023</v>
          </cell>
        </row>
        <row r="14690">
          <cell r="D14690" t="str">
            <v>2023</v>
          </cell>
        </row>
        <row r="14691">
          <cell r="D14691" t="str">
            <v>2023</v>
          </cell>
        </row>
        <row r="14692">
          <cell r="D14692" t="str">
            <v>2023</v>
          </cell>
        </row>
        <row r="14693">
          <cell r="D14693" t="str">
            <v>2023</v>
          </cell>
        </row>
        <row r="14694">
          <cell r="D14694" t="str">
            <v>2023</v>
          </cell>
        </row>
        <row r="14695">
          <cell r="D14695" t="str">
            <v>2023</v>
          </cell>
        </row>
        <row r="14696">
          <cell r="D14696" t="str">
            <v>2023</v>
          </cell>
        </row>
        <row r="14697">
          <cell r="D14697" t="str">
            <v>2023</v>
          </cell>
        </row>
        <row r="14698">
          <cell r="D14698" t="str">
            <v>2023</v>
          </cell>
        </row>
        <row r="14699">
          <cell r="D14699" t="str">
            <v>2023</v>
          </cell>
        </row>
        <row r="14700">
          <cell r="D14700" t="str">
            <v>2023</v>
          </cell>
        </row>
        <row r="14701">
          <cell r="D14701" t="str">
            <v>2023</v>
          </cell>
        </row>
        <row r="14702">
          <cell r="D14702" t="str">
            <v>2023</v>
          </cell>
        </row>
        <row r="14703">
          <cell r="D14703" t="str">
            <v>2023</v>
          </cell>
        </row>
        <row r="14704">
          <cell r="D14704" t="str">
            <v>2023</v>
          </cell>
        </row>
        <row r="14705">
          <cell r="D14705" t="str">
            <v>2023</v>
          </cell>
        </row>
        <row r="14706">
          <cell r="D14706" t="str">
            <v>2023</v>
          </cell>
        </row>
        <row r="14707">
          <cell r="D14707" t="str">
            <v>2023</v>
          </cell>
        </row>
        <row r="14708">
          <cell r="D14708" t="str">
            <v>2023</v>
          </cell>
        </row>
        <row r="14709">
          <cell r="D14709" t="str">
            <v>2023</v>
          </cell>
        </row>
        <row r="14710">
          <cell r="D14710" t="str">
            <v>2023</v>
          </cell>
        </row>
        <row r="14711">
          <cell r="D14711" t="str">
            <v>2023</v>
          </cell>
        </row>
        <row r="14712">
          <cell r="D14712" t="str">
            <v>2023</v>
          </cell>
        </row>
        <row r="14713">
          <cell r="D14713" t="str">
            <v>2023</v>
          </cell>
        </row>
        <row r="14714">
          <cell r="D14714" t="str">
            <v>2023</v>
          </cell>
        </row>
        <row r="14715">
          <cell r="D14715" t="str">
            <v>2024</v>
          </cell>
        </row>
        <row r="14716">
          <cell r="D14716" t="str">
            <v>2023</v>
          </cell>
        </row>
        <row r="14717">
          <cell r="D14717" t="str">
            <v>2023</v>
          </cell>
        </row>
        <row r="14718">
          <cell r="D14718" t="str">
            <v>2024</v>
          </cell>
        </row>
        <row r="14719">
          <cell r="D14719" t="str">
            <v>2023</v>
          </cell>
        </row>
        <row r="14720">
          <cell r="D14720" t="str">
            <v>2023</v>
          </cell>
        </row>
        <row r="14721">
          <cell r="D14721" t="str">
            <v>2023</v>
          </cell>
        </row>
        <row r="14722">
          <cell r="D14722" t="str">
            <v>2023</v>
          </cell>
        </row>
        <row r="14723">
          <cell r="D14723" t="str">
            <v>2023</v>
          </cell>
        </row>
        <row r="14724">
          <cell r="D14724" t="str">
            <v>2023</v>
          </cell>
        </row>
        <row r="14725">
          <cell r="D14725" t="str">
            <v>2023</v>
          </cell>
        </row>
        <row r="14726">
          <cell r="D14726" t="str">
            <v>2023</v>
          </cell>
        </row>
        <row r="14727">
          <cell r="D14727" t="str">
            <v>2023</v>
          </cell>
        </row>
        <row r="14728">
          <cell r="D14728" t="str">
            <v>2023</v>
          </cell>
        </row>
        <row r="14729">
          <cell r="D14729" t="str">
            <v>2023</v>
          </cell>
        </row>
        <row r="14730">
          <cell r="D14730" t="str">
            <v>2023</v>
          </cell>
        </row>
        <row r="14731">
          <cell r="D14731" t="str">
            <v>2023</v>
          </cell>
        </row>
        <row r="14732">
          <cell r="D14732" t="str">
            <v>2023</v>
          </cell>
        </row>
        <row r="14733">
          <cell r="D14733" t="str">
            <v>2023</v>
          </cell>
        </row>
        <row r="14734">
          <cell r="D14734" t="str">
            <v>2023</v>
          </cell>
        </row>
        <row r="14735">
          <cell r="D14735" t="str">
            <v>2024</v>
          </cell>
        </row>
        <row r="14736">
          <cell r="D14736" t="str">
            <v>2023</v>
          </cell>
        </row>
        <row r="14737">
          <cell r="D14737" t="str">
            <v>2023</v>
          </cell>
        </row>
        <row r="14738">
          <cell r="D14738" t="str">
            <v>2023</v>
          </cell>
        </row>
        <row r="14739">
          <cell r="D14739" t="str">
            <v>2023</v>
          </cell>
        </row>
        <row r="14740">
          <cell r="D14740" t="str">
            <v>2023</v>
          </cell>
        </row>
        <row r="14741">
          <cell r="D14741" t="str">
            <v>2023</v>
          </cell>
        </row>
        <row r="14742">
          <cell r="D14742" t="str">
            <v>2023</v>
          </cell>
        </row>
        <row r="14743">
          <cell r="D14743" t="str">
            <v>2024</v>
          </cell>
        </row>
        <row r="14744">
          <cell r="D14744" t="str">
            <v>2023</v>
          </cell>
        </row>
        <row r="14745">
          <cell r="D14745" t="str">
            <v>2023</v>
          </cell>
        </row>
        <row r="14746">
          <cell r="D14746" t="str">
            <v>2023</v>
          </cell>
        </row>
        <row r="14747">
          <cell r="D14747" t="str">
            <v>2023</v>
          </cell>
        </row>
        <row r="14748">
          <cell r="D14748" t="str">
            <v>2023</v>
          </cell>
        </row>
        <row r="14749">
          <cell r="D14749" t="str">
            <v>2023</v>
          </cell>
        </row>
        <row r="14750">
          <cell r="D14750" t="str">
            <v>2024</v>
          </cell>
        </row>
        <row r="14751">
          <cell r="D14751" t="str">
            <v>2023</v>
          </cell>
        </row>
        <row r="14752">
          <cell r="D14752" t="str">
            <v>2023</v>
          </cell>
        </row>
        <row r="14753">
          <cell r="D14753" t="str">
            <v>2023</v>
          </cell>
        </row>
        <row r="14754">
          <cell r="D14754" t="str">
            <v>2023</v>
          </cell>
        </row>
        <row r="14755">
          <cell r="D14755" t="str">
            <v>2023</v>
          </cell>
        </row>
        <row r="14756">
          <cell r="D14756" t="str">
            <v>2023</v>
          </cell>
        </row>
        <row r="14757">
          <cell r="D14757" t="str">
            <v>2023</v>
          </cell>
        </row>
        <row r="14758">
          <cell r="D14758" t="str">
            <v>2023</v>
          </cell>
        </row>
        <row r="14759">
          <cell r="D14759" t="str">
            <v>2023</v>
          </cell>
        </row>
        <row r="14760">
          <cell r="D14760" t="str">
            <v>2023</v>
          </cell>
        </row>
        <row r="14761">
          <cell r="D14761" t="str">
            <v>2023</v>
          </cell>
        </row>
        <row r="14762">
          <cell r="D14762" t="str">
            <v>2023</v>
          </cell>
        </row>
        <row r="14763">
          <cell r="D14763" t="str">
            <v>2023</v>
          </cell>
        </row>
        <row r="14764">
          <cell r="D14764" t="str">
            <v>2023</v>
          </cell>
        </row>
        <row r="14765">
          <cell r="D14765" t="str">
            <v>2023</v>
          </cell>
        </row>
        <row r="14766">
          <cell r="D14766" t="str">
            <v>2023</v>
          </cell>
        </row>
        <row r="14767">
          <cell r="D14767" t="str">
            <v>2023</v>
          </cell>
        </row>
        <row r="14768">
          <cell r="D14768" t="str">
            <v>2023</v>
          </cell>
        </row>
        <row r="14769">
          <cell r="D14769" t="str">
            <v>2023</v>
          </cell>
        </row>
        <row r="14770">
          <cell r="D14770" t="str">
            <v>2023</v>
          </cell>
        </row>
        <row r="14771">
          <cell r="D14771" t="str">
            <v>2023</v>
          </cell>
        </row>
        <row r="14772">
          <cell r="D14772" t="str">
            <v>2023</v>
          </cell>
        </row>
        <row r="14773">
          <cell r="D14773" t="str">
            <v>2024</v>
          </cell>
        </row>
        <row r="14774">
          <cell r="D14774" t="str">
            <v>2023</v>
          </cell>
        </row>
        <row r="14775">
          <cell r="D14775" t="str">
            <v>2023</v>
          </cell>
        </row>
        <row r="14776">
          <cell r="D14776" t="str">
            <v>2023</v>
          </cell>
        </row>
        <row r="14777">
          <cell r="D14777" t="str">
            <v>2023</v>
          </cell>
        </row>
        <row r="14778">
          <cell r="D14778" t="str">
            <v>2023</v>
          </cell>
        </row>
        <row r="14779">
          <cell r="D14779" t="str">
            <v>2023</v>
          </cell>
        </row>
        <row r="14780">
          <cell r="D14780" t="str">
            <v>2023</v>
          </cell>
        </row>
        <row r="14781">
          <cell r="D14781" t="str">
            <v>2023</v>
          </cell>
        </row>
        <row r="14782">
          <cell r="D14782" t="str">
            <v>2023</v>
          </cell>
        </row>
        <row r="14783">
          <cell r="D14783" t="str">
            <v>2023</v>
          </cell>
        </row>
        <row r="14784">
          <cell r="D14784" t="str">
            <v>2023</v>
          </cell>
        </row>
        <row r="14785">
          <cell r="D14785" t="str">
            <v>2023</v>
          </cell>
        </row>
        <row r="14786">
          <cell r="D14786" t="str">
            <v>2023</v>
          </cell>
        </row>
        <row r="14787">
          <cell r="D14787" t="str">
            <v>2023</v>
          </cell>
        </row>
        <row r="14788">
          <cell r="D14788" t="str">
            <v>2023</v>
          </cell>
        </row>
        <row r="14789">
          <cell r="D14789" t="str">
            <v>2023</v>
          </cell>
        </row>
        <row r="14790">
          <cell r="D14790" t="str">
            <v>2023</v>
          </cell>
        </row>
        <row r="14791">
          <cell r="D14791" t="str">
            <v>2023</v>
          </cell>
        </row>
        <row r="14792">
          <cell r="D14792" t="str">
            <v>2023</v>
          </cell>
        </row>
        <row r="14793">
          <cell r="D14793" t="str">
            <v>2023</v>
          </cell>
        </row>
        <row r="14794">
          <cell r="D14794" t="str">
            <v>2023</v>
          </cell>
        </row>
        <row r="14795">
          <cell r="D14795" t="str">
            <v>2023</v>
          </cell>
        </row>
        <row r="14796">
          <cell r="D14796" t="str">
            <v>2023</v>
          </cell>
        </row>
        <row r="14797">
          <cell r="D14797" t="str">
            <v>2023</v>
          </cell>
        </row>
        <row r="14798">
          <cell r="D14798" t="str">
            <v>2023</v>
          </cell>
        </row>
        <row r="14799">
          <cell r="D14799" t="str">
            <v>2023</v>
          </cell>
        </row>
        <row r="14800">
          <cell r="D14800" t="str">
            <v>2023</v>
          </cell>
        </row>
        <row r="14801">
          <cell r="D14801" t="str">
            <v>2023</v>
          </cell>
        </row>
        <row r="14802">
          <cell r="D14802" t="str">
            <v>2023</v>
          </cell>
        </row>
        <row r="14803">
          <cell r="D14803" t="str">
            <v>2023</v>
          </cell>
        </row>
        <row r="14804">
          <cell r="D14804" t="str">
            <v>2023</v>
          </cell>
        </row>
        <row r="14805">
          <cell r="D14805" t="str">
            <v>2023</v>
          </cell>
        </row>
        <row r="14806">
          <cell r="D14806" t="str">
            <v>2023</v>
          </cell>
        </row>
        <row r="14807">
          <cell r="D14807" t="str">
            <v>2024</v>
          </cell>
        </row>
        <row r="14808">
          <cell r="D14808" t="str">
            <v>2023</v>
          </cell>
        </row>
        <row r="14809">
          <cell r="D14809" t="str">
            <v>2023</v>
          </cell>
        </row>
        <row r="14810">
          <cell r="D14810" t="str">
            <v>2023</v>
          </cell>
        </row>
        <row r="14811">
          <cell r="D14811" t="str">
            <v>2023</v>
          </cell>
        </row>
        <row r="14812">
          <cell r="D14812" t="str">
            <v>2023</v>
          </cell>
        </row>
        <row r="14813">
          <cell r="D14813" t="str">
            <v>2023</v>
          </cell>
        </row>
        <row r="14814">
          <cell r="D14814" t="str">
            <v>2023</v>
          </cell>
        </row>
        <row r="14815">
          <cell r="D14815" t="str">
            <v>2023</v>
          </cell>
        </row>
        <row r="14816">
          <cell r="D14816" t="str">
            <v>2023</v>
          </cell>
        </row>
        <row r="14817">
          <cell r="D14817" t="str">
            <v>2023</v>
          </cell>
        </row>
        <row r="14818">
          <cell r="D14818" t="str">
            <v>2023</v>
          </cell>
        </row>
        <row r="14819">
          <cell r="D14819" t="str">
            <v>2023</v>
          </cell>
        </row>
        <row r="14820">
          <cell r="D14820" t="str">
            <v>2023</v>
          </cell>
        </row>
        <row r="14821">
          <cell r="D14821" t="str">
            <v>2023</v>
          </cell>
        </row>
        <row r="14822">
          <cell r="D14822" t="str">
            <v>2023</v>
          </cell>
        </row>
        <row r="14823">
          <cell r="D14823" t="str">
            <v>2023</v>
          </cell>
        </row>
        <row r="14824">
          <cell r="D14824" t="str">
            <v>2023</v>
          </cell>
        </row>
        <row r="14825">
          <cell r="D14825" t="str">
            <v>2023</v>
          </cell>
        </row>
        <row r="14826">
          <cell r="D14826" t="str">
            <v>2023</v>
          </cell>
        </row>
        <row r="14827">
          <cell r="D14827" t="str">
            <v>2023</v>
          </cell>
        </row>
        <row r="14828">
          <cell r="D14828" t="str">
            <v>2023</v>
          </cell>
        </row>
        <row r="14829">
          <cell r="D14829" t="str">
            <v>2023</v>
          </cell>
        </row>
        <row r="14830">
          <cell r="D14830" t="str">
            <v>2023</v>
          </cell>
        </row>
        <row r="14831">
          <cell r="D14831" t="str">
            <v>2023</v>
          </cell>
        </row>
        <row r="14832">
          <cell r="D14832" t="str">
            <v>2023</v>
          </cell>
        </row>
        <row r="14833">
          <cell r="D14833" t="str">
            <v>2023</v>
          </cell>
        </row>
        <row r="14834">
          <cell r="D14834" t="str">
            <v>2023</v>
          </cell>
        </row>
        <row r="14835">
          <cell r="D14835" t="str">
            <v>2023</v>
          </cell>
        </row>
        <row r="14836">
          <cell r="D14836" t="str">
            <v>2023</v>
          </cell>
        </row>
        <row r="14837">
          <cell r="D14837" t="str">
            <v>2023</v>
          </cell>
        </row>
        <row r="14838">
          <cell r="D14838" t="str">
            <v>2023</v>
          </cell>
        </row>
        <row r="14839">
          <cell r="D14839" t="str">
            <v>2023</v>
          </cell>
        </row>
        <row r="14840">
          <cell r="D14840" t="str">
            <v>2023</v>
          </cell>
        </row>
        <row r="14841">
          <cell r="D14841" t="str">
            <v>2023</v>
          </cell>
        </row>
        <row r="14842">
          <cell r="D14842" t="str">
            <v>2023</v>
          </cell>
        </row>
        <row r="14843">
          <cell r="D14843" t="str">
            <v>2023</v>
          </cell>
        </row>
        <row r="14844">
          <cell r="D14844" t="str">
            <v>2023</v>
          </cell>
        </row>
        <row r="14845">
          <cell r="D14845" t="str">
            <v>2023</v>
          </cell>
        </row>
        <row r="14846">
          <cell r="D14846" t="str">
            <v>2023</v>
          </cell>
        </row>
        <row r="14847">
          <cell r="D14847" t="str">
            <v>2023</v>
          </cell>
        </row>
        <row r="14848">
          <cell r="D14848" t="str">
            <v>2023</v>
          </cell>
        </row>
        <row r="14849">
          <cell r="D14849" t="str">
            <v>2023</v>
          </cell>
        </row>
        <row r="14850">
          <cell r="D14850" t="str">
            <v>2023</v>
          </cell>
        </row>
        <row r="14851">
          <cell r="D14851" t="str">
            <v>2023</v>
          </cell>
        </row>
        <row r="14852">
          <cell r="D14852" t="str">
            <v>2023</v>
          </cell>
        </row>
        <row r="14853">
          <cell r="D14853" t="str">
            <v>2023</v>
          </cell>
        </row>
        <row r="14854">
          <cell r="D14854" t="str">
            <v>2023</v>
          </cell>
        </row>
        <row r="14855">
          <cell r="D14855" t="str">
            <v>2023</v>
          </cell>
        </row>
        <row r="14856">
          <cell r="D14856" t="str">
            <v>2023</v>
          </cell>
        </row>
        <row r="14857">
          <cell r="D14857" t="str">
            <v>2024</v>
          </cell>
        </row>
        <row r="14858">
          <cell r="D14858" t="str">
            <v>2023</v>
          </cell>
        </row>
        <row r="14859">
          <cell r="D14859" t="str">
            <v>2023</v>
          </cell>
        </row>
        <row r="14860">
          <cell r="D14860" t="str">
            <v>2023</v>
          </cell>
        </row>
        <row r="14861">
          <cell r="D14861" t="str">
            <v>2024</v>
          </cell>
        </row>
        <row r="14862">
          <cell r="D14862" t="str">
            <v>2024</v>
          </cell>
        </row>
        <row r="14863">
          <cell r="D14863" t="str">
            <v>2023</v>
          </cell>
        </row>
        <row r="14864">
          <cell r="D14864" t="str">
            <v>2023</v>
          </cell>
        </row>
        <row r="14865">
          <cell r="D14865" t="str">
            <v>2023</v>
          </cell>
        </row>
        <row r="14866">
          <cell r="D14866" t="str">
            <v>2023</v>
          </cell>
        </row>
        <row r="14867">
          <cell r="D14867" t="str">
            <v>2023</v>
          </cell>
        </row>
        <row r="14868">
          <cell r="D14868" t="str">
            <v>2023</v>
          </cell>
        </row>
        <row r="14869">
          <cell r="D14869" t="str">
            <v>2024</v>
          </cell>
        </row>
        <row r="14870">
          <cell r="D14870" t="str">
            <v>2023</v>
          </cell>
        </row>
        <row r="14871">
          <cell r="D14871" t="str">
            <v>2023</v>
          </cell>
        </row>
        <row r="14872">
          <cell r="D14872" t="str">
            <v>2023</v>
          </cell>
        </row>
        <row r="14873">
          <cell r="D14873" t="str">
            <v>2023</v>
          </cell>
        </row>
        <row r="14874">
          <cell r="D14874" t="str">
            <v>2023</v>
          </cell>
        </row>
        <row r="14875">
          <cell r="D14875" t="str">
            <v>2023</v>
          </cell>
        </row>
        <row r="14876">
          <cell r="D14876" t="str">
            <v>2024</v>
          </cell>
        </row>
        <row r="14877">
          <cell r="D14877" t="str">
            <v>2023</v>
          </cell>
        </row>
        <row r="14878">
          <cell r="D14878" t="str">
            <v>2023</v>
          </cell>
        </row>
        <row r="14879">
          <cell r="D14879" t="str">
            <v>2023</v>
          </cell>
        </row>
        <row r="14880">
          <cell r="D14880" t="str">
            <v>2023</v>
          </cell>
        </row>
        <row r="14881">
          <cell r="D14881" t="str">
            <v>2023</v>
          </cell>
        </row>
        <row r="14882">
          <cell r="D14882" t="str">
            <v>2023</v>
          </cell>
        </row>
        <row r="14883">
          <cell r="D14883" t="str">
            <v>2023</v>
          </cell>
        </row>
        <row r="14884">
          <cell r="D14884" t="str">
            <v>2023</v>
          </cell>
        </row>
        <row r="14885">
          <cell r="D14885" t="str">
            <v>2023</v>
          </cell>
        </row>
        <row r="14886">
          <cell r="D14886" t="str">
            <v>2023</v>
          </cell>
        </row>
        <row r="14887">
          <cell r="D14887" t="str">
            <v>2023</v>
          </cell>
        </row>
        <row r="14888">
          <cell r="D14888" t="str">
            <v>2023</v>
          </cell>
        </row>
        <row r="14889">
          <cell r="D14889" t="str">
            <v>2023</v>
          </cell>
        </row>
        <row r="14890">
          <cell r="D14890" t="str">
            <v>2023</v>
          </cell>
        </row>
        <row r="14891">
          <cell r="D14891" t="str">
            <v>2023</v>
          </cell>
        </row>
        <row r="14892">
          <cell r="D14892" t="str">
            <v>2024</v>
          </cell>
        </row>
        <row r="14893">
          <cell r="D14893" t="str">
            <v>2023</v>
          </cell>
        </row>
        <row r="14894">
          <cell r="D14894" t="str">
            <v>2023</v>
          </cell>
        </row>
        <row r="14895">
          <cell r="D14895" t="str">
            <v>2023</v>
          </cell>
        </row>
        <row r="14896">
          <cell r="D14896" t="str">
            <v>2023</v>
          </cell>
        </row>
        <row r="14897">
          <cell r="D14897" t="str">
            <v>2023</v>
          </cell>
        </row>
        <row r="14898">
          <cell r="D14898" t="str">
            <v>2023</v>
          </cell>
        </row>
        <row r="14899">
          <cell r="D14899" t="str">
            <v>2023</v>
          </cell>
        </row>
        <row r="14900">
          <cell r="D14900" t="str">
            <v>2023</v>
          </cell>
        </row>
        <row r="14901">
          <cell r="D14901" t="str">
            <v>2024</v>
          </cell>
        </row>
        <row r="14902">
          <cell r="D14902" t="str">
            <v>2023</v>
          </cell>
        </row>
        <row r="14903">
          <cell r="D14903" t="str">
            <v>2023</v>
          </cell>
        </row>
        <row r="14904">
          <cell r="D14904" t="str">
            <v>2023</v>
          </cell>
        </row>
        <row r="14905">
          <cell r="D14905" t="str">
            <v>2023</v>
          </cell>
        </row>
        <row r="14906">
          <cell r="D14906" t="str">
            <v>2023</v>
          </cell>
        </row>
        <row r="14907">
          <cell r="D14907" t="str">
            <v>2023</v>
          </cell>
        </row>
        <row r="14908">
          <cell r="D14908" t="str">
            <v>2023</v>
          </cell>
        </row>
        <row r="14909">
          <cell r="D14909" t="str">
            <v>2023</v>
          </cell>
        </row>
        <row r="14910">
          <cell r="D14910" t="str">
            <v>2023</v>
          </cell>
        </row>
        <row r="14911">
          <cell r="D14911" t="str">
            <v>2023</v>
          </cell>
        </row>
        <row r="14912">
          <cell r="D14912" t="str">
            <v>2023</v>
          </cell>
        </row>
        <row r="14913">
          <cell r="D14913" t="str">
            <v>2023</v>
          </cell>
        </row>
        <row r="14914">
          <cell r="D14914" t="str">
            <v>2023</v>
          </cell>
        </row>
        <row r="14915">
          <cell r="D14915" t="str">
            <v>2023</v>
          </cell>
        </row>
        <row r="14916">
          <cell r="D14916" t="str">
            <v>2023</v>
          </cell>
        </row>
        <row r="14917">
          <cell r="D14917" t="str">
            <v>2023</v>
          </cell>
        </row>
        <row r="14918">
          <cell r="D14918" t="str">
            <v>2024</v>
          </cell>
        </row>
        <row r="14919">
          <cell r="D14919" t="str">
            <v>2023</v>
          </cell>
        </row>
        <row r="14920">
          <cell r="D14920" t="str">
            <v>2023</v>
          </cell>
        </row>
        <row r="14921">
          <cell r="D14921" t="str">
            <v>2023</v>
          </cell>
        </row>
        <row r="14922">
          <cell r="D14922" t="str">
            <v>2023</v>
          </cell>
        </row>
        <row r="14923">
          <cell r="D14923" t="str">
            <v>2023</v>
          </cell>
        </row>
        <row r="14924">
          <cell r="D14924" t="str">
            <v>2023</v>
          </cell>
        </row>
        <row r="14925">
          <cell r="D14925" t="str">
            <v>2023</v>
          </cell>
        </row>
        <row r="14926">
          <cell r="D14926" t="str">
            <v>2023</v>
          </cell>
        </row>
        <row r="14927">
          <cell r="D14927" t="str">
            <v>2023</v>
          </cell>
        </row>
        <row r="14928">
          <cell r="D14928" t="str">
            <v>2023</v>
          </cell>
        </row>
        <row r="14929">
          <cell r="D14929" t="str">
            <v>2023</v>
          </cell>
        </row>
        <row r="14930">
          <cell r="D14930" t="str">
            <v>2023</v>
          </cell>
        </row>
        <row r="14931">
          <cell r="D14931" t="str">
            <v>2023</v>
          </cell>
        </row>
        <row r="14932">
          <cell r="D14932" t="str">
            <v>2023</v>
          </cell>
        </row>
        <row r="14933">
          <cell r="D14933" t="str">
            <v>2023</v>
          </cell>
        </row>
        <row r="14934">
          <cell r="D14934" t="str">
            <v>2023</v>
          </cell>
        </row>
        <row r="14935">
          <cell r="D14935" t="str">
            <v>2023</v>
          </cell>
        </row>
        <row r="14936">
          <cell r="D14936" t="str">
            <v>2023</v>
          </cell>
        </row>
        <row r="14937">
          <cell r="D14937" t="str">
            <v>2023</v>
          </cell>
        </row>
        <row r="14938">
          <cell r="D14938" t="str">
            <v>2023</v>
          </cell>
        </row>
        <row r="14939">
          <cell r="D14939" t="str">
            <v>2023</v>
          </cell>
        </row>
        <row r="14940">
          <cell r="D14940" t="str">
            <v>2023</v>
          </cell>
        </row>
        <row r="14941">
          <cell r="D14941" t="str">
            <v>2023</v>
          </cell>
        </row>
        <row r="14942">
          <cell r="D14942" t="str">
            <v>2023</v>
          </cell>
        </row>
        <row r="14943">
          <cell r="D14943" t="str">
            <v>2023</v>
          </cell>
        </row>
        <row r="14944">
          <cell r="D14944" t="str">
            <v>2023</v>
          </cell>
        </row>
        <row r="14945">
          <cell r="D14945" t="str">
            <v>2023</v>
          </cell>
        </row>
        <row r="14946">
          <cell r="D14946" t="str">
            <v>2023</v>
          </cell>
        </row>
        <row r="14947">
          <cell r="D14947" t="str">
            <v>2023</v>
          </cell>
        </row>
        <row r="14948">
          <cell r="D14948" t="str">
            <v>2023</v>
          </cell>
        </row>
        <row r="14949">
          <cell r="D14949" t="str">
            <v>2023</v>
          </cell>
        </row>
        <row r="14950">
          <cell r="D14950" t="str">
            <v>2024</v>
          </cell>
        </row>
        <row r="14951">
          <cell r="D14951" t="str">
            <v>2023</v>
          </cell>
        </row>
        <row r="14952">
          <cell r="D14952" t="str">
            <v>2023</v>
          </cell>
        </row>
        <row r="14953">
          <cell r="D14953" t="str">
            <v>2024</v>
          </cell>
        </row>
        <row r="14954">
          <cell r="D14954" t="str">
            <v>2023</v>
          </cell>
        </row>
        <row r="14955">
          <cell r="D14955" t="str">
            <v>2023</v>
          </cell>
        </row>
        <row r="14956">
          <cell r="D14956" t="str">
            <v>2023</v>
          </cell>
        </row>
        <row r="14957">
          <cell r="D14957" t="str">
            <v>2023</v>
          </cell>
        </row>
        <row r="14958">
          <cell r="D14958" t="str">
            <v>2023</v>
          </cell>
        </row>
        <row r="14959">
          <cell r="D14959" t="str">
            <v>2023</v>
          </cell>
        </row>
        <row r="14960">
          <cell r="D14960" t="str">
            <v>2023</v>
          </cell>
        </row>
        <row r="14961">
          <cell r="D14961" t="str">
            <v>2023</v>
          </cell>
        </row>
        <row r="14962">
          <cell r="D14962" t="str">
            <v>2023</v>
          </cell>
        </row>
        <row r="14963">
          <cell r="D14963" t="str">
            <v>2023</v>
          </cell>
        </row>
        <row r="14964">
          <cell r="D14964" t="str">
            <v>2023</v>
          </cell>
        </row>
        <row r="14965">
          <cell r="D14965" t="str">
            <v>2023</v>
          </cell>
        </row>
        <row r="14966">
          <cell r="D14966" t="str">
            <v>2023</v>
          </cell>
        </row>
        <row r="14967">
          <cell r="D14967" t="str">
            <v>2023</v>
          </cell>
        </row>
        <row r="14968">
          <cell r="D14968" t="str">
            <v>2023</v>
          </cell>
        </row>
        <row r="14969">
          <cell r="D14969" t="str">
            <v>2023</v>
          </cell>
        </row>
        <row r="14970">
          <cell r="D14970" t="str">
            <v>2023</v>
          </cell>
        </row>
        <row r="14971">
          <cell r="D14971" t="str">
            <v>2023</v>
          </cell>
        </row>
        <row r="14972">
          <cell r="D14972" t="str">
            <v>2023</v>
          </cell>
        </row>
        <row r="14973">
          <cell r="D14973" t="str">
            <v>2023</v>
          </cell>
        </row>
        <row r="14974">
          <cell r="D14974" t="str">
            <v>2023</v>
          </cell>
        </row>
        <row r="14975">
          <cell r="D14975" t="str">
            <v>2023</v>
          </cell>
        </row>
        <row r="14976">
          <cell r="D14976" t="str">
            <v>2023</v>
          </cell>
        </row>
        <row r="14977">
          <cell r="D14977" t="str">
            <v>2023</v>
          </cell>
        </row>
        <row r="14978">
          <cell r="D14978" t="str">
            <v>2023</v>
          </cell>
        </row>
        <row r="14979">
          <cell r="D14979" t="str">
            <v>2023</v>
          </cell>
        </row>
        <row r="14980">
          <cell r="D14980" t="str">
            <v>2023</v>
          </cell>
        </row>
        <row r="14981">
          <cell r="D14981" t="str">
            <v>2023</v>
          </cell>
        </row>
        <row r="14982">
          <cell r="D14982" t="str">
            <v>2023</v>
          </cell>
        </row>
        <row r="14983">
          <cell r="D14983" t="str">
            <v>2023</v>
          </cell>
        </row>
        <row r="14984">
          <cell r="D14984" t="str">
            <v>2023</v>
          </cell>
        </row>
        <row r="14985">
          <cell r="D14985" t="str">
            <v>2023</v>
          </cell>
        </row>
        <row r="14986">
          <cell r="D14986" t="str">
            <v>2023</v>
          </cell>
        </row>
        <row r="14987">
          <cell r="D14987" t="str">
            <v>2023</v>
          </cell>
        </row>
        <row r="14988">
          <cell r="D14988" t="str">
            <v>2023</v>
          </cell>
        </row>
        <row r="14989">
          <cell r="D14989" t="str">
            <v>2023</v>
          </cell>
        </row>
        <row r="14990">
          <cell r="D14990" t="str">
            <v>2023</v>
          </cell>
        </row>
        <row r="14991">
          <cell r="D14991" t="str">
            <v>2023</v>
          </cell>
        </row>
        <row r="14992">
          <cell r="D14992" t="str">
            <v>2023</v>
          </cell>
        </row>
        <row r="14993">
          <cell r="D14993" t="str">
            <v>2023</v>
          </cell>
        </row>
        <row r="14994">
          <cell r="D14994" t="str">
            <v>2023</v>
          </cell>
        </row>
        <row r="14995">
          <cell r="D14995" t="str">
            <v>2024</v>
          </cell>
        </row>
        <row r="14996">
          <cell r="D14996" t="str">
            <v>2023</v>
          </cell>
        </row>
        <row r="14997">
          <cell r="D14997" t="str">
            <v>2023</v>
          </cell>
        </row>
        <row r="14998">
          <cell r="D14998" t="str">
            <v>2023</v>
          </cell>
        </row>
        <row r="14999">
          <cell r="D14999" t="str">
            <v>2023</v>
          </cell>
        </row>
        <row r="15000">
          <cell r="D15000" t="str">
            <v>2024</v>
          </cell>
        </row>
        <row r="15001">
          <cell r="D15001" t="str">
            <v>2023</v>
          </cell>
        </row>
        <row r="15002">
          <cell r="D15002" t="str">
            <v>2023</v>
          </cell>
        </row>
        <row r="15003">
          <cell r="D15003" t="str">
            <v>2023</v>
          </cell>
        </row>
        <row r="15004">
          <cell r="D15004" t="str">
            <v>2023</v>
          </cell>
        </row>
        <row r="15005">
          <cell r="D15005" t="str">
            <v>2023</v>
          </cell>
        </row>
        <row r="15006">
          <cell r="D15006" t="str">
            <v>2023</v>
          </cell>
        </row>
        <row r="15007">
          <cell r="D15007" t="str">
            <v>2023</v>
          </cell>
        </row>
        <row r="15008">
          <cell r="D15008" t="str">
            <v>2023</v>
          </cell>
        </row>
        <row r="15009">
          <cell r="D15009" t="str">
            <v>2023</v>
          </cell>
        </row>
        <row r="15010">
          <cell r="D15010" t="str">
            <v>2023</v>
          </cell>
        </row>
        <row r="15011">
          <cell r="D15011" t="str">
            <v>2023</v>
          </cell>
        </row>
        <row r="15012">
          <cell r="D15012" t="str">
            <v>2023</v>
          </cell>
        </row>
        <row r="15013">
          <cell r="D15013" t="str">
            <v>2023</v>
          </cell>
        </row>
        <row r="15014">
          <cell r="D15014" t="str">
            <v>2023</v>
          </cell>
        </row>
        <row r="15015">
          <cell r="D15015" t="str">
            <v>2023</v>
          </cell>
        </row>
        <row r="15016">
          <cell r="D15016" t="str">
            <v>2023</v>
          </cell>
        </row>
        <row r="15017">
          <cell r="D15017" t="str">
            <v>2023</v>
          </cell>
        </row>
        <row r="15018">
          <cell r="D15018" t="str">
            <v>2023</v>
          </cell>
        </row>
        <row r="15019">
          <cell r="D15019" t="str">
            <v>2023</v>
          </cell>
        </row>
        <row r="15020">
          <cell r="D15020" t="str">
            <v>2023</v>
          </cell>
        </row>
        <row r="15021">
          <cell r="D15021" t="str">
            <v>2023</v>
          </cell>
        </row>
        <row r="15022">
          <cell r="D15022" t="str">
            <v>2023</v>
          </cell>
        </row>
        <row r="15023">
          <cell r="D15023" t="str">
            <v>2023</v>
          </cell>
        </row>
        <row r="15024">
          <cell r="D15024" t="str">
            <v>2023</v>
          </cell>
        </row>
        <row r="15025">
          <cell r="D15025" t="str">
            <v>2023</v>
          </cell>
        </row>
        <row r="15026">
          <cell r="D15026" t="str">
            <v>2023</v>
          </cell>
        </row>
        <row r="15027">
          <cell r="D15027" t="str">
            <v>2023</v>
          </cell>
        </row>
        <row r="15028">
          <cell r="D15028" t="str">
            <v>2023</v>
          </cell>
        </row>
        <row r="15029">
          <cell r="D15029" t="str">
            <v>2023</v>
          </cell>
        </row>
        <row r="15030">
          <cell r="D15030" t="str">
            <v>2023</v>
          </cell>
        </row>
        <row r="15031">
          <cell r="D15031" t="str">
            <v>2023</v>
          </cell>
        </row>
        <row r="15032">
          <cell r="D15032" t="str">
            <v>2023</v>
          </cell>
        </row>
        <row r="15033">
          <cell r="D15033" t="str">
            <v>2023</v>
          </cell>
        </row>
        <row r="15034">
          <cell r="D15034" t="str">
            <v>2023</v>
          </cell>
        </row>
        <row r="15035">
          <cell r="D15035" t="str">
            <v>2023</v>
          </cell>
        </row>
        <row r="15036">
          <cell r="D15036" t="str">
            <v>2023</v>
          </cell>
        </row>
        <row r="15037">
          <cell r="D15037" t="str">
            <v>2023</v>
          </cell>
        </row>
        <row r="15038">
          <cell r="D15038" t="str">
            <v>2023</v>
          </cell>
        </row>
        <row r="15039">
          <cell r="D15039" t="str">
            <v>2023</v>
          </cell>
        </row>
        <row r="15040">
          <cell r="D15040" t="str">
            <v>2023</v>
          </cell>
        </row>
        <row r="15041">
          <cell r="D15041" t="str">
            <v>2023</v>
          </cell>
        </row>
        <row r="15042">
          <cell r="D15042" t="str">
            <v>2023</v>
          </cell>
        </row>
        <row r="15043">
          <cell r="D15043" t="str">
            <v>2024</v>
          </cell>
        </row>
        <row r="15044">
          <cell r="D15044" t="str">
            <v>2023</v>
          </cell>
        </row>
        <row r="15045">
          <cell r="D15045" t="str">
            <v>2023</v>
          </cell>
        </row>
        <row r="15046">
          <cell r="D15046" t="str">
            <v>2023</v>
          </cell>
        </row>
        <row r="15047">
          <cell r="D15047" t="str">
            <v>2024</v>
          </cell>
        </row>
        <row r="15048">
          <cell r="D15048" t="str">
            <v>2023</v>
          </cell>
        </row>
        <row r="15049">
          <cell r="D15049" t="str">
            <v>2023</v>
          </cell>
        </row>
        <row r="15050">
          <cell r="D15050" t="str">
            <v>2023</v>
          </cell>
        </row>
        <row r="15051">
          <cell r="D15051" t="str">
            <v>2024</v>
          </cell>
        </row>
        <row r="15052">
          <cell r="D15052" t="str">
            <v>2023</v>
          </cell>
        </row>
        <row r="15053">
          <cell r="D15053" t="str">
            <v>2023</v>
          </cell>
        </row>
        <row r="15054">
          <cell r="D15054" t="str">
            <v>2023</v>
          </cell>
        </row>
        <row r="15055">
          <cell r="D15055" t="str">
            <v>2024</v>
          </cell>
        </row>
        <row r="15056">
          <cell r="D15056" t="str">
            <v>2023</v>
          </cell>
        </row>
        <row r="15057">
          <cell r="D15057" t="str">
            <v>2023</v>
          </cell>
        </row>
        <row r="15058">
          <cell r="D15058" t="str">
            <v>2023</v>
          </cell>
        </row>
        <row r="15059">
          <cell r="D15059" t="str">
            <v>2024</v>
          </cell>
        </row>
        <row r="15060">
          <cell r="D15060" t="str">
            <v>2023</v>
          </cell>
        </row>
        <row r="15061">
          <cell r="D15061" t="str">
            <v>2023</v>
          </cell>
        </row>
        <row r="15062">
          <cell r="D15062" t="str">
            <v>2023</v>
          </cell>
        </row>
        <row r="15063">
          <cell r="D15063" t="str">
            <v>2023</v>
          </cell>
        </row>
        <row r="15064">
          <cell r="D15064" t="str">
            <v>2023</v>
          </cell>
        </row>
        <row r="15065">
          <cell r="D15065" t="str">
            <v>2023</v>
          </cell>
        </row>
        <row r="15066">
          <cell r="D15066" t="str">
            <v>2023</v>
          </cell>
        </row>
        <row r="15067">
          <cell r="D15067" t="str">
            <v>2023</v>
          </cell>
        </row>
        <row r="15068">
          <cell r="D15068" t="str">
            <v>2023</v>
          </cell>
        </row>
        <row r="15069">
          <cell r="D15069" t="str">
            <v>2023</v>
          </cell>
        </row>
        <row r="15070">
          <cell r="D15070" t="str">
            <v>2023</v>
          </cell>
        </row>
        <row r="15071">
          <cell r="D15071" t="str">
            <v>2023</v>
          </cell>
        </row>
        <row r="15072">
          <cell r="D15072" t="str">
            <v>2023</v>
          </cell>
        </row>
        <row r="15073">
          <cell r="D15073" t="str">
            <v>2024</v>
          </cell>
        </row>
        <row r="15074">
          <cell r="D15074" t="str">
            <v>2023</v>
          </cell>
        </row>
        <row r="15075">
          <cell r="D15075" t="str">
            <v>2023</v>
          </cell>
        </row>
        <row r="15076">
          <cell r="D15076" t="str">
            <v>2023</v>
          </cell>
        </row>
        <row r="15077">
          <cell r="D15077" t="str">
            <v>2023</v>
          </cell>
        </row>
        <row r="15078">
          <cell r="D15078" t="str">
            <v>2023</v>
          </cell>
        </row>
        <row r="15079">
          <cell r="D15079" t="str">
            <v>2023</v>
          </cell>
        </row>
        <row r="15080">
          <cell r="D15080" t="str">
            <v>2023</v>
          </cell>
        </row>
        <row r="15081">
          <cell r="D15081" t="str">
            <v>2023</v>
          </cell>
        </row>
        <row r="15082">
          <cell r="D15082" t="str">
            <v>2023</v>
          </cell>
        </row>
        <row r="15083">
          <cell r="D15083" t="str">
            <v>2023</v>
          </cell>
        </row>
        <row r="15084">
          <cell r="D15084" t="str">
            <v>2023</v>
          </cell>
        </row>
        <row r="15085">
          <cell r="D15085" t="str">
            <v>2023</v>
          </cell>
        </row>
        <row r="15086">
          <cell r="D15086" t="str">
            <v>2024</v>
          </cell>
        </row>
        <row r="15087">
          <cell r="D15087" t="str">
            <v>2023</v>
          </cell>
        </row>
        <row r="15088">
          <cell r="D15088" t="str">
            <v>2023</v>
          </cell>
        </row>
        <row r="15089">
          <cell r="D15089" t="str">
            <v>2023</v>
          </cell>
        </row>
        <row r="15090">
          <cell r="D15090" t="str">
            <v>2023</v>
          </cell>
        </row>
        <row r="15091">
          <cell r="D15091" t="str">
            <v>2023</v>
          </cell>
        </row>
        <row r="15092">
          <cell r="D15092" t="str">
            <v>2023</v>
          </cell>
        </row>
        <row r="15093">
          <cell r="D15093" t="str">
            <v>2023</v>
          </cell>
        </row>
        <row r="15094">
          <cell r="D15094" t="str">
            <v>2023</v>
          </cell>
        </row>
        <row r="15095">
          <cell r="D15095" t="str">
            <v>2023</v>
          </cell>
        </row>
        <row r="15096">
          <cell r="D15096" t="str">
            <v>2023</v>
          </cell>
        </row>
        <row r="15097">
          <cell r="D15097" t="str">
            <v>2023</v>
          </cell>
        </row>
        <row r="15098">
          <cell r="D15098" t="str">
            <v>2023</v>
          </cell>
        </row>
        <row r="15099">
          <cell r="D15099" t="str">
            <v>2023</v>
          </cell>
        </row>
        <row r="15100">
          <cell r="D15100" t="str">
            <v>2023</v>
          </cell>
        </row>
        <row r="15101">
          <cell r="D15101" t="str">
            <v>2024</v>
          </cell>
        </row>
        <row r="15102">
          <cell r="D15102" t="str">
            <v>2023</v>
          </cell>
        </row>
        <row r="15103">
          <cell r="D15103" t="str">
            <v>2023</v>
          </cell>
        </row>
        <row r="15104">
          <cell r="D15104" t="str">
            <v>2023</v>
          </cell>
        </row>
        <row r="15105">
          <cell r="D15105" t="str">
            <v>2023</v>
          </cell>
        </row>
        <row r="15106">
          <cell r="D15106" t="str">
            <v>2023</v>
          </cell>
        </row>
        <row r="15107">
          <cell r="D15107" t="str">
            <v>2023</v>
          </cell>
        </row>
        <row r="15108">
          <cell r="D15108" t="str">
            <v>2023</v>
          </cell>
        </row>
        <row r="15109">
          <cell r="D15109" t="str">
            <v>2023</v>
          </cell>
        </row>
        <row r="15110">
          <cell r="D15110" t="str">
            <v>2023</v>
          </cell>
        </row>
        <row r="15111">
          <cell r="D15111" t="str">
            <v>2023</v>
          </cell>
        </row>
        <row r="15112">
          <cell r="D15112" t="str">
            <v>2023</v>
          </cell>
        </row>
        <row r="15113">
          <cell r="D15113" t="str">
            <v>2023</v>
          </cell>
        </row>
        <row r="15114">
          <cell r="D15114" t="str">
            <v>2023</v>
          </cell>
        </row>
        <row r="15115">
          <cell r="D15115" t="str">
            <v>2023</v>
          </cell>
        </row>
        <row r="15116">
          <cell r="D15116" t="str">
            <v>2023</v>
          </cell>
        </row>
        <row r="15117">
          <cell r="D15117" t="str">
            <v>2023</v>
          </cell>
        </row>
        <row r="15118">
          <cell r="D15118" t="str">
            <v>2023</v>
          </cell>
        </row>
        <row r="15119">
          <cell r="D15119" t="str">
            <v>2023</v>
          </cell>
        </row>
        <row r="15120">
          <cell r="D15120" t="str">
            <v>2023</v>
          </cell>
        </row>
        <row r="15121">
          <cell r="D15121" t="str">
            <v>2023</v>
          </cell>
        </row>
        <row r="15122">
          <cell r="D15122" t="str">
            <v>2023</v>
          </cell>
        </row>
        <row r="15123">
          <cell r="D15123" t="str">
            <v>2023</v>
          </cell>
        </row>
        <row r="15124">
          <cell r="D15124" t="str">
            <v>2023</v>
          </cell>
        </row>
        <row r="15125">
          <cell r="D15125" t="str">
            <v>2023</v>
          </cell>
        </row>
        <row r="15126">
          <cell r="D15126" t="str">
            <v>2023</v>
          </cell>
        </row>
        <row r="15127">
          <cell r="D15127" t="str">
            <v>2023</v>
          </cell>
        </row>
        <row r="15128">
          <cell r="D15128" t="str">
            <v>2023</v>
          </cell>
        </row>
        <row r="15129">
          <cell r="D15129" t="str">
            <v>2023</v>
          </cell>
        </row>
        <row r="15130">
          <cell r="D15130" t="str">
            <v>2023</v>
          </cell>
        </row>
        <row r="15131">
          <cell r="D15131" t="str">
            <v>2023</v>
          </cell>
        </row>
        <row r="15132">
          <cell r="D15132" t="str">
            <v>2023</v>
          </cell>
        </row>
        <row r="15133">
          <cell r="D15133" t="str">
            <v>2023</v>
          </cell>
        </row>
        <row r="15134">
          <cell r="D15134" t="str">
            <v>2023</v>
          </cell>
        </row>
        <row r="15135">
          <cell r="D15135" t="str">
            <v>2023</v>
          </cell>
        </row>
        <row r="15136">
          <cell r="D15136" t="str">
            <v>2024</v>
          </cell>
        </row>
        <row r="15137">
          <cell r="D15137" t="str">
            <v>2023</v>
          </cell>
        </row>
        <row r="15138">
          <cell r="D15138" t="str">
            <v>2023</v>
          </cell>
        </row>
        <row r="15139">
          <cell r="D15139" t="str">
            <v>2023</v>
          </cell>
        </row>
        <row r="15140">
          <cell r="D15140" t="str">
            <v>2023</v>
          </cell>
        </row>
        <row r="15141">
          <cell r="D15141" t="str">
            <v>2023</v>
          </cell>
        </row>
        <row r="15142">
          <cell r="D15142" t="str">
            <v>2023</v>
          </cell>
        </row>
        <row r="15143">
          <cell r="D15143" t="str">
            <v>2023</v>
          </cell>
        </row>
        <row r="15144">
          <cell r="D15144" t="str">
            <v>2023</v>
          </cell>
        </row>
        <row r="15145">
          <cell r="D15145" t="str">
            <v>2023</v>
          </cell>
        </row>
        <row r="15146">
          <cell r="D15146" t="str">
            <v>2023</v>
          </cell>
        </row>
        <row r="15147">
          <cell r="D15147" t="str">
            <v>2023</v>
          </cell>
        </row>
        <row r="15148">
          <cell r="D15148" t="str">
            <v>2023</v>
          </cell>
        </row>
        <row r="15149">
          <cell r="D15149" t="str">
            <v>2023</v>
          </cell>
        </row>
        <row r="15150">
          <cell r="D15150" t="str">
            <v>2023</v>
          </cell>
        </row>
        <row r="15151">
          <cell r="D15151" t="str">
            <v>2023</v>
          </cell>
        </row>
        <row r="15152">
          <cell r="D15152" t="str">
            <v>2023</v>
          </cell>
        </row>
        <row r="15153">
          <cell r="D15153" t="str">
            <v>2023</v>
          </cell>
        </row>
        <row r="15154">
          <cell r="D15154" t="str">
            <v>2023</v>
          </cell>
        </row>
        <row r="15155">
          <cell r="D15155" t="str">
            <v>2023</v>
          </cell>
        </row>
        <row r="15156">
          <cell r="D15156" t="str">
            <v>2023</v>
          </cell>
        </row>
        <row r="15157">
          <cell r="D15157" t="str">
            <v>2023</v>
          </cell>
        </row>
        <row r="15158">
          <cell r="D15158" t="str">
            <v>2023</v>
          </cell>
        </row>
        <row r="15159">
          <cell r="D15159" t="str">
            <v>2023</v>
          </cell>
        </row>
        <row r="15160">
          <cell r="D15160" t="str">
            <v>2023</v>
          </cell>
        </row>
        <row r="15161">
          <cell r="D15161" t="str">
            <v>2023</v>
          </cell>
        </row>
        <row r="15162">
          <cell r="D15162" t="str">
            <v>2023</v>
          </cell>
        </row>
        <row r="15163">
          <cell r="D15163" t="str">
            <v>2023</v>
          </cell>
        </row>
        <row r="15164">
          <cell r="D15164" t="str">
            <v>2023</v>
          </cell>
        </row>
        <row r="15165">
          <cell r="D15165" t="str">
            <v>2023</v>
          </cell>
        </row>
        <row r="15166">
          <cell r="D15166" t="str">
            <v>2023</v>
          </cell>
        </row>
        <row r="15167">
          <cell r="D15167" t="str">
            <v>2023</v>
          </cell>
        </row>
        <row r="15168">
          <cell r="D15168" t="str">
            <v>2023</v>
          </cell>
        </row>
        <row r="15169">
          <cell r="D15169" t="str">
            <v>2023</v>
          </cell>
        </row>
        <row r="15170">
          <cell r="D15170" t="str">
            <v>2023</v>
          </cell>
        </row>
        <row r="15171">
          <cell r="D15171" t="str">
            <v>2023</v>
          </cell>
        </row>
        <row r="15172">
          <cell r="D15172" t="str">
            <v>2023</v>
          </cell>
        </row>
        <row r="15173">
          <cell r="D15173" t="str">
            <v>2023</v>
          </cell>
        </row>
        <row r="15174">
          <cell r="D15174" t="str">
            <v>2024</v>
          </cell>
        </row>
        <row r="15175">
          <cell r="D15175" t="str">
            <v>2023</v>
          </cell>
        </row>
        <row r="15176">
          <cell r="D15176" t="str">
            <v>2023</v>
          </cell>
        </row>
        <row r="15177">
          <cell r="D15177" t="str">
            <v>2023</v>
          </cell>
        </row>
        <row r="15178">
          <cell r="D15178" t="str">
            <v>2023</v>
          </cell>
        </row>
        <row r="15179">
          <cell r="D15179" t="str">
            <v>2023</v>
          </cell>
        </row>
        <row r="15180">
          <cell r="D15180" t="str">
            <v>2023</v>
          </cell>
        </row>
        <row r="15181">
          <cell r="D15181" t="str">
            <v>2023</v>
          </cell>
        </row>
        <row r="15182">
          <cell r="D15182" t="str">
            <v>2023</v>
          </cell>
        </row>
        <row r="15183">
          <cell r="D15183" t="str">
            <v>2024</v>
          </cell>
        </row>
        <row r="15184">
          <cell r="D15184" t="str">
            <v>2023</v>
          </cell>
        </row>
        <row r="15185">
          <cell r="D15185" t="str">
            <v>2023</v>
          </cell>
        </row>
        <row r="15186">
          <cell r="D15186" t="str">
            <v>2023</v>
          </cell>
        </row>
        <row r="15187">
          <cell r="D15187" t="str">
            <v>2023</v>
          </cell>
        </row>
        <row r="15188">
          <cell r="D15188" t="str">
            <v>2023</v>
          </cell>
        </row>
        <row r="15189">
          <cell r="D15189" t="str">
            <v>2023</v>
          </cell>
        </row>
        <row r="15190">
          <cell r="D15190" t="str">
            <v>2023</v>
          </cell>
        </row>
        <row r="15191">
          <cell r="D15191" t="str">
            <v>2023</v>
          </cell>
        </row>
        <row r="15192">
          <cell r="D15192" t="str">
            <v>2023</v>
          </cell>
        </row>
        <row r="15193">
          <cell r="D15193" t="str">
            <v>2023</v>
          </cell>
        </row>
        <row r="15194">
          <cell r="D15194" t="str">
            <v>2024</v>
          </cell>
        </row>
        <row r="15195">
          <cell r="D15195" t="str">
            <v>2024</v>
          </cell>
        </row>
        <row r="15196">
          <cell r="D15196" t="str">
            <v>2023</v>
          </cell>
        </row>
        <row r="15197">
          <cell r="D15197" t="str">
            <v>2023</v>
          </cell>
        </row>
        <row r="15198">
          <cell r="D15198" t="str">
            <v>2023</v>
          </cell>
        </row>
        <row r="15199">
          <cell r="D15199" t="str">
            <v>2023</v>
          </cell>
        </row>
        <row r="15200">
          <cell r="D15200" t="str">
            <v>2023</v>
          </cell>
        </row>
        <row r="15201">
          <cell r="D15201" t="str">
            <v>2023</v>
          </cell>
        </row>
        <row r="15202">
          <cell r="D15202" t="str">
            <v>2023</v>
          </cell>
        </row>
        <row r="15203">
          <cell r="D15203" t="str">
            <v>2023</v>
          </cell>
        </row>
        <row r="15204">
          <cell r="D15204" t="str">
            <v>2023</v>
          </cell>
        </row>
        <row r="15205">
          <cell r="D15205" t="str">
            <v>2023</v>
          </cell>
        </row>
        <row r="15206">
          <cell r="D15206" t="str">
            <v>2023</v>
          </cell>
        </row>
        <row r="15207">
          <cell r="D15207" t="str">
            <v>2023</v>
          </cell>
        </row>
        <row r="15208">
          <cell r="D15208" t="str">
            <v>2023</v>
          </cell>
        </row>
        <row r="15209">
          <cell r="D15209" t="str">
            <v>2024</v>
          </cell>
        </row>
        <row r="15210">
          <cell r="D15210" t="str">
            <v>2023</v>
          </cell>
        </row>
        <row r="15211">
          <cell r="D15211" t="str">
            <v>2023</v>
          </cell>
        </row>
        <row r="15212">
          <cell r="D15212" t="str">
            <v>2023</v>
          </cell>
        </row>
        <row r="15213">
          <cell r="D15213" t="str">
            <v>2023</v>
          </cell>
        </row>
        <row r="15214">
          <cell r="D15214" t="str">
            <v>2023</v>
          </cell>
        </row>
        <row r="15215">
          <cell r="D15215" t="str">
            <v>2023</v>
          </cell>
        </row>
        <row r="15216">
          <cell r="D15216" t="str">
            <v>2023</v>
          </cell>
        </row>
        <row r="15217">
          <cell r="D15217" t="str">
            <v>2023</v>
          </cell>
        </row>
        <row r="15218">
          <cell r="D15218" t="str">
            <v>2023</v>
          </cell>
        </row>
        <row r="15219">
          <cell r="D15219" t="str">
            <v>2023</v>
          </cell>
        </row>
        <row r="15220">
          <cell r="D15220" t="str">
            <v>2023</v>
          </cell>
        </row>
        <row r="15221">
          <cell r="D15221" t="str">
            <v>2023</v>
          </cell>
        </row>
        <row r="15222">
          <cell r="D15222" t="str">
            <v>2024</v>
          </cell>
        </row>
        <row r="15223">
          <cell r="D15223" t="str">
            <v>2024</v>
          </cell>
        </row>
        <row r="15224">
          <cell r="D15224" t="str">
            <v>2023</v>
          </cell>
        </row>
        <row r="15225">
          <cell r="D15225" t="str">
            <v>2023</v>
          </cell>
        </row>
        <row r="15226">
          <cell r="D15226" t="str">
            <v>2023</v>
          </cell>
        </row>
        <row r="15227">
          <cell r="D15227" t="str">
            <v>2023</v>
          </cell>
        </row>
        <row r="15228">
          <cell r="D15228" t="str">
            <v>2023</v>
          </cell>
        </row>
        <row r="15229">
          <cell r="D15229" t="str">
            <v>2023</v>
          </cell>
        </row>
        <row r="15230">
          <cell r="D15230" t="str">
            <v>2023</v>
          </cell>
        </row>
        <row r="15231">
          <cell r="D15231" t="str">
            <v>2023</v>
          </cell>
        </row>
        <row r="15232">
          <cell r="D15232" t="str">
            <v>2024</v>
          </cell>
        </row>
        <row r="15233">
          <cell r="D15233" t="str">
            <v>2023</v>
          </cell>
        </row>
        <row r="15234">
          <cell r="D15234" t="str">
            <v>2023</v>
          </cell>
        </row>
        <row r="15235">
          <cell r="D15235" t="str">
            <v>2023</v>
          </cell>
        </row>
        <row r="15236">
          <cell r="D15236" t="str">
            <v>2023</v>
          </cell>
        </row>
        <row r="15237">
          <cell r="D15237" t="str">
            <v>2023</v>
          </cell>
        </row>
        <row r="15238">
          <cell r="D15238" t="str">
            <v>2024</v>
          </cell>
        </row>
        <row r="15239">
          <cell r="D15239" t="str">
            <v>2024</v>
          </cell>
        </row>
        <row r="15240">
          <cell r="D15240" t="str">
            <v>2023</v>
          </cell>
        </row>
        <row r="15241">
          <cell r="D15241" t="str">
            <v>2023</v>
          </cell>
        </row>
        <row r="15242">
          <cell r="D15242" t="str">
            <v>2023</v>
          </cell>
        </row>
        <row r="15243">
          <cell r="D15243" t="str">
            <v>2023</v>
          </cell>
        </row>
        <row r="15244">
          <cell r="D15244" t="str">
            <v>2023</v>
          </cell>
        </row>
        <row r="15245">
          <cell r="D15245" t="str">
            <v>2023</v>
          </cell>
        </row>
        <row r="15246">
          <cell r="D15246" t="str">
            <v>2023</v>
          </cell>
        </row>
        <row r="15247">
          <cell r="D15247" t="str">
            <v>2023</v>
          </cell>
        </row>
        <row r="15248">
          <cell r="D15248" t="str">
            <v>2023</v>
          </cell>
        </row>
        <row r="15249">
          <cell r="D15249" t="str">
            <v>2023</v>
          </cell>
        </row>
        <row r="15250">
          <cell r="D15250" t="str">
            <v>2023</v>
          </cell>
        </row>
        <row r="15251">
          <cell r="D15251" t="str">
            <v>2023</v>
          </cell>
        </row>
        <row r="15252">
          <cell r="D15252" t="str">
            <v>2023</v>
          </cell>
        </row>
        <row r="15253">
          <cell r="D15253" t="str">
            <v>2023</v>
          </cell>
        </row>
        <row r="15254">
          <cell r="D15254" t="str">
            <v>2023</v>
          </cell>
        </row>
        <row r="15255">
          <cell r="D15255" t="str">
            <v>2023</v>
          </cell>
        </row>
        <row r="15256">
          <cell r="D15256" t="str">
            <v>2023</v>
          </cell>
        </row>
        <row r="15257">
          <cell r="D15257" t="str">
            <v>2023</v>
          </cell>
        </row>
        <row r="15258">
          <cell r="D15258" t="str">
            <v>2023</v>
          </cell>
        </row>
        <row r="15259">
          <cell r="D15259" t="str">
            <v>2023</v>
          </cell>
        </row>
        <row r="15260">
          <cell r="D15260" t="str">
            <v>2023</v>
          </cell>
        </row>
        <row r="15261">
          <cell r="D15261" t="str">
            <v>2023</v>
          </cell>
        </row>
        <row r="15262">
          <cell r="D15262" t="str">
            <v>2023</v>
          </cell>
        </row>
        <row r="15263">
          <cell r="D15263" t="str">
            <v>2023</v>
          </cell>
        </row>
        <row r="15264">
          <cell r="D15264" t="str">
            <v>2023</v>
          </cell>
        </row>
        <row r="15265">
          <cell r="D15265" t="str">
            <v>2023</v>
          </cell>
        </row>
        <row r="15266">
          <cell r="D15266" t="str">
            <v>2023</v>
          </cell>
        </row>
        <row r="15267">
          <cell r="D15267" t="str">
            <v>2023</v>
          </cell>
        </row>
        <row r="15268">
          <cell r="D15268" t="str">
            <v>2023</v>
          </cell>
        </row>
        <row r="15269">
          <cell r="D15269" t="str">
            <v>2023</v>
          </cell>
        </row>
        <row r="15270">
          <cell r="D15270" t="str">
            <v>2023</v>
          </cell>
        </row>
        <row r="15271">
          <cell r="D15271" t="str">
            <v>2023</v>
          </cell>
        </row>
        <row r="15272">
          <cell r="D15272" t="str">
            <v>2023</v>
          </cell>
        </row>
        <row r="15273">
          <cell r="D15273" t="str">
            <v>2023</v>
          </cell>
        </row>
        <row r="15274">
          <cell r="D15274" t="str">
            <v>2023</v>
          </cell>
        </row>
        <row r="15275">
          <cell r="D15275" t="str">
            <v>2023</v>
          </cell>
        </row>
        <row r="15276">
          <cell r="D15276" t="str">
            <v>2023</v>
          </cell>
        </row>
        <row r="15277">
          <cell r="D15277" t="str">
            <v>2023</v>
          </cell>
        </row>
        <row r="15278">
          <cell r="D15278" t="str">
            <v>2023</v>
          </cell>
        </row>
        <row r="15279">
          <cell r="D15279" t="str">
            <v>2024</v>
          </cell>
        </row>
        <row r="15280">
          <cell r="D15280" t="str">
            <v>2024</v>
          </cell>
        </row>
        <row r="15281">
          <cell r="D15281" t="str">
            <v>2023</v>
          </cell>
        </row>
        <row r="15282">
          <cell r="D15282" t="str">
            <v>2023</v>
          </cell>
        </row>
        <row r="15283">
          <cell r="D15283" t="str">
            <v>2023</v>
          </cell>
        </row>
        <row r="15284">
          <cell r="D15284" t="str">
            <v>2023</v>
          </cell>
        </row>
        <row r="15285">
          <cell r="D15285" t="str">
            <v>2023</v>
          </cell>
        </row>
        <row r="15286">
          <cell r="D15286" t="str">
            <v>2024</v>
          </cell>
        </row>
        <row r="15287">
          <cell r="D15287" t="str">
            <v>2023</v>
          </cell>
        </row>
        <row r="15288">
          <cell r="D15288" t="str">
            <v>2023</v>
          </cell>
        </row>
        <row r="15289">
          <cell r="D15289" t="str">
            <v>2023</v>
          </cell>
        </row>
        <row r="15290">
          <cell r="D15290" t="str">
            <v>2023</v>
          </cell>
        </row>
        <row r="15291">
          <cell r="D15291" t="str">
            <v>2023</v>
          </cell>
        </row>
        <row r="15292">
          <cell r="D15292" t="str">
            <v>2023</v>
          </cell>
        </row>
        <row r="15293">
          <cell r="D15293" t="str">
            <v>2023</v>
          </cell>
        </row>
        <row r="15294">
          <cell r="D15294" t="str">
            <v>2023</v>
          </cell>
        </row>
        <row r="15295">
          <cell r="D15295" t="str">
            <v>2023</v>
          </cell>
        </row>
        <row r="15296">
          <cell r="D15296" t="str">
            <v>2023</v>
          </cell>
        </row>
        <row r="15297">
          <cell r="D15297" t="str">
            <v>2023</v>
          </cell>
        </row>
        <row r="15298">
          <cell r="D15298" t="str">
            <v>2023</v>
          </cell>
        </row>
        <row r="15299">
          <cell r="D15299" t="str">
            <v>2023</v>
          </cell>
        </row>
        <row r="15300">
          <cell r="D15300" t="str">
            <v>2023</v>
          </cell>
        </row>
        <row r="15301">
          <cell r="D15301" t="str">
            <v>2023</v>
          </cell>
        </row>
        <row r="15302">
          <cell r="D15302" t="str">
            <v>2023</v>
          </cell>
        </row>
        <row r="15303">
          <cell r="D15303" t="str">
            <v>2023</v>
          </cell>
        </row>
        <row r="15304">
          <cell r="D15304" t="str">
            <v>2023</v>
          </cell>
        </row>
        <row r="15305">
          <cell r="D15305" t="str">
            <v>2023</v>
          </cell>
        </row>
        <row r="15306">
          <cell r="D15306" t="str">
            <v>2023</v>
          </cell>
        </row>
        <row r="15307">
          <cell r="D15307" t="str">
            <v>2023</v>
          </cell>
        </row>
        <row r="15308">
          <cell r="D15308" t="str">
            <v>2023</v>
          </cell>
        </row>
        <row r="15309">
          <cell r="D15309" t="str">
            <v>2023</v>
          </cell>
        </row>
        <row r="15310">
          <cell r="D15310" t="str">
            <v>2024</v>
          </cell>
        </row>
        <row r="15311">
          <cell r="D15311" t="str">
            <v>2023</v>
          </cell>
        </row>
        <row r="15312">
          <cell r="D15312" t="str">
            <v>2023</v>
          </cell>
        </row>
        <row r="15313">
          <cell r="D15313" t="str">
            <v>2023</v>
          </cell>
        </row>
        <row r="15314">
          <cell r="D15314" t="str">
            <v>2023</v>
          </cell>
        </row>
        <row r="15315">
          <cell r="D15315" t="str">
            <v>2023</v>
          </cell>
        </row>
        <row r="15316">
          <cell r="D15316" t="str">
            <v>2024</v>
          </cell>
        </row>
        <row r="15317">
          <cell r="D15317" t="str">
            <v>2024</v>
          </cell>
        </row>
        <row r="15318">
          <cell r="D15318" t="str">
            <v>2023</v>
          </cell>
        </row>
        <row r="15319">
          <cell r="D15319" t="str">
            <v>2023</v>
          </cell>
        </row>
        <row r="15320">
          <cell r="D15320" t="str">
            <v>2023</v>
          </cell>
        </row>
        <row r="15321">
          <cell r="D15321" t="str">
            <v>2023</v>
          </cell>
        </row>
        <row r="15322">
          <cell r="D15322" t="str">
            <v>2023</v>
          </cell>
        </row>
        <row r="15323">
          <cell r="D15323" t="str">
            <v>2023</v>
          </cell>
        </row>
        <row r="15324">
          <cell r="D15324" t="str">
            <v>2023</v>
          </cell>
        </row>
        <row r="15325">
          <cell r="D15325" t="str">
            <v>2023</v>
          </cell>
        </row>
        <row r="15326">
          <cell r="D15326" t="str">
            <v>2023</v>
          </cell>
        </row>
        <row r="15327">
          <cell r="D15327" t="str">
            <v>2023</v>
          </cell>
        </row>
        <row r="15328">
          <cell r="D15328" t="str">
            <v>2023</v>
          </cell>
        </row>
        <row r="15329">
          <cell r="D15329" t="str">
            <v>2023</v>
          </cell>
        </row>
        <row r="15330">
          <cell r="D15330" t="str">
            <v>2023</v>
          </cell>
        </row>
        <row r="15331">
          <cell r="D15331" t="str">
            <v>2024</v>
          </cell>
        </row>
        <row r="15332">
          <cell r="D15332" t="str">
            <v>2023</v>
          </cell>
        </row>
        <row r="15333">
          <cell r="D15333" t="str">
            <v>2023</v>
          </cell>
        </row>
        <row r="15334">
          <cell r="D15334" t="str">
            <v>2023</v>
          </cell>
        </row>
        <row r="15335">
          <cell r="D15335" t="str">
            <v>2023</v>
          </cell>
        </row>
        <row r="15336">
          <cell r="D15336" t="str">
            <v>2023</v>
          </cell>
        </row>
        <row r="15337">
          <cell r="D15337" t="str">
            <v>2023</v>
          </cell>
        </row>
        <row r="15338">
          <cell r="D15338" t="str">
            <v>2023</v>
          </cell>
        </row>
        <row r="15339">
          <cell r="D15339" t="str">
            <v>2023</v>
          </cell>
        </row>
        <row r="15340">
          <cell r="D15340" t="str">
            <v>2023</v>
          </cell>
        </row>
        <row r="15341">
          <cell r="D15341" t="str">
            <v>2023</v>
          </cell>
        </row>
        <row r="15342">
          <cell r="D15342" t="str">
            <v>2023</v>
          </cell>
        </row>
        <row r="15343">
          <cell r="D15343" t="str">
            <v>2023</v>
          </cell>
        </row>
        <row r="15344">
          <cell r="D15344" t="str">
            <v>2023</v>
          </cell>
        </row>
        <row r="15345">
          <cell r="D15345" t="str">
            <v>2024</v>
          </cell>
        </row>
        <row r="15346">
          <cell r="D15346" t="str">
            <v>2023</v>
          </cell>
        </row>
        <row r="15347">
          <cell r="D15347" t="str">
            <v>2023</v>
          </cell>
        </row>
        <row r="15348">
          <cell r="D15348" t="str">
            <v>2024</v>
          </cell>
        </row>
        <row r="15349">
          <cell r="D15349" t="str">
            <v>2023</v>
          </cell>
        </row>
        <row r="15350">
          <cell r="D15350" t="str">
            <v>2023</v>
          </cell>
        </row>
        <row r="15351">
          <cell r="D15351" t="str">
            <v>2023</v>
          </cell>
        </row>
        <row r="15352">
          <cell r="D15352" t="str">
            <v>2023</v>
          </cell>
        </row>
        <row r="15353">
          <cell r="D15353" t="str">
            <v>2023</v>
          </cell>
        </row>
        <row r="15354">
          <cell r="D15354" t="str">
            <v>2024</v>
          </cell>
        </row>
        <row r="15355">
          <cell r="D15355" t="str">
            <v>2023</v>
          </cell>
        </row>
        <row r="15356">
          <cell r="D15356" t="str">
            <v>2023</v>
          </cell>
        </row>
        <row r="15357">
          <cell r="D15357" t="str">
            <v>2023</v>
          </cell>
        </row>
        <row r="15358">
          <cell r="D15358" t="str">
            <v>2023</v>
          </cell>
        </row>
        <row r="15359">
          <cell r="D15359" t="str">
            <v>2024</v>
          </cell>
        </row>
        <row r="15360">
          <cell r="D15360" t="str">
            <v>2023</v>
          </cell>
        </row>
        <row r="15361">
          <cell r="D15361" t="str">
            <v>2023</v>
          </cell>
        </row>
        <row r="15362">
          <cell r="D15362" t="str">
            <v>2024</v>
          </cell>
        </row>
        <row r="15363">
          <cell r="D15363" t="str">
            <v>2023</v>
          </cell>
        </row>
        <row r="15364">
          <cell r="D15364" t="str">
            <v>2023</v>
          </cell>
        </row>
        <row r="15365">
          <cell r="D15365" t="str">
            <v>2023</v>
          </cell>
        </row>
        <row r="15366">
          <cell r="D15366" t="str">
            <v>2023</v>
          </cell>
        </row>
        <row r="15367">
          <cell r="D15367" t="str">
            <v>2023</v>
          </cell>
        </row>
        <row r="15368">
          <cell r="D15368" t="str">
            <v>2023</v>
          </cell>
        </row>
        <row r="15369">
          <cell r="D15369" t="str">
            <v>2023</v>
          </cell>
        </row>
        <row r="15370">
          <cell r="D15370" t="str">
            <v>2023</v>
          </cell>
        </row>
        <row r="15371">
          <cell r="D15371" t="str">
            <v>2024</v>
          </cell>
        </row>
        <row r="15372">
          <cell r="D15372" t="str">
            <v>2023</v>
          </cell>
        </row>
        <row r="15373">
          <cell r="D15373" t="str">
            <v>2024</v>
          </cell>
        </row>
        <row r="15374">
          <cell r="D15374" t="str">
            <v>2023</v>
          </cell>
        </row>
        <row r="15375">
          <cell r="D15375" t="str">
            <v>2023</v>
          </cell>
        </row>
        <row r="15376">
          <cell r="D15376" t="str">
            <v>2024</v>
          </cell>
        </row>
        <row r="15377">
          <cell r="D15377" t="str">
            <v>2023</v>
          </cell>
        </row>
        <row r="15378">
          <cell r="D15378" t="str">
            <v>2024</v>
          </cell>
        </row>
        <row r="15379">
          <cell r="D15379" t="str">
            <v>2024</v>
          </cell>
        </row>
        <row r="15380">
          <cell r="D15380" t="str">
            <v>2024</v>
          </cell>
        </row>
        <row r="15381">
          <cell r="D15381" t="str">
            <v>2024</v>
          </cell>
        </row>
        <row r="15382">
          <cell r="D15382" t="str">
            <v>2023</v>
          </cell>
        </row>
        <row r="15383">
          <cell r="D15383" t="str">
            <v>2023</v>
          </cell>
        </row>
        <row r="15384">
          <cell r="D15384" t="str">
            <v>2021</v>
          </cell>
        </row>
        <row r="15385">
          <cell r="D15385" t="str">
            <v>2022</v>
          </cell>
        </row>
        <row r="15386">
          <cell r="D15386" t="str">
            <v>2023</v>
          </cell>
        </row>
        <row r="15387">
          <cell r="D15387" t="str">
            <v>2023</v>
          </cell>
        </row>
        <row r="15388">
          <cell r="D15388" t="str">
            <v>2021</v>
          </cell>
        </row>
        <row r="15389">
          <cell r="D15389" t="str">
            <v>2023</v>
          </cell>
        </row>
        <row r="15390">
          <cell r="D15390" t="str">
            <v>2021</v>
          </cell>
        </row>
        <row r="15391">
          <cell r="D15391" t="str">
            <v>2021</v>
          </cell>
        </row>
        <row r="15392">
          <cell r="D15392" t="str">
            <v>2023</v>
          </cell>
        </row>
        <row r="15393">
          <cell r="D15393" t="str">
            <v>2021</v>
          </cell>
        </row>
        <row r="15394">
          <cell r="D15394" t="str">
            <v>2023</v>
          </cell>
        </row>
        <row r="15395">
          <cell r="D15395" t="str">
            <v>2021</v>
          </cell>
        </row>
        <row r="15396">
          <cell r="D15396" t="str">
            <v>2023</v>
          </cell>
        </row>
        <row r="15397">
          <cell r="D15397" t="str">
            <v>2023</v>
          </cell>
        </row>
        <row r="15398">
          <cell r="D15398" t="str">
            <v>2023</v>
          </cell>
        </row>
        <row r="15399">
          <cell r="D15399" t="str">
            <v>2023</v>
          </cell>
        </row>
        <row r="15400">
          <cell r="D15400" t="str">
            <v>2023</v>
          </cell>
        </row>
        <row r="15401">
          <cell r="D15401" t="str">
            <v>2023</v>
          </cell>
        </row>
        <row r="15402">
          <cell r="D15402" t="str">
            <v>2023</v>
          </cell>
        </row>
        <row r="15403">
          <cell r="D15403" t="str">
            <v>2023</v>
          </cell>
        </row>
        <row r="15404">
          <cell r="D15404" t="str">
            <v>2023</v>
          </cell>
        </row>
        <row r="15405">
          <cell r="D15405" t="str">
            <v>2023</v>
          </cell>
        </row>
        <row r="15406">
          <cell r="D15406" t="str">
            <v>2023</v>
          </cell>
        </row>
        <row r="15407">
          <cell r="D15407" t="str">
            <v>2023</v>
          </cell>
        </row>
        <row r="15408">
          <cell r="D15408" t="str">
            <v>2023</v>
          </cell>
        </row>
        <row r="15409">
          <cell r="D15409" t="str">
            <v>2023</v>
          </cell>
        </row>
        <row r="15410">
          <cell r="D15410" t="str">
            <v>2023</v>
          </cell>
        </row>
        <row r="15411">
          <cell r="D15411" t="str">
            <v>2023</v>
          </cell>
        </row>
        <row r="15412">
          <cell r="D15412" t="str">
            <v>2023</v>
          </cell>
        </row>
        <row r="15413">
          <cell r="D15413" t="str">
            <v>2023</v>
          </cell>
        </row>
        <row r="15414">
          <cell r="D15414" t="str">
            <v>2023</v>
          </cell>
        </row>
        <row r="15415">
          <cell r="D15415" t="str">
            <v>2023</v>
          </cell>
        </row>
        <row r="15416">
          <cell r="D15416" t="str">
            <v>2023</v>
          </cell>
        </row>
        <row r="15417">
          <cell r="D15417" t="str">
            <v>2023</v>
          </cell>
        </row>
        <row r="15418">
          <cell r="D15418" t="str">
            <v>2023</v>
          </cell>
        </row>
        <row r="15419">
          <cell r="D15419" t="str">
            <v>2023</v>
          </cell>
        </row>
        <row r="15420">
          <cell r="D15420" t="str">
            <v>2023</v>
          </cell>
        </row>
        <row r="15421">
          <cell r="D15421" t="str">
            <v>2021</v>
          </cell>
        </row>
        <row r="15422">
          <cell r="D15422" t="str">
            <v>2023</v>
          </cell>
        </row>
        <row r="15423">
          <cell r="D15423" t="str">
            <v>2022</v>
          </cell>
        </row>
        <row r="15424">
          <cell r="D15424" t="str">
            <v>2023</v>
          </cell>
        </row>
        <row r="15425">
          <cell r="D15425" t="str">
            <v>2021</v>
          </cell>
        </row>
        <row r="15426">
          <cell r="D15426" t="str">
            <v>2023</v>
          </cell>
        </row>
        <row r="15427">
          <cell r="D15427" t="str">
            <v>2023</v>
          </cell>
        </row>
        <row r="15428">
          <cell r="D15428" t="str">
            <v>2023</v>
          </cell>
        </row>
        <row r="15429">
          <cell r="D15429" t="str">
            <v>2023</v>
          </cell>
        </row>
        <row r="15430">
          <cell r="D15430" t="str">
            <v>2021</v>
          </cell>
        </row>
        <row r="15431">
          <cell r="D15431" t="str">
            <v>2021</v>
          </cell>
        </row>
        <row r="15432">
          <cell r="D15432" t="str">
            <v>2023</v>
          </cell>
        </row>
        <row r="15433">
          <cell r="D15433" t="str">
            <v>2023</v>
          </cell>
        </row>
        <row r="15434">
          <cell r="D15434" t="str">
            <v>2023</v>
          </cell>
        </row>
        <row r="15435">
          <cell r="D15435" t="str">
            <v>2021</v>
          </cell>
        </row>
        <row r="15436">
          <cell r="D15436" t="str">
            <v>2023</v>
          </cell>
        </row>
        <row r="15437">
          <cell r="D15437" t="str">
            <v>2023</v>
          </cell>
        </row>
        <row r="15438">
          <cell r="D15438" t="str">
            <v>2021</v>
          </cell>
        </row>
        <row r="15439">
          <cell r="D15439" t="str">
            <v>2023</v>
          </cell>
        </row>
        <row r="15440">
          <cell r="D15440" t="str">
            <v>2023</v>
          </cell>
        </row>
        <row r="15441">
          <cell r="D15441" t="str">
            <v>2023</v>
          </cell>
        </row>
        <row r="15442">
          <cell r="D15442" t="str">
            <v>2023</v>
          </cell>
        </row>
        <row r="15443">
          <cell r="D15443" t="str">
            <v>2023</v>
          </cell>
        </row>
        <row r="15444">
          <cell r="D15444" t="str">
            <v>2023</v>
          </cell>
        </row>
        <row r="15445">
          <cell r="D15445" t="str">
            <v>2023</v>
          </cell>
        </row>
        <row r="15446">
          <cell r="D15446" t="str">
            <v>2023</v>
          </cell>
        </row>
        <row r="15447">
          <cell r="D15447" t="str">
            <v>2023</v>
          </cell>
        </row>
        <row r="15448">
          <cell r="D15448" t="str">
            <v>2022</v>
          </cell>
        </row>
        <row r="15449">
          <cell r="D15449" t="str">
            <v>2021</v>
          </cell>
        </row>
        <row r="15450">
          <cell r="D15450" t="str">
            <v>2023</v>
          </cell>
        </row>
        <row r="15451">
          <cell r="D15451" t="str">
            <v>2023</v>
          </cell>
        </row>
        <row r="15452">
          <cell r="D15452" t="str">
            <v>2023</v>
          </cell>
        </row>
        <row r="15453">
          <cell r="D15453" t="str">
            <v>2021</v>
          </cell>
        </row>
        <row r="15454">
          <cell r="D15454" t="str">
            <v>2022</v>
          </cell>
        </row>
        <row r="15455">
          <cell r="D15455" t="str">
            <v>2023</v>
          </cell>
        </row>
        <row r="15456">
          <cell r="D15456" t="str">
            <v>2021</v>
          </cell>
        </row>
        <row r="15457">
          <cell r="D15457" t="str">
            <v>2021</v>
          </cell>
        </row>
        <row r="15458">
          <cell r="D15458" t="str">
            <v>2023</v>
          </cell>
        </row>
        <row r="15459">
          <cell r="D15459" t="str">
            <v>2021</v>
          </cell>
        </row>
        <row r="15460">
          <cell r="D15460" t="str">
            <v>2023</v>
          </cell>
        </row>
        <row r="15461">
          <cell r="D15461" t="str">
            <v>2021</v>
          </cell>
        </row>
        <row r="15462">
          <cell r="D15462" t="str">
            <v>2022</v>
          </cell>
        </row>
        <row r="15463">
          <cell r="D15463" t="str">
            <v>2021</v>
          </cell>
        </row>
        <row r="15464">
          <cell r="D15464" t="str">
            <v>2022</v>
          </cell>
        </row>
        <row r="15465">
          <cell r="D15465" t="str">
            <v>2023</v>
          </cell>
        </row>
        <row r="15466">
          <cell r="D15466" t="str">
            <v>2022</v>
          </cell>
        </row>
        <row r="15467">
          <cell r="D15467" t="str">
            <v>2023</v>
          </cell>
        </row>
        <row r="15468">
          <cell r="D15468" t="str">
            <v>2023</v>
          </cell>
        </row>
        <row r="15469">
          <cell r="D15469" t="str">
            <v>2021</v>
          </cell>
        </row>
        <row r="15470">
          <cell r="D15470" t="str">
            <v>2021</v>
          </cell>
        </row>
        <row r="15471">
          <cell r="D15471" t="str">
            <v>2023</v>
          </cell>
        </row>
        <row r="15472">
          <cell r="D15472" t="str">
            <v>2022</v>
          </cell>
        </row>
        <row r="15473">
          <cell r="D15473" t="str">
            <v>2023</v>
          </cell>
        </row>
        <row r="15474">
          <cell r="D15474" t="str">
            <v>2021</v>
          </cell>
        </row>
        <row r="15475">
          <cell r="D15475" t="str">
            <v>2023</v>
          </cell>
        </row>
        <row r="15476">
          <cell r="D15476" t="str">
            <v>2023</v>
          </cell>
        </row>
        <row r="15477">
          <cell r="D15477" t="str">
            <v>2023</v>
          </cell>
        </row>
        <row r="15478">
          <cell r="D15478" t="str">
            <v>2022</v>
          </cell>
        </row>
        <row r="15479">
          <cell r="D15479" t="str">
            <v>2023</v>
          </cell>
        </row>
        <row r="15480">
          <cell r="D15480" t="str">
            <v>2023</v>
          </cell>
        </row>
        <row r="15481">
          <cell r="D15481" t="str">
            <v>2022</v>
          </cell>
        </row>
        <row r="15482">
          <cell r="D15482" t="str">
            <v>2023</v>
          </cell>
        </row>
        <row r="15483">
          <cell r="D15483" t="str">
            <v>2023</v>
          </cell>
        </row>
        <row r="15484">
          <cell r="D15484" t="str">
            <v>2021</v>
          </cell>
        </row>
        <row r="15485">
          <cell r="D15485" t="str">
            <v>2023</v>
          </cell>
        </row>
        <row r="15486">
          <cell r="D15486" t="str">
            <v>2021</v>
          </cell>
        </row>
        <row r="15487">
          <cell r="D15487" t="str">
            <v>2021</v>
          </cell>
        </row>
        <row r="15488">
          <cell r="D15488" t="str">
            <v>2023</v>
          </cell>
        </row>
        <row r="15489">
          <cell r="D15489" t="str">
            <v>2023</v>
          </cell>
        </row>
        <row r="15490">
          <cell r="D15490" t="str">
            <v>2023</v>
          </cell>
        </row>
        <row r="15491">
          <cell r="D15491" t="str">
            <v>2023</v>
          </cell>
        </row>
        <row r="15492">
          <cell r="D15492" t="str">
            <v>2023</v>
          </cell>
        </row>
        <row r="15493">
          <cell r="D15493" t="str">
            <v>2021</v>
          </cell>
        </row>
        <row r="15494">
          <cell r="D15494" t="str">
            <v>2023</v>
          </cell>
        </row>
        <row r="15495">
          <cell r="D15495" t="str">
            <v>2023</v>
          </cell>
        </row>
        <row r="15496">
          <cell r="D15496" t="str">
            <v>2023</v>
          </cell>
        </row>
        <row r="15497">
          <cell r="D15497" t="str">
            <v>2023</v>
          </cell>
        </row>
        <row r="15498">
          <cell r="D15498" t="str">
            <v>2023</v>
          </cell>
        </row>
        <row r="15499">
          <cell r="D15499" t="str">
            <v>2023</v>
          </cell>
        </row>
        <row r="15500">
          <cell r="D15500" t="str">
            <v>2023</v>
          </cell>
        </row>
        <row r="15501">
          <cell r="D15501" t="str">
            <v>2021</v>
          </cell>
        </row>
        <row r="15502">
          <cell r="D15502" t="str">
            <v>2022</v>
          </cell>
        </row>
        <row r="15503">
          <cell r="D15503" t="str">
            <v>2023</v>
          </cell>
        </row>
        <row r="15504">
          <cell r="D15504" t="str">
            <v>2023</v>
          </cell>
        </row>
        <row r="15505">
          <cell r="D15505" t="str">
            <v>2021</v>
          </cell>
        </row>
        <row r="15506">
          <cell r="D15506" t="str">
            <v>2023</v>
          </cell>
        </row>
        <row r="15507">
          <cell r="D15507" t="str">
            <v>2023</v>
          </cell>
        </row>
        <row r="15508">
          <cell r="D15508" t="str">
            <v>2023</v>
          </cell>
        </row>
        <row r="15509">
          <cell r="D15509" t="str">
            <v>2022</v>
          </cell>
        </row>
        <row r="15510">
          <cell r="D15510" t="str">
            <v>2022</v>
          </cell>
        </row>
        <row r="15511">
          <cell r="D15511" t="str">
            <v>2021</v>
          </cell>
        </row>
        <row r="15512">
          <cell r="D15512" t="str">
            <v>2023</v>
          </cell>
        </row>
        <row r="15513">
          <cell r="D15513" t="str">
            <v>2022</v>
          </cell>
        </row>
        <row r="15514">
          <cell r="D15514" t="str">
            <v>2023</v>
          </cell>
        </row>
        <row r="15515">
          <cell r="D15515" t="str">
            <v>2023</v>
          </cell>
        </row>
        <row r="15516">
          <cell r="D15516" t="str">
            <v>2022</v>
          </cell>
        </row>
        <row r="15517">
          <cell r="D15517" t="str">
            <v>2023</v>
          </cell>
        </row>
        <row r="15518">
          <cell r="D15518" t="str">
            <v>2021</v>
          </cell>
        </row>
        <row r="15519">
          <cell r="D15519" t="str">
            <v>2023</v>
          </cell>
        </row>
        <row r="15520">
          <cell r="D15520" t="str">
            <v>2023</v>
          </cell>
        </row>
        <row r="15521">
          <cell r="D15521" t="str">
            <v>2023</v>
          </cell>
        </row>
        <row r="15522">
          <cell r="D15522" t="str">
            <v>2023</v>
          </cell>
        </row>
        <row r="15523">
          <cell r="D15523" t="str">
            <v>2023</v>
          </cell>
        </row>
        <row r="15524">
          <cell r="D15524" t="str">
            <v>2023</v>
          </cell>
        </row>
        <row r="15525">
          <cell r="D15525" t="str">
            <v>2023</v>
          </cell>
        </row>
        <row r="15526">
          <cell r="D15526" t="str">
            <v>2022</v>
          </cell>
        </row>
        <row r="15527">
          <cell r="D15527" t="str">
            <v>2023</v>
          </cell>
        </row>
        <row r="15528">
          <cell r="D15528" t="str">
            <v>2023</v>
          </cell>
        </row>
        <row r="15529">
          <cell r="D15529" t="str">
            <v>2021</v>
          </cell>
        </row>
        <row r="15530">
          <cell r="D15530" t="str">
            <v>2023</v>
          </cell>
        </row>
        <row r="15531">
          <cell r="D15531" t="str">
            <v>2023</v>
          </cell>
        </row>
        <row r="15532">
          <cell r="D15532" t="str">
            <v>2023</v>
          </cell>
        </row>
        <row r="15533">
          <cell r="D15533" t="str">
            <v>2023</v>
          </cell>
        </row>
        <row r="15534">
          <cell r="D15534" t="str">
            <v>2023</v>
          </cell>
        </row>
        <row r="15535">
          <cell r="D15535" t="str">
            <v>2023</v>
          </cell>
        </row>
        <row r="15536">
          <cell r="D15536" t="str">
            <v>2023</v>
          </cell>
        </row>
        <row r="15537">
          <cell r="D15537" t="str">
            <v>2022</v>
          </cell>
        </row>
        <row r="15538">
          <cell r="D15538" t="str">
            <v>2021</v>
          </cell>
        </row>
        <row r="15539">
          <cell r="D15539" t="str">
            <v>2023</v>
          </cell>
        </row>
        <row r="15540">
          <cell r="D15540" t="str">
            <v>2023</v>
          </cell>
        </row>
        <row r="15541">
          <cell r="D15541" t="str">
            <v>2023</v>
          </cell>
        </row>
        <row r="15542">
          <cell r="D15542" t="str">
            <v>2023</v>
          </cell>
        </row>
        <row r="15543">
          <cell r="D15543" t="str">
            <v>2023</v>
          </cell>
        </row>
        <row r="15544">
          <cell r="D15544" t="str">
            <v>2023</v>
          </cell>
        </row>
        <row r="15545">
          <cell r="D15545" t="str">
            <v>2023</v>
          </cell>
        </row>
        <row r="15546">
          <cell r="D15546" t="str">
            <v>2023</v>
          </cell>
        </row>
        <row r="15547">
          <cell r="D15547" t="str">
            <v>2023</v>
          </cell>
        </row>
        <row r="15548">
          <cell r="D15548" t="str">
            <v>2023</v>
          </cell>
        </row>
        <row r="15549">
          <cell r="D15549" t="str">
            <v>2021</v>
          </cell>
        </row>
        <row r="15550">
          <cell r="D15550" t="str">
            <v>2024</v>
          </cell>
        </row>
        <row r="15551">
          <cell r="D15551" t="str">
            <v>2023</v>
          </cell>
        </row>
        <row r="15552">
          <cell r="D15552" t="str">
            <v>2023</v>
          </cell>
        </row>
        <row r="15553">
          <cell r="D15553" t="str">
            <v>2023</v>
          </cell>
        </row>
        <row r="15554">
          <cell r="D15554" t="str">
            <v>2023</v>
          </cell>
        </row>
        <row r="15555">
          <cell r="D15555" t="str">
            <v>2023</v>
          </cell>
        </row>
        <row r="15556">
          <cell r="D15556" t="str">
            <v>2023</v>
          </cell>
        </row>
        <row r="15557">
          <cell r="D15557" t="str">
            <v>2023</v>
          </cell>
        </row>
        <row r="15558">
          <cell r="D15558" t="str">
            <v>2022</v>
          </cell>
        </row>
        <row r="15559">
          <cell r="D15559" t="str">
            <v>2023</v>
          </cell>
        </row>
        <row r="15560">
          <cell r="D15560" t="str">
            <v>2023</v>
          </cell>
        </row>
        <row r="15561">
          <cell r="D15561" t="str">
            <v>2022</v>
          </cell>
        </row>
        <row r="15562">
          <cell r="D15562" t="str">
            <v>2023</v>
          </cell>
        </row>
        <row r="15563">
          <cell r="D15563" t="str">
            <v>2023</v>
          </cell>
        </row>
        <row r="15564">
          <cell r="D15564" t="str">
            <v>2023</v>
          </cell>
        </row>
        <row r="15565">
          <cell r="D15565" t="str">
            <v>2023</v>
          </cell>
        </row>
        <row r="15566">
          <cell r="D15566" t="str">
            <v>2021</v>
          </cell>
        </row>
        <row r="15567">
          <cell r="D15567" t="str">
            <v>2023</v>
          </cell>
        </row>
        <row r="15568">
          <cell r="D15568" t="str">
            <v>2021</v>
          </cell>
        </row>
        <row r="15569">
          <cell r="D15569" t="str">
            <v>2023</v>
          </cell>
        </row>
        <row r="15570">
          <cell r="D15570" t="str">
            <v>2023</v>
          </cell>
        </row>
        <row r="15571">
          <cell r="D15571" t="str">
            <v>2022</v>
          </cell>
        </row>
        <row r="15572">
          <cell r="D15572" t="str">
            <v>2023</v>
          </cell>
        </row>
        <row r="15573">
          <cell r="D15573" t="str">
            <v>2022</v>
          </cell>
        </row>
        <row r="15574">
          <cell r="D15574" t="str">
            <v>2022</v>
          </cell>
        </row>
        <row r="15575">
          <cell r="D15575" t="str">
            <v>2023</v>
          </cell>
        </row>
        <row r="15576">
          <cell r="D15576" t="str">
            <v>2023</v>
          </cell>
        </row>
        <row r="15577">
          <cell r="D15577" t="str">
            <v>2023</v>
          </cell>
        </row>
        <row r="15578">
          <cell r="D15578" t="str">
            <v>2022</v>
          </cell>
        </row>
        <row r="15579">
          <cell r="D15579" t="str">
            <v>2023</v>
          </cell>
        </row>
        <row r="15580">
          <cell r="D15580" t="str">
            <v>2023</v>
          </cell>
        </row>
        <row r="15581">
          <cell r="D15581" t="str">
            <v>2023</v>
          </cell>
        </row>
        <row r="15582">
          <cell r="D15582" t="str">
            <v>2021</v>
          </cell>
        </row>
        <row r="15583">
          <cell r="D15583" t="str">
            <v>2023</v>
          </cell>
        </row>
        <row r="15584">
          <cell r="D15584" t="str">
            <v>2023</v>
          </cell>
        </row>
        <row r="15585">
          <cell r="D15585" t="str">
            <v>2023</v>
          </cell>
        </row>
        <row r="15586">
          <cell r="D15586" t="str">
            <v>2022</v>
          </cell>
        </row>
        <row r="15587">
          <cell r="D15587" t="str">
            <v>2023</v>
          </cell>
        </row>
        <row r="15588">
          <cell r="D15588" t="str">
            <v>2023</v>
          </cell>
        </row>
        <row r="15589">
          <cell r="D15589" t="str">
            <v>2022</v>
          </cell>
        </row>
        <row r="15590">
          <cell r="D15590" t="str">
            <v>2023</v>
          </cell>
        </row>
        <row r="15591">
          <cell r="D15591" t="str">
            <v>2023</v>
          </cell>
        </row>
        <row r="15592">
          <cell r="D15592" t="str">
            <v>2023</v>
          </cell>
        </row>
        <row r="15593">
          <cell r="D15593" t="str">
            <v>2021</v>
          </cell>
        </row>
        <row r="15594">
          <cell r="D15594" t="str">
            <v>2023</v>
          </cell>
        </row>
        <row r="15595">
          <cell r="D15595" t="str">
            <v>2024</v>
          </cell>
        </row>
        <row r="15596">
          <cell r="D15596" t="str">
            <v>2023</v>
          </cell>
        </row>
        <row r="15597">
          <cell r="D15597" t="str">
            <v>2023</v>
          </cell>
        </row>
        <row r="15598">
          <cell r="D15598" t="str">
            <v>2023</v>
          </cell>
        </row>
        <row r="15599">
          <cell r="D15599" t="str">
            <v>2023</v>
          </cell>
        </row>
        <row r="15600">
          <cell r="D15600" t="str">
            <v>2023</v>
          </cell>
        </row>
        <row r="15601">
          <cell r="D15601" t="str">
            <v>2022</v>
          </cell>
        </row>
        <row r="15602">
          <cell r="D15602" t="str">
            <v>2023</v>
          </cell>
        </row>
        <row r="15603">
          <cell r="D15603" t="str">
            <v>2023</v>
          </cell>
        </row>
        <row r="15604">
          <cell r="D15604" t="str">
            <v>2023</v>
          </cell>
        </row>
        <row r="15605">
          <cell r="D15605" t="str">
            <v>2023</v>
          </cell>
        </row>
        <row r="15606">
          <cell r="D15606" t="str">
            <v>2023</v>
          </cell>
        </row>
        <row r="15607">
          <cell r="D15607" t="str">
            <v>2022</v>
          </cell>
        </row>
        <row r="15608">
          <cell r="D15608" t="str">
            <v>2023</v>
          </cell>
        </row>
        <row r="15609">
          <cell r="D15609" t="str">
            <v>2023</v>
          </cell>
        </row>
        <row r="15610">
          <cell r="D15610" t="str">
            <v>2023</v>
          </cell>
        </row>
        <row r="15611">
          <cell r="D15611" t="str">
            <v>2023</v>
          </cell>
        </row>
        <row r="15612">
          <cell r="D15612" t="str">
            <v>2023</v>
          </cell>
        </row>
        <row r="15613">
          <cell r="D15613" t="str">
            <v>2023</v>
          </cell>
        </row>
        <row r="15614">
          <cell r="D15614" t="str">
            <v>2023</v>
          </cell>
        </row>
        <row r="15615">
          <cell r="D15615" t="str">
            <v>2023</v>
          </cell>
        </row>
        <row r="15616">
          <cell r="D15616" t="str">
            <v>2022</v>
          </cell>
        </row>
        <row r="15617">
          <cell r="D15617" t="str">
            <v>2022</v>
          </cell>
        </row>
        <row r="15618">
          <cell r="D15618" t="str">
            <v>2023</v>
          </cell>
        </row>
        <row r="15619">
          <cell r="D15619" t="str">
            <v>2023</v>
          </cell>
        </row>
        <row r="15620">
          <cell r="D15620" t="str">
            <v>2023</v>
          </cell>
        </row>
        <row r="15621">
          <cell r="D15621" t="str">
            <v>2023</v>
          </cell>
        </row>
        <row r="15622">
          <cell r="D15622" t="str">
            <v>2022</v>
          </cell>
        </row>
        <row r="15623">
          <cell r="D15623" t="str">
            <v>2023</v>
          </cell>
        </row>
        <row r="15624">
          <cell r="D15624" t="str">
            <v>2023</v>
          </cell>
        </row>
        <row r="15625">
          <cell r="D15625" t="str">
            <v>2023</v>
          </cell>
        </row>
        <row r="15626">
          <cell r="D15626" t="str">
            <v>2023</v>
          </cell>
        </row>
        <row r="15627">
          <cell r="D15627" t="str">
            <v>2023</v>
          </cell>
        </row>
        <row r="15628">
          <cell r="D15628" t="str">
            <v>2023</v>
          </cell>
        </row>
        <row r="15629">
          <cell r="D15629" t="str">
            <v>2023</v>
          </cell>
        </row>
        <row r="15630">
          <cell r="D15630" t="str">
            <v>2024</v>
          </cell>
        </row>
        <row r="15631">
          <cell r="D15631" t="str">
            <v>2022</v>
          </cell>
        </row>
        <row r="15632">
          <cell r="D15632" t="str">
            <v>2023</v>
          </cell>
        </row>
        <row r="15633">
          <cell r="D15633" t="str">
            <v>2023</v>
          </cell>
        </row>
        <row r="15634">
          <cell r="D15634" t="str">
            <v>2023</v>
          </cell>
        </row>
        <row r="15635">
          <cell r="D15635" t="str">
            <v>2024</v>
          </cell>
        </row>
        <row r="15636">
          <cell r="D15636" t="str">
            <v>2023</v>
          </cell>
        </row>
        <row r="15637">
          <cell r="D15637" t="str">
            <v>2023</v>
          </cell>
        </row>
        <row r="15638">
          <cell r="D15638" t="str">
            <v>2021</v>
          </cell>
        </row>
        <row r="15639">
          <cell r="D15639" t="str">
            <v>2023</v>
          </cell>
        </row>
        <row r="15640">
          <cell r="D15640" t="str">
            <v>2023</v>
          </cell>
        </row>
        <row r="15641">
          <cell r="D15641" t="str">
            <v>2023</v>
          </cell>
        </row>
        <row r="15642">
          <cell r="D15642" t="str">
            <v>2023</v>
          </cell>
        </row>
        <row r="15643">
          <cell r="D15643" t="str">
            <v>2023</v>
          </cell>
        </row>
        <row r="15644">
          <cell r="D15644" t="str">
            <v>2023</v>
          </cell>
        </row>
        <row r="15645">
          <cell r="D15645" t="str">
            <v>2023</v>
          </cell>
        </row>
        <row r="15646">
          <cell r="D15646" t="str">
            <v>2024</v>
          </cell>
        </row>
        <row r="15647">
          <cell r="D15647" t="str">
            <v>2023</v>
          </cell>
        </row>
        <row r="15648">
          <cell r="D15648" t="str">
            <v>2023</v>
          </cell>
        </row>
        <row r="15649">
          <cell r="D15649" t="str">
            <v>2023</v>
          </cell>
        </row>
        <row r="15650">
          <cell r="D15650" t="str">
            <v>2023</v>
          </cell>
        </row>
        <row r="15651">
          <cell r="D15651" t="str">
            <v>2024</v>
          </cell>
        </row>
        <row r="15652">
          <cell r="D15652" t="str">
            <v>2022</v>
          </cell>
        </row>
        <row r="15653">
          <cell r="D15653" t="str">
            <v>2023</v>
          </cell>
        </row>
        <row r="15654">
          <cell r="D15654" t="str">
            <v>2023</v>
          </cell>
        </row>
        <row r="15655">
          <cell r="D15655" t="str">
            <v>2023</v>
          </cell>
        </row>
        <row r="15656">
          <cell r="D15656" t="str">
            <v>2021</v>
          </cell>
        </row>
        <row r="15657">
          <cell r="D15657" t="str">
            <v>2023</v>
          </cell>
        </row>
        <row r="15658">
          <cell r="D15658" t="str">
            <v>2021</v>
          </cell>
        </row>
        <row r="15659">
          <cell r="D15659" t="str">
            <v>2023</v>
          </cell>
        </row>
        <row r="15660">
          <cell r="D15660" t="str">
            <v>2023</v>
          </cell>
        </row>
        <row r="15661">
          <cell r="D15661" t="str">
            <v>2022</v>
          </cell>
        </row>
        <row r="15662">
          <cell r="D15662" t="str">
            <v>2023</v>
          </cell>
        </row>
        <row r="15663">
          <cell r="D15663" t="str">
            <v>2023</v>
          </cell>
        </row>
        <row r="15664">
          <cell r="D15664" t="str">
            <v>2021</v>
          </cell>
        </row>
        <row r="15665">
          <cell r="D15665" t="str">
            <v>2023</v>
          </cell>
        </row>
        <row r="15666">
          <cell r="D15666" t="str">
            <v>2023</v>
          </cell>
        </row>
        <row r="15667">
          <cell r="D15667" t="str">
            <v>2023</v>
          </cell>
        </row>
        <row r="15668">
          <cell r="D15668" t="str">
            <v>2023</v>
          </cell>
        </row>
        <row r="15669">
          <cell r="D15669" t="str">
            <v>2021</v>
          </cell>
        </row>
        <row r="15670">
          <cell r="D15670" t="str">
            <v>2023</v>
          </cell>
        </row>
        <row r="15671">
          <cell r="D15671" t="str">
            <v>2021</v>
          </cell>
        </row>
        <row r="15672">
          <cell r="D15672" t="str">
            <v>2022</v>
          </cell>
        </row>
        <row r="15673">
          <cell r="D15673" t="str">
            <v>2022</v>
          </cell>
        </row>
        <row r="15674">
          <cell r="D15674" t="str">
            <v>2021</v>
          </cell>
        </row>
        <row r="15675">
          <cell r="D15675" t="str">
            <v>2021</v>
          </cell>
        </row>
        <row r="15676">
          <cell r="D15676" t="str">
            <v>2021</v>
          </cell>
        </row>
        <row r="15677">
          <cell r="D15677" t="str">
            <v>2023</v>
          </cell>
        </row>
        <row r="15678">
          <cell r="D15678" t="str">
            <v>2021</v>
          </cell>
        </row>
        <row r="15679">
          <cell r="D15679" t="str">
            <v>2021</v>
          </cell>
        </row>
        <row r="15680">
          <cell r="D15680" t="str">
            <v>2021</v>
          </cell>
        </row>
        <row r="15681">
          <cell r="D15681" t="str">
            <v>2021</v>
          </cell>
        </row>
        <row r="15682">
          <cell r="D15682" t="str">
            <v>2021</v>
          </cell>
        </row>
        <row r="15683">
          <cell r="D15683" t="str">
            <v>2023</v>
          </cell>
        </row>
        <row r="15684">
          <cell r="D15684" t="str">
            <v>2021</v>
          </cell>
        </row>
        <row r="15685">
          <cell r="D15685" t="str">
            <v>2022</v>
          </cell>
        </row>
        <row r="15686">
          <cell r="D15686" t="str">
            <v>2023</v>
          </cell>
        </row>
        <row r="15687">
          <cell r="D15687" t="str">
            <v>2021</v>
          </cell>
        </row>
        <row r="15688">
          <cell r="D15688" t="str">
            <v>2021</v>
          </cell>
        </row>
        <row r="15689">
          <cell r="D15689" t="str">
            <v>2022</v>
          </cell>
        </row>
        <row r="15690">
          <cell r="D15690" t="str">
            <v>2023</v>
          </cell>
        </row>
        <row r="15691">
          <cell r="D15691" t="str">
            <v>2023</v>
          </cell>
        </row>
        <row r="15692">
          <cell r="D15692" t="str">
            <v>2022</v>
          </cell>
        </row>
        <row r="15693">
          <cell r="D15693" t="str">
            <v>2021</v>
          </cell>
        </row>
        <row r="15694">
          <cell r="D15694" t="str">
            <v>2023</v>
          </cell>
        </row>
        <row r="15695">
          <cell r="D15695" t="str">
            <v>2021</v>
          </cell>
        </row>
        <row r="15696">
          <cell r="D15696" t="str">
            <v>2022</v>
          </cell>
        </row>
        <row r="15697">
          <cell r="D15697" t="str">
            <v>2023</v>
          </cell>
        </row>
        <row r="15698">
          <cell r="D15698" t="str">
            <v>2022</v>
          </cell>
        </row>
        <row r="15699">
          <cell r="D15699" t="str">
            <v>2023</v>
          </cell>
        </row>
        <row r="15700">
          <cell r="D15700" t="str">
            <v>2021</v>
          </cell>
        </row>
        <row r="15701">
          <cell r="D15701" t="str">
            <v>2022</v>
          </cell>
        </row>
        <row r="15702">
          <cell r="D15702" t="str">
            <v>2021</v>
          </cell>
        </row>
        <row r="15703">
          <cell r="D15703" t="str">
            <v>2023</v>
          </cell>
        </row>
        <row r="15704">
          <cell r="D15704" t="str">
            <v>2021</v>
          </cell>
        </row>
        <row r="15705">
          <cell r="D15705" t="str">
            <v>2024</v>
          </cell>
        </row>
        <row r="15706">
          <cell r="D15706" t="str">
            <v>2023</v>
          </cell>
        </row>
        <row r="15707">
          <cell r="D15707" t="str">
            <v>2022</v>
          </cell>
        </row>
        <row r="15708">
          <cell r="D15708" t="str">
            <v>2021</v>
          </cell>
        </row>
        <row r="15709">
          <cell r="D15709" t="str">
            <v>2023</v>
          </cell>
        </row>
        <row r="15710">
          <cell r="D15710" t="str">
            <v>2022</v>
          </cell>
        </row>
        <row r="15711">
          <cell r="D15711" t="str">
            <v>2023</v>
          </cell>
        </row>
        <row r="15712">
          <cell r="D15712" t="str">
            <v>2021</v>
          </cell>
        </row>
        <row r="15713">
          <cell r="D15713" t="str">
            <v>2021</v>
          </cell>
        </row>
        <row r="15714">
          <cell r="D15714" t="str">
            <v>2023</v>
          </cell>
        </row>
        <row r="15715">
          <cell r="D15715" t="str">
            <v>2021</v>
          </cell>
        </row>
        <row r="15716">
          <cell r="D15716" t="str">
            <v>2023</v>
          </cell>
        </row>
        <row r="15717">
          <cell r="D15717" t="str">
            <v>2023</v>
          </cell>
        </row>
        <row r="15718">
          <cell r="D15718" t="str">
            <v>2022</v>
          </cell>
        </row>
        <row r="15719">
          <cell r="D15719" t="str">
            <v>2021</v>
          </cell>
        </row>
        <row r="15720">
          <cell r="D15720" t="str">
            <v>2022</v>
          </cell>
        </row>
        <row r="15721">
          <cell r="D15721" t="str">
            <v>2021</v>
          </cell>
        </row>
        <row r="15722">
          <cell r="D15722" t="str">
            <v>2021</v>
          </cell>
        </row>
        <row r="15723">
          <cell r="D15723" t="str">
            <v>2021</v>
          </cell>
        </row>
        <row r="15724">
          <cell r="D15724" t="str">
            <v>2023</v>
          </cell>
        </row>
        <row r="15725">
          <cell r="D15725" t="str">
            <v>2023</v>
          </cell>
        </row>
        <row r="15726">
          <cell r="D15726" t="str">
            <v>2021</v>
          </cell>
        </row>
        <row r="15727">
          <cell r="D15727" t="str">
            <v>2021</v>
          </cell>
        </row>
        <row r="15728">
          <cell r="D15728" t="str">
            <v>2021</v>
          </cell>
        </row>
        <row r="15729">
          <cell r="D15729" t="str">
            <v>2023</v>
          </cell>
        </row>
        <row r="15730">
          <cell r="D15730" t="str">
            <v>2023</v>
          </cell>
        </row>
        <row r="15731">
          <cell r="D15731" t="str">
            <v>2023</v>
          </cell>
        </row>
        <row r="15732">
          <cell r="D15732" t="str">
            <v>2021</v>
          </cell>
        </row>
        <row r="15733">
          <cell r="D15733" t="str">
            <v>2023</v>
          </cell>
        </row>
        <row r="15734">
          <cell r="D15734" t="str">
            <v>2021</v>
          </cell>
        </row>
        <row r="15735">
          <cell r="D15735" t="str">
            <v>2023</v>
          </cell>
        </row>
        <row r="15736">
          <cell r="D15736" t="str">
            <v>2021</v>
          </cell>
        </row>
        <row r="15737">
          <cell r="D15737" t="str">
            <v>2022</v>
          </cell>
        </row>
        <row r="15738">
          <cell r="D15738" t="str">
            <v>2023</v>
          </cell>
        </row>
        <row r="15739">
          <cell r="D15739" t="str">
            <v>2023</v>
          </cell>
        </row>
        <row r="15740">
          <cell r="D15740" t="str">
            <v>2021</v>
          </cell>
        </row>
        <row r="15741">
          <cell r="D15741" t="str">
            <v>2021</v>
          </cell>
        </row>
        <row r="15742">
          <cell r="D15742" t="str">
            <v>2023</v>
          </cell>
        </row>
        <row r="15743">
          <cell r="D15743" t="str">
            <v>2021</v>
          </cell>
        </row>
        <row r="15744">
          <cell r="D15744" t="str">
            <v>2023</v>
          </cell>
        </row>
        <row r="15745">
          <cell r="D15745" t="str">
            <v>2023</v>
          </cell>
        </row>
        <row r="15746">
          <cell r="D15746" t="str">
            <v>2021</v>
          </cell>
        </row>
        <row r="15747">
          <cell r="D15747" t="str">
            <v>2023</v>
          </cell>
        </row>
        <row r="15748">
          <cell r="D15748" t="str">
            <v>2022</v>
          </cell>
        </row>
        <row r="15749">
          <cell r="D15749" t="str">
            <v>2021</v>
          </cell>
        </row>
        <row r="15750">
          <cell r="D15750" t="str">
            <v>2021</v>
          </cell>
        </row>
        <row r="15751">
          <cell r="D15751" t="str">
            <v>2021</v>
          </cell>
        </row>
        <row r="15752">
          <cell r="D15752" t="str">
            <v>2021</v>
          </cell>
        </row>
        <row r="15753">
          <cell r="D15753" t="str">
            <v>2023</v>
          </cell>
        </row>
        <row r="15754">
          <cell r="D15754" t="str">
            <v>2021</v>
          </cell>
        </row>
        <row r="15755">
          <cell r="D15755" t="str">
            <v>2022</v>
          </cell>
        </row>
        <row r="15756">
          <cell r="D15756" t="str">
            <v>2023</v>
          </cell>
        </row>
        <row r="15757">
          <cell r="D15757" t="str">
            <v>2023</v>
          </cell>
        </row>
        <row r="15758">
          <cell r="D15758" t="str">
            <v>2021</v>
          </cell>
        </row>
        <row r="15759">
          <cell r="D15759" t="str">
            <v>2023</v>
          </cell>
        </row>
        <row r="15760">
          <cell r="D15760" t="str">
            <v>2023</v>
          </cell>
        </row>
        <row r="15761">
          <cell r="D15761" t="str">
            <v>2023</v>
          </cell>
        </row>
        <row r="15762">
          <cell r="D15762" t="str">
            <v>2021</v>
          </cell>
        </row>
        <row r="15763">
          <cell r="D15763" t="str">
            <v>2021</v>
          </cell>
        </row>
        <row r="15764">
          <cell r="D15764" t="str">
            <v>2023</v>
          </cell>
        </row>
        <row r="15765">
          <cell r="D15765" t="str">
            <v>2021</v>
          </cell>
        </row>
        <row r="15766">
          <cell r="D15766" t="str">
            <v>2022</v>
          </cell>
        </row>
        <row r="15767">
          <cell r="D15767" t="str">
            <v>2023</v>
          </cell>
        </row>
        <row r="15768">
          <cell r="D15768" t="str">
            <v>2023</v>
          </cell>
        </row>
        <row r="15769">
          <cell r="D15769" t="str">
            <v>2023</v>
          </cell>
        </row>
        <row r="15770">
          <cell r="D15770" t="str">
            <v>2023</v>
          </cell>
        </row>
        <row r="15771">
          <cell r="D15771" t="str">
            <v>2022</v>
          </cell>
        </row>
        <row r="15772">
          <cell r="D15772" t="str">
            <v>2023</v>
          </cell>
        </row>
        <row r="15773">
          <cell r="D15773" t="str">
            <v>2021</v>
          </cell>
        </row>
        <row r="15774">
          <cell r="D15774" t="str">
            <v>2021</v>
          </cell>
        </row>
        <row r="15775">
          <cell r="D15775" t="str">
            <v>2021</v>
          </cell>
        </row>
        <row r="15776">
          <cell r="D15776" t="str">
            <v>2021</v>
          </cell>
        </row>
        <row r="15777">
          <cell r="D15777" t="str">
            <v>2021</v>
          </cell>
        </row>
        <row r="15778">
          <cell r="D15778" t="str">
            <v>2022</v>
          </cell>
        </row>
        <row r="15779">
          <cell r="D15779" t="str">
            <v>2022</v>
          </cell>
        </row>
        <row r="15780">
          <cell r="D15780" t="str">
            <v>2023</v>
          </cell>
        </row>
        <row r="15781">
          <cell r="D15781" t="str">
            <v>2023</v>
          </cell>
        </row>
        <row r="15782">
          <cell r="D15782" t="str">
            <v>2022</v>
          </cell>
        </row>
        <row r="15783">
          <cell r="D15783" t="str">
            <v>2022</v>
          </cell>
        </row>
        <row r="15784">
          <cell r="D15784" t="str">
            <v>2023</v>
          </cell>
        </row>
        <row r="15785">
          <cell r="D15785" t="str">
            <v>2022</v>
          </cell>
        </row>
        <row r="15786">
          <cell r="D15786" t="str">
            <v>2021</v>
          </cell>
        </row>
        <row r="15787">
          <cell r="D15787" t="str">
            <v>2022</v>
          </cell>
        </row>
        <row r="15788">
          <cell r="D15788" t="str">
            <v>2021</v>
          </cell>
        </row>
        <row r="15789">
          <cell r="D15789" t="str">
            <v>2021</v>
          </cell>
        </row>
        <row r="15790">
          <cell r="D15790" t="str">
            <v>2021</v>
          </cell>
        </row>
        <row r="15791">
          <cell r="D15791" t="str">
            <v>2021</v>
          </cell>
        </row>
        <row r="15792">
          <cell r="D15792" t="str">
            <v>2023</v>
          </cell>
        </row>
        <row r="15793">
          <cell r="D15793" t="str">
            <v>2023</v>
          </cell>
        </row>
        <row r="15794">
          <cell r="D15794" t="str">
            <v>2023</v>
          </cell>
        </row>
        <row r="15795">
          <cell r="D15795" t="str">
            <v>2022</v>
          </cell>
        </row>
        <row r="15796">
          <cell r="D15796" t="str">
            <v>2021</v>
          </cell>
        </row>
        <row r="15797">
          <cell r="D15797" t="str">
            <v>2021</v>
          </cell>
        </row>
        <row r="15798">
          <cell r="D15798" t="str">
            <v>2023</v>
          </cell>
        </row>
        <row r="15799">
          <cell r="D15799" t="str">
            <v>2022</v>
          </cell>
        </row>
        <row r="15800">
          <cell r="D15800" t="str">
            <v>2023</v>
          </cell>
        </row>
        <row r="15801">
          <cell r="D15801" t="str">
            <v>2023</v>
          </cell>
        </row>
        <row r="15802">
          <cell r="D15802" t="str">
            <v>2022</v>
          </cell>
        </row>
        <row r="15803">
          <cell r="D15803" t="str">
            <v>2023</v>
          </cell>
        </row>
        <row r="15804">
          <cell r="D15804" t="str">
            <v>2023</v>
          </cell>
        </row>
        <row r="15805">
          <cell r="D15805" t="str">
            <v>2023</v>
          </cell>
        </row>
        <row r="15806">
          <cell r="D15806" t="str">
            <v>2023</v>
          </cell>
        </row>
        <row r="15807">
          <cell r="D15807" t="str">
            <v>2021</v>
          </cell>
        </row>
        <row r="15808">
          <cell r="D15808" t="str">
            <v>2023</v>
          </cell>
        </row>
        <row r="15809">
          <cell r="D15809" t="str">
            <v>2021</v>
          </cell>
        </row>
        <row r="15810">
          <cell r="D15810" t="str">
            <v>2023</v>
          </cell>
        </row>
        <row r="15811">
          <cell r="D15811" t="str">
            <v>2023</v>
          </cell>
        </row>
        <row r="15812">
          <cell r="D15812" t="str">
            <v>2024</v>
          </cell>
        </row>
        <row r="15813">
          <cell r="D15813" t="str">
            <v>2023</v>
          </cell>
        </row>
        <row r="15814">
          <cell r="D15814" t="str">
            <v>2021</v>
          </cell>
        </row>
        <row r="15815">
          <cell r="D15815" t="str">
            <v>2021</v>
          </cell>
        </row>
        <row r="15816">
          <cell r="D15816" t="str">
            <v>2023</v>
          </cell>
        </row>
        <row r="15817">
          <cell r="D15817" t="str">
            <v>2021</v>
          </cell>
        </row>
        <row r="15818">
          <cell r="D15818" t="str">
            <v>2022</v>
          </cell>
        </row>
        <row r="15819">
          <cell r="D15819" t="str">
            <v>2023</v>
          </cell>
        </row>
        <row r="15820">
          <cell r="D15820" t="str">
            <v>2021</v>
          </cell>
        </row>
        <row r="15821">
          <cell r="D15821" t="str">
            <v>2023</v>
          </cell>
        </row>
        <row r="15822">
          <cell r="D15822" t="str">
            <v>2023</v>
          </cell>
        </row>
        <row r="15823">
          <cell r="D15823" t="str">
            <v>2023</v>
          </cell>
        </row>
        <row r="15824">
          <cell r="D15824" t="str">
            <v>2021</v>
          </cell>
        </row>
        <row r="15825">
          <cell r="D15825" t="str">
            <v>2022</v>
          </cell>
        </row>
        <row r="15826">
          <cell r="D15826" t="str">
            <v>2023</v>
          </cell>
        </row>
        <row r="15827">
          <cell r="D15827" t="str">
            <v>2021</v>
          </cell>
        </row>
        <row r="15828">
          <cell r="D15828" t="str">
            <v>2023</v>
          </cell>
        </row>
        <row r="15829">
          <cell r="D15829" t="str">
            <v>2022</v>
          </cell>
        </row>
        <row r="15830">
          <cell r="D15830" t="str">
            <v>2023</v>
          </cell>
        </row>
        <row r="15831">
          <cell r="D15831" t="str">
            <v>2021</v>
          </cell>
        </row>
        <row r="15832">
          <cell r="D15832" t="str">
            <v>2022</v>
          </cell>
        </row>
        <row r="15833">
          <cell r="D15833" t="str">
            <v>2023</v>
          </cell>
        </row>
        <row r="15834">
          <cell r="D15834" t="str">
            <v>2023</v>
          </cell>
        </row>
        <row r="15835">
          <cell r="D15835" t="str">
            <v>2022</v>
          </cell>
        </row>
        <row r="15836">
          <cell r="D15836" t="str">
            <v>2021</v>
          </cell>
        </row>
        <row r="15837">
          <cell r="D15837" t="str">
            <v>2023</v>
          </cell>
        </row>
        <row r="15838">
          <cell r="D15838" t="str">
            <v>2021</v>
          </cell>
        </row>
        <row r="15839">
          <cell r="D15839" t="str">
            <v>2023</v>
          </cell>
        </row>
        <row r="15840">
          <cell r="D15840" t="str">
            <v>2021</v>
          </cell>
        </row>
        <row r="15841">
          <cell r="D15841" t="str">
            <v>2023</v>
          </cell>
        </row>
        <row r="15842">
          <cell r="D15842" t="str">
            <v>2023</v>
          </cell>
        </row>
        <row r="15843">
          <cell r="D15843" t="str">
            <v>2022</v>
          </cell>
        </row>
        <row r="15844">
          <cell r="D15844" t="str">
            <v>2021</v>
          </cell>
        </row>
        <row r="15845">
          <cell r="D15845" t="str">
            <v>2023</v>
          </cell>
        </row>
        <row r="15846">
          <cell r="D15846" t="str">
            <v>2021</v>
          </cell>
        </row>
        <row r="15847">
          <cell r="D15847" t="str">
            <v>2022</v>
          </cell>
        </row>
        <row r="15848">
          <cell r="D15848" t="str">
            <v>2023</v>
          </cell>
        </row>
        <row r="15849">
          <cell r="D15849" t="str">
            <v>2023</v>
          </cell>
        </row>
        <row r="15850">
          <cell r="D15850" t="str">
            <v>2021</v>
          </cell>
        </row>
        <row r="15851">
          <cell r="D15851" t="str">
            <v>2021</v>
          </cell>
        </row>
        <row r="15852">
          <cell r="D15852" t="str">
            <v>2022</v>
          </cell>
        </row>
        <row r="15853">
          <cell r="D15853" t="str">
            <v>2023</v>
          </cell>
        </row>
        <row r="15854">
          <cell r="D15854" t="str">
            <v>2023</v>
          </cell>
        </row>
        <row r="15855">
          <cell r="D15855" t="str">
            <v>2021</v>
          </cell>
        </row>
        <row r="15856">
          <cell r="D15856" t="str">
            <v>2021</v>
          </cell>
        </row>
        <row r="15857">
          <cell r="D15857" t="str">
            <v>2023</v>
          </cell>
        </row>
        <row r="15858">
          <cell r="D15858" t="str">
            <v>2021</v>
          </cell>
        </row>
        <row r="15859">
          <cell r="D15859" t="str">
            <v>2023</v>
          </cell>
        </row>
        <row r="15860">
          <cell r="D15860" t="str">
            <v>2021</v>
          </cell>
        </row>
        <row r="15861">
          <cell r="D15861" t="str">
            <v>2023</v>
          </cell>
        </row>
        <row r="15862">
          <cell r="D15862" t="str">
            <v>2023</v>
          </cell>
        </row>
        <row r="15863">
          <cell r="D15863" t="str">
            <v>2023</v>
          </cell>
        </row>
        <row r="15864">
          <cell r="D15864" t="str">
            <v>2022</v>
          </cell>
        </row>
        <row r="15865">
          <cell r="D15865" t="str">
            <v>2023</v>
          </cell>
        </row>
        <row r="15866">
          <cell r="D15866" t="str">
            <v>2022</v>
          </cell>
        </row>
        <row r="15867">
          <cell r="D15867" t="str">
            <v>2024</v>
          </cell>
        </row>
        <row r="15868">
          <cell r="D15868" t="str">
            <v>2022</v>
          </cell>
        </row>
        <row r="15869">
          <cell r="D15869" t="str">
            <v>2023</v>
          </cell>
        </row>
        <row r="15870">
          <cell r="D15870" t="str">
            <v>2023</v>
          </cell>
        </row>
        <row r="15871">
          <cell r="D15871" t="str">
            <v>2023</v>
          </cell>
        </row>
        <row r="15872">
          <cell r="D15872" t="str">
            <v>2021</v>
          </cell>
        </row>
        <row r="15873">
          <cell r="D15873" t="str">
            <v>2023</v>
          </cell>
        </row>
        <row r="15874">
          <cell r="D15874" t="str">
            <v>2021</v>
          </cell>
        </row>
        <row r="15875">
          <cell r="D15875" t="str">
            <v>2021</v>
          </cell>
        </row>
        <row r="15876">
          <cell r="D15876" t="str">
            <v>2023</v>
          </cell>
        </row>
        <row r="15877">
          <cell r="D15877" t="str">
            <v>2021</v>
          </cell>
        </row>
        <row r="15878">
          <cell r="D15878" t="str">
            <v>2021</v>
          </cell>
        </row>
        <row r="15879">
          <cell r="D15879" t="str">
            <v>2021</v>
          </cell>
        </row>
        <row r="15880">
          <cell r="D15880" t="str">
            <v>2022</v>
          </cell>
        </row>
        <row r="15881">
          <cell r="D15881" t="str">
            <v>2023</v>
          </cell>
        </row>
        <row r="15882">
          <cell r="D15882" t="str">
            <v>2023</v>
          </cell>
        </row>
        <row r="15883">
          <cell r="D15883" t="str">
            <v>2021</v>
          </cell>
        </row>
        <row r="15884">
          <cell r="D15884" t="str">
            <v>2023</v>
          </cell>
        </row>
        <row r="15885">
          <cell r="D15885" t="str">
            <v>2023</v>
          </cell>
        </row>
        <row r="15886">
          <cell r="D15886" t="str">
            <v>2023</v>
          </cell>
        </row>
        <row r="15887">
          <cell r="D15887" t="str">
            <v>2023</v>
          </cell>
        </row>
        <row r="15888">
          <cell r="D15888" t="str">
            <v>2023</v>
          </cell>
        </row>
        <row r="15889">
          <cell r="D15889" t="str">
            <v>2023</v>
          </cell>
        </row>
        <row r="15890">
          <cell r="D15890" t="str">
            <v>2023</v>
          </cell>
        </row>
        <row r="15891">
          <cell r="D15891" t="str">
            <v>2021</v>
          </cell>
        </row>
        <row r="15892">
          <cell r="D15892" t="str">
            <v>2023</v>
          </cell>
        </row>
        <row r="15893">
          <cell r="D15893" t="str">
            <v>2021</v>
          </cell>
        </row>
        <row r="15894">
          <cell r="D15894" t="str">
            <v>2021</v>
          </cell>
        </row>
        <row r="15895">
          <cell r="D15895" t="str">
            <v>2022</v>
          </cell>
        </row>
        <row r="15896">
          <cell r="D15896" t="str">
            <v>2023</v>
          </cell>
        </row>
        <row r="15897">
          <cell r="D15897" t="str">
            <v>2023</v>
          </cell>
        </row>
        <row r="15898">
          <cell r="D15898" t="str">
            <v>2022</v>
          </cell>
        </row>
        <row r="15899">
          <cell r="D15899" t="str">
            <v>2023</v>
          </cell>
        </row>
        <row r="15900">
          <cell r="D15900" t="str">
            <v>2023</v>
          </cell>
        </row>
        <row r="15901">
          <cell r="D15901" t="str">
            <v>2023</v>
          </cell>
        </row>
        <row r="15902">
          <cell r="D15902" t="str">
            <v>2021</v>
          </cell>
        </row>
        <row r="15903">
          <cell r="D15903" t="str">
            <v>2023</v>
          </cell>
        </row>
        <row r="15904">
          <cell r="D15904" t="str">
            <v>2022</v>
          </cell>
        </row>
        <row r="15905">
          <cell r="D15905" t="str">
            <v>2023</v>
          </cell>
        </row>
        <row r="15906">
          <cell r="D15906" t="str">
            <v>2023</v>
          </cell>
        </row>
        <row r="15907">
          <cell r="D15907" t="str">
            <v>2023</v>
          </cell>
        </row>
        <row r="15908">
          <cell r="D15908" t="str">
            <v>2023</v>
          </cell>
        </row>
        <row r="15909">
          <cell r="D15909" t="str">
            <v>2021</v>
          </cell>
        </row>
        <row r="15910">
          <cell r="D15910" t="str">
            <v>2022</v>
          </cell>
        </row>
        <row r="15911">
          <cell r="D15911" t="str">
            <v>2022</v>
          </cell>
        </row>
        <row r="15912">
          <cell r="D15912" t="str">
            <v>2021</v>
          </cell>
        </row>
        <row r="15913">
          <cell r="D15913" t="str">
            <v>2022</v>
          </cell>
        </row>
        <row r="15914">
          <cell r="D15914" t="str">
            <v>2021</v>
          </cell>
        </row>
        <row r="15915">
          <cell r="D15915" t="str">
            <v>2022</v>
          </cell>
        </row>
        <row r="15916">
          <cell r="D15916" t="str">
            <v>2022</v>
          </cell>
        </row>
        <row r="15917">
          <cell r="D15917" t="str">
            <v>2022</v>
          </cell>
        </row>
        <row r="15918">
          <cell r="D15918" t="str">
            <v>2022</v>
          </cell>
        </row>
        <row r="15919">
          <cell r="D15919" t="str">
            <v>2023</v>
          </cell>
        </row>
        <row r="15920">
          <cell r="D15920" t="str">
            <v>2021</v>
          </cell>
        </row>
        <row r="15921">
          <cell r="D15921" t="str">
            <v>2022</v>
          </cell>
        </row>
        <row r="15922">
          <cell r="D15922" t="str">
            <v>2023</v>
          </cell>
        </row>
        <row r="15923">
          <cell r="D15923" t="str">
            <v>2021</v>
          </cell>
        </row>
        <row r="15924">
          <cell r="D15924" t="str">
            <v>2023</v>
          </cell>
        </row>
        <row r="15925">
          <cell r="D15925" t="str">
            <v>2021</v>
          </cell>
        </row>
        <row r="15926">
          <cell r="D15926" t="str">
            <v>2021</v>
          </cell>
        </row>
        <row r="15927">
          <cell r="D15927" t="str">
            <v>2023</v>
          </cell>
        </row>
        <row r="15928">
          <cell r="D15928" t="str">
            <v>2023</v>
          </cell>
        </row>
        <row r="15929">
          <cell r="D15929" t="str">
            <v>2023</v>
          </cell>
        </row>
        <row r="15930">
          <cell r="D15930" t="str">
            <v>2023</v>
          </cell>
        </row>
        <row r="15931">
          <cell r="D15931" t="str">
            <v>2023</v>
          </cell>
        </row>
        <row r="15932">
          <cell r="D15932" t="str">
            <v>2023</v>
          </cell>
        </row>
        <row r="15933">
          <cell r="D15933" t="str">
            <v>2022</v>
          </cell>
        </row>
        <row r="15934">
          <cell r="D15934" t="str">
            <v>2022</v>
          </cell>
        </row>
        <row r="15935">
          <cell r="D15935" t="str">
            <v>2022</v>
          </cell>
        </row>
        <row r="15936">
          <cell r="D15936" t="str">
            <v>2022</v>
          </cell>
        </row>
        <row r="15937">
          <cell r="D15937" t="str">
            <v>2023</v>
          </cell>
        </row>
        <row r="15938">
          <cell r="D15938" t="str">
            <v>2023</v>
          </cell>
        </row>
        <row r="15939">
          <cell r="D15939" t="str">
            <v>2022</v>
          </cell>
        </row>
        <row r="15940">
          <cell r="D15940" t="str">
            <v>2022</v>
          </cell>
        </row>
        <row r="15941">
          <cell r="D15941" t="str">
            <v>2022</v>
          </cell>
        </row>
        <row r="15942">
          <cell r="D15942" t="str">
            <v>2021</v>
          </cell>
        </row>
        <row r="15943">
          <cell r="D15943" t="str">
            <v>2021</v>
          </cell>
        </row>
        <row r="15944">
          <cell r="D15944" t="str">
            <v>2022</v>
          </cell>
        </row>
        <row r="15945">
          <cell r="D15945" t="str">
            <v>2023</v>
          </cell>
        </row>
        <row r="15946">
          <cell r="D15946" t="str">
            <v>2024</v>
          </cell>
        </row>
        <row r="15947">
          <cell r="D15947" t="str">
            <v>2022</v>
          </cell>
        </row>
        <row r="15948">
          <cell r="D15948" t="str">
            <v>2021</v>
          </cell>
        </row>
        <row r="15949">
          <cell r="D15949" t="str">
            <v>2023</v>
          </cell>
        </row>
        <row r="15950">
          <cell r="D15950" t="str">
            <v>2023</v>
          </cell>
        </row>
        <row r="15951">
          <cell r="D15951" t="str">
            <v>2023</v>
          </cell>
        </row>
        <row r="15952">
          <cell r="D15952" t="str">
            <v>2022</v>
          </cell>
        </row>
        <row r="15953">
          <cell r="D15953" t="str">
            <v>2023</v>
          </cell>
        </row>
        <row r="15954">
          <cell r="D15954" t="str">
            <v>2023</v>
          </cell>
        </row>
        <row r="15955">
          <cell r="D15955" t="str">
            <v>2023</v>
          </cell>
        </row>
        <row r="15956">
          <cell r="D15956" t="str">
            <v>2023</v>
          </cell>
        </row>
        <row r="15957">
          <cell r="D15957" t="str">
            <v>2022</v>
          </cell>
        </row>
        <row r="15958">
          <cell r="D15958" t="str">
            <v>2023</v>
          </cell>
        </row>
        <row r="15959">
          <cell r="D15959" t="str">
            <v>2021</v>
          </cell>
        </row>
        <row r="15960">
          <cell r="D15960" t="str">
            <v>2023</v>
          </cell>
        </row>
        <row r="15961">
          <cell r="D15961" t="str">
            <v>2023</v>
          </cell>
        </row>
        <row r="15962">
          <cell r="D15962" t="str">
            <v>2023</v>
          </cell>
        </row>
        <row r="15963">
          <cell r="D15963" t="str">
            <v>2023</v>
          </cell>
        </row>
        <row r="15964">
          <cell r="D15964" t="str">
            <v>2023</v>
          </cell>
        </row>
        <row r="15965">
          <cell r="D15965" t="str">
            <v>2021</v>
          </cell>
        </row>
        <row r="15966">
          <cell r="D15966" t="str">
            <v>2021</v>
          </cell>
        </row>
        <row r="15967">
          <cell r="D15967" t="str">
            <v>2023</v>
          </cell>
        </row>
        <row r="15968">
          <cell r="D15968" t="str">
            <v>2023</v>
          </cell>
        </row>
        <row r="15969">
          <cell r="D15969" t="str">
            <v>2021</v>
          </cell>
        </row>
        <row r="15970">
          <cell r="D15970" t="str">
            <v>2023</v>
          </cell>
        </row>
        <row r="15971">
          <cell r="D15971" t="str">
            <v>2022</v>
          </cell>
        </row>
        <row r="15972">
          <cell r="D15972" t="str">
            <v>2023</v>
          </cell>
        </row>
        <row r="15973">
          <cell r="D15973" t="str">
            <v>2023</v>
          </cell>
        </row>
        <row r="15974">
          <cell r="D15974" t="str">
            <v>2023</v>
          </cell>
        </row>
        <row r="15975">
          <cell r="D15975" t="str">
            <v>2021</v>
          </cell>
        </row>
        <row r="15976">
          <cell r="D15976" t="str">
            <v>2022</v>
          </cell>
        </row>
        <row r="15977">
          <cell r="D15977" t="str">
            <v>2021</v>
          </cell>
        </row>
        <row r="15978">
          <cell r="D15978" t="str">
            <v>2023</v>
          </cell>
        </row>
        <row r="15979">
          <cell r="D15979" t="str">
            <v>2023</v>
          </cell>
        </row>
        <row r="15980">
          <cell r="D15980" t="str">
            <v>2023</v>
          </cell>
        </row>
        <row r="15981">
          <cell r="D15981" t="str">
            <v>2021</v>
          </cell>
        </row>
        <row r="15982">
          <cell r="D15982" t="str">
            <v>2023</v>
          </cell>
        </row>
        <row r="15983">
          <cell r="D15983" t="str">
            <v>2023</v>
          </cell>
        </row>
        <row r="15984">
          <cell r="D15984" t="str">
            <v>2023</v>
          </cell>
        </row>
        <row r="15985">
          <cell r="D15985" t="str">
            <v>2021</v>
          </cell>
        </row>
        <row r="15986">
          <cell r="D15986" t="str">
            <v>2022</v>
          </cell>
        </row>
        <row r="15987">
          <cell r="D15987" t="str">
            <v>2021</v>
          </cell>
        </row>
        <row r="15988">
          <cell r="D15988" t="str">
            <v>2023</v>
          </cell>
        </row>
        <row r="15989">
          <cell r="D15989" t="str">
            <v>2022</v>
          </cell>
        </row>
        <row r="15990">
          <cell r="D15990" t="str">
            <v>2021</v>
          </cell>
        </row>
        <row r="15991">
          <cell r="D15991" t="str">
            <v>2023</v>
          </cell>
        </row>
        <row r="15992">
          <cell r="D15992" t="str">
            <v>2021</v>
          </cell>
        </row>
        <row r="15993">
          <cell r="D15993" t="str">
            <v>2021</v>
          </cell>
        </row>
        <row r="15994">
          <cell r="D15994" t="str">
            <v>2022</v>
          </cell>
        </row>
        <row r="15995">
          <cell r="D15995" t="str">
            <v>2023</v>
          </cell>
        </row>
        <row r="15996">
          <cell r="D15996" t="str">
            <v>2023</v>
          </cell>
        </row>
        <row r="15997">
          <cell r="D15997" t="str">
            <v>2023</v>
          </cell>
        </row>
        <row r="15998">
          <cell r="D15998" t="str">
            <v>2023</v>
          </cell>
        </row>
        <row r="15999">
          <cell r="D15999" t="str">
            <v>2023</v>
          </cell>
        </row>
        <row r="16000">
          <cell r="D16000" t="str">
            <v>2023</v>
          </cell>
        </row>
        <row r="16001">
          <cell r="D16001" t="str">
            <v>2023</v>
          </cell>
        </row>
        <row r="16002">
          <cell r="D16002" t="str">
            <v>2021</v>
          </cell>
        </row>
        <row r="16003">
          <cell r="D16003" t="str">
            <v>2022</v>
          </cell>
        </row>
        <row r="16004">
          <cell r="D16004" t="str">
            <v>2021</v>
          </cell>
        </row>
        <row r="16005">
          <cell r="D16005" t="str">
            <v>2023</v>
          </cell>
        </row>
        <row r="16006">
          <cell r="D16006" t="str">
            <v>2022</v>
          </cell>
        </row>
        <row r="16007">
          <cell r="D16007" t="str">
            <v>2023</v>
          </cell>
        </row>
        <row r="16008">
          <cell r="D16008" t="str">
            <v>2023</v>
          </cell>
        </row>
        <row r="16009">
          <cell r="D16009" t="str">
            <v>2023</v>
          </cell>
        </row>
        <row r="16010">
          <cell r="D16010" t="str">
            <v>2023</v>
          </cell>
        </row>
        <row r="16011">
          <cell r="D16011" t="str">
            <v>2023</v>
          </cell>
        </row>
        <row r="16012">
          <cell r="D16012" t="str">
            <v>2023</v>
          </cell>
        </row>
        <row r="16013">
          <cell r="D16013" t="str">
            <v>2021</v>
          </cell>
        </row>
        <row r="16014">
          <cell r="D16014" t="str">
            <v>2023</v>
          </cell>
        </row>
        <row r="16015">
          <cell r="D16015" t="str">
            <v>2021</v>
          </cell>
        </row>
        <row r="16016">
          <cell r="D16016" t="str">
            <v>2023</v>
          </cell>
        </row>
        <row r="16017">
          <cell r="D16017" t="str">
            <v>2023</v>
          </cell>
        </row>
        <row r="16018">
          <cell r="D16018" t="str">
            <v>2023</v>
          </cell>
        </row>
        <row r="16019">
          <cell r="D16019" t="str">
            <v>2021</v>
          </cell>
        </row>
        <row r="16020">
          <cell r="D16020" t="str">
            <v>2021</v>
          </cell>
        </row>
        <row r="16021">
          <cell r="D16021" t="str">
            <v>2021</v>
          </cell>
        </row>
        <row r="16022">
          <cell r="D16022" t="str">
            <v>2023</v>
          </cell>
        </row>
        <row r="16023">
          <cell r="D16023" t="str">
            <v>2023</v>
          </cell>
        </row>
        <row r="16024">
          <cell r="D16024" t="str">
            <v>2023</v>
          </cell>
        </row>
        <row r="16025">
          <cell r="D16025" t="str">
            <v>2023</v>
          </cell>
        </row>
        <row r="16026">
          <cell r="D16026" t="str">
            <v>2022</v>
          </cell>
        </row>
        <row r="16027">
          <cell r="D16027" t="str">
            <v>2021</v>
          </cell>
        </row>
        <row r="16028">
          <cell r="D16028" t="str">
            <v>2022</v>
          </cell>
        </row>
        <row r="16029">
          <cell r="D16029" t="str">
            <v>2021</v>
          </cell>
        </row>
        <row r="16030">
          <cell r="D16030" t="str">
            <v>2023</v>
          </cell>
        </row>
        <row r="16031">
          <cell r="D16031" t="str">
            <v>2023</v>
          </cell>
        </row>
        <row r="16032">
          <cell r="D16032" t="str">
            <v>2023</v>
          </cell>
        </row>
        <row r="16033">
          <cell r="D16033" t="str">
            <v>2023</v>
          </cell>
        </row>
        <row r="16034">
          <cell r="D16034" t="str">
            <v>2023</v>
          </cell>
        </row>
        <row r="16035">
          <cell r="D16035" t="str">
            <v>2021</v>
          </cell>
        </row>
        <row r="16036">
          <cell r="D16036" t="str">
            <v>2023</v>
          </cell>
        </row>
        <row r="16037">
          <cell r="D16037" t="str">
            <v>2023</v>
          </cell>
        </row>
        <row r="16038">
          <cell r="D16038" t="str">
            <v>2023</v>
          </cell>
        </row>
        <row r="16039">
          <cell r="D16039" t="str">
            <v>2023</v>
          </cell>
        </row>
        <row r="16040">
          <cell r="D16040" t="str">
            <v>2023</v>
          </cell>
        </row>
        <row r="16041">
          <cell r="D16041" t="str">
            <v>2023</v>
          </cell>
        </row>
        <row r="16042">
          <cell r="D16042" t="str">
            <v>2023</v>
          </cell>
        </row>
        <row r="16043">
          <cell r="D16043" t="str">
            <v>2022</v>
          </cell>
        </row>
        <row r="16044">
          <cell r="D16044" t="str">
            <v>2023</v>
          </cell>
        </row>
        <row r="16045">
          <cell r="D16045" t="str">
            <v>2023</v>
          </cell>
        </row>
        <row r="16046">
          <cell r="D16046" t="str">
            <v>2023</v>
          </cell>
        </row>
        <row r="16047">
          <cell r="D16047" t="str">
            <v>2021</v>
          </cell>
        </row>
        <row r="16048">
          <cell r="D16048" t="str">
            <v>2023</v>
          </cell>
        </row>
        <row r="16049">
          <cell r="D16049" t="str">
            <v>2023</v>
          </cell>
        </row>
        <row r="16050">
          <cell r="D16050" t="str">
            <v>2023</v>
          </cell>
        </row>
        <row r="16051">
          <cell r="D16051" t="str">
            <v>2022</v>
          </cell>
        </row>
        <row r="16052">
          <cell r="D16052" t="str">
            <v>2021</v>
          </cell>
        </row>
        <row r="16053">
          <cell r="D16053" t="str">
            <v>2022</v>
          </cell>
        </row>
        <row r="16054">
          <cell r="D16054" t="str">
            <v>2022</v>
          </cell>
        </row>
        <row r="16055">
          <cell r="D16055" t="str">
            <v>2022</v>
          </cell>
        </row>
        <row r="16056">
          <cell r="D16056" t="str">
            <v>2021</v>
          </cell>
        </row>
        <row r="16057">
          <cell r="D16057" t="str">
            <v>2023</v>
          </cell>
        </row>
        <row r="16058">
          <cell r="D16058" t="str">
            <v>2023</v>
          </cell>
        </row>
        <row r="16059">
          <cell r="D16059" t="str">
            <v>2023</v>
          </cell>
        </row>
        <row r="16060">
          <cell r="D16060" t="str">
            <v>2023</v>
          </cell>
        </row>
        <row r="16061">
          <cell r="D16061" t="str">
            <v>2022</v>
          </cell>
        </row>
        <row r="16062">
          <cell r="D16062" t="str">
            <v>2021</v>
          </cell>
        </row>
        <row r="16063">
          <cell r="D16063" t="str">
            <v>2021</v>
          </cell>
        </row>
        <row r="16064">
          <cell r="D16064" t="str">
            <v>2022</v>
          </cell>
        </row>
        <row r="16065">
          <cell r="D16065" t="str">
            <v>2021</v>
          </cell>
        </row>
        <row r="16066">
          <cell r="D16066" t="str">
            <v>2023</v>
          </cell>
        </row>
        <row r="16067">
          <cell r="D16067" t="str">
            <v>2023</v>
          </cell>
        </row>
        <row r="16068">
          <cell r="D16068" t="str">
            <v>2023</v>
          </cell>
        </row>
        <row r="16069">
          <cell r="D16069" t="str">
            <v>2023</v>
          </cell>
        </row>
        <row r="16070">
          <cell r="D16070" t="str">
            <v>2023</v>
          </cell>
        </row>
        <row r="16071">
          <cell r="D16071" t="str">
            <v>2023</v>
          </cell>
        </row>
        <row r="16072">
          <cell r="D16072" t="str">
            <v>2022</v>
          </cell>
        </row>
        <row r="16073">
          <cell r="D16073" t="str">
            <v>2023</v>
          </cell>
        </row>
        <row r="16074">
          <cell r="D16074" t="str">
            <v>2022</v>
          </cell>
        </row>
        <row r="16075">
          <cell r="D16075" t="str">
            <v>2022</v>
          </cell>
        </row>
        <row r="16076">
          <cell r="D16076" t="str">
            <v>2022</v>
          </cell>
        </row>
        <row r="16077">
          <cell r="D16077" t="str">
            <v>2023</v>
          </cell>
        </row>
        <row r="16078">
          <cell r="D16078" t="str">
            <v>2022</v>
          </cell>
        </row>
        <row r="16079">
          <cell r="D16079" t="str">
            <v>2021</v>
          </cell>
        </row>
        <row r="16080">
          <cell r="D16080" t="str">
            <v>2023</v>
          </cell>
        </row>
        <row r="16081">
          <cell r="D16081" t="str">
            <v>2022</v>
          </cell>
        </row>
        <row r="16082">
          <cell r="D16082" t="str">
            <v>2023</v>
          </cell>
        </row>
        <row r="16083">
          <cell r="D16083" t="str">
            <v>2023</v>
          </cell>
        </row>
        <row r="16084">
          <cell r="D16084" t="str">
            <v>2021</v>
          </cell>
        </row>
        <row r="16085">
          <cell r="D16085" t="str">
            <v>2023</v>
          </cell>
        </row>
        <row r="16086">
          <cell r="D16086" t="str">
            <v>2023</v>
          </cell>
        </row>
        <row r="16087">
          <cell r="D16087" t="str">
            <v>2023</v>
          </cell>
        </row>
        <row r="16088">
          <cell r="D16088" t="str">
            <v>2022</v>
          </cell>
        </row>
        <row r="16089">
          <cell r="D16089" t="str">
            <v>2023</v>
          </cell>
        </row>
        <row r="16090">
          <cell r="D16090" t="str">
            <v>2023</v>
          </cell>
        </row>
        <row r="16091">
          <cell r="D16091" t="str">
            <v>2023</v>
          </cell>
        </row>
        <row r="16092">
          <cell r="D16092" t="str">
            <v>2023</v>
          </cell>
        </row>
        <row r="16093">
          <cell r="D16093" t="str">
            <v>2023</v>
          </cell>
        </row>
        <row r="16094">
          <cell r="D16094" t="str">
            <v>2021</v>
          </cell>
        </row>
        <row r="16095">
          <cell r="D16095" t="str">
            <v>2023</v>
          </cell>
        </row>
        <row r="16096">
          <cell r="D16096" t="str">
            <v>2021</v>
          </cell>
        </row>
        <row r="16097">
          <cell r="D16097" t="str">
            <v>2023</v>
          </cell>
        </row>
        <row r="16098">
          <cell r="D16098" t="str">
            <v>2021</v>
          </cell>
        </row>
        <row r="16099">
          <cell r="D16099" t="str">
            <v>2021</v>
          </cell>
        </row>
        <row r="16100">
          <cell r="D16100" t="str">
            <v>2022</v>
          </cell>
        </row>
        <row r="16101">
          <cell r="D16101" t="str">
            <v>2023</v>
          </cell>
        </row>
        <row r="16102">
          <cell r="D16102" t="str">
            <v>2023</v>
          </cell>
        </row>
        <row r="16103">
          <cell r="D16103" t="str">
            <v>2023</v>
          </cell>
        </row>
        <row r="16104">
          <cell r="D16104" t="str">
            <v>2022</v>
          </cell>
        </row>
        <row r="16105">
          <cell r="D16105" t="str">
            <v>2021</v>
          </cell>
        </row>
        <row r="16106">
          <cell r="D16106" t="str">
            <v>2023</v>
          </cell>
        </row>
        <row r="16107">
          <cell r="D16107" t="str">
            <v>2023</v>
          </cell>
        </row>
        <row r="16108">
          <cell r="D16108" t="str">
            <v>2023</v>
          </cell>
        </row>
        <row r="16109">
          <cell r="D16109" t="str">
            <v>2022</v>
          </cell>
        </row>
        <row r="16110">
          <cell r="D16110" t="str">
            <v>2022</v>
          </cell>
        </row>
        <row r="16111">
          <cell r="D16111" t="str">
            <v>2023</v>
          </cell>
        </row>
        <row r="16112">
          <cell r="D16112" t="str">
            <v>2023</v>
          </cell>
        </row>
        <row r="16113">
          <cell r="D16113" t="str">
            <v>2022</v>
          </cell>
        </row>
        <row r="16114">
          <cell r="D16114" t="str">
            <v>2021</v>
          </cell>
        </row>
        <row r="16115">
          <cell r="D16115" t="str">
            <v>2021</v>
          </cell>
        </row>
        <row r="16116">
          <cell r="D16116" t="str">
            <v>2023</v>
          </cell>
        </row>
        <row r="16117">
          <cell r="D16117" t="str">
            <v>2023</v>
          </cell>
        </row>
        <row r="16118">
          <cell r="D16118" t="str">
            <v>2023</v>
          </cell>
        </row>
        <row r="16119">
          <cell r="D16119" t="str">
            <v>2022</v>
          </cell>
        </row>
        <row r="16120">
          <cell r="D16120" t="str">
            <v>2023</v>
          </cell>
        </row>
        <row r="16121">
          <cell r="D16121" t="str">
            <v>2022</v>
          </cell>
        </row>
        <row r="16122">
          <cell r="D16122" t="str">
            <v>2023</v>
          </cell>
        </row>
        <row r="16123">
          <cell r="D16123" t="str">
            <v>2023</v>
          </cell>
        </row>
        <row r="16124">
          <cell r="D16124" t="str">
            <v>2022</v>
          </cell>
        </row>
        <row r="16125">
          <cell r="D16125" t="str">
            <v>2022</v>
          </cell>
        </row>
        <row r="16126">
          <cell r="D16126" t="str">
            <v>2023</v>
          </cell>
        </row>
        <row r="16127">
          <cell r="D16127" t="str">
            <v>2023</v>
          </cell>
        </row>
        <row r="16128">
          <cell r="D16128" t="str">
            <v>2023</v>
          </cell>
        </row>
        <row r="16129">
          <cell r="D16129" t="str">
            <v>2023</v>
          </cell>
        </row>
        <row r="16130">
          <cell r="D16130" t="str">
            <v>2023</v>
          </cell>
        </row>
        <row r="16131">
          <cell r="D16131" t="str">
            <v>2023</v>
          </cell>
        </row>
        <row r="16132">
          <cell r="D16132" t="str">
            <v>2022</v>
          </cell>
        </row>
        <row r="16133">
          <cell r="D16133" t="str">
            <v>2022</v>
          </cell>
        </row>
        <row r="16134">
          <cell r="D16134" t="str">
            <v>2022</v>
          </cell>
        </row>
        <row r="16135">
          <cell r="D16135" t="str">
            <v>2023</v>
          </cell>
        </row>
        <row r="16136">
          <cell r="D16136" t="str">
            <v>2021</v>
          </cell>
        </row>
        <row r="16137">
          <cell r="D16137" t="str">
            <v>2023</v>
          </cell>
        </row>
        <row r="16138">
          <cell r="D16138" t="str">
            <v>2023</v>
          </cell>
        </row>
        <row r="16139">
          <cell r="D16139" t="str">
            <v>2022</v>
          </cell>
        </row>
        <row r="16140">
          <cell r="D16140" t="str">
            <v>2022</v>
          </cell>
        </row>
        <row r="16141">
          <cell r="D16141" t="str">
            <v>2021</v>
          </cell>
        </row>
        <row r="16142">
          <cell r="D16142" t="str">
            <v>2023</v>
          </cell>
        </row>
        <row r="16143">
          <cell r="D16143" t="str">
            <v>2023</v>
          </cell>
        </row>
        <row r="16144">
          <cell r="D16144" t="str">
            <v>2022</v>
          </cell>
        </row>
        <row r="16145">
          <cell r="D16145" t="str">
            <v>2021</v>
          </cell>
        </row>
        <row r="16146">
          <cell r="D16146" t="str">
            <v>2022</v>
          </cell>
        </row>
        <row r="16147">
          <cell r="D16147" t="str">
            <v>2021</v>
          </cell>
        </row>
        <row r="16148">
          <cell r="D16148" t="str">
            <v>2023</v>
          </cell>
        </row>
        <row r="16149">
          <cell r="D16149" t="str">
            <v>2023</v>
          </cell>
        </row>
        <row r="16150">
          <cell r="D16150" t="str">
            <v>2023</v>
          </cell>
        </row>
        <row r="16151">
          <cell r="D16151" t="str">
            <v>2023</v>
          </cell>
        </row>
        <row r="16152">
          <cell r="D16152" t="str">
            <v>2023</v>
          </cell>
        </row>
        <row r="16153">
          <cell r="D16153" t="str">
            <v>2021</v>
          </cell>
        </row>
        <row r="16154">
          <cell r="D16154" t="str">
            <v>2022</v>
          </cell>
        </row>
        <row r="16155">
          <cell r="D16155" t="str">
            <v>2023</v>
          </cell>
        </row>
        <row r="16156">
          <cell r="D16156" t="str">
            <v>2022</v>
          </cell>
        </row>
        <row r="16157">
          <cell r="D16157" t="str">
            <v>2021</v>
          </cell>
        </row>
        <row r="16158">
          <cell r="D16158" t="str">
            <v>2023</v>
          </cell>
        </row>
        <row r="16159">
          <cell r="D16159" t="str">
            <v>2023</v>
          </cell>
        </row>
        <row r="16160">
          <cell r="D16160" t="str">
            <v>2022</v>
          </cell>
        </row>
        <row r="16161">
          <cell r="D16161" t="str">
            <v>2023</v>
          </cell>
        </row>
        <row r="16162">
          <cell r="D16162" t="str">
            <v>2021</v>
          </cell>
        </row>
        <row r="16163">
          <cell r="D16163" t="str">
            <v>2023</v>
          </cell>
        </row>
        <row r="16164">
          <cell r="D16164" t="str">
            <v>2022</v>
          </cell>
        </row>
        <row r="16165">
          <cell r="D16165" t="str">
            <v>2022</v>
          </cell>
        </row>
        <row r="16166">
          <cell r="D16166" t="str">
            <v>2022</v>
          </cell>
        </row>
        <row r="16167">
          <cell r="D16167" t="str">
            <v>2021</v>
          </cell>
        </row>
        <row r="16168">
          <cell r="D16168" t="str">
            <v>2023</v>
          </cell>
        </row>
        <row r="16169">
          <cell r="D16169" t="str">
            <v>2023</v>
          </cell>
        </row>
        <row r="16170">
          <cell r="D16170" t="str">
            <v>2023</v>
          </cell>
        </row>
        <row r="16171">
          <cell r="D16171" t="str">
            <v>2022</v>
          </cell>
        </row>
        <row r="16172">
          <cell r="D16172" t="str">
            <v>2023</v>
          </cell>
        </row>
        <row r="16173">
          <cell r="D16173" t="str">
            <v>2022</v>
          </cell>
        </row>
        <row r="16174">
          <cell r="D16174" t="str">
            <v>2023</v>
          </cell>
        </row>
        <row r="16175">
          <cell r="D16175" t="str">
            <v>2023</v>
          </cell>
        </row>
        <row r="16176">
          <cell r="D16176" t="str">
            <v>2023</v>
          </cell>
        </row>
        <row r="16177">
          <cell r="D16177" t="str">
            <v>2023</v>
          </cell>
        </row>
        <row r="16178">
          <cell r="D16178" t="str">
            <v>2023</v>
          </cell>
        </row>
        <row r="16179">
          <cell r="D16179" t="str">
            <v>2023</v>
          </cell>
        </row>
        <row r="16180">
          <cell r="D16180" t="str">
            <v>2023</v>
          </cell>
        </row>
        <row r="16181">
          <cell r="D16181" t="str">
            <v>2023</v>
          </cell>
        </row>
        <row r="16182">
          <cell r="D16182" t="str">
            <v>2023</v>
          </cell>
        </row>
        <row r="16183">
          <cell r="D16183" t="str">
            <v>2022</v>
          </cell>
        </row>
        <row r="16184">
          <cell r="D16184" t="str">
            <v>2023</v>
          </cell>
        </row>
        <row r="16185">
          <cell r="D16185" t="str">
            <v>2023</v>
          </cell>
        </row>
        <row r="16186">
          <cell r="D16186" t="str">
            <v>2023</v>
          </cell>
        </row>
        <row r="16187">
          <cell r="D16187" t="str">
            <v>2023</v>
          </cell>
        </row>
        <row r="16188">
          <cell r="D16188" t="str">
            <v>2022</v>
          </cell>
        </row>
        <row r="16189">
          <cell r="D16189" t="str">
            <v>2023</v>
          </cell>
        </row>
        <row r="16190">
          <cell r="D16190" t="str">
            <v>2023</v>
          </cell>
        </row>
        <row r="16191">
          <cell r="D16191" t="str">
            <v>2023</v>
          </cell>
        </row>
        <row r="16192">
          <cell r="D16192" t="str">
            <v>2022</v>
          </cell>
        </row>
        <row r="16193">
          <cell r="D16193" t="str">
            <v>2023</v>
          </cell>
        </row>
        <row r="16194">
          <cell r="D16194" t="str">
            <v>2021</v>
          </cell>
        </row>
        <row r="16195">
          <cell r="D16195" t="str">
            <v>2023</v>
          </cell>
        </row>
        <row r="16196">
          <cell r="D16196" t="str">
            <v>2023</v>
          </cell>
        </row>
        <row r="16197">
          <cell r="D16197" t="str">
            <v>2022</v>
          </cell>
        </row>
        <row r="16198">
          <cell r="D16198" t="str">
            <v>2023</v>
          </cell>
        </row>
        <row r="16199">
          <cell r="D16199" t="str">
            <v>2022</v>
          </cell>
        </row>
        <row r="16200">
          <cell r="D16200" t="str">
            <v>2023</v>
          </cell>
        </row>
        <row r="16201">
          <cell r="D16201" t="str">
            <v>2023</v>
          </cell>
        </row>
        <row r="16202">
          <cell r="D16202" t="str">
            <v>2021</v>
          </cell>
        </row>
        <row r="16203">
          <cell r="D16203" t="str">
            <v>2022</v>
          </cell>
        </row>
        <row r="16204">
          <cell r="D16204" t="str">
            <v>2021</v>
          </cell>
        </row>
        <row r="16205">
          <cell r="D16205" t="str">
            <v>2021</v>
          </cell>
        </row>
        <row r="16206">
          <cell r="D16206" t="str">
            <v>2021</v>
          </cell>
        </row>
        <row r="16207">
          <cell r="D16207" t="str">
            <v>2023</v>
          </cell>
        </row>
        <row r="16208">
          <cell r="D16208" t="str">
            <v>2022</v>
          </cell>
        </row>
        <row r="16209">
          <cell r="D16209" t="str">
            <v>2022</v>
          </cell>
        </row>
        <row r="16210">
          <cell r="D16210" t="str">
            <v>2023</v>
          </cell>
        </row>
        <row r="16211">
          <cell r="D16211" t="str">
            <v>2022</v>
          </cell>
        </row>
        <row r="16212">
          <cell r="D16212" t="str">
            <v>2021</v>
          </cell>
        </row>
        <row r="16213">
          <cell r="D16213" t="str">
            <v>2023</v>
          </cell>
        </row>
        <row r="16214">
          <cell r="D16214" t="str">
            <v>2023</v>
          </cell>
        </row>
        <row r="16215">
          <cell r="D16215" t="str">
            <v>2023</v>
          </cell>
        </row>
        <row r="16216">
          <cell r="D16216" t="str">
            <v>2023</v>
          </cell>
        </row>
        <row r="16217">
          <cell r="D16217" t="str">
            <v>2023</v>
          </cell>
        </row>
        <row r="16218">
          <cell r="D16218" t="str">
            <v>2023</v>
          </cell>
        </row>
        <row r="16219">
          <cell r="D16219" t="str">
            <v>2023</v>
          </cell>
        </row>
        <row r="16220">
          <cell r="D16220" t="str">
            <v>2022</v>
          </cell>
        </row>
        <row r="16221">
          <cell r="D16221" t="str">
            <v>2022</v>
          </cell>
        </row>
        <row r="16222">
          <cell r="D16222" t="str">
            <v>2022</v>
          </cell>
        </row>
        <row r="16223">
          <cell r="D16223" t="str">
            <v>2023</v>
          </cell>
        </row>
        <row r="16224">
          <cell r="D16224" t="str">
            <v>2022</v>
          </cell>
        </row>
        <row r="16225">
          <cell r="D16225" t="str">
            <v>2022</v>
          </cell>
        </row>
        <row r="16226">
          <cell r="D16226" t="str">
            <v>2021</v>
          </cell>
        </row>
        <row r="16227">
          <cell r="D16227" t="str">
            <v>2023</v>
          </cell>
        </row>
        <row r="16228">
          <cell r="D16228" t="str">
            <v>2022</v>
          </cell>
        </row>
        <row r="16229">
          <cell r="D16229" t="str">
            <v>2023</v>
          </cell>
        </row>
        <row r="16230">
          <cell r="D16230" t="str">
            <v>2021</v>
          </cell>
        </row>
        <row r="16231">
          <cell r="D16231" t="str">
            <v>2023</v>
          </cell>
        </row>
        <row r="16232">
          <cell r="D16232" t="str">
            <v>2023</v>
          </cell>
        </row>
        <row r="16233">
          <cell r="D16233" t="str">
            <v>2023</v>
          </cell>
        </row>
        <row r="16234">
          <cell r="D16234" t="str">
            <v>2023</v>
          </cell>
        </row>
        <row r="16235">
          <cell r="D16235" t="str">
            <v>2022</v>
          </cell>
        </row>
        <row r="16236">
          <cell r="D16236" t="str">
            <v>2024</v>
          </cell>
        </row>
        <row r="16237">
          <cell r="D16237" t="str">
            <v>2023</v>
          </cell>
        </row>
        <row r="16238">
          <cell r="D16238" t="str">
            <v>2021</v>
          </cell>
        </row>
        <row r="16239">
          <cell r="D16239" t="str">
            <v>2022</v>
          </cell>
        </row>
        <row r="16240">
          <cell r="D16240" t="str">
            <v>2024</v>
          </cell>
        </row>
        <row r="16241">
          <cell r="D16241" t="str">
            <v>2022</v>
          </cell>
        </row>
        <row r="16242">
          <cell r="D16242" t="str">
            <v>2023</v>
          </cell>
        </row>
        <row r="16243">
          <cell r="D16243" t="str">
            <v>2023</v>
          </cell>
        </row>
        <row r="16244">
          <cell r="D16244" t="str">
            <v>2022</v>
          </cell>
        </row>
        <row r="16245">
          <cell r="D16245" t="str">
            <v>2021</v>
          </cell>
        </row>
        <row r="16246">
          <cell r="D16246" t="str">
            <v>2022</v>
          </cell>
        </row>
        <row r="16247">
          <cell r="D16247" t="str">
            <v>2021</v>
          </cell>
        </row>
        <row r="16248">
          <cell r="D16248" t="str">
            <v>2022</v>
          </cell>
        </row>
        <row r="16249">
          <cell r="D16249" t="str">
            <v>2023</v>
          </cell>
        </row>
        <row r="16250">
          <cell r="D16250" t="str">
            <v>2021</v>
          </cell>
        </row>
        <row r="16251">
          <cell r="D16251" t="str">
            <v>2023</v>
          </cell>
        </row>
        <row r="16252">
          <cell r="D16252" t="str">
            <v>2023</v>
          </cell>
        </row>
        <row r="16253">
          <cell r="D16253" t="str">
            <v>2023</v>
          </cell>
        </row>
        <row r="16254">
          <cell r="D16254" t="str">
            <v>2023</v>
          </cell>
        </row>
        <row r="16255">
          <cell r="D16255" t="str">
            <v>2023</v>
          </cell>
        </row>
        <row r="16256">
          <cell r="D16256" t="str">
            <v>2021</v>
          </cell>
        </row>
        <row r="16257">
          <cell r="D16257" t="str">
            <v>2023</v>
          </cell>
        </row>
        <row r="16258">
          <cell r="D16258" t="str">
            <v>2023</v>
          </cell>
        </row>
        <row r="16259">
          <cell r="D16259" t="str">
            <v>2023</v>
          </cell>
        </row>
        <row r="16260">
          <cell r="D16260" t="str">
            <v>2023</v>
          </cell>
        </row>
        <row r="16261">
          <cell r="D16261" t="str">
            <v>2023</v>
          </cell>
        </row>
        <row r="16262">
          <cell r="D16262" t="str">
            <v>2023</v>
          </cell>
        </row>
        <row r="16263">
          <cell r="D16263" t="str">
            <v>2023</v>
          </cell>
        </row>
        <row r="16264">
          <cell r="D16264" t="str">
            <v>2021</v>
          </cell>
        </row>
        <row r="16265">
          <cell r="D16265" t="str">
            <v>2023</v>
          </cell>
        </row>
        <row r="16266">
          <cell r="D16266" t="str">
            <v>2023</v>
          </cell>
        </row>
        <row r="16267">
          <cell r="D16267" t="str">
            <v>2023</v>
          </cell>
        </row>
        <row r="16268">
          <cell r="D16268" t="str">
            <v>2023</v>
          </cell>
        </row>
        <row r="16269">
          <cell r="D16269" t="str">
            <v>2023</v>
          </cell>
        </row>
        <row r="16270">
          <cell r="D16270" t="str">
            <v>2021</v>
          </cell>
        </row>
        <row r="16271">
          <cell r="D16271" t="str">
            <v>2023</v>
          </cell>
        </row>
        <row r="16272">
          <cell r="D16272" t="str">
            <v>2023</v>
          </cell>
        </row>
        <row r="16273">
          <cell r="D16273" t="str">
            <v>2022</v>
          </cell>
        </row>
        <row r="16274">
          <cell r="D16274" t="str">
            <v>2023</v>
          </cell>
        </row>
        <row r="16275">
          <cell r="D16275" t="str">
            <v>2023</v>
          </cell>
        </row>
        <row r="16276">
          <cell r="D16276" t="str">
            <v>2023</v>
          </cell>
        </row>
        <row r="16277">
          <cell r="D16277" t="str">
            <v>2022</v>
          </cell>
        </row>
        <row r="16278">
          <cell r="D16278" t="str">
            <v>2022</v>
          </cell>
        </row>
        <row r="16279">
          <cell r="D16279" t="str">
            <v>2022</v>
          </cell>
        </row>
        <row r="16280">
          <cell r="D16280" t="str">
            <v>2022</v>
          </cell>
        </row>
        <row r="16281">
          <cell r="D16281" t="str">
            <v>2023</v>
          </cell>
        </row>
        <row r="16282">
          <cell r="D16282" t="str">
            <v>2022</v>
          </cell>
        </row>
        <row r="16283">
          <cell r="D16283" t="str">
            <v>2023</v>
          </cell>
        </row>
        <row r="16284">
          <cell r="D16284" t="str">
            <v>2021</v>
          </cell>
        </row>
        <row r="16285">
          <cell r="D16285" t="str">
            <v>2022</v>
          </cell>
        </row>
        <row r="16286">
          <cell r="D16286" t="str">
            <v>2023</v>
          </cell>
        </row>
        <row r="16287">
          <cell r="D16287" t="str">
            <v>2023</v>
          </cell>
        </row>
        <row r="16288">
          <cell r="D16288" t="str">
            <v>2023</v>
          </cell>
        </row>
        <row r="16289">
          <cell r="D16289" t="str">
            <v>2022</v>
          </cell>
        </row>
        <row r="16290">
          <cell r="D16290" t="str">
            <v>2022</v>
          </cell>
        </row>
        <row r="16291">
          <cell r="D16291" t="str">
            <v>2022</v>
          </cell>
        </row>
        <row r="16292">
          <cell r="D16292" t="str">
            <v>2022</v>
          </cell>
        </row>
        <row r="16293">
          <cell r="D16293" t="str">
            <v>2023</v>
          </cell>
        </row>
        <row r="16294">
          <cell r="D16294" t="str">
            <v>2021</v>
          </cell>
        </row>
        <row r="16295">
          <cell r="D16295" t="str">
            <v>2022</v>
          </cell>
        </row>
        <row r="16296">
          <cell r="D16296" t="str">
            <v>2023</v>
          </cell>
        </row>
        <row r="16297">
          <cell r="D16297" t="str">
            <v>2023</v>
          </cell>
        </row>
        <row r="16298">
          <cell r="D16298" t="str">
            <v>2021</v>
          </cell>
        </row>
        <row r="16299">
          <cell r="D16299" t="str">
            <v>2023</v>
          </cell>
        </row>
        <row r="16300">
          <cell r="D16300" t="str">
            <v>2022</v>
          </cell>
        </row>
        <row r="16301">
          <cell r="D16301" t="str">
            <v>2023</v>
          </cell>
        </row>
        <row r="16302">
          <cell r="D16302" t="str">
            <v>2023</v>
          </cell>
        </row>
        <row r="16303">
          <cell r="D16303" t="str">
            <v>2021</v>
          </cell>
        </row>
        <row r="16304">
          <cell r="D16304" t="str">
            <v>2023</v>
          </cell>
        </row>
        <row r="16305">
          <cell r="D16305" t="str">
            <v>2023</v>
          </cell>
        </row>
        <row r="16306">
          <cell r="D16306" t="str">
            <v>2023</v>
          </cell>
        </row>
        <row r="16307">
          <cell r="D16307" t="str">
            <v>2021</v>
          </cell>
        </row>
        <row r="16308">
          <cell r="D16308" t="str">
            <v>2023</v>
          </cell>
        </row>
        <row r="16309">
          <cell r="D16309" t="str">
            <v>2023</v>
          </cell>
        </row>
        <row r="16310">
          <cell r="D16310" t="str">
            <v>2021</v>
          </cell>
        </row>
        <row r="16311">
          <cell r="D16311" t="str">
            <v>2023</v>
          </cell>
        </row>
        <row r="16312">
          <cell r="D16312" t="str">
            <v>2023</v>
          </cell>
        </row>
        <row r="16313">
          <cell r="D16313" t="str">
            <v>2023</v>
          </cell>
        </row>
        <row r="16314">
          <cell r="D16314" t="str">
            <v>2021</v>
          </cell>
        </row>
        <row r="16315">
          <cell r="D16315" t="str">
            <v>2023</v>
          </cell>
        </row>
        <row r="16316">
          <cell r="D16316" t="str">
            <v>2023</v>
          </cell>
        </row>
        <row r="16317">
          <cell r="D16317" t="str">
            <v>2022</v>
          </cell>
        </row>
        <row r="16318">
          <cell r="D16318" t="str">
            <v>2022</v>
          </cell>
        </row>
        <row r="16319">
          <cell r="D16319" t="str">
            <v>2022</v>
          </cell>
        </row>
        <row r="16320">
          <cell r="D16320" t="str">
            <v>2021</v>
          </cell>
        </row>
        <row r="16321">
          <cell r="D16321" t="str">
            <v>2023</v>
          </cell>
        </row>
        <row r="16322">
          <cell r="D16322" t="str">
            <v>2023</v>
          </cell>
        </row>
        <row r="16323">
          <cell r="D16323" t="str">
            <v>2023</v>
          </cell>
        </row>
        <row r="16324">
          <cell r="D16324" t="str">
            <v>2021</v>
          </cell>
        </row>
        <row r="16325">
          <cell r="D16325" t="str">
            <v>2021</v>
          </cell>
        </row>
        <row r="16326">
          <cell r="D16326" t="str">
            <v>2022</v>
          </cell>
        </row>
        <row r="16327">
          <cell r="D16327" t="str">
            <v>2023</v>
          </cell>
        </row>
        <row r="16328">
          <cell r="D16328" t="str">
            <v>2022</v>
          </cell>
        </row>
        <row r="16329">
          <cell r="D16329" t="str">
            <v>2021</v>
          </cell>
        </row>
        <row r="16330">
          <cell r="D16330" t="str">
            <v>2023</v>
          </cell>
        </row>
        <row r="16331">
          <cell r="D16331" t="str">
            <v>2021</v>
          </cell>
        </row>
        <row r="16332">
          <cell r="D16332" t="str">
            <v>2022</v>
          </cell>
        </row>
        <row r="16333">
          <cell r="D16333" t="str">
            <v>2022</v>
          </cell>
        </row>
        <row r="16334">
          <cell r="D16334" t="str">
            <v>2023</v>
          </cell>
        </row>
        <row r="16335">
          <cell r="D16335" t="str">
            <v>2023</v>
          </cell>
        </row>
        <row r="16336">
          <cell r="D16336" t="str">
            <v>2023</v>
          </cell>
        </row>
        <row r="16337">
          <cell r="D16337" t="str">
            <v>2022</v>
          </cell>
        </row>
        <row r="16338">
          <cell r="D16338" t="str">
            <v>2022</v>
          </cell>
        </row>
        <row r="16339">
          <cell r="D16339" t="str">
            <v>2023</v>
          </cell>
        </row>
        <row r="16340">
          <cell r="D16340" t="str">
            <v>2022</v>
          </cell>
        </row>
        <row r="16341">
          <cell r="D16341" t="str">
            <v>2021</v>
          </cell>
        </row>
        <row r="16342">
          <cell r="D16342" t="str">
            <v>2022</v>
          </cell>
        </row>
        <row r="16343">
          <cell r="D16343" t="str">
            <v>2023</v>
          </cell>
        </row>
        <row r="16344">
          <cell r="D16344" t="str">
            <v>2022</v>
          </cell>
        </row>
        <row r="16345">
          <cell r="D16345" t="str">
            <v>2023</v>
          </cell>
        </row>
        <row r="16346">
          <cell r="D16346" t="str">
            <v>2023</v>
          </cell>
        </row>
        <row r="16347">
          <cell r="D16347" t="str">
            <v>2023</v>
          </cell>
        </row>
        <row r="16348">
          <cell r="D16348" t="str">
            <v>2023</v>
          </cell>
        </row>
        <row r="16349">
          <cell r="D16349" t="str">
            <v>2023</v>
          </cell>
        </row>
        <row r="16350">
          <cell r="D16350" t="str">
            <v>2023</v>
          </cell>
        </row>
        <row r="16351">
          <cell r="D16351" t="str">
            <v>2023</v>
          </cell>
        </row>
        <row r="16352">
          <cell r="D16352" t="str">
            <v>2022</v>
          </cell>
        </row>
        <row r="16353">
          <cell r="D16353" t="str">
            <v>2022</v>
          </cell>
        </row>
        <row r="16354">
          <cell r="D16354" t="str">
            <v>2023</v>
          </cell>
        </row>
        <row r="16355">
          <cell r="D16355" t="str">
            <v>2022</v>
          </cell>
        </row>
        <row r="16356">
          <cell r="D16356" t="str">
            <v>2023</v>
          </cell>
        </row>
        <row r="16357">
          <cell r="D16357" t="str">
            <v>2023</v>
          </cell>
        </row>
        <row r="16358">
          <cell r="D16358" t="str">
            <v>2022</v>
          </cell>
        </row>
        <row r="16359">
          <cell r="D16359" t="str">
            <v>2023</v>
          </cell>
        </row>
        <row r="16360">
          <cell r="D16360" t="str">
            <v>2023</v>
          </cell>
        </row>
        <row r="16361">
          <cell r="D16361" t="str">
            <v>2021</v>
          </cell>
        </row>
        <row r="16362">
          <cell r="D16362" t="str">
            <v>2021</v>
          </cell>
        </row>
        <row r="16363">
          <cell r="D16363" t="str">
            <v>2021</v>
          </cell>
        </row>
        <row r="16364">
          <cell r="D16364" t="str">
            <v>2023</v>
          </cell>
        </row>
        <row r="16365">
          <cell r="D16365" t="str">
            <v>2023</v>
          </cell>
        </row>
        <row r="16366">
          <cell r="D16366" t="str">
            <v>2022</v>
          </cell>
        </row>
        <row r="16367">
          <cell r="D16367" t="str">
            <v>2023</v>
          </cell>
        </row>
        <row r="16368">
          <cell r="D16368" t="str">
            <v>2021</v>
          </cell>
        </row>
        <row r="16369">
          <cell r="D16369" t="str">
            <v>2023</v>
          </cell>
        </row>
        <row r="16370">
          <cell r="D16370" t="str">
            <v>2021</v>
          </cell>
        </row>
        <row r="16371">
          <cell r="D16371" t="str">
            <v>2021</v>
          </cell>
        </row>
        <row r="16372">
          <cell r="D16372" t="str">
            <v>2023</v>
          </cell>
        </row>
        <row r="16373">
          <cell r="D16373" t="str">
            <v>2022</v>
          </cell>
        </row>
        <row r="16374">
          <cell r="D16374" t="str">
            <v>2021</v>
          </cell>
        </row>
        <row r="16375">
          <cell r="D16375" t="str">
            <v>2022</v>
          </cell>
        </row>
        <row r="16376">
          <cell r="D16376" t="str">
            <v>2022</v>
          </cell>
        </row>
        <row r="16377">
          <cell r="D16377" t="str">
            <v>2023</v>
          </cell>
        </row>
        <row r="16378">
          <cell r="D16378" t="str">
            <v>2023</v>
          </cell>
        </row>
        <row r="16379">
          <cell r="D16379" t="str">
            <v>2023</v>
          </cell>
        </row>
        <row r="16380">
          <cell r="D16380" t="str">
            <v>2023</v>
          </cell>
        </row>
        <row r="16381">
          <cell r="D16381" t="str">
            <v>2022</v>
          </cell>
        </row>
        <row r="16382">
          <cell r="D16382" t="str">
            <v>2023</v>
          </cell>
        </row>
        <row r="16383">
          <cell r="D16383" t="str">
            <v>2023</v>
          </cell>
        </row>
        <row r="16384">
          <cell r="D16384" t="str">
            <v>2023</v>
          </cell>
        </row>
        <row r="16385">
          <cell r="D16385" t="str">
            <v>2023</v>
          </cell>
        </row>
        <row r="16386">
          <cell r="D16386" t="str">
            <v>2023</v>
          </cell>
        </row>
        <row r="16387">
          <cell r="D16387" t="str">
            <v>2022</v>
          </cell>
        </row>
        <row r="16388">
          <cell r="D16388" t="str">
            <v>2023</v>
          </cell>
        </row>
        <row r="16389">
          <cell r="D16389" t="str">
            <v>2023</v>
          </cell>
        </row>
        <row r="16390">
          <cell r="D16390" t="str">
            <v>2024</v>
          </cell>
        </row>
        <row r="16391">
          <cell r="D16391" t="str">
            <v>2022</v>
          </cell>
        </row>
        <row r="16392">
          <cell r="D16392" t="str">
            <v>2023</v>
          </cell>
        </row>
        <row r="16393">
          <cell r="D16393" t="str">
            <v>2022</v>
          </cell>
        </row>
        <row r="16394">
          <cell r="D16394" t="str">
            <v>2023</v>
          </cell>
        </row>
        <row r="16395">
          <cell r="D16395" t="str">
            <v>2022</v>
          </cell>
        </row>
        <row r="16396">
          <cell r="D16396" t="str">
            <v>2023</v>
          </cell>
        </row>
        <row r="16397">
          <cell r="D16397" t="str">
            <v>2021</v>
          </cell>
        </row>
        <row r="16398">
          <cell r="D16398" t="str">
            <v>2023</v>
          </cell>
        </row>
        <row r="16399">
          <cell r="D16399" t="str">
            <v>2023</v>
          </cell>
        </row>
        <row r="16400">
          <cell r="D16400" t="str">
            <v>2022</v>
          </cell>
        </row>
        <row r="16401">
          <cell r="D16401" t="str">
            <v>2022</v>
          </cell>
        </row>
        <row r="16402">
          <cell r="D16402" t="str">
            <v>2023</v>
          </cell>
        </row>
        <row r="16403">
          <cell r="D16403" t="str">
            <v>2023</v>
          </cell>
        </row>
        <row r="16404">
          <cell r="D16404" t="str">
            <v>2023</v>
          </cell>
        </row>
        <row r="16405">
          <cell r="D16405" t="str">
            <v>2022</v>
          </cell>
        </row>
        <row r="16406">
          <cell r="D16406" t="str">
            <v>2023</v>
          </cell>
        </row>
        <row r="16407">
          <cell r="D16407" t="str">
            <v>2023</v>
          </cell>
        </row>
        <row r="16408">
          <cell r="D16408" t="str">
            <v>2023</v>
          </cell>
        </row>
        <row r="16409">
          <cell r="D16409" t="str">
            <v>2024</v>
          </cell>
        </row>
        <row r="16410">
          <cell r="D16410" t="str">
            <v>2023</v>
          </cell>
        </row>
        <row r="16411">
          <cell r="D16411" t="str">
            <v>2023</v>
          </cell>
        </row>
        <row r="16412">
          <cell r="D16412" t="str">
            <v>2023</v>
          </cell>
        </row>
        <row r="16413">
          <cell r="D16413" t="str">
            <v>2023</v>
          </cell>
        </row>
        <row r="16414">
          <cell r="D16414" t="str">
            <v>2023</v>
          </cell>
        </row>
        <row r="16415">
          <cell r="D16415" t="str">
            <v>2023</v>
          </cell>
        </row>
        <row r="16416">
          <cell r="D16416" t="str">
            <v>2021</v>
          </cell>
        </row>
        <row r="16417">
          <cell r="D16417" t="str">
            <v>2023</v>
          </cell>
        </row>
        <row r="16418">
          <cell r="D16418" t="str">
            <v>2022</v>
          </cell>
        </row>
        <row r="16419">
          <cell r="D16419" t="str">
            <v>2022</v>
          </cell>
        </row>
        <row r="16420">
          <cell r="D16420" t="str">
            <v>2023</v>
          </cell>
        </row>
        <row r="16421">
          <cell r="D16421" t="str">
            <v>2023</v>
          </cell>
        </row>
        <row r="16422">
          <cell r="D16422" t="str">
            <v>2023</v>
          </cell>
        </row>
        <row r="16423">
          <cell r="D16423" t="str">
            <v>2023</v>
          </cell>
        </row>
        <row r="16424">
          <cell r="D16424" t="str">
            <v>2023</v>
          </cell>
        </row>
        <row r="16425">
          <cell r="D16425" t="str">
            <v>2023</v>
          </cell>
        </row>
        <row r="16426">
          <cell r="D16426" t="str">
            <v>2023</v>
          </cell>
        </row>
        <row r="16427">
          <cell r="D16427" t="str">
            <v>2021</v>
          </cell>
        </row>
        <row r="16428">
          <cell r="D16428" t="str">
            <v>2021</v>
          </cell>
        </row>
        <row r="16429">
          <cell r="D16429" t="str">
            <v>2023</v>
          </cell>
        </row>
        <row r="16430">
          <cell r="D16430" t="str">
            <v>2023</v>
          </cell>
        </row>
        <row r="16431">
          <cell r="D16431" t="str">
            <v>2023</v>
          </cell>
        </row>
        <row r="16432">
          <cell r="D16432" t="str">
            <v>2023</v>
          </cell>
        </row>
        <row r="16433">
          <cell r="D16433" t="str">
            <v>2023</v>
          </cell>
        </row>
        <row r="16434">
          <cell r="D16434" t="str">
            <v>2022</v>
          </cell>
        </row>
        <row r="16435">
          <cell r="D16435" t="str">
            <v>2021</v>
          </cell>
        </row>
        <row r="16436">
          <cell r="D16436" t="str">
            <v>2023</v>
          </cell>
        </row>
        <row r="16437">
          <cell r="D16437" t="str">
            <v>2023</v>
          </cell>
        </row>
        <row r="16438">
          <cell r="D16438" t="str">
            <v>2023</v>
          </cell>
        </row>
        <row r="16439">
          <cell r="D16439" t="str">
            <v>2023</v>
          </cell>
        </row>
        <row r="16440">
          <cell r="D16440" t="str">
            <v>2022</v>
          </cell>
        </row>
        <row r="16441">
          <cell r="D16441" t="str">
            <v>2023</v>
          </cell>
        </row>
        <row r="16442">
          <cell r="D16442" t="str">
            <v>2023</v>
          </cell>
        </row>
        <row r="16443">
          <cell r="D16443" t="str">
            <v>2023</v>
          </cell>
        </row>
        <row r="16444">
          <cell r="D16444" t="str">
            <v>2022</v>
          </cell>
        </row>
        <row r="16445">
          <cell r="D16445" t="str">
            <v>2021</v>
          </cell>
        </row>
        <row r="16446">
          <cell r="D16446" t="str">
            <v>2021</v>
          </cell>
        </row>
        <row r="16447">
          <cell r="D16447" t="str">
            <v>2023</v>
          </cell>
        </row>
        <row r="16448">
          <cell r="D16448" t="str">
            <v>2022</v>
          </cell>
        </row>
        <row r="16449">
          <cell r="D16449" t="str">
            <v>2022</v>
          </cell>
        </row>
        <row r="16450">
          <cell r="D16450" t="str">
            <v>2023</v>
          </cell>
        </row>
        <row r="16451">
          <cell r="D16451" t="str">
            <v>2023</v>
          </cell>
        </row>
        <row r="16452">
          <cell r="D16452" t="str">
            <v>2021</v>
          </cell>
        </row>
        <row r="16453">
          <cell r="D16453" t="str">
            <v>2023</v>
          </cell>
        </row>
        <row r="16454">
          <cell r="D16454" t="str">
            <v>2022</v>
          </cell>
        </row>
        <row r="16455">
          <cell r="D16455" t="str">
            <v>2023</v>
          </cell>
        </row>
        <row r="16456">
          <cell r="D16456" t="str">
            <v>2021</v>
          </cell>
        </row>
        <row r="16457">
          <cell r="D16457" t="str">
            <v>2023</v>
          </cell>
        </row>
        <row r="16458">
          <cell r="D16458" t="str">
            <v>2024</v>
          </cell>
        </row>
        <row r="16459">
          <cell r="D16459" t="str">
            <v>2023</v>
          </cell>
        </row>
        <row r="16460">
          <cell r="D16460" t="str">
            <v>2023</v>
          </cell>
        </row>
        <row r="16461">
          <cell r="D16461" t="str">
            <v>2021</v>
          </cell>
        </row>
        <row r="16462">
          <cell r="D16462" t="str">
            <v>2022</v>
          </cell>
        </row>
        <row r="16463">
          <cell r="D16463" t="str">
            <v>2022</v>
          </cell>
        </row>
        <row r="16464">
          <cell r="D16464" t="str">
            <v>2023</v>
          </cell>
        </row>
        <row r="16465">
          <cell r="D16465" t="str">
            <v>2021</v>
          </cell>
        </row>
        <row r="16466">
          <cell r="D16466" t="str">
            <v>2023</v>
          </cell>
        </row>
        <row r="16467">
          <cell r="D16467" t="str">
            <v>2023</v>
          </cell>
        </row>
        <row r="16468">
          <cell r="D16468" t="str">
            <v>2023</v>
          </cell>
        </row>
        <row r="16469">
          <cell r="D16469" t="str">
            <v>2022</v>
          </cell>
        </row>
        <row r="16470">
          <cell r="D16470" t="str">
            <v>2023</v>
          </cell>
        </row>
        <row r="16471">
          <cell r="D16471" t="str">
            <v>2023</v>
          </cell>
        </row>
        <row r="16472">
          <cell r="D16472" t="str">
            <v>2023</v>
          </cell>
        </row>
        <row r="16473">
          <cell r="D16473" t="str">
            <v>2023</v>
          </cell>
        </row>
        <row r="16474">
          <cell r="D16474" t="str">
            <v>2023</v>
          </cell>
        </row>
        <row r="16475">
          <cell r="D16475" t="str">
            <v>2022</v>
          </cell>
        </row>
        <row r="16476">
          <cell r="D16476" t="str">
            <v>2022</v>
          </cell>
        </row>
        <row r="16477">
          <cell r="D16477" t="str">
            <v>2023</v>
          </cell>
        </row>
        <row r="16478">
          <cell r="D16478" t="str">
            <v>2023</v>
          </cell>
        </row>
        <row r="16479">
          <cell r="D16479" t="str">
            <v>2023</v>
          </cell>
        </row>
        <row r="16480">
          <cell r="D16480" t="str">
            <v>2023</v>
          </cell>
        </row>
        <row r="16481">
          <cell r="D16481" t="str">
            <v>2023</v>
          </cell>
        </row>
        <row r="16482">
          <cell r="D16482" t="str">
            <v>2022</v>
          </cell>
        </row>
        <row r="16483">
          <cell r="D16483" t="str">
            <v>2023</v>
          </cell>
        </row>
        <row r="16484">
          <cell r="D16484" t="str">
            <v>2022</v>
          </cell>
        </row>
        <row r="16485">
          <cell r="D16485" t="str">
            <v>2023</v>
          </cell>
        </row>
        <row r="16486">
          <cell r="D16486" t="str">
            <v>2022</v>
          </cell>
        </row>
        <row r="16487">
          <cell r="D16487" t="str">
            <v>2022</v>
          </cell>
        </row>
        <row r="16488">
          <cell r="D16488" t="str">
            <v>2023</v>
          </cell>
        </row>
        <row r="16489">
          <cell r="D16489" t="str">
            <v>2022</v>
          </cell>
        </row>
        <row r="16490">
          <cell r="D16490" t="str">
            <v>2023</v>
          </cell>
        </row>
        <row r="16491">
          <cell r="D16491" t="str">
            <v>2023</v>
          </cell>
        </row>
        <row r="16492">
          <cell r="D16492" t="str">
            <v>2023</v>
          </cell>
        </row>
        <row r="16493">
          <cell r="D16493" t="str">
            <v>2024</v>
          </cell>
        </row>
        <row r="16494">
          <cell r="D16494" t="str">
            <v>2023</v>
          </cell>
        </row>
        <row r="16495">
          <cell r="D16495" t="str">
            <v>2023</v>
          </cell>
        </row>
        <row r="16496">
          <cell r="D16496" t="str">
            <v>2021</v>
          </cell>
        </row>
        <row r="16497">
          <cell r="D16497" t="str">
            <v>2021</v>
          </cell>
        </row>
        <row r="16498">
          <cell r="D16498" t="str">
            <v>2023</v>
          </cell>
        </row>
        <row r="16499">
          <cell r="D16499" t="str">
            <v>2022</v>
          </cell>
        </row>
        <row r="16500">
          <cell r="D16500" t="str">
            <v>2023</v>
          </cell>
        </row>
        <row r="16501">
          <cell r="D16501" t="str">
            <v>2023</v>
          </cell>
        </row>
        <row r="16502">
          <cell r="D16502" t="str">
            <v>2023</v>
          </cell>
        </row>
        <row r="16503">
          <cell r="D16503" t="str">
            <v>2021</v>
          </cell>
        </row>
        <row r="16504">
          <cell r="D16504" t="str">
            <v>2021</v>
          </cell>
        </row>
        <row r="16505">
          <cell r="D16505" t="str">
            <v>2022</v>
          </cell>
        </row>
        <row r="16506">
          <cell r="D16506" t="str">
            <v>2022</v>
          </cell>
        </row>
        <row r="16507">
          <cell r="D16507" t="str">
            <v>2024</v>
          </cell>
        </row>
        <row r="16508">
          <cell r="D16508" t="str">
            <v>2023</v>
          </cell>
        </row>
        <row r="16509">
          <cell r="D16509" t="str">
            <v>2023</v>
          </cell>
        </row>
        <row r="16510">
          <cell r="D16510" t="str">
            <v>2022</v>
          </cell>
        </row>
        <row r="16511">
          <cell r="D16511" t="str">
            <v>2023</v>
          </cell>
        </row>
        <row r="16512">
          <cell r="D16512" t="str">
            <v>2021</v>
          </cell>
        </row>
        <row r="16513">
          <cell r="D16513" t="str">
            <v>2021</v>
          </cell>
        </row>
        <row r="16514">
          <cell r="D16514" t="str">
            <v>2023</v>
          </cell>
        </row>
        <row r="16515">
          <cell r="D16515" t="str">
            <v>2023</v>
          </cell>
        </row>
        <row r="16516">
          <cell r="D16516" t="str">
            <v>2023</v>
          </cell>
        </row>
        <row r="16517">
          <cell r="D16517" t="str">
            <v>2023</v>
          </cell>
        </row>
        <row r="16518">
          <cell r="D16518" t="str">
            <v>2023</v>
          </cell>
        </row>
        <row r="16519">
          <cell r="D16519" t="str">
            <v>2023</v>
          </cell>
        </row>
        <row r="16520">
          <cell r="D16520" t="str">
            <v>2023</v>
          </cell>
        </row>
        <row r="16521">
          <cell r="D16521" t="str">
            <v>2023</v>
          </cell>
        </row>
        <row r="16522">
          <cell r="D16522" t="str">
            <v>2022</v>
          </cell>
        </row>
        <row r="16523">
          <cell r="D16523" t="str">
            <v>2023</v>
          </cell>
        </row>
        <row r="16524">
          <cell r="D16524" t="str">
            <v>2023</v>
          </cell>
        </row>
        <row r="16525">
          <cell r="D16525" t="str">
            <v>2023</v>
          </cell>
        </row>
        <row r="16526">
          <cell r="D16526" t="str">
            <v>2023</v>
          </cell>
        </row>
        <row r="16527">
          <cell r="D16527" t="str">
            <v>2023</v>
          </cell>
        </row>
        <row r="16528">
          <cell r="D16528" t="str">
            <v>2021</v>
          </cell>
        </row>
        <row r="16529">
          <cell r="D16529" t="str">
            <v>2023</v>
          </cell>
        </row>
        <row r="16530">
          <cell r="D16530" t="str">
            <v>2023</v>
          </cell>
        </row>
        <row r="16531">
          <cell r="D16531" t="str">
            <v>2021</v>
          </cell>
        </row>
        <row r="16532">
          <cell r="D16532" t="str">
            <v>2021</v>
          </cell>
        </row>
        <row r="16533">
          <cell r="D16533" t="str">
            <v>2023</v>
          </cell>
        </row>
        <row r="16534">
          <cell r="D16534" t="str">
            <v>2023</v>
          </cell>
        </row>
        <row r="16535">
          <cell r="D16535" t="str">
            <v>2023</v>
          </cell>
        </row>
        <row r="16536">
          <cell r="D16536" t="str">
            <v>2023</v>
          </cell>
        </row>
        <row r="16537">
          <cell r="D16537" t="str">
            <v>2023</v>
          </cell>
        </row>
        <row r="16538">
          <cell r="D16538" t="str">
            <v>2021</v>
          </cell>
        </row>
        <row r="16539">
          <cell r="D16539" t="str">
            <v>2021</v>
          </cell>
        </row>
        <row r="16540">
          <cell r="D16540" t="str">
            <v>2023</v>
          </cell>
        </row>
        <row r="16541">
          <cell r="D16541" t="str">
            <v>2023</v>
          </cell>
        </row>
        <row r="16542">
          <cell r="D16542" t="str">
            <v>2023</v>
          </cell>
        </row>
        <row r="16543">
          <cell r="D16543" t="str">
            <v>2023</v>
          </cell>
        </row>
        <row r="16544">
          <cell r="D16544" t="str">
            <v>2023</v>
          </cell>
        </row>
        <row r="16545">
          <cell r="D16545" t="str">
            <v>2022</v>
          </cell>
        </row>
        <row r="16546">
          <cell r="D16546" t="str">
            <v>2021</v>
          </cell>
        </row>
        <row r="16547">
          <cell r="D16547" t="str">
            <v>2023</v>
          </cell>
        </row>
        <row r="16548">
          <cell r="D16548" t="str">
            <v>2023</v>
          </cell>
        </row>
        <row r="16549">
          <cell r="D16549" t="str">
            <v>2023</v>
          </cell>
        </row>
        <row r="16550">
          <cell r="D16550" t="str">
            <v>2023</v>
          </cell>
        </row>
        <row r="16551">
          <cell r="D16551" t="str">
            <v>2023</v>
          </cell>
        </row>
        <row r="16552">
          <cell r="D16552" t="str">
            <v>2023</v>
          </cell>
        </row>
        <row r="16553">
          <cell r="D16553" t="str">
            <v>2023</v>
          </cell>
        </row>
        <row r="16554">
          <cell r="D16554" t="str">
            <v>2023</v>
          </cell>
        </row>
        <row r="16555">
          <cell r="D16555" t="str">
            <v>2023</v>
          </cell>
        </row>
        <row r="16556">
          <cell r="D16556" t="str">
            <v>2023</v>
          </cell>
        </row>
        <row r="16557">
          <cell r="D16557" t="str">
            <v>2023</v>
          </cell>
        </row>
        <row r="16558">
          <cell r="D16558" t="str">
            <v>2023</v>
          </cell>
        </row>
        <row r="16559">
          <cell r="D16559" t="str">
            <v>2023</v>
          </cell>
        </row>
        <row r="16560">
          <cell r="D16560" t="str">
            <v>2023</v>
          </cell>
        </row>
        <row r="16561">
          <cell r="D16561" t="str">
            <v>2024</v>
          </cell>
        </row>
        <row r="16562">
          <cell r="D16562" t="str">
            <v>2023</v>
          </cell>
        </row>
        <row r="16563">
          <cell r="D16563" t="str">
            <v>2021</v>
          </cell>
        </row>
        <row r="16564">
          <cell r="D16564" t="str">
            <v>2023</v>
          </cell>
        </row>
        <row r="16565">
          <cell r="D16565" t="str">
            <v>2023</v>
          </cell>
        </row>
        <row r="16566">
          <cell r="D16566" t="str">
            <v>2023</v>
          </cell>
        </row>
        <row r="16567">
          <cell r="D16567" t="str">
            <v>2023</v>
          </cell>
        </row>
        <row r="16568">
          <cell r="D16568" t="str">
            <v>2023</v>
          </cell>
        </row>
        <row r="16569">
          <cell r="D16569" t="str">
            <v>2023</v>
          </cell>
        </row>
        <row r="16570">
          <cell r="D16570" t="str">
            <v>2022</v>
          </cell>
        </row>
        <row r="16571">
          <cell r="D16571" t="str">
            <v>2023</v>
          </cell>
        </row>
        <row r="16572">
          <cell r="D16572" t="str">
            <v>2023</v>
          </cell>
        </row>
        <row r="16573">
          <cell r="D16573" t="str">
            <v>2023</v>
          </cell>
        </row>
        <row r="16574">
          <cell r="D16574" t="str">
            <v>2023</v>
          </cell>
        </row>
        <row r="16575">
          <cell r="D16575" t="str">
            <v>2023</v>
          </cell>
        </row>
        <row r="16576">
          <cell r="D16576" t="str">
            <v>2023</v>
          </cell>
        </row>
        <row r="16577">
          <cell r="D16577" t="str">
            <v>2023</v>
          </cell>
        </row>
        <row r="16578">
          <cell r="D16578" t="str">
            <v>2023</v>
          </cell>
        </row>
        <row r="16579">
          <cell r="D16579" t="str">
            <v>2023</v>
          </cell>
        </row>
        <row r="16580">
          <cell r="D16580" t="str">
            <v>2021</v>
          </cell>
        </row>
        <row r="16581">
          <cell r="D16581" t="str">
            <v>2021</v>
          </cell>
        </row>
        <row r="16582">
          <cell r="D16582" t="str">
            <v>2023</v>
          </cell>
        </row>
        <row r="16583">
          <cell r="D16583" t="str">
            <v>2022</v>
          </cell>
        </row>
        <row r="16584">
          <cell r="D16584" t="str">
            <v>2023</v>
          </cell>
        </row>
        <row r="16585">
          <cell r="D16585" t="str">
            <v>2022</v>
          </cell>
        </row>
        <row r="16586">
          <cell r="D16586" t="str">
            <v>2023</v>
          </cell>
        </row>
        <row r="16587">
          <cell r="D16587" t="str">
            <v>2023</v>
          </cell>
        </row>
        <row r="16588">
          <cell r="D16588" t="str">
            <v>2022</v>
          </cell>
        </row>
        <row r="16589">
          <cell r="D16589" t="str">
            <v>2023</v>
          </cell>
        </row>
        <row r="16590">
          <cell r="D16590" t="str">
            <v>2023</v>
          </cell>
        </row>
        <row r="16591">
          <cell r="D16591" t="str">
            <v>2021</v>
          </cell>
        </row>
        <row r="16592">
          <cell r="D16592" t="str">
            <v>2023</v>
          </cell>
        </row>
        <row r="16593">
          <cell r="D16593" t="str">
            <v>2023</v>
          </cell>
        </row>
        <row r="16594">
          <cell r="D16594" t="str">
            <v>2022</v>
          </cell>
        </row>
        <row r="16595">
          <cell r="D16595" t="str">
            <v>2023</v>
          </cell>
        </row>
        <row r="16596">
          <cell r="D16596" t="str">
            <v>2021</v>
          </cell>
        </row>
        <row r="16597">
          <cell r="D16597" t="str">
            <v>2021</v>
          </cell>
        </row>
        <row r="16598">
          <cell r="D16598" t="str">
            <v>2023</v>
          </cell>
        </row>
        <row r="16599">
          <cell r="D16599" t="str">
            <v>2021</v>
          </cell>
        </row>
        <row r="16600">
          <cell r="D16600" t="str">
            <v>2023</v>
          </cell>
        </row>
        <row r="16601">
          <cell r="D16601" t="str">
            <v>2021</v>
          </cell>
        </row>
        <row r="16602">
          <cell r="D16602" t="str">
            <v>2022</v>
          </cell>
        </row>
        <row r="16603">
          <cell r="D16603" t="str">
            <v>2023</v>
          </cell>
        </row>
        <row r="16604">
          <cell r="D16604" t="str">
            <v>2023</v>
          </cell>
        </row>
        <row r="16605">
          <cell r="D16605" t="str">
            <v>2023</v>
          </cell>
        </row>
        <row r="16606">
          <cell r="D16606" t="str">
            <v>2022</v>
          </cell>
        </row>
        <row r="16607">
          <cell r="D16607" t="str">
            <v>2023</v>
          </cell>
        </row>
        <row r="16608">
          <cell r="D16608" t="str">
            <v>2022</v>
          </cell>
        </row>
        <row r="16609">
          <cell r="D16609" t="str">
            <v>2023</v>
          </cell>
        </row>
        <row r="16610">
          <cell r="D16610" t="str">
            <v>2023</v>
          </cell>
        </row>
        <row r="16611">
          <cell r="D16611" t="str">
            <v>2023</v>
          </cell>
        </row>
        <row r="16612">
          <cell r="D16612" t="str">
            <v>2023</v>
          </cell>
        </row>
        <row r="16613">
          <cell r="D16613" t="str">
            <v>2023</v>
          </cell>
        </row>
        <row r="16614">
          <cell r="D16614" t="str">
            <v>2023</v>
          </cell>
        </row>
        <row r="16615">
          <cell r="D16615" t="str">
            <v>2023</v>
          </cell>
        </row>
        <row r="16616">
          <cell r="D16616" t="str">
            <v>2022</v>
          </cell>
        </row>
        <row r="16617">
          <cell r="D16617" t="str">
            <v>2022</v>
          </cell>
        </row>
        <row r="16618">
          <cell r="D16618" t="str">
            <v>2022</v>
          </cell>
        </row>
        <row r="16619">
          <cell r="D16619" t="str">
            <v>2022</v>
          </cell>
        </row>
        <row r="16620">
          <cell r="D16620" t="str">
            <v>2022</v>
          </cell>
        </row>
        <row r="16621">
          <cell r="D16621" t="str">
            <v>2023</v>
          </cell>
        </row>
        <row r="16622">
          <cell r="D16622" t="str">
            <v>2023</v>
          </cell>
        </row>
        <row r="16623">
          <cell r="D16623" t="str">
            <v>2021</v>
          </cell>
        </row>
        <row r="16624">
          <cell r="D16624" t="str">
            <v>2023</v>
          </cell>
        </row>
        <row r="16625">
          <cell r="D16625" t="str">
            <v>2023</v>
          </cell>
        </row>
        <row r="16626">
          <cell r="D16626" t="str">
            <v>2023</v>
          </cell>
        </row>
        <row r="16627">
          <cell r="D16627" t="str">
            <v>2022</v>
          </cell>
        </row>
        <row r="16628">
          <cell r="D16628" t="str">
            <v>2023</v>
          </cell>
        </row>
        <row r="16629">
          <cell r="D16629" t="str">
            <v>2023</v>
          </cell>
        </row>
        <row r="16630">
          <cell r="D16630" t="str">
            <v>2023</v>
          </cell>
        </row>
        <row r="16631">
          <cell r="D16631" t="str">
            <v>2023</v>
          </cell>
        </row>
        <row r="16632">
          <cell r="D16632" t="str">
            <v>2021</v>
          </cell>
        </row>
        <row r="16633">
          <cell r="D16633" t="str">
            <v>2023</v>
          </cell>
        </row>
        <row r="16634">
          <cell r="D16634" t="str">
            <v>2023</v>
          </cell>
        </row>
        <row r="16635">
          <cell r="D16635" t="str">
            <v>2023</v>
          </cell>
        </row>
        <row r="16636">
          <cell r="D16636" t="str">
            <v>2022</v>
          </cell>
        </row>
        <row r="16637">
          <cell r="D16637" t="str">
            <v>2023</v>
          </cell>
        </row>
        <row r="16638">
          <cell r="D16638" t="str">
            <v>2023</v>
          </cell>
        </row>
        <row r="16639">
          <cell r="D16639" t="str">
            <v>2023</v>
          </cell>
        </row>
        <row r="16640">
          <cell r="D16640" t="str">
            <v>2023</v>
          </cell>
        </row>
        <row r="16641">
          <cell r="D16641" t="str">
            <v>2023</v>
          </cell>
        </row>
        <row r="16642">
          <cell r="D16642" t="str">
            <v>2023</v>
          </cell>
        </row>
        <row r="16643">
          <cell r="D16643" t="str">
            <v>2023</v>
          </cell>
        </row>
        <row r="16644">
          <cell r="D16644" t="str">
            <v>2023</v>
          </cell>
        </row>
        <row r="16645">
          <cell r="D16645" t="str">
            <v>2021</v>
          </cell>
        </row>
        <row r="16646">
          <cell r="D16646" t="str">
            <v>2023</v>
          </cell>
        </row>
        <row r="16647">
          <cell r="D16647" t="str">
            <v>2023</v>
          </cell>
        </row>
        <row r="16648">
          <cell r="D16648" t="str">
            <v>2023</v>
          </cell>
        </row>
        <row r="16649">
          <cell r="D16649" t="str">
            <v>2021</v>
          </cell>
        </row>
        <row r="16650">
          <cell r="D16650" t="str">
            <v>2022</v>
          </cell>
        </row>
        <row r="16651">
          <cell r="D16651" t="str">
            <v>2023</v>
          </cell>
        </row>
        <row r="16652">
          <cell r="D16652" t="str">
            <v>2022</v>
          </cell>
        </row>
        <row r="16653">
          <cell r="D16653" t="str">
            <v>2023</v>
          </cell>
        </row>
        <row r="16654">
          <cell r="D16654" t="str">
            <v>2023</v>
          </cell>
        </row>
        <row r="16655">
          <cell r="D16655" t="str">
            <v>2023</v>
          </cell>
        </row>
        <row r="16656">
          <cell r="D16656" t="str">
            <v>2023</v>
          </cell>
        </row>
        <row r="16657">
          <cell r="D16657" t="str">
            <v>2023</v>
          </cell>
        </row>
        <row r="16658">
          <cell r="D16658" t="str">
            <v>2022</v>
          </cell>
        </row>
        <row r="16659">
          <cell r="D16659" t="str">
            <v>2023</v>
          </cell>
        </row>
        <row r="16660">
          <cell r="D16660" t="str">
            <v>2023</v>
          </cell>
        </row>
        <row r="16661">
          <cell r="D16661" t="str">
            <v>2023</v>
          </cell>
        </row>
        <row r="16662">
          <cell r="D16662" t="str">
            <v>2022</v>
          </cell>
        </row>
        <row r="16663">
          <cell r="D16663" t="str">
            <v>2023</v>
          </cell>
        </row>
        <row r="16664">
          <cell r="D16664" t="str">
            <v>2021</v>
          </cell>
        </row>
        <row r="16665">
          <cell r="D16665" t="str">
            <v>2023</v>
          </cell>
        </row>
        <row r="16666">
          <cell r="D16666" t="str">
            <v>2023</v>
          </cell>
        </row>
        <row r="16667">
          <cell r="D16667" t="str">
            <v>2023</v>
          </cell>
        </row>
        <row r="16668">
          <cell r="D16668" t="str">
            <v>2023</v>
          </cell>
        </row>
        <row r="16669">
          <cell r="D16669" t="str">
            <v>2023</v>
          </cell>
        </row>
        <row r="16670">
          <cell r="D16670" t="str">
            <v>2023</v>
          </cell>
        </row>
        <row r="16671">
          <cell r="D16671" t="str">
            <v>2024</v>
          </cell>
        </row>
        <row r="16672">
          <cell r="D16672" t="str">
            <v>2022</v>
          </cell>
        </row>
        <row r="16673">
          <cell r="D16673" t="str">
            <v>2023</v>
          </cell>
        </row>
        <row r="16674">
          <cell r="D16674" t="str">
            <v>2023</v>
          </cell>
        </row>
        <row r="16675">
          <cell r="D16675" t="str">
            <v>2023</v>
          </cell>
        </row>
        <row r="16676">
          <cell r="D16676" t="str">
            <v>2023</v>
          </cell>
        </row>
        <row r="16677">
          <cell r="D16677" t="str">
            <v>2023</v>
          </cell>
        </row>
        <row r="16678">
          <cell r="D16678" t="str">
            <v>2022</v>
          </cell>
        </row>
        <row r="16679">
          <cell r="D16679" t="str">
            <v>2023</v>
          </cell>
        </row>
        <row r="16680">
          <cell r="D16680" t="str">
            <v>2023</v>
          </cell>
        </row>
        <row r="16681">
          <cell r="D16681" t="str">
            <v>2021</v>
          </cell>
        </row>
        <row r="16682">
          <cell r="D16682" t="str">
            <v>2021</v>
          </cell>
        </row>
        <row r="16683">
          <cell r="D16683" t="str">
            <v>2023</v>
          </cell>
        </row>
        <row r="16684">
          <cell r="D16684" t="str">
            <v>2023</v>
          </cell>
        </row>
        <row r="16685">
          <cell r="D16685" t="str">
            <v>2023</v>
          </cell>
        </row>
        <row r="16686">
          <cell r="D16686" t="str">
            <v>2023</v>
          </cell>
        </row>
        <row r="16687">
          <cell r="D16687" t="str">
            <v>2023</v>
          </cell>
        </row>
        <row r="16688">
          <cell r="D16688" t="str">
            <v>2022</v>
          </cell>
        </row>
        <row r="16689">
          <cell r="D16689" t="str">
            <v>2023</v>
          </cell>
        </row>
        <row r="16690">
          <cell r="D16690" t="str">
            <v>2022</v>
          </cell>
        </row>
        <row r="16691">
          <cell r="D16691" t="str">
            <v>2023</v>
          </cell>
        </row>
        <row r="16692">
          <cell r="D16692" t="str">
            <v>2023</v>
          </cell>
        </row>
        <row r="16693">
          <cell r="D16693" t="str">
            <v>2021</v>
          </cell>
        </row>
        <row r="16694">
          <cell r="D16694" t="str">
            <v>2023</v>
          </cell>
        </row>
        <row r="16695">
          <cell r="D16695" t="str">
            <v>2023</v>
          </cell>
        </row>
        <row r="16696">
          <cell r="D16696" t="str">
            <v>2022</v>
          </cell>
        </row>
        <row r="16697">
          <cell r="D16697" t="str">
            <v>2021</v>
          </cell>
        </row>
        <row r="16698">
          <cell r="D16698" t="str">
            <v>2023</v>
          </cell>
        </row>
        <row r="16699">
          <cell r="D16699" t="str">
            <v>2023</v>
          </cell>
        </row>
        <row r="16700">
          <cell r="D16700" t="str">
            <v>2023</v>
          </cell>
        </row>
        <row r="16701">
          <cell r="D16701" t="str">
            <v>2023</v>
          </cell>
        </row>
        <row r="16702">
          <cell r="D16702" t="str">
            <v>2023</v>
          </cell>
        </row>
        <row r="16703">
          <cell r="D16703" t="str">
            <v>2023</v>
          </cell>
        </row>
        <row r="16704">
          <cell r="D16704" t="str">
            <v>2022</v>
          </cell>
        </row>
        <row r="16705">
          <cell r="D16705" t="str">
            <v>2023</v>
          </cell>
        </row>
        <row r="16706">
          <cell r="D16706" t="str">
            <v>2023</v>
          </cell>
        </row>
        <row r="16707">
          <cell r="D16707" t="str">
            <v>2023</v>
          </cell>
        </row>
        <row r="16708">
          <cell r="D16708" t="str">
            <v>2023</v>
          </cell>
        </row>
        <row r="16709">
          <cell r="D16709" t="str">
            <v>2023</v>
          </cell>
        </row>
        <row r="16710">
          <cell r="D16710" t="str">
            <v>2023</v>
          </cell>
        </row>
        <row r="16711">
          <cell r="D16711" t="str">
            <v>2023</v>
          </cell>
        </row>
        <row r="16712">
          <cell r="D16712" t="str">
            <v>2022</v>
          </cell>
        </row>
        <row r="16713">
          <cell r="D16713" t="str">
            <v>2023</v>
          </cell>
        </row>
        <row r="16714">
          <cell r="D16714" t="str">
            <v>2023</v>
          </cell>
        </row>
        <row r="16715">
          <cell r="D16715" t="str">
            <v>2022</v>
          </cell>
        </row>
        <row r="16716">
          <cell r="D16716" t="str">
            <v>2023</v>
          </cell>
        </row>
        <row r="16717">
          <cell r="D16717" t="str">
            <v>2023</v>
          </cell>
        </row>
        <row r="16718">
          <cell r="D16718" t="str">
            <v>2023</v>
          </cell>
        </row>
        <row r="16719">
          <cell r="D16719" t="str">
            <v>2023</v>
          </cell>
        </row>
        <row r="16720">
          <cell r="D16720" t="str">
            <v>2022</v>
          </cell>
        </row>
        <row r="16721">
          <cell r="D16721" t="str">
            <v>2023</v>
          </cell>
        </row>
        <row r="16722">
          <cell r="D16722" t="str">
            <v>2023</v>
          </cell>
        </row>
        <row r="16723">
          <cell r="D16723" t="str">
            <v>2023</v>
          </cell>
        </row>
        <row r="16724">
          <cell r="D16724" t="str">
            <v>2021</v>
          </cell>
        </row>
        <row r="16725">
          <cell r="D16725" t="str">
            <v>2023</v>
          </cell>
        </row>
        <row r="16726">
          <cell r="D16726" t="str">
            <v>2023</v>
          </cell>
        </row>
        <row r="16727">
          <cell r="D16727" t="str">
            <v>2021</v>
          </cell>
        </row>
        <row r="16728">
          <cell r="D16728" t="str">
            <v>2022</v>
          </cell>
        </row>
        <row r="16729">
          <cell r="D16729" t="str">
            <v>2023</v>
          </cell>
        </row>
        <row r="16730">
          <cell r="D16730" t="str">
            <v>2022</v>
          </cell>
        </row>
        <row r="16731">
          <cell r="D16731" t="str">
            <v>2023</v>
          </cell>
        </row>
        <row r="16732">
          <cell r="D16732" t="str">
            <v>2023</v>
          </cell>
        </row>
        <row r="16733">
          <cell r="D16733" t="str">
            <v>2022</v>
          </cell>
        </row>
        <row r="16734">
          <cell r="D16734" t="str">
            <v>2023</v>
          </cell>
        </row>
        <row r="16735">
          <cell r="D16735" t="str">
            <v>2022</v>
          </cell>
        </row>
        <row r="16736">
          <cell r="D16736" t="str">
            <v>2023</v>
          </cell>
        </row>
        <row r="16737">
          <cell r="D16737" t="str">
            <v>2023</v>
          </cell>
        </row>
        <row r="16738">
          <cell r="D16738" t="str">
            <v>2021</v>
          </cell>
        </row>
        <row r="16739">
          <cell r="D16739" t="str">
            <v>2022</v>
          </cell>
        </row>
        <row r="16740">
          <cell r="D16740" t="str">
            <v>2023</v>
          </cell>
        </row>
        <row r="16741">
          <cell r="D16741" t="str">
            <v>2024</v>
          </cell>
        </row>
        <row r="16742">
          <cell r="D16742" t="str">
            <v>2023</v>
          </cell>
        </row>
        <row r="16743">
          <cell r="D16743" t="str">
            <v>2023</v>
          </cell>
        </row>
        <row r="16744">
          <cell r="D16744" t="str">
            <v>2023</v>
          </cell>
        </row>
        <row r="16745">
          <cell r="D16745" t="str">
            <v>2023</v>
          </cell>
        </row>
        <row r="16746">
          <cell r="D16746" t="str">
            <v>2023</v>
          </cell>
        </row>
        <row r="16747">
          <cell r="D16747" t="str">
            <v>2022</v>
          </cell>
        </row>
        <row r="16748">
          <cell r="D16748" t="str">
            <v>2022</v>
          </cell>
        </row>
        <row r="16749">
          <cell r="D16749" t="str">
            <v>2023</v>
          </cell>
        </row>
        <row r="16750">
          <cell r="D16750" t="str">
            <v>2023</v>
          </cell>
        </row>
        <row r="16751">
          <cell r="D16751" t="str">
            <v>2023</v>
          </cell>
        </row>
        <row r="16752">
          <cell r="D16752" t="str">
            <v>2022</v>
          </cell>
        </row>
        <row r="16753">
          <cell r="D16753" t="str">
            <v>2023</v>
          </cell>
        </row>
        <row r="16754">
          <cell r="D16754" t="str">
            <v>2022</v>
          </cell>
        </row>
        <row r="16755">
          <cell r="D16755" t="str">
            <v>2023</v>
          </cell>
        </row>
        <row r="16756">
          <cell r="D16756" t="str">
            <v>2023</v>
          </cell>
        </row>
        <row r="16757">
          <cell r="D16757" t="str">
            <v>2023</v>
          </cell>
        </row>
        <row r="16758">
          <cell r="D16758" t="str">
            <v>2023</v>
          </cell>
        </row>
        <row r="16759">
          <cell r="D16759" t="str">
            <v>2023</v>
          </cell>
        </row>
        <row r="16760">
          <cell r="D16760" t="str">
            <v>2023</v>
          </cell>
        </row>
        <row r="16761">
          <cell r="D16761" t="str">
            <v>2023</v>
          </cell>
        </row>
        <row r="16762">
          <cell r="D16762" t="str">
            <v>2023</v>
          </cell>
        </row>
        <row r="16763">
          <cell r="D16763" t="str">
            <v>2023</v>
          </cell>
        </row>
        <row r="16764">
          <cell r="D16764" t="str">
            <v>2023</v>
          </cell>
        </row>
        <row r="16765">
          <cell r="D16765" t="str">
            <v>2023</v>
          </cell>
        </row>
        <row r="16766">
          <cell r="D16766" t="str">
            <v>2023</v>
          </cell>
        </row>
        <row r="16767">
          <cell r="D16767" t="str">
            <v>2023</v>
          </cell>
        </row>
        <row r="16768">
          <cell r="D16768" t="str">
            <v>2022</v>
          </cell>
        </row>
        <row r="16769">
          <cell r="D16769" t="str">
            <v>2023</v>
          </cell>
        </row>
        <row r="16770">
          <cell r="D16770" t="str">
            <v>2023</v>
          </cell>
        </row>
        <row r="16771">
          <cell r="D16771" t="str">
            <v>2023</v>
          </cell>
        </row>
        <row r="16772">
          <cell r="D16772" t="str">
            <v>2022</v>
          </cell>
        </row>
        <row r="16773">
          <cell r="D16773" t="str">
            <v>2023</v>
          </cell>
        </row>
        <row r="16774">
          <cell r="D16774" t="str">
            <v>2023</v>
          </cell>
        </row>
        <row r="16775">
          <cell r="D16775" t="str">
            <v>2024</v>
          </cell>
        </row>
        <row r="16776">
          <cell r="D16776" t="str">
            <v>2023</v>
          </cell>
        </row>
        <row r="16777">
          <cell r="D16777" t="str">
            <v>2023</v>
          </cell>
        </row>
        <row r="16778">
          <cell r="D16778" t="str">
            <v>2023</v>
          </cell>
        </row>
        <row r="16779">
          <cell r="D16779" t="str">
            <v>2021</v>
          </cell>
        </row>
        <row r="16780">
          <cell r="D16780" t="str">
            <v>2023</v>
          </cell>
        </row>
        <row r="16781">
          <cell r="D16781" t="str">
            <v>2022</v>
          </cell>
        </row>
        <row r="16782">
          <cell r="D16782" t="str">
            <v>2021</v>
          </cell>
        </row>
        <row r="16783">
          <cell r="D16783" t="str">
            <v>2023</v>
          </cell>
        </row>
        <row r="16784">
          <cell r="D16784" t="str">
            <v>2023</v>
          </cell>
        </row>
        <row r="16785">
          <cell r="D16785" t="str">
            <v>2022</v>
          </cell>
        </row>
        <row r="16786">
          <cell r="D16786" t="str">
            <v>2023</v>
          </cell>
        </row>
        <row r="16787">
          <cell r="D16787" t="str">
            <v>2024</v>
          </cell>
        </row>
        <row r="16788">
          <cell r="D16788" t="str">
            <v>2022</v>
          </cell>
        </row>
        <row r="16789">
          <cell r="D16789" t="str">
            <v>2023</v>
          </cell>
        </row>
        <row r="16790">
          <cell r="D16790" t="str">
            <v>2022</v>
          </cell>
        </row>
        <row r="16791">
          <cell r="D16791" t="str">
            <v>2023</v>
          </cell>
        </row>
        <row r="16792">
          <cell r="D16792" t="str">
            <v>2021</v>
          </cell>
        </row>
        <row r="16793">
          <cell r="D16793" t="str">
            <v>2023</v>
          </cell>
        </row>
        <row r="16794">
          <cell r="D16794" t="str">
            <v>2023</v>
          </cell>
        </row>
        <row r="16795">
          <cell r="D16795" t="str">
            <v>2023</v>
          </cell>
        </row>
        <row r="16796">
          <cell r="D16796" t="str">
            <v>2023</v>
          </cell>
        </row>
        <row r="16797">
          <cell r="D16797" t="str">
            <v>2023</v>
          </cell>
        </row>
        <row r="16798">
          <cell r="D16798" t="str">
            <v>2022</v>
          </cell>
        </row>
        <row r="16799">
          <cell r="D16799" t="str">
            <v>2023</v>
          </cell>
        </row>
        <row r="16800">
          <cell r="D16800" t="str">
            <v>2023</v>
          </cell>
        </row>
        <row r="16801">
          <cell r="D16801" t="str">
            <v>2023</v>
          </cell>
        </row>
        <row r="16802">
          <cell r="D16802" t="str">
            <v>2024</v>
          </cell>
        </row>
        <row r="16803">
          <cell r="D16803" t="str">
            <v>2023</v>
          </cell>
        </row>
        <row r="16804">
          <cell r="D16804" t="str">
            <v>2023</v>
          </cell>
        </row>
        <row r="16805">
          <cell r="D16805" t="str">
            <v>2021</v>
          </cell>
        </row>
        <row r="16806">
          <cell r="D16806" t="str">
            <v>2023</v>
          </cell>
        </row>
        <row r="16807">
          <cell r="D16807" t="str">
            <v>2023</v>
          </cell>
        </row>
        <row r="16808">
          <cell r="D16808" t="str">
            <v>2023</v>
          </cell>
        </row>
        <row r="16809">
          <cell r="D16809" t="str">
            <v>2022</v>
          </cell>
        </row>
        <row r="16810">
          <cell r="D16810" t="str">
            <v>2023</v>
          </cell>
        </row>
        <row r="16811">
          <cell r="D16811" t="str">
            <v>2023</v>
          </cell>
        </row>
        <row r="16812">
          <cell r="D16812" t="str">
            <v>2023</v>
          </cell>
        </row>
        <row r="16813">
          <cell r="D16813" t="str">
            <v>2023</v>
          </cell>
        </row>
        <row r="16814">
          <cell r="D16814" t="str">
            <v>2023</v>
          </cell>
        </row>
        <row r="16815">
          <cell r="D16815" t="str">
            <v>2023</v>
          </cell>
        </row>
        <row r="16816">
          <cell r="D16816" t="str">
            <v>2023</v>
          </cell>
        </row>
        <row r="16817">
          <cell r="D16817" t="str">
            <v>2023</v>
          </cell>
        </row>
        <row r="16818">
          <cell r="D16818" t="str">
            <v>2021</v>
          </cell>
        </row>
        <row r="16819">
          <cell r="D16819" t="str">
            <v>2023</v>
          </cell>
        </row>
        <row r="16820">
          <cell r="D16820" t="str">
            <v>2022</v>
          </cell>
        </row>
        <row r="16821">
          <cell r="D16821" t="str">
            <v>2023</v>
          </cell>
        </row>
        <row r="16822">
          <cell r="D16822" t="str">
            <v>2023</v>
          </cell>
        </row>
        <row r="16823">
          <cell r="D16823" t="str">
            <v>2023</v>
          </cell>
        </row>
        <row r="16824">
          <cell r="D16824" t="str">
            <v>2022</v>
          </cell>
        </row>
        <row r="16825">
          <cell r="D16825" t="str">
            <v>2023</v>
          </cell>
        </row>
        <row r="16826">
          <cell r="D16826" t="str">
            <v>2022</v>
          </cell>
        </row>
        <row r="16827">
          <cell r="D16827" t="str">
            <v>2023</v>
          </cell>
        </row>
        <row r="16828">
          <cell r="D16828" t="str">
            <v>2022</v>
          </cell>
        </row>
        <row r="16829">
          <cell r="D16829" t="str">
            <v>2023</v>
          </cell>
        </row>
        <row r="16830">
          <cell r="D16830" t="str">
            <v>2023</v>
          </cell>
        </row>
        <row r="16831">
          <cell r="D16831" t="str">
            <v>2023</v>
          </cell>
        </row>
        <row r="16832">
          <cell r="D16832" t="str">
            <v>2023</v>
          </cell>
        </row>
        <row r="16833">
          <cell r="D16833" t="str">
            <v>2023</v>
          </cell>
        </row>
        <row r="16834">
          <cell r="D16834" t="str">
            <v>2022</v>
          </cell>
        </row>
        <row r="16835">
          <cell r="D16835" t="str">
            <v>2023</v>
          </cell>
        </row>
        <row r="16836">
          <cell r="D16836" t="str">
            <v>2023</v>
          </cell>
        </row>
        <row r="16837">
          <cell r="D16837" t="str">
            <v>2021</v>
          </cell>
        </row>
        <row r="16838">
          <cell r="D16838" t="str">
            <v>2022</v>
          </cell>
        </row>
        <row r="16839">
          <cell r="D16839" t="str">
            <v>2023</v>
          </cell>
        </row>
        <row r="16840">
          <cell r="D16840" t="str">
            <v>2023</v>
          </cell>
        </row>
        <row r="16841">
          <cell r="D16841" t="str">
            <v>2023</v>
          </cell>
        </row>
        <row r="16842">
          <cell r="D16842" t="str">
            <v>2023</v>
          </cell>
        </row>
        <row r="16843">
          <cell r="D16843" t="str">
            <v>2023</v>
          </cell>
        </row>
        <row r="16844">
          <cell r="D16844" t="str">
            <v>2023</v>
          </cell>
        </row>
        <row r="16845">
          <cell r="D16845" t="str">
            <v>2023</v>
          </cell>
        </row>
        <row r="16846">
          <cell r="D16846" t="str">
            <v>2023</v>
          </cell>
        </row>
        <row r="16847">
          <cell r="D16847" t="str">
            <v>2023</v>
          </cell>
        </row>
        <row r="16848">
          <cell r="D16848" t="str">
            <v>2023</v>
          </cell>
        </row>
        <row r="16849">
          <cell r="D16849" t="str">
            <v>2023</v>
          </cell>
        </row>
        <row r="16850">
          <cell r="D16850" t="str">
            <v>2023</v>
          </cell>
        </row>
        <row r="16851">
          <cell r="D16851" t="str">
            <v>2022</v>
          </cell>
        </row>
        <row r="16852">
          <cell r="D16852" t="str">
            <v>2023</v>
          </cell>
        </row>
        <row r="16853">
          <cell r="D16853" t="str">
            <v>2023</v>
          </cell>
        </row>
        <row r="16854">
          <cell r="D16854" t="str">
            <v>2023</v>
          </cell>
        </row>
        <row r="16855">
          <cell r="D16855" t="str">
            <v>2022</v>
          </cell>
        </row>
        <row r="16856">
          <cell r="D16856" t="str">
            <v>2024</v>
          </cell>
        </row>
        <row r="16857">
          <cell r="D16857" t="str">
            <v>2023</v>
          </cell>
        </row>
        <row r="16858">
          <cell r="D16858" t="str">
            <v>2022</v>
          </cell>
        </row>
        <row r="16859">
          <cell r="D16859" t="str">
            <v>2023</v>
          </cell>
        </row>
        <row r="16860">
          <cell r="D16860" t="str">
            <v>2023</v>
          </cell>
        </row>
        <row r="16861">
          <cell r="D16861" t="str">
            <v>2023</v>
          </cell>
        </row>
        <row r="16862">
          <cell r="D16862" t="str">
            <v>2023</v>
          </cell>
        </row>
        <row r="16863">
          <cell r="D16863" t="str">
            <v>2023</v>
          </cell>
        </row>
        <row r="16864">
          <cell r="D16864" t="str">
            <v>2023</v>
          </cell>
        </row>
        <row r="16865">
          <cell r="D16865" t="str">
            <v>2022</v>
          </cell>
        </row>
        <row r="16866">
          <cell r="D16866" t="str">
            <v>2023</v>
          </cell>
        </row>
        <row r="16867">
          <cell r="D16867" t="str">
            <v>2023</v>
          </cell>
        </row>
        <row r="16868">
          <cell r="D16868" t="str">
            <v>2023</v>
          </cell>
        </row>
        <row r="16869">
          <cell r="D16869" t="str">
            <v>2023</v>
          </cell>
        </row>
        <row r="16870">
          <cell r="D16870" t="str">
            <v>2023</v>
          </cell>
        </row>
        <row r="16871">
          <cell r="D16871" t="str">
            <v>2023</v>
          </cell>
        </row>
        <row r="16872">
          <cell r="D16872" t="str">
            <v>2022</v>
          </cell>
        </row>
        <row r="16873">
          <cell r="D16873" t="str">
            <v>2023</v>
          </cell>
        </row>
        <row r="16874">
          <cell r="D16874" t="str">
            <v>2022</v>
          </cell>
        </row>
        <row r="16875">
          <cell r="D16875" t="str">
            <v>2023</v>
          </cell>
        </row>
        <row r="16876">
          <cell r="D16876" t="str">
            <v>2022</v>
          </cell>
        </row>
        <row r="16877">
          <cell r="D16877" t="str">
            <v>2023</v>
          </cell>
        </row>
        <row r="16878">
          <cell r="D16878" t="str">
            <v>2021</v>
          </cell>
        </row>
        <row r="16879">
          <cell r="D16879" t="str">
            <v>2023</v>
          </cell>
        </row>
        <row r="16880">
          <cell r="D16880" t="str">
            <v>2022</v>
          </cell>
        </row>
        <row r="16881">
          <cell r="D16881" t="str">
            <v>2021</v>
          </cell>
        </row>
        <row r="16882">
          <cell r="D16882" t="str">
            <v>2024</v>
          </cell>
        </row>
        <row r="16883">
          <cell r="D16883" t="str">
            <v>2023</v>
          </cell>
        </row>
        <row r="16884">
          <cell r="D16884" t="str">
            <v>2023</v>
          </cell>
        </row>
        <row r="16885">
          <cell r="D16885" t="str">
            <v>2022</v>
          </cell>
        </row>
        <row r="16886">
          <cell r="D16886" t="str">
            <v>2023</v>
          </cell>
        </row>
        <row r="16887">
          <cell r="D16887" t="str">
            <v>2021</v>
          </cell>
        </row>
        <row r="16888">
          <cell r="D16888" t="str">
            <v>2023</v>
          </cell>
        </row>
        <row r="16889">
          <cell r="D16889" t="str">
            <v>2023</v>
          </cell>
        </row>
        <row r="16890">
          <cell r="D16890" t="str">
            <v>2023</v>
          </cell>
        </row>
        <row r="16891">
          <cell r="D16891" t="str">
            <v>2021</v>
          </cell>
        </row>
        <row r="16892">
          <cell r="D16892" t="str">
            <v>2022</v>
          </cell>
        </row>
        <row r="16893">
          <cell r="D16893" t="str">
            <v>2023</v>
          </cell>
        </row>
        <row r="16894">
          <cell r="D16894" t="str">
            <v>2023</v>
          </cell>
        </row>
        <row r="16895">
          <cell r="D16895" t="str">
            <v>2021</v>
          </cell>
        </row>
        <row r="16896">
          <cell r="D16896" t="str">
            <v>2022</v>
          </cell>
        </row>
        <row r="16897">
          <cell r="D16897" t="str">
            <v>2021</v>
          </cell>
        </row>
        <row r="16898">
          <cell r="D16898" t="str">
            <v>2023</v>
          </cell>
        </row>
        <row r="16899">
          <cell r="D16899" t="str">
            <v>2021</v>
          </cell>
        </row>
        <row r="16900">
          <cell r="D16900" t="str">
            <v>2023</v>
          </cell>
        </row>
        <row r="16901">
          <cell r="D16901" t="str">
            <v>2023</v>
          </cell>
        </row>
        <row r="16902">
          <cell r="D16902" t="str">
            <v>2023</v>
          </cell>
        </row>
        <row r="16903">
          <cell r="D16903" t="str">
            <v>2023</v>
          </cell>
        </row>
        <row r="16904">
          <cell r="D16904" t="str">
            <v>2022</v>
          </cell>
        </row>
        <row r="16905">
          <cell r="D16905" t="str">
            <v>2022</v>
          </cell>
        </row>
        <row r="16906">
          <cell r="D16906" t="str">
            <v>2023</v>
          </cell>
        </row>
        <row r="16907">
          <cell r="D16907" t="str">
            <v>2023</v>
          </cell>
        </row>
        <row r="16908">
          <cell r="D16908" t="str">
            <v>2022</v>
          </cell>
        </row>
        <row r="16909">
          <cell r="D16909" t="str">
            <v>2023</v>
          </cell>
        </row>
        <row r="16910">
          <cell r="D16910" t="str">
            <v>2023</v>
          </cell>
        </row>
        <row r="16911">
          <cell r="D16911" t="str">
            <v>2023</v>
          </cell>
        </row>
        <row r="16912">
          <cell r="D16912" t="str">
            <v>2023</v>
          </cell>
        </row>
        <row r="16913">
          <cell r="D16913" t="str">
            <v>2023</v>
          </cell>
        </row>
        <row r="16914">
          <cell r="D16914" t="str">
            <v>2023</v>
          </cell>
        </row>
        <row r="16915">
          <cell r="D16915" t="str">
            <v>2023</v>
          </cell>
        </row>
        <row r="16916">
          <cell r="D16916" t="str">
            <v>2022</v>
          </cell>
        </row>
        <row r="16917">
          <cell r="D16917" t="str">
            <v>2022</v>
          </cell>
        </row>
        <row r="16918">
          <cell r="D16918" t="str">
            <v>2023</v>
          </cell>
        </row>
        <row r="16919">
          <cell r="D16919" t="str">
            <v>2023</v>
          </cell>
        </row>
        <row r="16920">
          <cell r="D16920" t="str">
            <v>2023</v>
          </cell>
        </row>
        <row r="16921">
          <cell r="D16921" t="str">
            <v>2024</v>
          </cell>
        </row>
        <row r="16922">
          <cell r="D16922" t="str">
            <v>2022</v>
          </cell>
        </row>
        <row r="16923">
          <cell r="D16923" t="str">
            <v>2021</v>
          </cell>
        </row>
        <row r="16924">
          <cell r="D16924" t="str">
            <v>2023</v>
          </cell>
        </row>
        <row r="16925">
          <cell r="D16925" t="str">
            <v>2023</v>
          </cell>
        </row>
        <row r="16926">
          <cell r="D16926" t="str">
            <v>2022</v>
          </cell>
        </row>
        <row r="16927">
          <cell r="D16927" t="str">
            <v>2023</v>
          </cell>
        </row>
        <row r="16928">
          <cell r="D16928" t="str">
            <v>2023</v>
          </cell>
        </row>
        <row r="16929">
          <cell r="D16929" t="str">
            <v>2022</v>
          </cell>
        </row>
        <row r="16930">
          <cell r="D16930" t="str">
            <v>2023</v>
          </cell>
        </row>
        <row r="16931">
          <cell r="D16931" t="str">
            <v>2023</v>
          </cell>
        </row>
        <row r="16932">
          <cell r="D16932" t="str">
            <v>2023</v>
          </cell>
        </row>
        <row r="16933">
          <cell r="D16933" t="str">
            <v>2023</v>
          </cell>
        </row>
        <row r="16934">
          <cell r="D16934" t="str">
            <v>2021</v>
          </cell>
        </row>
        <row r="16935">
          <cell r="D16935" t="str">
            <v>2023</v>
          </cell>
        </row>
        <row r="16936">
          <cell r="D16936" t="str">
            <v>2023</v>
          </cell>
        </row>
        <row r="16937">
          <cell r="D16937" t="str">
            <v>2023</v>
          </cell>
        </row>
        <row r="16938">
          <cell r="D16938" t="str">
            <v>2022</v>
          </cell>
        </row>
        <row r="16939">
          <cell r="D16939" t="str">
            <v>2021</v>
          </cell>
        </row>
        <row r="16940">
          <cell r="D16940" t="str">
            <v>2023</v>
          </cell>
        </row>
        <row r="16941">
          <cell r="D16941" t="str">
            <v>2023</v>
          </cell>
        </row>
        <row r="16942">
          <cell r="D16942" t="str">
            <v>2023</v>
          </cell>
        </row>
        <row r="16943">
          <cell r="D16943" t="str">
            <v>2023</v>
          </cell>
        </row>
        <row r="16944">
          <cell r="D16944" t="str">
            <v>2023</v>
          </cell>
        </row>
        <row r="16945">
          <cell r="D16945" t="str">
            <v>2023</v>
          </cell>
        </row>
        <row r="16946">
          <cell r="D16946" t="str">
            <v>2023</v>
          </cell>
        </row>
        <row r="16947">
          <cell r="D16947" t="str">
            <v>2023</v>
          </cell>
        </row>
        <row r="16948">
          <cell r="D16948" t="str">
            <v>2022</v>
          </cell>
        </row>
        <row r="16949">
          <cell r="D16949" t="str">
            <v>2023</v>
          </cell>
        </row>
        <row r="16950">
          <cell r="D16950" t="str">
            <v>2023</v>
          </cell>
        </row>
        <row r="16951">
          <cell r="D16951" t="str">
            <v>2023</v>
          </cell>
        </row>
        <row r="16952">
          <cell r="D16952" t="str">
            <v>2023</v>
          </cell>
        </row>
        <row r="16953">
          <cell r="D16953" t="str">
            <v>2023</v>
          </cell>
        </row>
        <row r="16954">
          <cell r="D16954" t="str">
            <v>2021</v>
          </cell>
        </row>
        <row r="16955">
          <cell r="D16955" t="str">
            <v>2023</v>
          </cell>
        </row>
        <row r="16956">
          <cell r="D16956" t="str">
            <v>2023</v>
          </cell>
        </row>
        <row r="16957">
          <cell r="D16957" t="str">
            <v>2023</v>
          </cell>
        </row>
        <row r="16958">
          <cell r="D16958" t="str">
            <v>2023</v>
          </cell>
        </row>
        <row r="16959">
          <cell r="D16959" t="str">
            <v>2024</v>
          </cell>
        </row>
        <row r="16960">
          <cell r="D16960" t="str">
            <v>2023</v>
          </cell>
        </row>
        <row r="16961">
          <cell r="D16961" t="str">
            <v>2023</v>
          </cell>
        </row>
        <row r="16962">
          <cell r="D16962" t="str">
            <v>2023</v>
          </cell>
        </row>
        <row r="16963">
          <cell r="D16963" t="str">
            <v>2023</v>
          </cell>
        </row>
        <row r="16964">
          <cell r="D16964" t="str">
            <v>2023</v>
          </cell>
        </row>
        <row r="16965">
          <cell r="D16965" t="str">
            <v>2023</v>
          </cell>
        </row>
        <row r="16966">
          <cell r="D16966" t="str">
            <v>2023</v>
          </cell>
        </row>
        <row r="16967">
          <cell r="D16967" t="str">
            <v>2023</v>
          </cell>
        </row>
        <row r="16968">
          <cell r="D16968" t="str">
            <v>2022</v>
          </cell>
        </row>
        <row r="16969">
          <cell r="D16969" t="str">
            <v>2023</v>
          </cell>
        </row>
        <row r="16970">
          <cell r="D16970" t="str">
            <v>2023</v>
          </cell>
        </row>
        <row r="16971">
          <cell r="D16971" t="str">
            <v>2023</v>
          </cell>
        </row>
        <row r="16972">
          <cell r="D16972" t="str">
            <v>2023</v>
          </cell>
        </row>
        <row r="16973">
          <cell r="D16973" t="str">
            <v>2023</v>
          </cell>
        </row>
        <row r="16974">
          <cell r="D16974" t="str">
            <v>2023</v>
          </cell>
        </row>
        <row r="16975">
          <cell r="D16975" t="str">
            <v>2022</v>
          </cell>
        </row>
        <row r="16976">
          <cell r="D16976" t="str">
            <v>2023</v>
          </cell>
        </row>
        <row r="16977">
          <cell r="D16977" t="str">
            <v>2021</v>
          </cell>
        </row>
        <row r="16978">
          <cell r="D16978" t="str">
            <v>2023</v>
          </cell>
        </row>
        <row r="16979">
          <cell r="D16979" t="str">
            <v>2023</v>
          </cell>
        </row>
        <row r="16980">
          <cell r="D16980" t="str">
            <v>2021</v>
          </cell>
        </row>
        <row r="16981">
          <cell r="D16981" t="str">
            <v>2022</v>
          </cell>
        </row>
        <row r="16982">
          <cell r="D16982" t="str">
            <v>2024</v>
          </cell>
        </row>
        <row r="16983">
          <cell r="D16983" t="str">
            <v>2023</v>
          </cell>
        </row>
        <row r="16984">
          <cell r="D16984" t="str">
            <v>2022</v>
          </cell>
        </row>
        <row r="16985">
          <cell r="D16985" t="str">
            <v>2023</v>
          </cell>
        </row>
        <row r="16986">
          <cell r="D16986" t="str">
            <v>2024</v>
          </cell>
        </row>
        <row r="16987">
          <cell r="D16987" t="str">
            <v>2022</v>
          </cell>
        </row>
        <row r="16988">
          <cell r="D16988" t="str">
            <v>2023</v>
          </cell>
        </row>
        <row r="16989">
          <cell r="D16989" t="str">
            <v>2021</v>
          </cell>
        </row>
        <row r="16990">
          <cell r="D16990" t="str">
            <v>2023</v>
          </cell>
        </row>
        <row r="16991">
          <cell r="D16991" t="str">
            <v>2022</v>
          </cell>
        </row>
        <row r="16992">
          <cell r="D16992" t="str">
            <v>2024</v>
          </cell>
        </row>
        <row r="16993">
          <cell r="D16993" t="str">
            <v>2023</v>
          </cell>
        </row>
        <row r="16994">
          <cell r="D16994" t="str">
            <v>2023</v>
          </cell>
        </row>
        <row r="16995">
          <cell r="D16995" t="str">
            <v>2023</v>
          </cell>
        </row>
        <row r="16996">
          <cell r="D16996" t="str">
            <v>2023</v>
          </cell>
        </row>
        <row r="16997">
          <cell r="D16997" t="str">
            <v>2023</v>
          </cell>
        </row>
        <row r="16998">
          <cell r="D16998" t="str">
            <v>2023</v>
          </cell>
        </row>
        <row r="16999">
          <cell r="D16999" t="str">
            <v>2023</v>
          </cell>
        </row>
        <row r="17000">
          <cell r="D17000" t="str">
            <v>2023</v>
          </cell>
        </row>
        <row r="17001">
          <cell r="D17001" t="str">
            <v>2023</v>
          </cell>
        </row>
        <row r="17002">
          <cell r="D17002" t="str">
            <v>2023</v>
          </cell>
        </row>
        <row r="17003">
          <cell r="D17003" t="str">
            <v>2023</v>
          </cell>
        </row>
        <row r="17004">
          <cell r="D17004" t="str">
            <v>2023</v>
          </cell>
        </row>
        <row r="17005">
          <cell r="D17005" t="str">
            <v>2023</v>
          </cell>
        </row>
        <row r="17006">
          <cell r="D17006" t="str">
            <v>2023</v>
          </cell>
        </row>
        <row r="17007">
          <cell r="D17007" t="str">
            <v>2024</v>
          </cell>
        </row>
        <row r="17008">
          <cell r="D17008" t="str">
            <v>2024</v>
          </cell>
        </row>
        <row r="17009">
          <cell r="D17009" t="str">
            <v>2023</v>
          </cell>
        </row>
        <row r="17010">
          <cell r="D17010" t="str">
            <v>2021</v>
          </cell>
        </row>
        <row r="17011">
          <cell r="D17011" t="str">
            <v>2023</v>
          </cell>
        </row>
        <row r="17012">
          <cell r="D17012" t="str">
            <v>2022</v>
          </cell>
        </row>
        <row r="17013">
          <cell r="D17013" t="str">
            <v>2023</v>
          </cell>
        </row>
        <row r="17014">
          <cell r="D17014" t="str">
            <v>2023</v>
          </cell>
        </row>
        <row r="17015">
          <cell r="D17015" t="str">
            <v>2021</v>
          </cell>
        </row>
        <row r="17016">
          <cell r="D17016" t="str">
            <v>2023</v>
          </cell>
        </row>
        <row r="17017">
          <cell r="D17017" t="str">
            <v>2023</v>
          </cell>
        </row>
        <row r="17018">
          <cell r="D17018" t="str">
            <v>2023</v>
          </cell>
        </row>
        <row r="17019">
          <cell r="D17019" t="str">
            <v>2024</v>
          </cell>
        </row>
        <row r="17020">
          <cell r="D17020" t="str">
            <v>2023</v>
          </cell>
        </row>
        <row r="17021">
          <cell r="D17021" t="str">
            <v>2023</v>
          </cell>
        </row>
        <row r="17022">
          <cell r="D17022" t="str">
            <v>2023</v>
          </cell>
        </row>
        <row r="17023">
          <cell r="D17023" t="str">
            <v>2022</v>
          </cell>
        </row>
        <row r="17024">
          <cell r="D17024" t="str">
            <v>2023</v>
          </cell>
        </row>
        <row r="17025">
          <cell r="D17025" t="str">
            <v>2023</v>
          </cell>
        </row>
        <row r="17026">
          <cell r="D17026" t="str">
            <v>2021</v>
          </cell>
        </row>
        <row r="17027">
          <cell r="D17027" t="str">
            <v>2023</v>
          </cell>
        </row>
        <row r="17028">
          <cell r="D17028" t="str">
            <v>2023</v>
          </cell>
        </row>
        <row r="17029">
          <cell r="D17029" t="str">
            <v>2023</v>
          </cell>
        </row>
        <row r="17030">
          <cell r="D17030" t="str">
            <v>2023</v>
          </cell>
        </row>
        <row r="17031">
          <cell r="D17031" t="str">
            <v>2023</v>
          </cell>
        </row>
        <row r="17032">
          <cell r="D17032" t="str">
            <v>2023</v>
          </cell>
        </row>
        <row r="17033">
          <cell r="D17033" t="str">
            <v>2023</v>
          </cell>
        </row>
        <row r="17034">
          <cell r="D17034" t="str">
            <v>2023</v>
          </cell>
        </row>
        <row r="17035">
          <cell r="D17035" t="str">
            <v>2023</v>
          </cell>
        </row>
        <row r="17036">
          <cell r="D17036" t="str">
            <v>2023</v>
          </cell>
        </row>
        <row r="17037">
          <cell r="D17037" t="str">
            <v>2022</v>
          </cell>
        </row>
        <row r="17038">
          <cell r="D17038" t="str">
            <v>2023</v>
          </cell>
        </row>
        <row r="17039">
          <cell r="D17039" t="str">
            <v>2023</v>
          </cell>
        </row>
        <row r="17040">
          <cell r="D17040" t="str">
            <v>2023</v>
          </cell>
        </row>
        <row r="17041">
          <cell r="D17041" t="str">
            <v>2023</v>
          </cell>
        </row>
        <row r="17042">
          <cell r="D17042" t="str">
            <v>2024</v>
          </cell>
        </row>
        <row r="17043">
          <cell r="D17043" t="str">
            <v>2023</v>
          </cell>
        </row>
        <row r="17044">
          <cell r="D17044" t="str">
            <v>2022</v>
          </cell>
        </row>
        <row r="17045">
          <cell r="D17045" t="str">
            <v>2023</v>
          </cell>
        </row>
        <row r="17046">
          <cell r="D17046" t="str">
            <v>2023</v>
          </cell>
        </row>
        <row r="17047">
          <cell r="D17047" t="str">
            <v>2021</v>
          </cell>
        </row>
        <row r="17048">
          <cell r="D17048" t="str">
            <v>2021</v>
          </cell>
        </row>
        <row r="17049">
          <cell r="D17049" t="str">
            <v>2022</v>
          </cell>
        </row>
        <row r="17050">
          <cell r="D17050" t="str">
            <v>2022</v>
          </cell>
        </row>
        <row r="17051">
          <cell r="D17051" t="str">
            <v>2023</v>
          </cell>
        </row>
        <row r="17052">
          <cell r="D17052" t="str">
            <v>2023</v>
          </cell>
        </row>
        <row r="17053">
          <cell r="D17053" t="str">
            <v>2023</v>
          </cell>
        </row>
        <row r="17054">
          <cell r="D17054" t="str">
            <v>2022</v>
          </cell>
        </row>
        <row r="17055">
          <cell r="D17055" t="str">
            <v>2023</v>
          </cell>
        </row>
        <row r="17056">
          <cell r="D17056" t="str">
            <v>2023</v>
          </cell>
        </row>
        <row r="17057">
          <cell r="D17057" t="str">
            <v>2021</v>
          </cell>
        </row>
        <row r="17058">
          <cell r="D17058" t="str">
            <v>2021</v>
          </cell>
        </row>
        <row r="17059">
          <cell r="D17059" t="str">
            <v>2023</v>
          </cell>
        </row>
        <row r="17060">
          <cell r="D17060" t="str">
            <v>2023</v>
          </cell>
        </row>
        <row r="17061">
          <cell r="D17061" t="str">
            <v>2023</v>
          </cell>
        </row>
        <row r="17062">
          <cell r="D17062" t="str">
            <v>2023</v>
          </cell>
        </row>
        <row r="17063">
          <cell r="D17063" t="str">
            <v>2023</v>
          </cell>
        </row>
        <row r="17064">
          <cell r="D17064" t="str">
            <v>2024</v>
          </cell>
        </row>
        <row r="17065">
          <cell r="D17065" t="str">
            <v>2023</v>
          </cell>
        </row>
        <row r="17066">
          <cell r="D17066" t="str">
            <v>2023</v>
          </cell>
        </row>
        <row r="17067">
          <cell r="D17067" t="str">
            <v>2022</v>
          </cell>
        </row>
        <row r="17068">
          <cell r="D17068" t="str">
            <v>2023</v>
          </cell>
        </row>
        <row r="17069">
          <cell r="D17069" t="str">
            <v>2023</v>
          </cell>
        </row>
        <row r="17070">
          <cell r="D17070" t="str">
            <v>2023</v>
          </cell>
        </row>
        <row r="17071">
          <cell r="D17071" t="str">
            <v>2022</v>
          </cell>
        </row>
        <row r="17072">
          <cell r="D17072" t="str">
            <v>2023</v>
          </cell>
        </row>
        <row r="17073">
          <cell r="D17073" t="str">
            <v>2023</v>
          </cell>
        </row>
        <row r="17074">
          <cell r="D17074" t="str">
            <v>2024</v>
          </cell>
        </row>
        <row r="17075">
          <cell r="D17075" t="str">
            <v>2022</v>
          </cell>
        </row>
        <row r="17076">
          <cell r="D17076" t="str">
            <v>2023</v>
          </cell>
        </row>
        <row r="17077">
          <cell r="D17077" t="str">
            <v>2023</v>
          </cell>
        </row>
        <row r="17078">
          <cell r="D17078" t="str">
            <v>2022</v>
          </cell>
        </row>
        <row r="17079">
          <cell r="D17079" t="str">
            <v>2023</v>
          </cell>
        </row>
        <row r="17080">
          <cell r="D17080" t="str">
            <v>2022</v>
          </cell>
        </row>
        <row r="17081">
          <cell r="D17081" t="str">
            <v>2023</v>
          </cell>
        </row>
        <row r="17082">
          <cell r="D17082" t="str">
            <v>2023</v>
          </cell>
        </row>
        <row r="17083">
          <cell r="D17083" t="str">
            <v>2022</v>
          </cell>
        </row>
        <row r="17084">
          <cell r="D17084" t="str">
            <v>2023</v>
          </cell>
        </row>
        <row r="17085">
          <cell r="D17085" t="str">
            <v>2023</v>
          </cell>
        </row>
        <row r="17086">
          <cell r="D17086" t="str">
            <v>2021</v>
          </cell>
        </row>
        <row r="17087">
          <cell r="D17087" t="str">
            <v>2022</v>
          </cell>
        </row>
        <row r="17088">
          <cell r="D17088" t="str">
            <v>2023</v>
          </cell>
        </row>
        <row r="17089">
          <cell r="D17089" t="str">
            <v>2024</v>
          </cell>
        </row>
        <row r="17090">
          <cell r="D17090" t="str">
            <v>2024</v>
          </cell>
        </row>
        <row r="17091">
          <cell r="D17091" t="str">
            <v>2022</v>
          </cell>
        </row>
        <row r="17092">
          <cell r="D17092" t="str">
            <v>2023</v>
          </cell>
        </row>
        <row r="17093">
          <cell r="D17093" t="str">
            <v>2023</v>
          </cell>
        </row>
        <row r="17094">
          <cell r="D17094" t="str">
            <v>2023</v>
          </cell>
        </row>
        <row r="17095">
          <cell r="D17095" t="str">
            <v>2023</v>
          </cell>
        </row>
        <row r="17096">
          <cell r="D17096" t="str">
            <v>2023</v>
          </cell>
        </row>
        <row r="17097">
          <cell r="D17097" t="str">
            <v>2023</v>
          </cell>
        </row>
        <row r="17098">
          <cell r="D17098" t="str">
            <v>2022</v>
          </cell>
        </row>
        <row r="17099">
          <cell r="D17099" t="str">
            <v>2023</v>
          </cell>
        </row>
        <row r="17100">
          <cell r="D17100" t="str">
            <v>2023</v>
          </cell>
        </row>
        <row r="17101">
          <cell r="D17101" t="str">
            <v>2023</v>
          </cell>
        </row>
        <row r="17102">
          <cell r="D17102" t="str">
            <v>2022</v>
          </cell>
        </row>
        <row r="17103">
          <cell r="D17103" t="str">
            <v>2023</v>
          </cell>
        </row>
        <row r="17104">
          <cell r="D17104" t="str">
            <v>2023</v>
          </cell>
        </row>
        <row r="17105">
          <cell r="D17105" t="str">
            <v>2023</v>
          </cell>
        </row>
        <row r="17106">
          <cell r="D17106" t="str">
            <v>2023</v>
          </cell>
        </row>
        <row r="17107">
          <cell r="D17107" t="str">
            <v>2021</v>
          </cell>
        </row>
        <row r="17108">
          <cell r="D17108" t="str">
            <v>2023</v>
          </cell>
        </row>
        <row r="17109">
          <cell r="D17109" t="str">
            <v>2023</v>
          </cell>
        </row>
        <row r="17110">
          <cell r="D17110" t="str">
            <v>2023</v>
          </cell>
        </row>
        <row r="17111">
          <cell r="D17111" t="str">
            <v>2021</v>
          </cell>
        </row>
        <row r="17112">
          <cell r="D17112" t="str">
            <v>2023</v>
          </cell>
        </row>
        <row r="17113">
          <cell r="D17113" t="str">
            <v>2024</v>
          </cell>
        </row>
        <row r="17114">
          <cell r="D17114" t="str">
            <v>2022</v>
          </cell>
        </row>
        <row r="17115">
          <cell r="D17115" t="str">
            <v>2022</v>
          </cell>
        </row>
        <row r="17116">
          <cell r="D17116" t="str">
            <v>2023</v>
          </cell>
        </row>
        <row r="17117">
          <cell r="D17117" t="str">
            <v>2023</v>
          </cell>
        </row>
        <row r="17118">
          <cell r="D17118" t="str">
            <v>2023</v>
          </cell>
        </row>
        <row r="17119">
          <cell r="D17119" t="str">
            <v>2023</v>
          </cell>
        </row>
        <row r="17120">
          <cell r="D17120" t="str">
            <v>2023</v>
          </cell>
        </row>
        <row r="17121">
          <cell r="D17121" t="str">
            <v>2023</v>
          </cell>
        </row>
        <row r="17122">
          <cell r="D17122" t="str">
            <v>2023</v>
          </cell>
        </row>
        <row r="17123">
          <cell r="D17123" t="str">
            <v>2023</v>
          </cell>
        </row>
        <row r="17124">
          <cell r="D17124" t="str">
            <v>2023</v>
          </cell>
        </row>
        <row r="17125">
          <cell r="D17125" t="str">
            <v>2023</v>
          </cell>
        </row>
        <row r="17126">
          <cell r="D17126" t="str">
            <v>2023</v>
          </cell>
        </row>
        <row r="17127">
          <cell r="D17127" t="str">
            <v>2022</v>
          </cell>
        </row>
        <row r="17128">
          <cell r="D17128" t="str">
            <v>2023</v>
          </cell>
        </row>
        <row r="17129">
          <cell r="D17129" t="str">
            <v>2021</v>
          </cell>
        </row>
        <row r="17130">
          <cell r="D17130" t="str">
            <v>2022</v>
          </cell>
        </row>
        <row r="17131">
          <cell r="D17131" t="str">
            <v>2023</v>
          </cell>
        </row>
        <row r="17132">
          <cell r="D17132" t="str">
            <v>2023</v>
          </cell>
        </row>
        <row r="17133">
          <cell r="D17133" t="str">
            <v>2022</v>
          </cell>
        </row>
        <row r="17134">
          <cell r="D17134" t="str">
            <v>2023</v>
          </cell>
        </row>
        <row r="17135">
          <cell r="D17135" t="str">
            <v>2023</v>
          </cell>
        </row>
        <row r="17136">
          <cell r="D17136" t="str">
            <v>2021</v>
          </cell>
        </row>
        <row r="17137">
          <cell r="D17137" t="str">
            <v>2023</v>
          </cell>
        </row>
        <row r="17138">
          <cell r="D17138" t="str">
            <v>2023</v>
          </cell>
        </row>
        <row r="17139">
          <cell r="D17139" t="str">
            <v>2022</v>
          </cell>
        </row>
        <row r="17140">
          <cell r="D17140" t="str">
            <v>2023</v>
          </cell>
        </row>
        <row r="17141">
          <cell r="D17141" t="str">
            <v>2023</v>
          </cell>
        </row>
        <row r="17142">
          <cell r="D17142" t="str">
            <v>2022</v>
          </cell>
        </row>
        <row r="17143">
          <cell r="D17143" t="str">
            <v>2023</v>
          </cell>
        </row>
        <row r="17144">
          <cell r="D17144" t="str">
            <v>2023</v>
          </cell>
        </row>
        <row r="17145">
          <cell r="D17145" t="str">
            <v>2023</v>
          </cell>
        </row>
        <row r="17146">
          <cell r="D17146" t="str">
            <v>2022</v>
          </cell>
        </row>
        <row r="17147">
          <cell r="D17147" t="str">
            <v>2023</v>
          </cell>
        </row>
        <row r="17148">
          <cell r="D17148" t="str">
            <v>2023</v>
          </cell>
        </row>
        <row r="17149">
          <cell r="D17149" t="str">
            <v>2023</v>
          </cell>
        </row>
        <row r="17150">
          <cell r="D17150" t="str">
            <v>2023</v>
          </cell>
        </row>
        <row r="17151">
          <cell r="D17151" t="str">
            <v>2021</v>
          </cell>
        </row>
        <row r="17152">
          <cell r="D17152" t="str">
            <v>2023</v>
          </cell>
        </row>
        <row r="17153">
          <cell r="D17153" t="str">
            <v>2021</v>
          </cell>
        </row>
        <row r="17154">
          <cell r="D17154" t="str">
            <v>2022</v>
          </cell>
        </row>
        <row r="17155">
          <cell r="D17155" t="str">
            <v>2023</v>
          </cell>
        </row>
        <row r="17156">
          <cell r="D17156" t="str">
            <v>2023</v>
          </cell>
        </row>
        <row r="17157">
          <cell r="D17157" t="str">
            <v>2022</v>
          </cell>
        </row>
        <row r="17158">
          <cell r="D17158" t="str">
            <v>2022</v>
          </cell>
        </row>
        <row r="17159">
          <cell r="D17159" t="str">
            <v>2023</v>
          </cell>
        </row>
        <row r="17160">
          <cell r="D17160" t="str">
            <v>2023</v>
          </cell>
        </row>
        <row r="17161">
          <cell r="D17161" t="str">
            <v>2023</v>
          </cell>
        </row>
        <row r="17162">
          <cell r="D17162" t="str">
            <v>2023</v>
          </cell>
        </row>
        <row r="17163">
          <cell r="D17163" t="str">
            <v>2023</v>
          </cell>
        </row>
        <row r="17164">
          <cell r="D17164" t="str">
            <v>2022</v>
          </cell>
        </row>
        <row r="17165">
          <cell r="D17165" t="str">
            <v>2024</v>
          </cell>
        </row>
        <row r="17166">
          <cell r="D17166" t="str">
            <v>2023</v>
          </cell>
        </row>
        <row r="17167">
          <cell r="D17167" t="str">
            <v>2023</v>
          </cell>
        </row>
        <row r="17168">
          <cell r="D17168" t="str">
            <v>2023</v>
          </cell>
        </row>
        <row r="17169">
          <cell r="D17169" t="str">
            <v>2023</v>
          </cell>
        </row>
        <row r="17170">
          <cell r="D17170" t="str">
            <v>2023</v>
          </cell>
        </row>
        <row r="17171">
          <cell r="D17171" t="str">
            <v>2023</v>
          </cell>
        </row>
        <row r="17172">
          <cell r="D17172" t="str">
            <v>2023</v>
          </cell>
        </row>
        <row r="17173">
          <cell r="D17173" t="str">
            <v>2024</v>
          </cell>
        </row>
        <row r="17174">
          <cell r="D17174" t="str">
            <v>2023</v>
          </cell>
        </row>
        <row r="17175">
          <cell r="D17175" t="str">
            <v>2023</v>
          </cell>
        </row>
        <row r="17176">
          <cell r="D17176" t="str">
            <v>2023</v>
          </cell>
        </row>
        <row r="17177">
          <cell r="D17177" t="str">
            <v>2023</v>
          </cell>
        </row>
        <row r="17178">
          <cell r="D17178" t="str">
            <v>2023</v>
          </cell>
        </row>
        <row r="17179">
          <cell r="D17179" t="str">
            <v>2023</v>
          </cell>
        </row>
        <row r="17180">
          <cell r="D17180" t="str">
            <v>2023</v>
          </cell>
        </row>
        <row r="17181">
          <cell r="D17181" t="str">
            <v>2024</v>
          </cell>
        </row>
        <row r="17182">
          <cell r="D17182" t="str">
            <v>2023</v>
          </cell>
        </row>
        <row r="17183">
          <cell r="D17183" t="str">
            <v>2023</v>
          </cell>
        </row>
        <row r="17184">
          <cell r="D17184" t="str">
            <v>2023</v>
          </cell>
        </row>
        <row r="17185">
          <cell r="D17185" t="str">
            <v>2023</v>
          </cell>
        </row>
        <row r="17186">
          <cell r="D17186" t="str">
            <v>2024</v>
          </cell>
        </row>
        <row r="17187">
          <cell r="D17187" t="str">
            <v>2023</v>
          </cell>
        </row>
        <row r="17188">
          <cell r="D17188" t="str">
            <v>2024</v>
          </cell>
        </row>
        <row r="17189">
          <cell r="D17189" t="str">
            <v>2023</v>
          </cell>
        </row>
        <row r="17190">
          <cell r="D17190" t="str">
            <v>2023</v>
          </cell>
        </row>
        <row r="17191">
          <cell r="D17191" t="str">
            <v>2023</v>
          </cell>
        </row>
        <row r="17192">
          <cell r="D17192" t="str">
            <v>2023</v>
          </cell>
        </row>
        <row r="17193">
          <cell r="D17193" t="str">
            <v>2024</v>
          </cell>
        </row>
        <row r="17194">
          <cell r="D17194" t="str">
            <v>2024</v>
          </cell>
        </row>
        <row r="17195">
          <cell r="D17195" t="str">
            <v>2024</v>
          </cell>
        </row>
        <row r="17196">
          <cell r="D17196" t="str">
            <v>2024</v>
          </cell>
        </row>
        <row r="17197">
          <cell r="D17197" t="str">
            <v>2023</v>
          </cell>
        </row>
        <row r="17198">
          <cell r="D17198" t="str">
            <v>2023</v>
          </cell>
        </row>
        <row r="17199">
          <cell r="D17199" t="str">
            <v>2023</v>
          </cell>
        </row>
        <row r="17200">
          <cell r="D17200" t="str">
            <v>2023</v>
          </cell>
        </row>
        <row r="17201">
          <cell r="D17201" t="str">
            <v>2023</v>
          </cell>
        </row>
        <row r="17202">
          <cell r="D17202" t="str">
            <v>2023</v>
          </cell>
        </row>
        <row r="17203">
          <cell r="D17203" t="str">
            <v>2024</v>
          </cell>
        </row>
        <row r="17204">
          <cell r="D17204" t="str">
            <v>2024</v>
          </cell>
        </row>
        <row r="17205">
          <cell r="D17205" t="str">
            <v>2024</v>
          </cell>
        </row>
        <row r="17206">
          <cell r="D17206" t="str">
            <v>2024</v>
          </cell>
        </row>
        <row r="17207">
          <cell r="D17207" t="str">
            <v>2024</v>
          </cell>
        </row>
        <row r="17208">
          <cell r="D17208" t="str">
            <v>2024</v>
          </cell>
        </row>
        <row r="17209">
          <cell r="D17209" t="str">
            <v>2024</v>
          </cell>
        </row>
        <row r="17210">
          <cell r="D17210" t="str">
            <v>2023</v>
          </cell>
        </row>
        <row r="17211">
          <cell r="D17211" t="str">
            <v>2024</v>
          </cell>
        </row>
        <row r="17212">
          <cell r="D17212" t="str">
            <v>2023</v>
          </cell>
        </row>
        <row r="17213">
          <cell r="D17213" t="str">
            <v>2024</v>
          </cell>
        </row>
        <row r="17214">
          <cell r="D17214" t="str">
            <v>2023</v>
          </cell>
        </row>
        <row r="17215">
          <cell r="D17215" t="str">
            <v>2024</v>
          </cell>
        </row>
        <row r="17216">
          <cell r="D17216" t="str">
            <v>2023</v>
          </cell>
        </row>
        <row r="17217">
          <cell r="D17217" t="str">
            <v>2024</v>
          </cell>
        </row>
        <row r="17218">
          <cell r="D17218" t="str">
            <v>2023</v>
          </cell>
        </row>
        <row r="17219">
          <cell r="D17219" t="str">
            <v>2024</v>
          </cell>
        </row>
        <row r="17220">
          <cell r="D17220" t="str">
            <v>2023</v>
          </cell>
        </row>
        <row r="17221">
          <cell r="D17221" t="str">
            <v>2023</v>
          </cell>
        </row>
        <row r="17222">
          <cell r="D17222" t="str">
            <v>2024</v>
          </cell>
        </row>
        <row r="17223">
          <cell r="D17223" t="str">
            <v>2024</v>
          </cell>
        </row>
        <row r="17224">
          <cell r="D17224" t="str">
            <v>2023</v>
          </cell>
        </row>
        <row r="17225">
          <cell r="D17225" t="str">
            <v>2024</v>
          </cell>
        </row>
        <row r="17226">
          <cell r="D17226" t="str">
            <v>2023</v>
          </cell>
        </row>
        <row r="17227">
          <cell r="D17227" t="str">
            <v>2024</v>
          </cell>
        </row>
        <row r="17228">
          <cell r="D17228" t="str">
            <v>2024</v>
          </cell>
        </row>
        <row r="17229">
          <cell r="D17229" t="str">
            <v>2023</v>
          </cell>
        </row>
        <row r="17230">
          <cell r="D17230" t="str">
            <v>2023</v>
          </cell>
        </row>
        <row r="17231">
          <cell r="D17231" t="str">
            <v>2023</v>
          </cell>
        </row>
        <row r="17232">
          <cell r="D17232" t="str">
            <v>2024</v>
          </cell>
        </row>
        <row r="17233">
          <cell r="D17233" t="str">
            <v>2024</v>
          </cell>
        </row>
        <row r="17234">
          <cell r="D17234" t="str">
            <v>2024</v>
          </cell>
        </row>
        <row r="17235">
          <cell r="D17235" t="str">
            <v>2024</v>
          </cell>
        </row>
        <row r="17236">
          <cell r="D17236" t="str">
            <v>2024</v>
          </cell>
        </row>
        <row r="17237">
          <cell r="D17237" t="str">
            <v>2023</v>
          </cell>
        </row>
        <row r="17238">
          <cell r="D17238" t="str">
            <v>2023</v>
          </cell>
        </row>
        <row r="17239">
          <cell r="D17239" t="str">
            <v>2024</v>
          </cell>
        </row>
        <row r="17240">
          <cell r="D17240" t="str">
            <v>2024</v>
          </cell>
        </row>
        <row r="17241">
          <cell r="D17241" t="str">
            <v>2024</v>
          </cell>
        </row>
        <row r="17242">
          <cell r="D17242" t="str">
            <v>2023</v>
          </cell>
        </row>
        <row r="17243">
          <cell r="D17243" t="str">
            <v>2024</v>
          </cell>
        </row>
        <row r="17244">
          <cell r="D17244" t="str">
            <v>2024</v>
          </cell>
        </row>
        <row r="17245">
          <cell r="D17245" t="str">
            <v>2023</v>
          </cell>
        </row>
        <row r="17246">
          <cell r="D17246" t="str">
            <v>2024</v>
          </cell>
        </row>
        <row r="17247">
          <cell r="D17247" t="str">
            <v>2023</v>
          </cell>
        </row>
        <row r="17248">
          <cell r="D17248" t="str">
            <v>2024</v>
          </cell>
        </row>
        <row r="17249">
          <cell r="D17249" t="str">
            <v>2024</v>
          </cell>
        </row>
        <row r="17250">
          <cell r="D17250" t="str">
            <v>2024</v>
          </cell>
        </row>
        <row r="17251">
          <cell r="D17251" t="str">
            <v>2024</v>
          </cell>
        </row>
        <row r="17252">
          <cell r="D17252" t="str">
            <v>2023</v>
          </cell>
        </row>
        <row r="17253">
          <cell r="D17253" t="str">
            <v>2024</v>
          </cell>
        </row>
        <row r="17254">
          <cell r="D17254" t="str">
            <v>2023</v>
          </cell>
        </row>
        <row r="17255">
          <cell r="D17255" t="str">
            <v>2024</v>
          </cell>
        </row>
        <row r="17256">
          <cell r="D17256" t="str">
            <v>2024</v>
          </cell>
        </row>
        <row r="17257">
          <cell r="D17257" t="str">
            <v>2024</v>
          </cell>
        </row>
        <row r="17258">
          <cell r="D17258" t="str">
            <v>2023</v>
          </cell>
        </row>
        <row r="17259">
          <cell r="D17259" t="str">
            <v>2024</v>
          </cell>
        </row>
        <row r="17260">
          <cell r="D17260" t="str">
            <v>2024</v>
          </cell>
        </row>
        <row r="17261">
          <cell r="D17261" t="str">
            <v>2023</v>
          </cell>
        </row>
        <row r="17262">
          <cell r="D17262" t="str">
            <v>2023</v>
          </cell>
        </row>
        <row r="17263">
          <cell r="D17263" t="str">
            <v>2023</v>
          </cell>
        </row>
        <row r="17264">
          <cell r="D17264" t="str">
            <v>2024</v>
          </cell>
        </row>
        <row r="17265">
          <cell r="D17265" t="str">
            <v>2024</v>
          </cell>
        </row>
        <row r="17266">
          <cell r="D17266" t="str">
            <v>2024</v>
          </cell>
        </row>
        <row r="17267">
          <cell r="D17267" t="str">
            <v>2023</v>
          </cell>
        </row>
        <row r="17268">
          <cell r="D17268" t="str">
            <v>2024</v>
          </cell>
        </row>
        <row r="17269">
          <cell r="D17269" t="str">
            <v>2024</v>
          </cell>
        </row>
        <row r="17270">
          <cell r="D17270" t="str">
            <v>2024</v>
          </cell>
        </row>
        <row r="17271">
          <cell r="D17271" t="str">
            <v>2024</v>
          </cell>
        </row>
        <row r="17272">
          <cell r="D17272" t="str">
            <v>2024</v>
          </cell>
        </row>
        <row r="17273">
          <cell r="D17273" t="str">
            <v>2023</v>
          </cell>
        </row>
        <row r="17274">
          <cell r="D17274" t="str">
            <v>2024</v>
          </cell>
        </row>
        <row r="17275">
          <cell r="D17275" t="str">
            <v>2024</v>
          </cell>
        </row>
        <row r="17276">
          <cell r="D17276" t="str">
            <v>2024</v>
          </cell>
        </row>
        <row r="17277">
          <cell r="D17277" t="str">
            <v>2023</v>
          </cell>
        </row>
        <row r="17278">
          <cell r="D17278" t="str">
            <v>2024</v>
          </cell>
        </row>
        <row r="17279">
          <cell r="D17279" t="str">
            <v>2023</v>
          </cell>
        </row>
        <row r="17280">
          <cell r="D17280" t="str">
            <v>2024</v>
          </cell>
        </row>
        <row r="17281">
          <cell r="D17281" t="str">
            <v>2024</v>
          </cell>
        </row>
        <row r="17282">
          <cell r="D17282" t="str">
            <v>2024</v>
          </cell>
        </row>
        <row r="17283">
          <cell r="D17283" t="str">
            <v>2024</v>
          </cell>
        </row>
        <row r="17284">
          <cell r="D17284" t="str">
            <v>2024</v>
          </cell>
        </row>
        <row r="17285">
          <cell r="D17285" t="str">
            <v>2024</v>
          </cell>
        </row>
        <row r="17286">
          <cell r="D17286" t="str">
            <v>2024</v>
          </cell>
        </row>
        <row r="17287">
          <cell r="D17287" t="str">
            <v>2023</v>
          </cell>
        </row>
        <row r="17288">
          <cell r="D17288" t="str">
            <v>2024</v>
          </cell>
        </row>
        <row r="17289">
          <cell r="D17289" t="str">
            <v>2023</v>
          </cell>
        </row>
        <row r="17290">
          <cell r="D17290" t="str">
            <v>2023</v>
          </cell>
        </row>
        <row r="17291">
          <cell r="D17291" t="str">
            <v>2024</v>
          </cell>
        </row>
        <row r="17292">
          <cell r="D17292" t="str">
            <v>2024</v>
          </cell>
        </row>
        <row r="17293">
          <cell r="D17293" t="str">
            <v>2023</v>
          </cell>
        </row>
        <row r="17294">
          <cell r="D17294" t="str">
            <v>2024</v>
          </cell>
        </row>
        <row r="17295">
          <cell r="D17295" t="str">
            <v>2023</v>
          </cell>
        </row>
        <row r="17296">
          <cell r="D17296" t="str">
            <v>2024</v>
          </cell>
        </row>
        <row r="17297">
          <cell r="D17297" t="str">
            <v>2024</v>
          </cell>
        </row>
        <row r="17298">
          <cell r="D17298" t="str">
            <v>2024</v>
          </cell>
        </row>
        <row r="17299">
          <cell r="D17299" t="str">
            <v>2024</v>
          </cell>
        </row>
        <row r="17300">
          <cell r="D17300" t="str">
            <v>2023</v>
          </cell>
        </row>
        <row r="17301">
          <cell r="D17301" t="str">
            <v>2024</v>
          </cell>
        </row>
        <row r="17302">
          <cell r="D17302" t="str">
            <v>2024</v>
          </cell>
        </row>
        <row r="17303">
          <cell r="D17303" t="str">
            <v>2024</v>
          </cell>
        </row>
        <row r="17304">
          <cell r="D17304" t="str">
            <v>2023</v>
          </cell>
        </row>
        <row r="17305">
          <cell r="D17305" t="str">
            <v>2023</v>
          </cell>
        </row>
        <row r="17306">
          <cell r="D17306" t="str">
            <v>2023</v>
          </cell>
        </row>
        <row r="17307">
          <cell r="D17307" t="str">
            <v>2024</v>
          </cell>
        </row>
        <row r="17308">
          <cell r="D17308" t="str">
            <v>2024</v>
          </cell>
        </row>
        <row r="17309">
          <cell r="D17309" t="str">
            <v>2024</v>
          </cell>
        </row>
        <row r="17310">
          <cell r="D17310" t="str">
            <v>2024</v>
          </cell>
        </row>
        <row r="17311">
          <cell r="D17311" t="str">
            <v>2024</v>
          </cell>
        </row>
        <row r="17312">
          <cell r="D17312" t="str">
            <v>2024</v>
          </cell>
        </row>
        <row r="17313">
          <cell r="D17313" t="str">
            <v>2024</v>
          </cell>
        </row>
        <row r="17314">
          <cell r="D17314" t="str">
            <v>2024</v>
          </cell>
        </row>
        <row r="17315">
          <cell r="D17315" t="str">
            <v>2024</v>
          </cell>
        </row>
        <row r="17316">
          <cell r="D17316" t="str">
            <v>2024</v>
          </cell>
        </row>
        <row r="17317">
          <cell r="D17317" t="str">
            <v>2024</v>
          </cell>
        </row>
        <row r="17318">
          <cell r="D17318" t="str">
            <v>2024</v>
          </cell>
        </row>
        <row r="17319">
          <cell r="D17319" t="str">
            <v>2023</v>
          </cell>
        </row>
        <row r="17320">
          <cell r="D17320" t="str">
            <v>2024</v>
          </cell>
        </row>
        <row r="17321">
          <cell r="D17321" t="str">
            <v>2024</v>
          </cell>
        </row>
        <row r="17322">
          <cell r="D17322" t="str">
            <v>2023</v>
          </cell>
        </row>
        <row r="17323">
          <cell r="D17323" t="str">
            <v>2024</v>
          </cell>
        </row>
        <row r="17324">
          <cell r="D17324" t="str">
            <v>2024</v>
          </cell>
        </row>
        <row r="17325">
          <cell r="D17325" t="str">
            <v>2024</v>
          </cell>
        </row>
        <row r="17326">
          <cell r="D17326" t="str">
            <v>2024</v>
          </cell>
        </row>
        <row r="17327">
          <cell r="D17327" t="str">
            <v>2023</v>
          </cell>
        </row>
        <row r="17328">
          <cell r="D17328" t="str">
            <v>2024</v>
          </cell>
        </row>
        <row r="17329">
          <cell r="D17329" t="str">
            <v>2023</v>
          </cell>
        </row>
        <row r="17330">
          <cell r="D17330" t="str">
            <v>2023</v>
          </cell>
        </row>
        <row r="17331">
          <cell r="D17331" t="str">
            <v>2023</v>
          </cell>
        </row>
        <row r="17332">
          <cell r="D17332" t="str">
            <v>2023</v>
          </cell>
        </row>
        <row r="17333">
          <cell r="D17333" t="str">
            <v>2024</v>
          </cell>
        </row>
        <row r="17334">
          <cell r="D17334" t="str">
            <v>2024</v>
          </cell>
        </row>
        <row r="17335">
          <cell r="D17335" t="str">
            <v>2024</v>
          </cell>
        </row>
        <row r="17336">
          <cell r="D17336" t="str">
            <v>2024</v>
          </cell>
        </row>
        <row r="17337">
          <cell r="D17337" t="str">
            <v>2024</v>
          </cell>
        </row>
        <row r="17338">
          <cell r="D17338" t="str">
            <v>2024</v>
          </cell>
        </row>
        <row r="17339">
          <cell r="D17339" t="str">
            <v>2024</v>
          </cell>
        </row>
        <row r="17340">
          <cell r="D17340" t="str">
            <v>2023</v>
          </cell>
        </row>
        <row r="17341">
          <cell r="D17341" t="str">
            <v>2023</v>
          </cell>
        </row>
        <row r="17342">
          <cell r="D17342" t="str">
            <v>2023</v>
          </cell>
        </row>
        <row r="17343">
          <cell r="D17343" t="str">
            <v>2024</v>
          </cell>
        </row>
        <row r="17344">
          <cell r="D17344" t="str">
            <v>2024</v>
          </cell>
        </row>
        <row r="17345">
          <cell r="D17345" t="str">
            <v>2023</v>
          </cell>
        </row>
        <row r="17346">
          <cell r="D17346" t="str">
            <v>2023</v>
          </cell>
        </row>
        <row r="17347">
          <cell r="D17347" t="str">
            <v>2024</v>
          </cell>
        </row>
        <row r="17348">
          <cell r="D17348" t="str">
            <v>2024</v>
          </cell>
        </row>
        <row r="17349">
          <cell r="D17349" t="str">
            <v>2024</v>
          </cell>
        </row>
        <row r="17350">
          <cell r="D17350" t="str">
            <v>2024</v>
          </cell>
        </row>
        <row r="17351">
          <cell r="D17351" t="str">
            <v>2024</v>
          </cell>
        </row>
        <row r="17352">
          <cell r="D17352" t="str">
            <v>2024</v>
          </cell>
        </row>
        <row r="17353">
          <cell r="D17353" t="str">
            <v>2024</v>
          </cell>
        </row>
        <row r="17354">
          <cell r="D17354" t="str">
            <v>2024</v>
          </cell>
        </row>
        <row r="17355">
          <cell r="D17355" t="str">
            <v>2024</v>
          </cell>
        </row>
        <row r="17356">
          <cell r="D17356" t="str">
            <v>2024</v>
          </cell>
        </row>
        <row r="17357">
          <cell r="D17357" t="str">
            <v>2024</v>
          </cell>
        </row>
        <row r="17358">
          <cell r="D17358" t="str">
            <v>2024</v>
          </cell>
        </row>
        <row r="17359">
          <cell r="D17359" t="str">
            <v>2024</v>
          </cell>
        </row>
        <row r="17360">
          <cell r="D17360" t="str">
            <v>2024</v>
          </cell>
        </row>
        <row r="17361">
          <cell r="D17361" t="str">
            <v>2024</v>
          </cell>
        </row>
        <row r="17362">
          <cell r="D17362" t="str">
            <v>2024</v>
          </cell>
        </row>
        <row r="17363">
          <cell r="D17363" t="str">
            <v>2024</v>
          </cell>
        </row>
        <row r="17364">
          <cell r="D17364" t="str">
            <v>2024</v>
          </cell>
        </row>
        <row r="17365">
          <cell r="D17365" t="str">
            <v>2024</v>
          </cell>
        </row>
        <row r="17366">
          <cell r="D17366" t="str">
            <v>2024</v>
          </cell>
        </row>
        <row r="17367">
          <cell r="D17367" t="str">
            <v>2023</v>
          </cell>
        </row>
        <row r="17368">
          <cell r="D17368" t="str">
            <v>2024</v>
          </cell>
        </row>
        <row r="17369">
          <cell r="D17369" t="str">
            <v>2024</v>
          </cell>
        </row>
        <row r="17370">
          <cell r="D17370" t="str">
            <v>2023</v>
          </cell>
        </row>
        <row r="17371">
          <cell r="D17371" t="str">
            <v>2023</v>
          </cell>
        </row>
        <row r="17372">
          <cell r="D17372" t="str">
            <v>2023</v>
          </cell>
        </row>
        <row r="17373">
          <cell r="D17373" t="str">
            <v>2024</v>
          </cell>
        </row>
        <row r="17374">
          <cell r="D17374" t="str">
            <v>2024</v>
          </cell>
        </row>
        <row r="17375">
          <cell r="D17375" t="str">
            <v>2024</v>
          </cell>
        </row>
        <row r="17376">
          <cell r="D17376" t="str">
            <v>2023</v>
          </cell>
        </row>
        <row r="17377">
          <cell r="D17377" t="str">
            <v>2024</v>
          </cell>
        </row>
        <row r="17378">
          <cell r="D17378" t="str">
            <v>2023</v>
          </cell>
        </row>
        <row r="17379">
          <cell r="D17379" t="str">
            <v>2024</v>
          </cell>
        </row>
        <row r="17380">
          <cell r="D17380" t="str">
            <v>2024</v>
          </cell>
        </row>
        <row r="17381">
          <cell r="D17381" t="str">
            <v>2024</v>
          </cell>
        </row>
        <row r="17382">
          <cell r="D17382" t="str">
            <v>2024</v>
          </cell>
        </row>
        <row r="17383">
          <cell r="D17383" t="str">
            <v>2024</v>
          </cell>
        </row>
        <row r="17384">
          <cell r="D17384" t="str">
            <v>2024</v>
          </cell>
        </row>
        <row r="17385">
          <cell r="D17385" t="str">
            <v>2023</v>
          </cell>
        </row>
        <row r="17386">
          <cell r="D17386" t="str">
            <v>2023</v>
          </cell>
        </row>
        <row r="17387">
          <cell r="D17387" t="str">
            <v>2024</v>
          </cell>
        </row>
        <row r="17388">
          <cell r="D17388" t="str">
            <v>2024</v>
          </cell>
        </row>
        <row r="17389">
          <cell r="D17389" t="str">
            <v>2023</v>
          </cell>
        </row>
        <row r="17390">
          <cell r="D17390" t="str">
            <v>2024</v>
          </cell>
        </row>
        <row r="17391">
          <cell r="D17391" t="str">
            <v>2023</v>
          </cell>
        </row>
        <row r="17392">
          <cell r="D17392" t="str">
            <v>2024</v>
          </cell>
        </row>
        <row r="17393">
          <cell r="D17393" t="str">
            <v>2023</v>
          </cell>
        </row>
        <row r="17394">
          <cell r="D17394" t="str">
            <v>2023</v>
          </cell>
        </row>
        <row r="17395">
          <cell r="D17395" t="str">
            <v>2023</v>
          </cell>
        </row>
        <row r="17396">
          <cell r="D17396" t="str">
            <v>2024</v>
          </cell>
        </row>
        <row r="17397">
          <cell r="D17397" t="str">
            <v>2023</v>
          </cell>
        </row>
        <row r="17398">
          <cell r="D17398" t="str">
            <v>2024</v>
          </cell>
        </row>
        <row r="17399">
          <cell r="D17399" t="str">
            <v>2023</v>
          </cell>
        </row>
        <row r="17400">
          <cell r="D17400" t="str">
            <v>2023</v>
          </cell>
        </row>
        <row r="17401">
          <cell r="D17401" t="str">
            <v>2024</v>
          </cell>
        </row>
        <row r="17402">
          <cell r="D17402" t="str">
            <v>2023</v>
          </cell>
        </row>
        <row r="17403">
          <cell r="D17403" t="str">
            <v>2023</v>
          </cell>
        </row>
        <row r="17404">
          <cell r="D17404" t="str">
            <v>2023</v>
          </cell>
        </row>
        <row r="17405">
          <cell r="D17405" t="str">
            <v>2024</v>
          </cell>
        </row>
        <row r="17406">
          <cell r="D17406" t="str">
            <v>2024</v>
          </cell>
        </row>
        <row r="17407">
          <cell r="D17407" t="str">
            <v>2024</v>
          </cell>
        </row>
        <row r="17408">
          <cell r="D17408" t="str">
            <v>2024</v>
          </cell>
        </row>
        <row r="17409">
          <cell r="D17409" t="str">
            <v>2023</v>
          </cell>
        </row>
        <row r="17410">
          <cell r="D17410" t="str">
            <v>2024</v>
          </cell>
        </row>
        <row r="17411">
          <cell r="D17411" t="str">
            <v>2023</v>
          </cell>
        </row>
        <row r="17412">
          <cell r="D17412" t="str">
            <v>2023</v>
          </cell>
        </row>
        <row r="17413">
          <cell r="D17413" t="str">
            <v>2023</v>
          </cell>
        </row>
        <row r="17414">
          <cell r="D17414" t="str">
            <v>2023</v>
          </cell>
        </row>
        <row r="17415">
          <cell r="D17415" t="str">
            <v>2023</v>
          </cell>
        </row>
        <row r="17416">
          <cell r="D17416" t="str">
            <v>2024</v>
          </cell>
        </row>
        <row r="17417">
          <cell r="D17417" t="str">
            <v>2023</v>
          </cell>
        </row>
        <row r="17418">
          <cell r="D17418" t="str">
            <v>2024</v>
          </cell>
        </row>
        <row r="17419">
          <cell r="D17419" t="str">
            <v>2024</v>
          </cell>
        </row>
        <row r="17420">
          <cell r="D17420" t="str">
            <v>2024</v>
          </cell>
        </row>
        <row r="17421">
          <cell r="D17421" t="str">
            <v>2023</v>
          </cell>
        </row>
        <row r="17422">
          <cell r="D17422" t="str">
            <v>2024</v>
          </cell>
        </row>
        <row r="17423">
          <cell r="D17423" t="str">
            <v>2024</v>
          </cell>
        </row>
        <row r="17424">
          <cell r="D17424" t="str">
            <v>2023</v>
          </cell>
        </row>
        <row r="17425">
          <cell r="D17425" t="str">
            <v>2024</v>
          </cell>
        </row>
        <row r="17426">
          <cell r="D17426" t="str">
            <v>2024</v>
          </cell>
        </row>
        <row r="17427">
          <cell r="D17427" t="str">
            <v>2023</v>
          </cell>
        </row>
        <row r="17428">
          <cell r="D17428" t="str">
            <v>2024</v>
          </cell>
        </row>
        <row r="17429">
          <cell r="D17429" t="str">
            <v>2024</v>
          </cell>
        </row>
        <row r="17430">
          <cell r="D17430" t="str">
            <v>2023</v>
          </cell>
        </row>
        <row r="17431">
          <cell r="D17431" t="str">
            <v>2023</v>
          </cell>
        </row>
        <row r="17432">
          <cell r="D17432" t="str">
            <v>2023</v>
          </cell>
        </row>
        <row r="17433">
          <cell r="D17433" t="str">
            <v>2024</v>
          </cell>
        </row>
        <row r="17434">
          <cell r="D17434" t="str">
            <v>2023</v>
          </cell>
        </row>
        <row r="17435">
          <cell r="D17435" t="str">
            <v>2024</v>
          </cell>
        </row>
        <row r="17436">
          <cell r="D17436" t="str">
            <v>2023</v>
          </cell>
        </row>
        <row r="17437">
          <cell r="D17437" t="str">
            <v>2023</v>
          </cell>
        </row>
        <row r="17438">
          <cell r="D17438" t="str">
            <v>2023</v>
          </cell>
        </row>
        <row r="17439">
          <cell r="D17439" t="str">
            <v>2023</v>
          </cell>
        </row>
        <row r="17440">
          <cell r="D17440" t="str">
            <v>2023</v>
          </cell>
        </row>
        <row r="17441">
          <cell r="D17441" t="str">
            <v>2023</v>
          </cell>
        </row>
        <row r="17442">
          <cell r="D17442" t="str">
            <v>2023</v>
          </cell>
        </row>
        <row r="17443">
          <cell r="D17443" t="str">
            <v>2023</v>
          </cell>
        </row>
        <row r="17444">
          <cell r="D17444" t="str">
            <v>2023</v>
          </cell>
        </row>
        <row r="17445">
          <cell r="D17445" t="str">
            <v>2023</v>
          </cell>
        </row>
        <row r="17446">
          <cell r="D17446" t="str">
            <v>2023</v>
          </cell>
        </row>
        <row r="17447">
          <cell r="D17447" t="str">
            <v>2023</v>
          </cell>
        </row>
        <row r="17448">
          <cell r="D17448" t="str">
            <v>2023</v>
          </cell>
        </row>
        <row r="17449">
          <cell r="D17449" t="str">
            <v>2023</v>
          </cell>
        </row>
        <row r="17450">
          <cell r="D17450" t="str">
            <v>2023</v>
          </cell>
        </row>
        <row r="17451">
          <cell r="D17451" t="str">
            <v>2023</v>
          </cell>
        </row>
        <row r="17452">
          <cell r="D17452" t="str">
            <v>2023</v>
          </cell>
        </row>
        <row r="17453">
          <cell r="D17453" t="str">
            <v>2023</v>
          </cell>
        </row>
        <row r="17454">
          <cell r="D17454" t="str">
            <v>2023</v>
          </cell>
        </row>
        <row r="17455">
          <cell r="D17455" t="str">
            <v>2023</v>
          </cell>
        </row>
        <row r="17456">
          <cell r="D17456" t="str">
            <v>2023</v>
          </cell>
        </row>
        <row r="17457">
          <cell r="D17457" t="str">
            <v>2023</v>
          </cell>
        </row>
        <row r="17458">
          <cell r="D17458" t="str">
            <v>2023</v>
          </cell>
        </row>
        <row r="17459">
          <cell r="D17459" t="str">
            <v>2023</v>
          </cell>
        </row>
        <row r="17460">
          <cell r="D17460" t="str">
            <v>2023</v>
          </cell>
        </row>
        <row r="17461">
          <cell r="D17461" t="str">
            <v>2023</v>
          </cell>
        </row>
        <row r="17462">
          <cell r="D17462" t="str">
            <v>2023</v>
          </cell>
        </row>
        <row r="17463">
          <cell r="D17463" t="str">
            <v>2023</v>
          </cell>
        </row>
        <row r="17464">
          <cell r="D17464" t="str">
            <v>2023</v>
          </cell>
        </row>
        <row r="17465">
          <cell r="D17465" t="str">
            <v>2023</v>
          </cell>
        </row>
        <row r="17466">
          <cell r="D17466" t="str">
            <v>2023</v>
          </cell>
        </row>
        <row r="17467">
          <cell r="D17467" t="str">
            <v>2023</v>
          </cell>
        </row>
        <row r="17468">
          <cell r="D17468" t="str">
            <v>2023</v>
          </cell>
        </row>
        <row r="17469">
          <cell r="D17469" t="str">
            <v>2023</v>
          </cell>
        </row>
        <row r="17470">
          <cell r="D17470" t="str">
            <v>2023</v>
          </cell>
        </row>
        <row r="17471">
          <cell r="D17471" t="str">
            <v>2023</v>
          </cell>
        </row>
        <row r="17472">
          <cell r="D17472" t="str">
            <v>2023</v>
          </cell>
        </row>
        <row r="17473">
          <cell r="D17473" t="str">
            <v>2023</v>
          </cell>
        </row>
        <row r="17474">
          <cell r="D17474" t="str">
            <v>2023</v>
          </cell>
        </row>
        <row r="17475">
          <cell r="D17475" t="str">
            <v>2023</v>
          </cell>
        </row>
        <row r="17476">
          <cell r="D17476" t="str">
            <v>2023</v>
          </cell>
        </row>
        <row r="17477">
          <cell r="D17477" t="str">
            <v>2023</v>
          </cell>
        </row>
        <row r="17478">
          <cell r="D17478" t="str">
            <v>2023</v>
          </cell>
        </row>
        <row r="17479">
          <cell r="D17479" t="str">
            <v>2023</v>
          </cell>
        </row>
        <row r="17480">
          <cell r="D17480" t="str">
            <v>2023</v>
          </cell>
        </row>
        <row r="17481">
          <cell r="D17481" t="str">
            <v>2023</v>
          </cell>
        </row>
        <row r="17482">
          <cell r="D17482" t="str">
            <v>2023</v>
          </cell>
        </row>
        <row r="17483">
          <cell r="D17483" t="str">
            <v>2023</v>
          </cell>
        </row>
        <row r="17484">
          <cell r="D17484" t="str">
            <v>2023</v>
          </cell>
        </row>
        <row r="17485">
          <cell r="D17485" t="str">
            <v>2023</v>
          </cell>
        </row>
        <row r="17486">
          <cell r="D17486" t="str">
            <v>2023</v>
          </cell>
        </row>
        <row r="17487">
          <cell r="D17487" t="str">
            <v>2023</v>
          </cell>
        </row>
        <row r="17488">
          <cell r="D17488" t="str">
            <v>2023</v>
          </cell>
        </row>
        <row r="17489">
          <cell r="D17489" t="str">
            <v>2023</v>
          </cell>
        </row>
        <row r="17490">
          <cell r="D17490" t="str">
            <v>2023</v>
          </cell>
        </row>
        <row r="17491">
          <cell r="D17491" t="str">
            <v>2023</v>
          </cell>
        </row>
        <row r="17492">
          <cell r="D17492" t="str">
            <v>2023</v>
          </cell>
        </row>
        <row r="17493">
          <cell r="D17493" t="str">
            <v>2023</v>
          </cell>
        </row>
        <row r="17494">
          <cell r="D17494" t="str">
            <v>2023</v>
          </cell>
        </row>
        <row r="17495">
          <cell r="D17495" t="str">
            <v>2023</v>
          </cell>
        </row>
        <row r="17496">
          <cell r="D17496" t="str">
            <v>2023</v>
          </cell>
        </row>
        <row r="17497">
          <cell r="D17497" t="str">
            <v>2023</v>
          </cell>
        </row>
        <row r="17498">
          <cell r="D17498" t="str">
            <v>2023</v>
          </cell>
        </row>
        <row r="17499">
          <cell r="D17499" t="str">
            <v>2023</v>
          </cell>
        </row>
        <row r="17500">
          <cell r="D17500" t="str">
            <v>2023</v>
          </cell>
        </row>
        <row r="17501">
          <cell r="D17501" t="str">
            <v>2023</v>
          </cell>
        </row>
        <row r="17502">
          <cell r="D17502" t="str">
            <v>2023</v>
          </cell>
        </row>
        <row r="17503">
          <cell r="D17503" t="str">
            <v>2023</v>
          </cell>
        </row>
        <row r="17504">
          <cell r="D17504" t="str">
            <v>2023</v>
          </cell>
        </row>
        <row r="17505">
          <cell r="D17505" t="str">
            <v>2023</v>
          </cell>
        </row>
        <row r="17506">
          <cell r="D17506" t="str">
            <v>2023</v>
          </cell>
        </row>
        <row r="17507">
          <cell r="D17507" t="str">
            <v>2023</v>
          </cell>
        </row>
        <row r="17508">
          <cell r="D17508" t="str">
            <v>2023</v>
          </cell>
        </row>
        <row r="17509">
          <cell r="D17509" t="str">
            <v>2023</v>
          </cell>
        </row>
        <row r="17510">
          <cell r="D17510" t="str">
            <v>2023</v>
          </cell>
        </row>
        <row r="17511">
          <cell r="D17511" t="str">
            <v>2023</v>
          </cell>
        </row>
        <row r="17512">
          <cell r="D17512" t="str">
            <v>2023</v>
          </cell>
        </row>
        <row r="17513">
          <cell r="D17513" t="str">
            <v>2023</v>
          </cell>
        </row>
        <row r="17514">
          <cell r="D17514" t="str">
            <v>2023</v>
          </cell>
        </row>
        <row r="17515">
          <cell r="D17515" t="str">
            <v>2023</v>
          </cell>
        </row>
        <row r="17516">
          <cell r="D17516" t="str">
            <v>2023</v>
          </cell>
        </row>
        <row r="17517">
          <cell r="D17517" t="str">
            <v>2023</v>
          </cell>
        </row>
        <row r="17518">
          <cell r="D17518" t="str">
            <v>2023</v>
          </cell>
        </row>
        <row r="17519">
          <cell r="D17519" t="str">
            <v>2023</v>
          </cell>
        </row>
        <row r="17520">
          <cell r="D17520" t="str">
            <v>2023</v>
          </cell>
        </row>
        <row r="17521">
          <cell r="D17521" t="str">
            <v>2023</v>
          </cell>
        </row>
        <row r="17522">
          <cell r="D17522" t="str">
            <v>2023</v>
          </cell>
        </row>
        <row r="17523">
          <cell r="D17523" t="str">
            <v>2023</v>
          </cell>
        </row>
        <row r="17524">
          <cell r="D17524" t="str">
            <v>2023</v>
          </cell>
        </row>
        <row r="17525">
          <cell r="D17525" t="str">
            <v>2023</v>
          </cell>
        </row>
        <row r="17526">
          <cell r="D17526" t="str">
            <v>2023</v>
          </cell>
        </row>
        <row r="17527">
          <cell r="D17527" t="str">
            <v>2023</v>
          </cell>
        </row>
        <row r="17528">
          <cell r="D17528" t="str">
            <v>2023</v>
          </cell>
        </row>
        <row r="17529">
          <cell r="D17529" t="str">
            <v>2023</v>
          </cell>
        </row>
        <row r="17530">
          <cell r="D17530" t="str">
            <v>2023</v>
          </cell>
        </row>
        <row r="17531">
          <cell r="D17531" t="str">
            <v>2023</v>
          </cell>
        </row>
        <row r="17532">
          <cell r="D17532" t="str">
            <v>2023</v>
          </cell>
        </row>
        <row r="17533">
          <cell r="D17533" t="str">
            <v>2023</v>
          </cell>
        </row>
        <row r="17534">
          <cell r="D17534" t="str">
            <v>2023</v>
          </cell>
        </row>
        <row r="17535">
          <cell r="D17535" t="str">
            <v>2023</v>
          </cell>
        </row>
        <row r="17536">
          <cell r="D17536" t="str">
            <v>2023</v>
          </cell>
        </row>
        <row r="17537">
          <cell r="D17537" t="str">
            <v>2023</v>
          </cell>
        </row>
        <row r="17538">
          <cell r="D17538" t="str">
            <v>2023</v>
          </cell>
        </row>
        <row r="17539">
          <cell r="D17539" t="str">
            <v>2023</v>
          </cell>
        </row>
        <row r="17540">
          <cell r="D17540" t="str">
            <v>2023</v>
          </cell>
        </row>
        <row r="17541">
          <cell r="D17541" t="str">
            <v>2023</v>
          </cell>
        </row>
        <row r="17542">
          <cell r="D17542" t="str">
            <v>2023</v>
          </cell>
        </row>
        <row r="17543">
          <cell r="D17543" t="str">
            <v>2023</v>
          </cell>
        </row>
        <row r="17544">
          <cell r="D17544" t="str">
            <v>2023</v>
          </cell>
        </row>
        <row r="17545">
          <cell r="D17545" t="str">
            <v>2023</v>
          </cell>
        </row>
        <row r="17546">
          <cell r="D17546" t="str">
            <v>2023</v>
          </cell>
        </row>
        <row r="17547">
          <cell r="D17547" t="str">
            <v>2023</v>
          </cell>
        </row>
        <row r="17548">
          <cell r="D17548" t="str">
            <v>2023</v>
          </cell>
        </row>
        <row r="17549">
          <cell r="D17549" t="str">
            <v>2023</v>
          </cell>
        </row>
        <row r="17550">
          <cell r="D17550" t="str">
            <v>2023</v>
          </cell>
        </row>
        <row r="17551">
          <cell r="D17551" t="str">
            <v>2023</v>
          </cell>
        </row>
        <row r="17552">
          <cell r="D17552" t="str">
            <v>2023</v>
          </cell>
        </row>
        <row r="17553">
          <cell r="D17553" t="str">
            <v>2023</v>
          </cell>
        </row>
        <row r="17554">
          <cell r="D17554" t="str">
            <v>2023</v>
          </cell>
        </row>
        <row r="17555">
          <cell r="D17555" t="str">
            <v>2023</v>
          </cell>
        </row>
        <row r="17556">
          <cell r="D17556" t="str">
            <v>2023</v>
          </cell>
        </row>
        <row r="17557">
          <cell r="D17557" t="str">
            <v>2023</v>
          </cell>
        </row>
        <row r="17558">
          <cell r="D17558" t="str">
            <v>2023</v>
          </cell>
        </row>
        <row r="17559">
          <cell r="D17559" t="str">
            <v>2023</v>
          </cell>
        </row>
        <row r="17560">
          <cell r="D17560" t="str">
            <v>2023</v>
          </cell>
        </row>
        <row r="17561">
          <cell r="D17561" t="str">
            <v>2023</v>
          </cell>
        </row>
        <row r="17562">
          <cell r="D17562" t="str">
            <v>2023</v>
          </cell>
        </row>
        <row r="17563">
          <cell r="D17563" t="str">
            <v>2023</v>
          </cell>
        </row>
        <row r="17564">
          <cell r="D17564" t="str">
            <v>2023</v>
          </cell>
        </row>
        <row r="17565">
          <cell r="D17565" t="str">
            <v>2023</v>
          </cell>
        </row>
        <row r="17566">
          <cell r="D17566" t="str">
            <v>2023</v>
          </cell>
        </row>
        <row r="17567">
          <cell r="D17567" t="str">
            <v>2023</v>
          </cell>
        </row>
        <row r="17568">
          <cell r="D17568" t="str">
            <v>2023</v>
          </cell>
        </row>
        <row r="17569">
          <cell r="D17569" t="str">
            <v>2023</v>
          </cell>
        </row>
        <row r="17570">
          <cell r="D17570" t="str">
            <v>2023</v>
          </cell>
        </row>
        <row r="17571">
          <cell r="D17571" t="str">
            <v>2023</v>
          </cell>
        </row>
        <row r="17572">
          <cell r="D17572" t="str">
            <v>2023</v>
          </cell>
        </row>
        <row r="17573">
          <cell r="D17573" t="str">
            <v>2023</v>
          </cell>
        </row>
        <row r="17574">
          <cell r="D17574" t="str">
            <v>2023</v>
          </cell>
        </row>
        <row r="17575">
          <cell r="D17575" t="str">
            <v>2023</v>
          </cell>
        </row>
        <row r="17576">
          <cell r="D17576" t="str">
            <v>2023</v>
          </cell>
        </row>
        <row r="17577">
          <cell r="D17577" t="str">
            <v>2023</v>
          </cell>
        </row>
        <row r="17578">
          <cell r="D17578" t="str">
            <v>2023</v>
          </cell>
        </row>
        <row r="17579">
          <cell r="D17579" t="str">
            <v>2023</v>
          </cell>
        </row>
        <row r="17580">
          <cell r="D17580" t="str">
            <v>2023</v>
          </cell>
        </row>
        <row r="17581">
          <cell r="D17581" t="str">
            <v>2023</v>
          </cell>
        </row>
        <row r="17582">
          <cell r="D17582" t="str">
            <v>2023</v>
          </cell>
        </row>
        <row r="17583">
          <cell r="D17583" t="str">
            <v>2023</v>
          </cell>
        </row>
        <row r="17584">
          <cell r="D17584" t="str">
            <v>2023</v>
          </cell>
        </row>
        <row r="17585">
          <cell r="D17585" t="str">
            <v>2023</v>
          </cell>
        </row>
        <row r="17586">
          <cell r="D17586" t="str">
            <v>2023</v>
          </cell>
        </row>
        <row r="17587">
          <cell r="D17587" t="str">
            <v>2023</v>
          </cell>
        </row>
        <row r="17588">
          <cell r="D17588" t="str">
            <v>2023</v>
          </cell>
        </row>
        <row r="17589">
          <cell r="D17589" t="str">
            <v>2023</v>
          </cell>
        </row>
        <row r="17590">
          <cell r="D17590" t="str">
            <v>2023</v>
          </cell>
        </row>
        <row r="17591">
          <cell r="D17591" t="str">
            <v>2023</v>
          </cell>
        </row>
        <row r="17592">
          <cell r="D17592" t="str">
            <v>2023</v>
          </cell>
        </row>
        <row r="17593">
          <cell r="D17593" t="str">
            <v>2023</v>
          </cell>
        </row>
        <row r="17594">
          <cell r="D17594" t="str">
            <v>2023</v>
          </cell>
        </row>
        <row r="17595">
          <cell r="D17595" t="str">
            <v>2023</v>
          </cell>
        </row>
        <row r="17596">
          <cell r="D17596" t="str">
            <v>2023</v>
          </cell>
        </row>
        <row r="17597">
          <cell r="D17597" t="str">
            <v>2023</v>
          </cell>
        </row>
        <row r="17598">
          <cell r="D17598" t="str">
            <v>2023</v>
          </cell>
        </row>
        <row r="17599">
          <cell r="D17599" t="str">
            <v>2023</v>
          </cell>
        </row>
        <row r="17600">
          <cell r="D17600" t="str">
            <v>2023</v>
          </cell>
        </row>
        <row r="17601">
          <cell r="D17601" t="str">
            <v>2023</v>
          </cell>
        </row>
        <row r="17602">
          <cell r="D17602" t="str">
            <v>2023</v>
          </cell>
        </row>
        <row r="17603">
          <cell r="D17603" t="str">
            <v>2023</v>
          </cell>
        </row>
        <row r="17604">
          <cell r="D17604" t="str">
            <v>2023</v>
          </cell>
        </row>
        <row r="17605">
          <cell r="D17605" t="str">
            <v>2023</v>
          </cell>
        </row>
        <row r="17606">
          <cell r="D17606" t="str">
            <v>2023</v>
          </cell>
        </row>
        <row r="17607">
          <cell r="D17607" t="str">
            <v>2023</v>
          </cell>
        </row>
        <row r="17608">
          <cell r="D17608" t="str">
            <v>2023</v>
          </cell>
        </row>
        <row r="17609">
          <cell r="D17609" t="str">
            <v>2023</v>
          </cell>
        </row>
        <row r="17610">
          <cell r="D17610" t="str">
            <v>2023</v>
          </cell>
        </row>
        <row r="17611">
          <cell r="D17611" t="str">
            <v>2023</v>
          </cell>
        </row>
        <row r="17612">
          <cell r="D17612" t="str">
            <v>2023</v>
          </cell>
        </row>
        <row r="17613">
          <cell r="D17613" t="str">
            <v>2023</v>
          </cell>
        </row>
        <row r="17614">
          <cell r="D17614" t="str">
            <v>2023</v>
          </cell>
        </row>
        <row r="17615">
          <cell r="D17615" t="str">
            <v>2023</v>
          </cell>
        </row>
        <row r="17616">
          <cell r="D17616" t="str">
            <v>2023</v>
          </cell>
        </row>
        <row r="17617">
          <cell r="D17617" t="str">
            <v>2023</v>
          </cell>
        </row>
        <row r="17618">
          <cell r="D17618" t="str">
            <v>2023</v>
          </cell>
        </row>
        <row r="17619">
          <cell r="D17619" t="str">
            <v>2023</v>
          </cell>
        </row>
        <row r="17620">
          <cell r="D17620" t="str">
            <v>2023</v>
          </cell>
        </row>
        <row r="17621">
          <cell r="D17621" t="str">
            <v>2023</v>
          </cell>
        </row>
        <row r="17622">
          <cell r="D17622" t="str">
            <v>2023</v>
          </cell>
        </row>
        <row r="17623">
          <cell r="D17623" t="str">
            <v>2023</v>
          </cell>
        </row>
        <row r="17624">
          <cell r="D17624" t="str">
            <v>2023</v>
          </cell>
        </row>
        <row r="17625">
          <cell r="D17625" t="str">
            <v>2023</v>
          </cell>
        </row>
        <row r="17626">
          <cell r="D17626" t="str">
            <v>2023</v>
          </cell>
        </row>
        <row r="17627">
          <cell r="D17627" t="str">
            <v>2023</v>
          </cell>
        </row>
        <row r="17628">
          <cell r="D17628" t="str">
            <v>2023</v>
          </cell>
        </row>
        <row r="17629">
          <cell r="D17629" t="str">
            <v>2023</v>
          </cell>
        </row>
        <row r="17630">
          <cell r="D17630" t="str">
            <v>2023</v>
          </cell>
        </row>
        <row r="17631">
          <cell r="D17631" t="str">
            <v>2023</v>
          </cell>
        </row>
        <row r="17632">
          <cell r="D17632" t="str">
            <v>2023</v>
          </cell>
        </row>
        <row r="17633">
          <cell r="D17633" t="str">
            <v>2023</v>
          </cell>
        </row>
        <row r="17634">
          <cell r="D17634" t="str">
            <v>2023</v>
          </cell>
        </row>
        <row r="17635">
          <cell r="D17635" t="str">
            <v>2023</v>
          </cell>
        </row>
        <row r="17636">
          <cell r="D17636" t="str">
            <v>2023</v>
          </cell>
        </row>
        <row r="17637">
          <cell r="D17637" t="str">
            <v>2023</v>
          </cell>
        </row>
        <row r="17638">
          <cell r="D17638" t="str">
            <v>2023</v>
          </cell>
        </row>
        <row r="17639">
          <cell r="D17639" t="str">
            <v>2023</v>
          </cell>
        </row>
        <row r="17640">
          <cell r="D17640" t="str">
            <v>2023</v>
          </cell>
        </row>
        <row r="17641">
          <cell r="D17641" t="str">
            <v>2023</v>
          </cell>
        </row>
        <row r="17642">
          <cell r="D17642" t="str">
            <v>2023</v>
          </cell>
        </row>
        <row r="17643">
          <cell r="D17643" t="str">
            <v>2023</v>
          </cell>
        </row>
        <row r="17644">
          <cell r="D17644" t="str">
            <v>2023</v>
          </cell>
        </row>
        <row r="17645">
          <cell r="D17645" t="str">
            <v>2023</v>
          </cell>
        </row>
        <row r="17646">
          <cell r="D17646" t="str">
            <v>2023</v>
          </cell>
        </row>
        <row r="17647">
          <cell r="D17647" t="str">
            <v>2023</v>
          </cell>
        </row>
        <row r="17648">
          <cell r="D17648" t="str">
            <v>2023</v>
          </cell>
        </row>
        <row r="17649">
          <cell r="D17649" t="str">
            <v>2023</v>
          </cell>
        </row>
        <row r="17650">
          <cell r="D17650" t="str">
            <v>2023</v>
          </cell>
        </row>
        <row r="17651">
          <cell r="D17651" t="str">
            <v>2023</v>
          </cell>
        </row>
        <row r="17652">
          <cell r="D17652" t="str">
            <v>2023</v>
          </cell>
        </row>
        <row r="17653">
          <cell r="D17653" t="str">
            <v>2023</v>
          </cell>
        </row>
        <row r="17654">
          <cell r="D17654" t="str">
            <v>2023</v>
          </cell>
        </row>
        <row r="17655">
          <cell r="D17655" t="str">
            <v>2023</v>
          </cell>
        </row>
        <row r="17656">
          <cell r="D17656" t="str">
            <v>2023</v>
          </cell>
        </row>
        <row r="17657">
          <cell r="D17657" t="str">
            <v>2023</v>
          </cell>
        </row>
        <row r="17658">
          <cell r="D17658" t="str">
            <v>2023</v>
          </cell>
        </row>
        <row r="17659">
          <cell r="D17659" t="str">
            <v>2023</v>
          </cell>
        </row>
        <row r="17660">
          <cell r="D17660" t="str">
            <v>2023</v>
          </cell>
        </row>
        <row r="17661">
          <cell r="D17661" t="str">
            <v>2023</v>
          </cell>
        </row>
        <row r="17662">
          <cell r="D17662" t="str">
            <v>2023</v>
          </cell>
        </row>
        <row r="17663">
          <cell r="D17663" t="str">
            <v>2023</v>
          </cell>
        </row>
        <row r="17664">
          <cell r="D17664" t="str">
            <v>2023</v>
          </cell>
        </row>
        <row r="17665">
          <cell r="D17665" t="str">
            <v>2023</v>
          </cell>
        </row>
        <row r="17666">
          <cell r="D17666" t="str">
            <v>2023</v>
          </cell>
        </row>
        <row r="17667">
          <cell r="D17667" t="str">
            <v>2023</v>
          </cell>
        </row>
        <row r="17668">
          <cell r="D17668" t="str">
            <v>2023</v>
          </cell>
        </row>
        <row r="17669">
          <cell r="D17669" t="str">
            <v>2023</v>
          </cell>
        </row>
        <row r="17670">
          <cell r="D17670" t="str">
            <v>2023</v>
          </cell>
        </row>
        <row r="17671">
          <cell r="D17671" t="str">
            <v>2023</v>
          </cell>
        </row>
        <row r="17672">
          <cell r="D17672" t="str">
            <v>2023</v>
          </cell>
        </row>
        <row r="17673">
          <cell r="D17673" t="str">
            <v>2023</v>
          </cell>
        </row>
        <row r="17674">
          <cell r="D17674" t="str">
            <v>2023</v>
          </cell>
        </row>
        <row r="17675">
          <cell r="D17675" t="str">
            <v>2023</v>
          </cell>
        </row>
        <row r="17676">
          <cell r="D17676" t="str">
            <v>2023</v>
          </cell>
        </row>
        <row r="17677">
          <cell r="D17677" t="str">
            <v>2023</v>
          </cell>
        </row>
        <row r="17678">
          <cell r="D17678" t="str">
            <v>2023</v>
          </cell>
        </row>
        <row r="17679">
          <cell r="D17679" t="str">
            <v>2023</v>
          </cell>
        </row>
        <row r="17680">
          <cell r="D17680" t="str">
            <v>2023</v>
          </cell>
        </row>
        <row r="17681">
          <cell r="D17681" t="str">
            <v>2023</v>
          </cell>
        </row>
        <row r="17682">
          <cell r="D17682" t="str">
            <v>2023</v>
          </cell>
        </row>
        <row r="17683">
          <cell r="D17683" t="str">
            <v>2023</v>
          </cell>
        </row>
        <row r="17684">
          <cell r="D17684" t="str">
            <v>2023</v>
          </cell>
        </row>
        <row r="17685">
          <cell r="D17685" t="str">
            <v>2023</v>
          </cell>
        </row>
        <row r="17686">
          <cell r="D17686" t="str">
            <v>2023</v>
          </cell>
        </row>
        <row r="17687">
          <cell r="D17687" t="str">
            <v>2023</v>
          </cell>
        </row>
        <row r="17688">
          <cell r="D17688" t="str">
            <v>2023</v>
          </cell>
        </row>
        <row r="17689">
          <cell r="D17689" t="str">
            <v>2023</v>
          </cell>
        </row>
        <row r="17690">
          <cell r="D17690" t="str">
            <v>2023</v>
          </cell>
        </row>
        <row r="17691">
          <cell r="D17691" t="str">
            <v>2023</v>
          </cell>
        </row>
        <row r="17692">
          <cell r="D17692" t="str">
            <v>2023</v>
          </cell>
        </row>
        <row r="17693">
          <cell r="D17693" t="str">
            <v>2023</v>
          </cell>
        </row>
        <row r="17694">
          <cell r="D17694" t="str">
            <v>2023</v>
          </cell>
        </row>
        <row r="17695">
          <cell r="D17695" t="str">
            <v>2023</v>
          </cell>
        </row>
        <row r="17696">
          <cell r="D17696" t="str">
            <v>2023</v>
          </cell>
        </row>
        <row r="17697">
          <cell r="D17697" t="str">
            <v>2023</v>
          </cell>
        </row>
        <row r="17698">
          <cell r="D17698" t="str">
            <v>2023</v>
          </cell>
        </row>
        <row r="17699">
          <cell r="D17699" t="str">
            <v>2023</v>
          </cell>
        </row>
        <row r="17700">
          <cell r="D17700" t="str">
            <v>2023</v>
          </cell>
        </row>
        <row r="17701">
          <cell r="D17701" t="str">
            <v>2023</v>
          </cell>
        </row>
        <row r="17702">
          <cell r="D17702" t="str">
            <v>2023</v>
          </cell>
        </row>
        <row r="17703">
          <cell r="D17703" t="str">
            <v>2023</v>
          </cell>
        </row>
        <row r="17704">
          <cell r="D17704" t="str">
            <v>2023</v>
          </cell>
        </row>
        <row r="17705">
          <cell r="D17705" t="str">
            <v>2023</v>
          </cell>
        </row>
        <row r="17706">
          <cell r="D17706" t="str">
            <v>2023</v>
          </cell>
        </row>
        <row r="17707">
          <cell r="D17707" t="str">
            <v>2023</v>
          </cell>
        </row>
        <row r="17708">
          <cell r="D17708" t="str">
            <v>2023</v>
          </cell>
        </row>
        <row r="17709">
          <cell r="D17709" t="str">
            <v>2023</v>
          </cell>
        </row>
        <row r="17710">
          <cell r="D17710" t="str">
            <v>2023</v>
          </cell>
        </row>
        <row r="17711">
          <cell r="D17711" t="str">
            <v>2023</v>
          </cell>
        </row>
        <row r="17712">
          <cell r="D17712" t="str">
            <v>2023</v>
          </cell>
        </row>
        <row r="17713">
          <cell r="D17713" t="str">
            <v>2023</v>
          </cell>
        </row>
        <row r="17714">
          <cell r="D17714" t="str">
            <v>2023</v>
          </cell>
        </row>
        <row r="17715">
          <cell r="D17715" t="str">
            <v>2023</v>
          </cell>
        </row>
        <row r="17716">
          <cell r="D17716" t="str">
            <v>2023</v>
          </cell>
        </row>
        <row r="17717">
          <cell r="D17717" t="str">
            <v>2023</v>
          </cell>
        </row>
        <row r="17718">
          <cell r="D17718" t="str">
            <v>2023</v>
          </cell>
        </row>
        <row r="17719">
          <cell r="D17719" t="str">
            <v>2023</v>
          </cell>
        </row>
        <row r="17720">
          <cell r="D17720" t="str">
            <v>2023</v>
          </cell>
        </row>
        <row r="17721">
          <cell r="D17721" t="str">
            <v>2023</v>
          </cell>
        </row>
        <row r="17722">
          <cell r="D17722" t="str">
            <v>2023</v>
          </cell>
        </row>
        <row r="17723">
          <cell r="D17723" t="str">
            <v>2023</v>
          </cell>
        </row>
        <row r="17724">
          <cell r="D17724" t="str">
            <v>2023</v>
          </cell>
        </row>
        <row r="17725">
          <cell r="D17725" t="str">
            <v>2023</v>
          </cell>
        </row>
        <row r="17726">
          <cell r="D17726" t="str">
            <v>2023</v>
          </cell>
        </row>
        <row r="17727">
          <cell r="D17727" t="str">
            <v>2023</v>
          </cell>
        </row>
        <row r="17728">
          <cell r="D17728" t="str">
            <v>2023</v>
          </cell>
        </row>
        <row r="17729">
          <cell r="D17729" t="str">
            <v>2023</v>
          </cell>
        </row>
        <row r="17730">
          <cell r="D17730" t="str">
            <v>2023</v>
          </cell>
        </row>
        <row r="17731">
          <cell r="D17731" t="str">
            <v>2023</v>
          </cell>
        </row>
        <row r="17732">
          <cell r="D17732" t="str">
            <v>2023</v>
          </cell>
        </row>
        <row r="17733">
          <cell r="D17733" t="str">
            <v>2023</v>
          </cell>
        </row>
        <row r="17734">
          <cell r="D17734" t="str">
            <v>2023</v>
          </cell>
        </row>
        <row r="17735">
          <cell r="D17735" t="str">
            <v>2023</v>
          </cell>
        </row>
        <row r="17736">
          <cell r="D17736" t="str">
            <v>2023</v>
          </cell>
        </row>
        <row r="17737">
          <cell r="D17737" t="str">
            <v>2023</v>
          </cell>
        </row>
        <row r="17738">
          <cell r="D17738" t="str">
            <v>2023</v>
          </cell>
        </row>
        <row r="17739">
          <cell r="D17739" t="str">
            <v>2023</v>
          </cell>
        </row>
        <row r="17740">
          <cell r="D17740" t="str">
            <v>2023</v>
          </cell>
        </row>
        <row r="17741">
          <cell r="D17741" t="str">
            <v>2023</v>
          </cell>
        </row>
        <row r="17742">
          <cell r="D17742" t="str">
            <v>2023</v>
          </cell>
        </row>
        <row r="17743">
          <cell r="D17743" t="str">
            <v>2023</v>
          </cell>
        </row>
        <row r="17744">
          <cell r="D17744" t="str">
            <v>2023</v>
          </cell>
        </row>
        <row r="17745">
          <cell r="D17745" t="str">
            <v>2023</v>
          </cell>
        </row>
        <row r="17746">
          <cell r="D17746" t="str">
            <v>2023</v>
          </cell>
        </row>
        <row r="17747">
          <cell r="D17747" t="str">
            <v>2023</v>
          </cell>
        </row>
        <row r="17748">
          <cell r="D17748" t="str">
            <v>2023</v>
          </cell>
        </row>
        <row r="17749">
          <cell r="D17749" t="str">
            <v>2023</v>
          </cell>
        </row>
        <row r="17750">
          <cell r="D17750" t="str">
            <v>2023</v>
          </cell>
        </row>
        <row r="17751">
          <cell r="D17751" t="str">
            <v>2023</v>
          </cell>
        </row>
        <row r="17752">
          <cell r="D17752" t="str">
            <v>2023</v>
          </cell>
        </row>
        <row r="17753">
          <cell r="D17753" t="str">
            <v>2023</v>
          </cell>
        </row>
        <row r="17754">
          <cell r="D17754" t="str">
            <v>2023</v>
          </cell>
        </row>
        <row r="17755">
          <cell r="D17755" t="str">
            <v>2023</v>
          </cell>
        </row>
        <row r="17756">
          <cell r="D17756" t="str">
            <v>2023</v>
          </cell>
        </row>
        <row r="17757">
          <cell r="D17757" t="str">
            <v>2023</v>
          </cell>
        </row>
        <row r="17758">
          <cell r="D17758" t="str">
            <v>2023</v>
          </cell>
        </row>
        <row r="17759">
          <cell r="D17759" t="str">
            <v>2023</v>
          </cell>
        </row>
        <row r="17760">
          <cell r="D17760" t="str">
            <v>2023</v>
          </cell>
        </row>
        <row r="17761">
          <cell r="D17761" t="str">
            <v>2023</v>
          </cell>
        </row>
        <row r="17762">
          <cell r="D17762" t="str">
            <v>2023</v>
          </cell>
        </row>
        <row r="17763">
          <cell r="D17763" t="str">
            <v>2023</v>
          </cell>
        </row>
        <row r="17764">
          <cell r="D17764" t="str">
            <v>2023</v>
          </cell>
        </row>
        <row r="17765">
          <cell r="D17765" t="str">
            <v>2023</v>
          </cell>
        </row>
        <row r="17766">
          <cell r="D17766" t="str">
            <v>2023</v>
          </cell>
        </row>
        <row r="17767">
          <cell r="D17767" t="str">
            <v>2023</v>
          </cell>
        </row>
        <row r="17768">
          <cell r="D17768" t="str">
            <v>2023</v>
          </cell>
        </row>
        <row r="17769">
          <cell r="D17769" t="str">
            <v>2023</v>
          </cell>
        </row>
        <row r="17770">
          <cell r="D17770" t="str">
            <v>2023</v>
          </cell>
        </row>
        <row r="17771">
          <cell r="D17771" t="str">
            <v>2023</v>
          </cell>
        </row>
        <row r="17772">
          <cell r="D17772" t="str">
            <v>2023</v>
          </cell>
        </row>
        <row r="17773">
          <cell r="D17773" t="str">
            <v>2023</v>
          </cell>
        </row>
        <row r="17774">
          <cell r="D17774" t="str">
            <v>2023</v>
          </cell>
        </row>
        <row r="17775">
          <cell r="D17775" t="str">
            <v>2023</v>
          </cell>
        </row>
        <row r="17776">
          <cell r="D17776" t="str">
            <v>2023</v>
          </cell>
        </row>
        <row r="17777">
          <cell r="D17777" t="str">
            <v>2023</v>
          </cell>
        </row>
        <row r="17778">
          <cell r="D17778" t="str">
            <v>2023</v>
          </cell>
        </row>
        <row r="17779">
          <cell r="D17779" t="str">
            <v>2023</v>
          </cell>
        </row>
        <row r="17780">
          <cell r="D17780" t="str">
            <v>2023</v>
          </cell>
        </row>
        <row r="17781">
          <cell r="D17781" t="str">
            <v>2023</v>
          </cell>
        </row>
        <row r="17782">
          <cell r="D17782" t="str">
            <v>2023</v>
          </cell>
        </row>
        <row r="17783">
          <cell r="D17783" t="str">
            <v>2023</v>
          </cell>
        </row>
        <row r="17784">
          <cell r="D17784" t="str">
            <v>2023</v>
          </cell>
        </row>
        <row r="17785">
          <cell r="D17785" t="str">
            <v>2023</v>
          </cell>
        </row>
        <row r="17786">
          <cell r="D17786" t="str">
            <v>2023</v>
          </cell>
        </row>
        <row r="17787">
          <cell r="D17787" t="str">
            <v>2023</v>
          </cell>
        </row>
        <row r="17788">
          <cell r="D17788" t="str">
            <v>2023</v>
          </cell>
        </row>
        <row r="17789">
          <cell r="D17789" t="str">
            <v>2023</v>
          </cell>
        </row>
        <row r="17790">
          <cell r="D17790" t="str">
            <v>2023</v>
          </cell>
        </row>
        <row r="17791">
          <cell r="D17791" t="str">
            <v>2023</v>
          </cell>
        </row>
        <row r="17792">
          <cell r="D17792" t="str">
            <v>2023</v>
          </cell>
        </row>
        <row r="17793">
          <cell r="D17793" t="str">
            <v>2023</v>
          </cell>
        </row>
        <row r="17794">
          <cell r="D17794" t="str">
            <v>2023</v>
          </cell>
        </row>
        <row r="17795">
          <cell r="D17795" t="str">
            <v>2023</v>
          </cell>
        </row>
        <row r="17796">
          <cell r="D17796" t="str">
            <v>2023</v>
          </cell>
        </row>
        <row r="17797">
          <cell r="D17797" t="str">
            <v>2023</v>
          </cell>
        </row>
        <row r="17798">
          <cell r="D17798" t="str">
            <v>2023</v>
          </cell>
        </row>
        <row r="17799">
          <cell r="D17799" t="str">
            <v>2023</v>
          </cell>
        </row>
        <row r="17800">
          <cell r="D17800" t="str">
            <v>2023</v>
          </cell>
        </row>
        <row r="17801">
          <cell r="D17801" t="str">
            <v>2023</v>
          </cell>
        </row>
        <row r="17802">
          <cell r="D17802" t="str">
            <v>2023</v>
          </cell>
        </row>
        <row r="17803">
          <cell r="D17803" t="str">
            <v>2023</v>
          </cell>
        </row>
        <row r="17804">
          <cell r="D17804" t="str">
            <v>2023</v>
          </cell>
        </row>
        <row r="17805">
          <cell r="D17805" t="str">
            <v>2023</v>
          </cell>
        </row>
        <row r="17806">
          <cell r="D17806" t="str">
            <v>2023</v>
          </cell>
        </row>
        <row r="17807">
          <cell r="D17807" t="str">
            <v>2023</v>
          </cell>
        </row>
        <row r="17808">
          <cell r="D17808" t="str">
            <v>2023</v>
          </cell>
        </row>
        <row r="17809">
          <cell r="D17809" t="str">
            <v>2023</v>
          </cell>
        </row>
        <row r="17810">
          <cell r="D17810" t="str">
            <v>2023</v>
          </cell>
        </row>
        <row r="17811">
          <cell r="D17811" t="str">
            <v>2023</v>
          </cell>
        </row>
        <row r="17812">
          <cell r="D17812" t="str">
            <v>2023</v>
          </cell>
        </row>
        <row r="17813">
          <cell r="D17813" t="str">
            <v>2023</v>
          </cell>
        </row>
        <row r="17814">
          <cell r="D17814" t="str">
            <v>2023</v>
          </cell>
        </row>
        <row r="17815">
          <cell r="D17815" t="str">
            <v>2023</v>
          </cell>
        </row>
        <row r="17816">
          <cell r="D17816" t="str">
            <v>2023</v>
          </cell>
        </row>
        <row r="17817">
          <cell r="D17817" t="str">
            <v>2023</v>
          </cell>
        </row>
        <row r="17818">
          <cell r="D17818" t="str">
            <v>2023</v>
          </cell>
        </row>
        <row r="17819">
          <cell r="D17819" t="str">
            <v>2023</v>
          </cell>
        </row>
        <row r="17820">
          <cell r="D17820" t="str">
            <v>2023</v>
          </cell>
        </row>
        <row r="17821">
          <cell r="D17821" t="str">
            <v>2023</v>
          </cell>
        </row>
        <row r="17822">
          <cell r="D17822" t="str">
            <v>2023</v>
          </cell>
        </row>
        <row r="17823">
          <cell r="D17823" t="str">
            <v>2023</v>
          </cell>
        </row>
        <row r="17824">
          <cell r="D17824" t="str">
            <v>2023</v>
          </cell>
        </row>
        <row r="17825">
          <cell r="D17825" t="str">
            <v>2023</v>
          </cell>
        </row>
        <row r="17826">
          <cell r="D17826" t="str">
            <v>2023</v>
          </cell>
        </row>
        <row r="17827">
          <cell r="D17827" t="str">
            <v>2023</v>
          </cell>
        </row>
        <row r="17828">
          <cell r="D17828" t="str">
            <v>2023</v>
          </cell>
        </row>
        <row r="17829">
          <cell r="D17829" t="str">
            <v>2023</v>
          </cell>
        </row>
        <row r="17830">
          <cell r="D17830" t="str">
            <v>2023</v>
          </cell>
        </row>
        <row r="17831">
          <cell r="D17831" t="str">
            <v>2023</v>
          </cell>
        </row>
        <row r="17832">
          <cell r="D17832" t="str">
            <v>2023</v>
          </cell>
        </row>
        <row r="17833">
          <cell r="D17833" t="str">
            <v>2023</v>
          </cell>
        </row>
        <row r="17834">
          <cell r="D17834" t="str">
            <v>2023</v>
          </cell>
        </row>
        <row r="17835">
          <cell r="D17835" t="str">
            <v>2023</v>
          </cell>
        </row>
        <row r="17836">
          <cell r="D17836" t="str">
            <v>2023</v>
          </cell>
        </row>
        <row r="17837">
          <cell r="D17837" t="str">
            <v>2023</v>
          </cell>
        </row>
        <row r="17838">
          <cell r="D17838" t="str">
            <v>2023</v>
          </cell>
        </row>
        <row r="17839">
          <cell r="D17839" t="str">
            <v>2023</v>
          </cell>
        </row>
        <row r="17840">
          <cell r="D17840" t="str">
            <v>2023</v>
          </cell>
        </row>
        <row r="17841">
          <cell r="D17841" t="str">
            <v>2023</v>
          </cell>
        </row>
        <row r="17842">
          <cell r="D17842" t="str">
            <v>2023</v>
          </cell>
        </row>
        <row r="17843">
          <cell r="D17843" t="str">
            <v>2023</v>
          </cell>
        </row>
        <row r="17844">
          <cell r="D17844" t="str">
            <v>2023</v>
          </cell>
        </row>
        <row r="17845">
          <cell r="D17845" t="str">
            <v>2023</v>
          </cell>
        </row>
        <row r="17846">
          <cell r="D17846" t="str">
            <v>2023</v>
          </cell>
        </row>
        <row r="17847">
          <cell r="D17847" t="str">
            <v>2023</v>
          </cell>
        </row>
        <row r="17848">
          <cell r="D17848" t="str">
            <v>2023</v>
          </cell>
        </row>
        <row r="17849">
          <cell r="D17849" t="str">
            <v>2023</v>
          </cell>
        </row>
        <row r="17850">
          <cell r="D17850" t="str">
            <v>2023</v>
          </cell>
        </row>
        <row r="17851">
          <cell r="D17851" t="str">
            <v>2023</v>
          </cell>
        </row>
        <row r="17852">
          <cell r="D17852" t="str">
            <v>2023</v>
          </cell>
        </row>
        <row r="17853">
          <cell r="D17853" t="str">
            <v>2023</v>
          </cell>
        </row>
        <row r="17854">
          <cell r="D17854" t="str">
            <v>2023</v>
          </cell>
        </row>
        <row r="17855">
          <cell r="D17855" t="str">
            <v>2023</v>
          </cell>
        </row>
        <row r="17856">
          <cell r="D17856" t="str">
            <v>2023</v>
          </cell>
        </row>
        <row r="17857">
          <cell r="D17857" t="str">
            <v>2023</v>
          </cell>
        </row>
        <row r="17858">
          <cell r="D17858" t="str">
            <v>2023</v>
          </cell>
        </row>
        <row r="17859">
          <cell r="D17859" t="str">
            <v>2023</v>
          </cell>
        </row>
        <row r="17860">
          <cell r="D17860" t="str">
            <v>2023</v>
          </cell>
        </row>
        <row r="17861">
          <cell r="D17861" t="str">
            <v>2023</v>
          </cell>
        </row>
        <row r="17862">
          <cell r="D17862" t="str">
            <v>2023</v>
          </cell>
        </row>
        <row r="17863">
          <cell r="D17863" t="str">
            <v>2023</v>
          </cell>
        </row>
        <row r="17864">
          <cell r="D17864" t="str">
            <v>2023</v>
          </cell>
        </row>
        <row r="17865">
          <cell r="D17865" t="str">
            <v>2023</v>
          </cell>
        </row>
        <row r="17866">
          <cell r="D17866" t="str">
            <v>2023</v>
          </cell>
        </row>
        <row r="17867">
          <cell r="D17867" t="str">
            <v>2023</v>
          </cell>
        </row>
        <row r="17868">
          <cell r="D17868" t="str">
            <v>2023</v>
          </cell>
        </row>
        <row r="17869">
          <cell r="D17869" t="str">
            <v>2023</v>
          </cell>
        </row>
        <row r="17870">
          <cell r="D17870" t="str">
            <v>2023</v>
          </cell>
        </row>
        <row r="17871">
          <cell r="D17871" t="str">
            <v>2023</v>
          </cell>
        </row>
        <row r="17872">
          <cell r="D17872" t="str">
            <v>2023</v>
          </cell>
        </row>
        <row r="17873">
          <cell r="D17873" t="str">
            <v>2023</v>
          </cell>
        </row>
        <row r="17874">
          <cell r="D17874" t="str">
            <v>2023</v>
          </cell>
        </row>
        <row r="17875">
          <cell r="D17875" t="str">
            <v>2023</v>
          </cell>
        </row>
        <row r="17876">
          <cell r="D17876" t="str">
            <v>2023</v>
          </cell>
        </row>
        <row r="17877">
          <cell r="D17877" t="str">
            <v>2023</v>
          </cell>
        </row>
        <row r="17878">
          <cell r="D17878" t="str">
            <v>2023</v>
          </cell>
        </row>
        <row r="17879">
          <cell r="D17879" t="str">
            <v>2023</v>
          </cell>
        </row>
        <row r="17880">
          <cell r="D17880" t="str">
            <v>2023</v>
          </cell>
        </row>
        <row r="17881">
          <cell r="D17881" t="str">
            <v>2023</v>
          </cell>
        </row>
        <row r="17882">
          <cell r="D17882" t="str">
            <v>2023</v>
          </cell>
        </row>
        <row r="17883">
          <cell r="D17883" t="str">
            <v>2023</v>
          </cell>
        </row>
        <row r="17884">
          <cell r="D17884" t="str">
            <v>2023</v>
          </cell>
        </row>
        <row r="17885">
          <cell r="D17885" t="str">
            <v>2023</v>
          </cell>
        </row>
        <row r="17886">
          <cell r="D17886" t="str">
            <v>2023</v>
          </cell>
        </row>
        <row r="17887">
          <cell r="D17887" t="str">
            <v>2023</v>
          </cell>
        </row>
        <row r="17888">
          <cell r="D17888" t="str">
            <v>2023</v>
          </cell>
        </row>
        <row r="17889">
          <cell r="D17889" t="str">
            <v>2023</v>
          </cell>
        </row>
        <row r="17890">
          <cell r="D17890" t="str">
            <v>2023</v>
          </cell>
        </row>
        <row r="17891">
          <cell r="D17891" t="str">
            <v>2023</v>
          </cell>
        </row>
        <row r="17892">
          <cell r="D17892" t="str">
            <v>2023</v>
          </cell>
        </row>
        <row r="17893">
          <cell r="D17893" t="str">
            <v>2023</v>
          </cell>
        </row>
        <row r="17894">
          <cell r="D17894" t="str">
            <v>2023</v>
          </cell>
        </row>
        <row r="17895">
          <cell r="D17895" t="str">
            <v>2023</v>
          </cell>
        </row>
        <row r="17896">
          <cell r="D17896" t="str">
            <v>2023</v>
          </cell>
        </row>
        <row r="17897">
          <cell r="D17897" t="str">
            <v>2023</v>
          </cell>
        </row>
        <row r="17898">
          <cell r="D17898" t="str">
            <v>2023</v>
          </cell>
        </row>
        <row r="17899">
          <cell r="D17899" t="str">
            <v>2023</v>
          </cell>
        </row>
        <row r="17900">
          <cell r="D17900" t="str">
            <v>2023</v>
          </cell>
        </row>
        <row r="17901">
          <cell r="D17901" t="str">
            <v>2023</v>
          </cell>
        </row>
        <row r="17902">
          <cell r="D17902" t="str">
            <v>2023</v>
          </cell>
        </row>
        <row r="17903">
          <cell r="D17903" t="str">
            <v>2023</v>
          </cell>
        </row>
        <row r="17904">
          <cell r="D17904" t="str">
            <v>2023</v>
          </cell>
        </row>
        <row r="17905">
          <cell r="D17905" t="str">
            <v>2023</v>
          </cell>
        </row>
        <row r="17906">
          <cell r="D17906" t="str">
            <v>2023</v>
          </cell>
        </row>
        <row r="17907">
          <cell r="D17907" t="str">
            <v>2023</v>
          </cell>
        </row>
        <row r="17908">
          <cell r="D17908" t="str">
            <v>2023</v>
          </cell>
        </row>
        <row r="17909">
          <cell r="D17909" t="str">
            <v>2023</v>
          </cell>
        </row>
        <row r="17910">
          <cell r="D17910" t="str">
            <v>2023</v>
          </cell>
        </row>
        <row r="17911">
          <cell r="D17911" t="str">
            <v>2023</v>
          </cell>
        </row>
        <row r="17912">
          <cell r="D17912" t="str">
            <v>2023</v>
          </cell>
        </row>
        <row r="17913">
          <cell r="D17913" t="str">
            <v>2023</v>
          </cell>
        </row>
        <row r="17914">
          <cell r="D17914" t="str">
            <v>2023</v>
          </cell>
        </row>
        <row r="17915">
          <cell r="D17915" t="str">
            <v>2023</v>
          </cell>
        </row>
        <row r="17916">
          <cell r="D17916" t="str">
            <v>2023</v>
          </cell>
        </row>
        <row r="17917">
          <cell r="D17917" t="str">
            <v>2023</v>
          </cell>
        </row>
        <row r="17918">
          <cell r="D17918" t="str">
            <v>2023</v>
          </cell>
        </row>
        <row r="17919">
          <cell r="D17919" t="str">
            <v>2023</v>
          </cell>
        </row>
        <row r="17920">
          <cell r="D17920" t="str">
            <v>2023</v>
          </cell>
        </row>
        <row r="17921">
          <cell r="D17921" t="str">
            <v>2023</v>
          </cell>
        </row>
        <row r="17922">
          <cell r="D17922" t="str">
            <v>2023</v>
          </cell>
        </row>
        <row r="17923">
          <cell r="D17923" t="str">
            <v>2023</v>
          </cell>
        </row>
        <row r="17924">
          <cell r="D17924" t="str">
            <v>2023</v>
          </cell>
        </row>
        <row r="17925">
          <cell r="D17925" t="str">
            <v>2023</v>
          </cell>
        </row>
        <row r="17926">
          <cell r="D17926" t="str">
            <v>2023</v>
          </cell>
        </row>
        <row r="17927">
          <cell r="D17927" t="str">
            <v>2023</v>
          </cell>
        </row>
        <row r="17928">
          <cell r="D17928" t="str">
            <v>2023</v>
          </cell>
        </row>
        <row r="17929">
          <cell r="D17929" t="str">
            <v>2023</v>
          </cell>
        </row>
        <row r="17930">
          <cell r="D17930" t="str">
            <v>2023</v>
          </cell>
        </row>
        <row r="17931">
          <cell r="D17931" t="str">
            <v>2023</v>
          </cell>
        </row>
        <row r="17932">
          <cell r="D17932" t="str">
            <v>2023</v>
          </cell>
        </row>
        <row r="17933">
          <cell r="D17933" t="str">
            <v>2023</v>
          </cell>
        </row>
        <row r="17934">
          <cell r="D17934" t="str">
            <v>2023</v>
          </cell>
        </row>
        <row r="17935">
          <cell r="D17935" t="str">
            <v>2023</v>
          </cell>
        </row>
        <row r="17936">
          <cell r="D17936" t="str">
            <v>2023</v>
          </cell>
        </row>
        <row r="17937">
          <cell r="D17937" t="str">
            <v>2023</v>
          </cell>
        </row>
        <row r="17938">
          <cell r="D17938" t="str">
            <v>2023</v>
          </cell>
        </row>
        <row r="17939">
          <cell r="D17939" t="str">
            <v>2023</v>
          </cell>
        </row>
        <row r="17940">
          <cell r="D17940" t="str">
            <v>2023</v>
          </cell>
        </row>
        <row r="17941">
          <cell r="D17941" t="str">
            <v>2023</v>
          </cell>
        </row>
        <row r="17942">
          <cell r="D17942" t="str">
            <v>2023</v>
          </cell>
        </row>
        <row r="17943">
          <cell r="D17943" t="str">
            <v>2023</v>
          </cell>
        </row>
        <row r="17944">
          <cell r="D17944" t="str">
            <v>2023</v>
          </cell>
        </row>
        <row r="17945">
          <cell r="D17945" t="str">
            <v>2023</v>
          </cell>
        </row>
        <row r="17946">
          <cell r="D17946" t="str">
            <v>2023</v>
          </cell>
        </row>
        <row r="17947">
          <cell r="D17947" t="str">
            <v>2023</v>
          </cell>
        </row>
        <row r="17948">
          <cell r="D17948" t="str">
            <v>2023</v>
          </cell>
        </row>
        <row r="17949">
          <cell r="D17949" t="str">
            <v>2023</v>
          </cell>
        </row>
        <row r="17950">
          <cell r="D17950" t="str">
            <v>2023</v>
          </cell>
        </row>
        <row r="17951">
          <cell r="D17951" t="str">
            <v>2023</v>
          </cell>
        </row>
        <row r="17952">
          <cell r="D17952" t="str">
            <v>2023</v>
          </cell>
        </row>
        <row r="17953">
          <cell r="D17953" t="str">
            <v>2023</v>
          </cell>
        </row>
        <row r="17954">
          <cell r="D17954" t="str">
            <v>2023</v>
          </cell>
        </row>
        <row r="17955">
          <cell r="D17955" t="str">
            <v>2023</v>
          </cell>
        </row>
        <row r="17956">
          <cell r="D17956" t="str">
            <v>2023</v>
          </cell>
        </row>
        <row r="17957">
          <cell r="D17957" t="str">
            <v>2023</v>
          </cell>
        </row>
        <row r="17958">
          <cell r="D17958" t="str">
            <v>2023</v>
          </cell>
        </row>
        <row r="17959">
          <cell r="D17959" t="str">
            <v>2023</v>
          </cell>
        </row>
        <row r="17960">
          <cell r="D17960" t="str">
            <v>2023</v>
          </cell>
        </row>
        <row r="17961">
          <cell r="D17961" t="str">
            <v>2023</v>
          </cell>
        </row>
        <row r="17962">
          <cell r="D17962" t="str">
            <v>2023</v>
          </cell>
        </row>
        <row r="17963">
          <cell r="D17963" t="str">
            <v>2023</v>
          </cell>
        </row>
        <row r="17964">
          <cell r="D17964" t="str">
            <v>2023</v>
          </cell>
        </row>
        <row r="17965">
          <cell r="D17965" t="str">
            <v>2023</v>
          </cell>
        </row>
        <row r="17966">
          <cell r="D17966" t="str">
            <v>2023</v>
          </cell>
        </row>
        <row r="17967">
          <cell r="D17967" t="str">
            <v>2023</v>
          </cell>
        </row>
        <row r="17968">
          <cell r="D17968" t="str">
            <v>2023</v>
          </cell>
        </row>
        <row r="17969">
          <cell r="D17969" t="str">
            <v>2023</v>
          </cell>
        </row>
        <row r="17970">
          <cell r="D17970" t="str">
            <v>2023</v>
          </cell>
        </row>
        <row r="17971">
          <cell r="D17971" t="str">
            <v>2023</v>
          </cell>
        </row>
        <row r="17972">
          <cell r="D17972" t="str">
            <v>2023</v>
          </cell>
        </row>
        <row r="17973">
          <cell r="D17973" t="str">
            <v>2023</v>
          </cell>
        </row>
        <row r="17974">
          <cell r="D17974" t="str">
            <v>2023</v>
          </cell>
        </row>
        <row r="17975">
          <cell r="D17975" t="str">
            <v>2023</v>
          </cell>
        </row>
        <row r="17976">
          <cell r="D17976" t="str">
            <v>2023</v>
          </cell>
        </row>
        <row r="17977">
          <cell r="D17977" t="str">
            <v>2023</v>
          </cell>
        </row>
        <row r="17978">
          <cell r="D17978" t="str">
            <v>2023</v>
          </cell>
        </row>
        <row r="17979">
          <cell r="D17979" t="str">
            <v>2022</v>
          </cell>
        </row>
        <row r="17980">
          <cell r="D17980" t="str">
            <v>2023</v>
          </cell>
        </row>
        <row r="17981">
          <cell r="D17981" t="str">
            <v>2023</v>
          </cell>
        </row>
        <row r="17982">
          <cell r="D17982" t="str">
            <v>2023</v>
          </cell>
        </row>
        <row r="17983">
          <cell r="D17983" t="str">
            <v>2023</v>
          </cell>
        </row>
        <row r="17984">
          <cell r="D17984" t="str">
            <v>2023</v>
          </cell>
        </row>
        <row r="17985">
          <cell r="D17985" t="str">
            <v>2023</v>
          </cell>
        </row>
        <row r="17986">
          <cell r="D17986" t="str">
            <v>2023</v>
          </cell>
        </row>
        <row r="17987">
          <cell r="D17987" t="str">
            <v>2023</v>
          </cell>
        </row>
        <row r="17988">
          <cell r="D17988" t="str">
            <v>2023</v>
          </cell>
        </row>
        <row r="17989">
          <cell r="D17989" t="str">
            <v>2023</v>
          </cell>
        </row>
        <row r="17990">
          <cell r="D17990" t="str">
            <v>2023</v>
          </cell>
        </row>
        <row r="17991">
          <cell r="D17991" t="str">
            <v>2023</v>
          </cell>
        </row>
        <row r="17992">
          <cell r="D17992" t="str">
            <v>2023</v>
          </cell>
        </row>
        <row r="17993">
          <cell r="D17993" t="str">
            <v>2023</v>
          </cell>
        </row>
        <row r="17994">
          <cell r="D17994" t="str">
            <v>2023</v>
          </cell>
        </row>
        <row r="17995">
          <cell r="D17995" t="str">
            <v>2023</v>
          </cell>
        </row>
        <row r="17996">
          <cell r="D17996" t="str">
            <v>2023</v>
          </cell>
        </row>
        <row r="17997">
          <cell r="D17997" t="str">
            <v>2023</v>
          </cell>
        </row>
        <row r="17998">
          <cell r="D17998" t="str">
            <v>2023</v>
          </cell>
        </row>
        <row r="17999">
          <cell r="D17999" t="str">
            <v>2023</v>
          </cell>
        </row>
        <row r="18000">
          <cell r="D18000" t="str">
            <v>2023</v>
          </cell>
        </row>
        <row r="18001">
          <cell r="D18001" t="str">
            <v>2023</v>
          </cell>
        </row>
        <row r="18002">
          <cell r="D18002" t="str">
            <v>2023</v>
          </cell>
        </row>
        <row r="18003">
          <cell r="D18003" t="str">
            <v>2023</v>
          </cell>
        </row>
        <row r="18004">
          <cell r="D18004" t="str">
            <v>2023</v>
          </cell>
        </row>
        <row r="18005">
          <cell r="D18005" t="str">
            <v>2023</v>
          </cell>
        </row>
        <row r="18006">
          <cell r="D18006" t="str">
            <v>2023</v>
          </cell>
        </row>
        <row r="18007">
          <cell r="D18007" t="str">
            <v>2023</v>
          </cell>
        </row>
        <row r="18008">
          <cell r="D18008" t="str">
            <v>2023</v>
          </cell>
        </row>
        <row r="18009">
          <cell r="D18009" t="str">
            <v>2023</v>
          </cell>
        </row>
        <row r="18010">
          <cell r="D18010" t="str">
            <v>2023</v>
          </cell>
        </row>
        <row r="18011">
          <cell r="D18011" t="str">
            <v>2023</v>
          </cell>
        </row>
        <row r="18012">
          <cell r="D18012" t="str">
            <v>2023</v>
          </cell>
        </row>
        <row r="18013">
          <cell r="D18013" t="str">
            <v>2023</v>
          </cell>
        </row>
        <row r="18014">
          <cell r="D18014" t="str">
            <v>2023</v>
          </cell>
        </row>
        <row r="18015">
          <cell r="D18015" t="str">
            <v>2023</v>
          </cell>
        </row>
        <row r="18016">
          <cell r="D18016" t="str">
            <v>2023</v>
          </cell>
        </row>
        <row r="18017">
          <cell r="D18017" t="str">
            <v>2023</v>
          </cell>
        </row>
        <row r="18018">
          <cell r="D18018" t="str">
            <v>2023</v>
          </cell>
        </row>
        <row r="18019">
          <cell r="D18019" t="str">
            <v>2023</v>
          </cell>
        </row>
        <row r="18020">
          <cell r="D18020" t="str">
            <v>2023</v>
          </cell>
        </row>
        <row r="18021">
          <cell r="D18021" t="str">
            <v>2023</v>
          </cell>
        </row>
        <row r="18022">
          <cell r="D18022" t="str">
            <v>2023</v>
          </cell>
        </row>
        <row r="18023">
          <cell r="D18023" t="str">
            <v>2023</v>
          </cell>
        </row>
        <row r="18024">
          <cell r="D18024" t="str">
            <v>2023</v>
          </cell>
        </row>
        <row r="18025">
          <cell r="D18025" t="str">
            <v>2023</v>
          </cell>
        </row>
        <row r="18026">
          <cell r="D18026" t="str">
            <v>2023</v>
          </cell>
        </row>
        <row r="18027">
          <cell r="D18027" t="str">
            <v>2023</v>
          </cell>
        </row>
        <row r="18028">
          <cell r="D18028" t="str">
            <v>2023</v>
          </cell>
        </row>
        <row r="18029">
          <cell r="D18029" t="str">
            <v>2023</v>
          </cell>
        </row>
        <row r="18030">
          <cell r="D18030" t="str">
            <v>2023</v>
          </cell>
        </row>
        <row r="18031">
          <cell r="D18031" t="str">
            <v>2023</v>
          </cell>
        </row>
        <row r="18032">
          <cell r="D18032" t="str">
            <v>2023</v>
          </cell>
        </row>
        <row r="18033">
          <cell r="D18033" t="str">
            <v>2023</v>
          </cell>
        </row>
        <row r="18034">
          <cell r="D18034" t="str">
            <v>2023</v>
          </cell>
        </row>
        <row r="18035">
          <cell r="D18035" t="str">
            <v>2023</v>
          </cell>
        </row>
        <row r="18036">
          <cell r="D18036" t="str">
            <v>2023</v>
          </cell>
        </row>
        <row r="18037">
          <cell r="D18037" t="str">
            <v>2023</v>
          </cell>
        </row>
        <row r="18038">
          <cell r="D18038" t="str">
            <v>2023</v>
          </cell>
        </row>
        <row r="18039">
          <cell r="D18039" t="str">
            <v>2023</v>
          </cell>
        </row>
        <row r="18040">
          <cell r="D18040" t="str">
            <v>2023</v>
          </cell>
        </row>
        <row r="18041">
          <cell r="D18041" t="str">
            <v>2023</v>
          </cell>
        </row>
        <row r="18042">
          <cell r="D18042" t="str">
            <v>2023</v>
          </cell>
        </row>
        <row r="18043">
          <cell r="D18043" t="str">
            <v>2023</v>
          </cell>
        </row>
        <row r="18044">
          <cell r="D18044" t="str">
            <v>2023</v>
          </cell>
        </row>
        <row r="18045">
          <cell r="D18045" t="str">
            <v>2023</v>
          </cell>
        </row>
        <row r="18046">
          <cell r="D18046" t="str">
            <v>2023</v>
          </cell>
        </row>
        <row r="18047">
          <cell r="D18047" t="str">
            <v>2023</v>
          </cell>
        </row>
        <row r="18048">
          <cell r="D18048" t="str">
            <v>2023</v>
          </cell>
        </row>
        <row r="18049">
          <cell r="D18049" t="str">
            <v>2023</v>
          </cell>
        </row>
        <row r="18050">
          <cell r="D18050" t="str">
            <v>2023</v>
          </cell>
        </row>
        <row r="18051">
          <cell r="D18051" t="str">
            <v>2023</v>
          </cell>
        </row>
        <row r="18052">
          <cell r="D18052" t="str">
            <v>2023</v>
          </cell>
        </row>
        <row r="18053">
          <cell r="D18053" t="str">
            <v>2023</v>
          </cell>
        </row>
        <row r="18054">
          <cell r="D18054" t="str">
            <v>2023</v>
          </cell>
        </row>
        <row r="18055">
          <cell r="D18055" t="str">
            <v>2023</v>
          </cell>
        </row>
        <row r="18056">
          <cell r="D18056" t="str">
            <v>2023</v>
          </cell>
        </row>
        <row r="18057">
          <cell r="D18057" t="str">
            <v>2023</v>
          </cell>
        </row>
        <row r="18058">
          <cell r="D18058" t="str">
            <v>2023</v>
          </cell>
        </row>
        <row r="18059">
          <cell r="D18059" t="str">
            <v>2023</v>
          </cell>
        </row>
        <row r="18060">
          <cell r="D18060" t="str">
            <v>2023</v>
          </cell>
        </row>
        <row r="18061">
          <cell r="D18061" t="str">
            <v>2023</v>
          </cell>
        </row>
        <row r="18062">
          <cell r="D18062" t="str">
            <v>2023</v>
          </cell>
        </row>
        <row r="18063">
          <cell r="D18063" t="str">
            <v>2023</v>
          </cell>
        </row>
        <row r="18064">
          <cell r="D18064" t="str">
            <v>2023</v>
          </cell>
        </row>
        <row r="18065">
          <cell r="D18065" t="str">
            <v>2023</v>
          </cell>
        </row>
        <row r="18066">
          <cell r="D18066" t="str">
            <v>2023</v>
          </cell>
        </row>
        <row r="18067">
          <cell r="D18067" t="str">
            <v>2023</v>
          </cell>
        </row>
        <row r="18068">
          <cell r="D18068" t="str">
            <v>2023</v>
          </cell>
        </row>
        <row r="18069">
          <cell r="D18069" t="str">
            <v>2023</v>
          </cell>
        </row>
        <row r="18070">
          <cell r="D18070" t="str">
            <v>2023</v>
          </cell>
        </row>
        <row r="18071">
          <cell r="D18071" t="str">
            <v>2023</v>
          </cell>
        </row>
        <row r="18072">
          <cell r="D18072" t="str">
            <v>2023</v>
          </cell>
        </row>
        <row r="18073">
          <cell r="D18073" t="str">
            <v>2023</v>
          </cell>
        </row>
        <row r="18074">
          <cell r="D18074" t="str">
            <v>2023</v>
          </cell>
        </row>
        <row r="18075">
          <cell r="D18075" t="str">
            <v>2023</v>
          </cell>
        </row>
        <row r="18076">
          <cell r="D18076" t="str">
            <v>2023</v>
          </cell>
        </row>
        <row r="18077">
          <cell r="D18077" t="str">
            <v>2023</v>
          </cell>
        </row>
        <row r="18078">
          <cell r="D18078" t="str">
            <v>2023</v>
          </cell>
        </row>
        <row r="18079">
          <cell r="D18079" t="str">
            <v>2023</v>
          </cell>
        </row>
        <row r="18080">
          <cell r="D18080" t="str">
            <v>2023</v>
          </cell>
        </row>
        <row r="18081">
          <cell r="D18081" t="str">
            <v>2023</v>
          </cell>
        </row>
        <row r="18082">
          <cell r="D18082" t="str">
            <v>2023</v>
          </cell>
        </row>
        <row r="18083">
          <cell r="D18083" t="str">
            <v>2023</v>
          </cell>
        </row>
        <row r="18084">
          <cell r="D18084" t="str">
            <v>2023</v>
          </cell>
        </row>
        <row r="18085">
          <cell r="D18085" t="str">
            <v>2023</v>
          </cell>
        </row>
        <row r="18086">
          <cell r="D18086" t="str">
            <v>2023</v>
          </cell>
        </row>
        <row r="18087">
          <cell r="D18087" t="str">
            <v>2023</v>
          </cell>
        </row>
        <row r="18088">
          <cell r="D18088" t="str">
            <v>2023</v>
          </cell>
        </row>
        <row r="18089">
          <cell r="D18089" t="str">
            <v>2023</v>
          </cell>
        </row>
        <row r="18090">
          <cell r="D18090" t="str">
            <v>2023</v>
          </cell>
        </row>
        <row r="18091">
          <cell r="D18091" t="str">
            <v>2023</v>
          </cell>
        </row>
        <row r="18092">
          <cell r="D18092" t="str">
            <v>2023</v>
          </cell>
        </row>
        <row r="18093">
          <cell r="D18093" t="str">
            <v>2023</v>
          </cell>
        </row>
        <row r="18094">
          <cell r="D18094" t="str">
            <v>2023</v>
          </cell>
        </row>
        <row r="18095">
          <cell r="D18095" t="str">
            <v>2023</v>
          </cell>
        </row>
        <row r="18096">
          <cell r="D18096" t="str">
            <v>2023</v>
          </cell>
        </row>
        <row r="18097">
          <cell r="D18097" t="str">
            <v>2023</v>
          </cell>
        </row>
        <row r="18098">
          <cell r="D18098" t="str">
            <v>2023</v>
          </cell>
        </row>
        <row r="18099">
          <cell r="D18099" t="str">
            <v>2023</v>
          </cell>
        </row>
        <row r="18100">
          <cell r="D18100" t="str">
            <v>2023</v>
          </cell>
        </row>
        <row r="18101">
          <cell r="D18101" t="str">
            <v>2023</v>
          </cell>
        </row>
        <row r="18102">
          <cell r="D18102" t="str">
            <v>2023</v>
          </cell>
        </row>
        <row r="18103">
          <cell r="D18103" t="str">
            <v>2023</v>
          </cell>
        </row>
        <row r="18104">
          <cell r="D18104" t="str">
            <v>2023</v>
          </cell>
        </row>
        <row r="18105">
          <cell r="D18105" t="str">
            <v>2023</v>
          </cell>
        </row>
        <row r="18106">
          <cell r="D18106" t="str">
            <v>2023</v>
          </cell>
        </row>
        <row r="18107">
          <cell r="D18107" t="str">
            <v>2023</v>
          </cell>
        </row>
        <row r="18108">
          <cell r="D18108" t="str">
            <v>2023</v>
          </cell>
        </row>
        <row r="18109">
          <cell r="D18109" t="str">
            <v>2023</v>
          </cell>
        </row>
        <row r="18110">
          <cell r="D18110" t="str">
            <v>2023</v>
          </cell>
        </row>
        <row r="18111">
          <cell r="D18111" t="str">
            <v>2023</v>
          </cell>
        </row>
        <row r="18112">
          <cell r="D18112" t="str">
            <v>2023</v>
          </cell>
        </row>
        <row r="18113">
          <cell r="D18113" t="str">
            <v>2023</v>
          </cell>
        </row>
        <row r="18114">
          <cell r="D18114" t="str">
            <v>2023</v>
          </cell>
        </row>
        <row r="18115">
          <cell r="D18115" t="str">
            <v>2023</v>
          </cell>
        </row>
        <row r="18116">
          <cell r="D18116" t="str">
            <v>2023</v>
          </cell>
        </row>
        <row r="18117">
          <cell r="D18117" t="str">
            <v>2023</v>
          </cell>
        </row>
        <row r="18118">
          <cell r="D18118" t="str">
            <v>2023</v>
          </cell>
        </row>
        <row r="18119">
          <cell r="D18119" t="str">
            <v>2023</v>
          </cell>
        </row>
        <row r="18120">
          <cell r="D18120" t="str">
            <v>2023</v>
          </cell>
        </row>
        <row r="18121">
          <cell r="D18121" t="str">
            <v>2023</v>
          </cell>
        </row>
        <row r="18122">
          <cell r="D18122" t="str">
            <v>2023</v>
          </cell>
        </row>
        <row r="18123">
          <cell r="D18123" t="str">
            <v>2023</v>
          </cell>
        </row>
        <row r="18124">
          <cell r="D18124" t="str">
            <v>2023</v>
          </cell>
        </row>
        <row r="18125">
          <cell r="D18125" t="str">
            <v>2023</v>
          </cell>
        </row>
        <row r="18126">
          <cell r="D18126" t="str">
            <v>2023</v>
          </cell>
        </row>
        <row r="18127">
          <cell r="D18127" t="str">
            <v>2023</v>
          </cell>
        </row>
        <row r="18128">
          <cell r="D18128" t="str">
            <v>2023</v>
          </cell>
        </row>
        <row r="18129">
          <cell r="D18129" t="str">
            <v>2023</v>
          </cell>
        </row>
        <row r="18130">
          <cell r="D18130" t="str">
            <v>2023</v>
          </cell>
        </row>
        <row r="18131">
          <cell r="D18131" t="str">
            <v>2023</v>
          </cell>
        </row>
        <row r="18132">
          <cell r="D18132" t="str">
            <v>2023</v>
          </cell>
        </row>
        <row r="18133">
          <cell r="D18133" t="str">
            <v>2023</v>
          </cell>
        </row>
        <row r="18134">
          <cell r="D18134" t="str">
            <v>2023</v>
          </cell>
        </row>
        <row r="18135">
          <cell r="D18135" t="str">
            <v>2023</v>
          </cell>
        </row>
        <row r="18136">
          <cell r="D18136" t="str">
            <v>2023</v>
          </cell>
        </row>
        <row r="18137">
          <cell r="D18137" t="str">
            <v>2023</v>
          </cell>
        </row>
        <row r="18138">
          <cell r="D18138" t="str">
            <v>2023</v>
          </cell>
        </row>
        <row r="18139">
          <cell r="D18139" t="str">
            <v>2023</v>
          </cell>
        </row>
        <row r="18140">
          <cell r="D18140" t="str">
            <v>2023</v>
          </cell>
        </row>
        <row r="18141">
          <cell r="D18141" t="str">
            <v>2023</v>
          </cell>
        </row>
        <row r="18142">
          <cell r="D18142" t="str">
            <v>2023</v>
          </cell>
        </row>
        <row r="18143">
          <cell r="D18143" t="str">
            <v>2023</v>
          </cell>
        </row>
        <row r="18144">
          <cell r="D18144" t="str">
            <v>2023</v>
          </cell>
        </row>
        <row r="18145">
          <cell r="D18145" t="str">
            <v>2023</v>
          </cell>
        </row>
        <row r="18146">
          <cell r="D18146" t="str">
            <v>2023</v>
          </cell>
        </row>
        <row r="18147">
          <cell r="D18147" t="str">
            <v>2023</v>
          </cell>
        </row>
        <row r="18148">
          <cell r="D18148" t="str">
            <v>2023</v>
          </cell>
        </row>
        <row r="18149">
          <cell r="D18149" t="str">
            <v>2023</v>
          </cell>
        </row>
        <row r="18150">
          <cell r="D18150" t="str">
            <v>2023</v>
          </cell>
        </row>
        <row r="18151">
          <cell r="D18151" t="str">
            <v>2023</v>
          </cell>
        </row>
        <row r="18152">
          <cell r="D18152" t="str">
            <v>2023</v>
          </cell>
        </row>
        <row r="18153">
          <cell r="D18153" t="str">
            <v>2023</v>
          </cell>
        </row>
        <row r="18154">
          <cell r="D18154" t="str">
            <v>2023</v>
          </cell>
        </row>
        <row r="18155">
          <cell r="D18155" t="str">
            <v>2023</v>
          </cell>
        </row>
        <row r="18156">
          <cell r="D18156" t="str">
            <v>2023</v>
          </cell>
        </row>
        <row r="18157">
          <cell r="D18157" t="str">
            <v>2023</v>
          </cell>
        </row>
        <row r="18158">
          <cell r="D18158" t="str">
            <v>2023</v>
          </cell>
        </row>
        <row r="18159">
          <cell r="D18159" t="str">
            <v>2023</v>
          </cell>
        </row>
        <row r="18160">
          <cell r="D18160" t="str">
            <v>2023</v>
          </cell>
        </row>
        <row r="18161">
          <cell r="D18161" t="str">
            <v>2023</v>
          </cell>
        </row>
        <row r="18162">
          <cell r="D18162" t="str">
            <v>2023</v>
          </cell>
        </row>
        <row r="18163">
          <cell r="D18163" t="str">
            <v>2023</v>
          </cell>
        </row>
        <row r="18164">
          <cell r="D18164" t="str">
            <v>2023</v>
          </cell>
        </row>
        <row r="18165">
          <cell r="D18165" t="str">
            <v>2023</v>
          </cell>
        </row>
        <row r="18166">
          <cell r="D18166" t="str">
            <v>2023</v>
          </cell>
        </row>
        <row r="18167">
          <cell r="D18167" t="str">
            <v>2023</v>
          </cell>
        </row>
        <row r="18168">
          <cell r="D18168" t="str">
            <v>2023</v>
          </cell>
        </row>
        <row r="18169">
          <cell r="D18169" t="str">
            <v>2023</v>
          </cell>
        </row>
        <row r="18170">
          <cell r="D18170" t="str">
            <v>2023</v>
          </cell>
        </row>
        <row r="18171">
          <cell r="D18171" t="str">
            <v>2023</v>
          </cell>
        </row>
        <row r="18172">
          <cell r="D18172" t="str">
            <v>2023</v>
          </cell>
        </row>
        <row r="18173">
          <cell r="D18173" t="str">
            <v>2023</v>
          </cell>
        </row>
        <row r="18174">
          <cell r="D18174" t="str">
            <v>2023</v>
          </cell>
        </row>
        <row r="18175">
          <cell r="D18175" t="str">
            <v>2023</v>
          </cell>
        </row>
        <row r="18176">
          <cell r="D18176" t="str">
            <v>2023</v>
          </cell>
        </row>
        <row r="18177">
          <cell r="D18177" t="str">
            <v>2023</v>
          </cell>
        </row>
        <row r="18178">
          <cell r="D18178" t="str">
            <v>2023</v>
          </cell>
        </row>
        <row r="18179">
          <cell r="D18179" t="str">
            <v>2023</v>
          </cell>
        </row>
        <row r="18180">
          <cell r="D18180" t="str">
            <v>2023</v>
          </cell>
        </row>
        <row r="18181">
          <cell r="D18181" t="str">
            <v>2023</v>
          </cell>
        </row>
        <row r="18182">
          <cell r="D18182" t="str">
            <v>2023</v>
          </cell>
        </row>
        <row r="18183">
          <cell r="D18183" t="str">
            <v>2023</v>
          </cell>
        </row>
        <row r="18184">
          <cell r="D18184" t="str">
            <v>2023</v>
          </cell>
        </row>
        <row r="18185">
          <cell r="D18185" t="str">
            <v>2023</v>
          </cell>
        </row>
        <row r="18186">
          <cell r="D18186" t="str">
            <v>2023</v>
          </cell>
        </row>
        <row r="18187">
          <cell r="D18187" t="str">
            <v>2023</v>
          </cell>
        </row>
        <row r="18188">
          <cell r="D18188" t="str">
            <v>2023</v>
          </cell>
        </row>
        <row r="18189">
          <cell r="D18189" t="str">
            <v>2023</v>
          </cell>
        </row>
        <row r="18190">
          <cell r="D18190" t="str">
            <v>2023</v>
          </cell>
        </row>
        <row r="18191">
          <cell r="D18191" t="str">
            <v>2023</v>
          </cell>
        </row>
        <row r="18192">
          <cell r="D18192" t="str">
            <v>2023</v>
          </cell>
        </row>
        <row r="18193">
          <cell r="D18193" t="str">
            <v>2023</v>
          </cell>
        </row>
        <row r="18194">
          <cell r="D18194" t="str">
            <v>2023</v>
          </cell>
        </row>
        <row r="18195">
          <cell r="D18195" t="str">
            <v>2023</v>
          </cell>
        </row>
        <row r="18196">
          <cell r="D18196" t="str">
            <v>2023</v>
          </cell>
        </row>
        <row r="18197">
          <cell r="D18197" t="str">
            <v>2023</v>
          </cell>
        </row>
        <row r="18198">
          <cell r="D18198" t="str">
            <v>2023</v>
          </cell>
        </row>
        <row r="18199">
          <cell r="D18199" t="str">
            <v>2023</v>
          </cell>
        </row>
        <row r="18200">
          <cell r="D18200" t="str">
            <v>2023</v>
          </cell>
        </row>
        <row r="18201">
          <cell r="D18201" t="str">
            <v>2023</v>
          </cell>
        </row>
        <row r="18202">
          <cell r="D18202" t="str">
            <v>2023</v>
          </cell>
        </row>
        <row r="18203">
          <cell r="D18203" t="str">
            <v>2023</v>
          </cell>
        </row>
        <row r="18204">
          <cell r="D18204" t="str">
            <v>2023</v>
          </cell>
        </row>
        <row r="18205">
          <cell r="D18205" t="str">
            <v>2023</v>
          </cell>
        </row>
        <row r="18206">
          <cell r="D18206" t="str">
            <v>2023</v>
          </cell>
        </row>
        <row r="18207">
          <cell r="D18207" t="str">
            <v>2023</v>
          </cell>
        </row>
        <row r="18208">
          <cell r="D18208" t="str">
            <v>2023</v>
          </cell>
        </row>
        <row r="18209">
          <cell r="D18209" t="str">
            <v>2023</v>
          </cell>
        </row>
        <row r="18210">
          <cell r="D18210" t="str">
            <v>2023</v>
          </cell>
        </row>
        <row r="18211">
          <cell r="D18211" t="str">
            <v>2023</v>
          </cell>
        </row>
        <row r="18212">
          <cell r="D18212" t="str">
            <v>2023</v>
          </cell>
        </row>
        <row r="18213">
          <cell r="D18213" t="str">
            <v>2023</v>
          </cell>
        </row>
        <row r="18214">
          <cell r="D18214" t="str">
            <v>2023</v>
          </cell>
        </row>
        <row r="18215">
          <cell r="D18215" t="str">
            <v>2023</v>
          </cell>
        </row>
        <row r="18216">
          <cell r="D18216" t="str">
            <v>2023</v>
          </cell>
        </row>
        <row r="18217">
          <cell r="D18217" t="str">
            <v>2023</v>
          </cell>
        </row>
        <row r="18218">
          <cell r="D18218" t="str">
            <v>2023</v>
          </cell>
        </row>
        <row r="18219">
          <cell r="D18219" t="str">
            <v>2023</v>
          </cell>
        </row>
        <row r="18220">
          <cell r="D18220" t="str">
            <v>2023</v>
          </cell>
        </row>
        <row r="18221">
          <cell r="D18221" t="str">
            <v>2023</v>
          </cell>
        </row>
        <row r="18222">
          <cell r="D18222" t="str">
            <v>2023</v>
          </cell>
        </row>
        <row r="18223">
          <cell r="D18223" t="str">
            <v>2023</v>
          </cell>
        </row>
        <row r="18224">
          <cell r="D18224" t="str">
            <v>2023</v>
          </cell>
        </row>
        <row r="18225">
          <cell r="D18225" t="str">
            <v>2023</v>
          </cell>
        </row>
        <row r="18226">
          <cell r="D18226" t="str">
            <v>2023</v>
          </cell>
        </row>
        <row r="18227">
          <cell r="D18227" t="str">
            <v>2023</v>
          </cell>
        </row>
        <row r="18228">
          <cell r="D18228" t="str">
            <v>2023</v>
          </cell>
        </row>
        <row r="18229">
          <cell r="D18229" t="str">
            <v>2023</v>
          </cell>
        </row>
        <row r="18230">
          <cell r="D18230" t="str">
            <v>2023</v>
          </cell>
        </row>
        <row r="18231">
          <cell r="D18231" t="str">
            <v>2023</v>
          </cell>
        </row>
        <row r="18232">
          <cell r="D18232" t="str">
            <v>2023</v>
          </cell>
        </row>
        <row r="18233">
          <cell r="D18233" t="str">
            <v>2023</v>
          </cell>
        </row>
        <row r="18234">
          <cell r="D18234" t="str">
            <v>2023</v>
          </cell>
        </row>
        <row r="18235">
          <cell r="D18235" t="str">
            <v>2023</v>
          </cell>
        </row>
        <row r="18236">
          <cell r="D18236" t="str">
            <v>2023</v>
          </cell>
        </row>
        <row r="18237">
          <cell r="D18237" t="str">
            <v>2023</v>
          </cell>
        </row>
        <row r="18238">
          <cell r="D18238" t="str">
            <v>2023</v>
          </cell>
        </row>
        <row r="18239">
          <cell r="D18239" t="str">
            <v>2023</v>
          </cell>
        </row>
        <row r="18240">
          <cell r="D18240" t="str">
            <v>2023</v>
          </cell>
        </row>
        <row r="18241">
          <cell r="D18241" t="str">
            <v>2023</v>
          </cell>
        </row>
        <row r="18242">
          <cell r="D18242" t="str">
            <v>2023</v>
          </cell>
        </row>
        <row r="18243">
          <cell r="D18243" t="str">
            <v>2023</v>
          </cell>
        </row>
        <row r="18244">
          <cell r="D18244" t="str">
            <v>2023</v>
          </cell>
        </row>
        <row r="18245">
          <cell r="D18245" t="str">
            <v>2023</v>
          </cell>
        </row>
        <row r="18246">
          <cell r="D18246" t="str">
            <v>2023</v>
          </cell>
        </row>
        <row r="18247">
          <cell r="D18247" t="str">
            <v>2023</v>
          </cell>
        </row>
        <row r="18248">
          <cell r="D18248" t="str">
            <v>2023</v>
          </cell>
        </row>
        <row r="18249">
          <cell r="D18249" t="str">
            <v>2023</v>
          </cell>
        </row>
        <row r="18250">
          <cell r="D18250" t="str">
            <v>2023</v>
          </cell>
        </row>
        <row r="18251">
          <cell r="D18251" t="str">
            <v>2023</v>
          </cell>
        </row>
        <row r="18252">
          <cell r="D18252" t="str">
            <v>2023</v>
          </cell>
        </row>
        <row r="18253">
          <cell r="D18253" t="str">
            <v>2023</v>
          </cell>
        </row>
        <row r="18254">
          <cell r="D18254" t="str">
            <v>2023</v>
          </cell>
        </row>
        <row r="18255">
          <cell r="D18255" t="str">
            <v>2023</v>
          </cell>
        </row>
        <row r="18256">
          <cell r="D18256" t="str">
            <v>2023</v>
          </cell>
        </row>
        <row r="18257">
          <cell r="D18257" t="str">
            <v>2023</v>
          </cell>
        </row>
        <row r="18258">
          <cell r="D18258" t="str">
            <v>2023</v>
          </cell>
        </row>
        <row r="18259">
          <cell r="D18259" t="str">
            <v>2023</v>
          </cell>
        </row>
        <row r="18260">
          <cell r="D18260" t="str">
            <v>2023</v>
          </cell>
        </row>
        <row r="18261">
          <cell r="D18261" t="str">
            <v>2023</v>
          </cell>
        </row>
        <row r="18262">
          <cell r="D18262" t="str">
            <v>2023</v>
          </cell>
        </row>
        <row r="18263">
          <cell r="D18263" t="str">
            <v>2023</v>
          </cell>
        </row>
        <row r="18264">
          <cell r="D18264" t="str">
            <v>2023</v>
          </cell>
        </row>
        <row r="18265">
          <cell r="D18265" t="str">
            <v>2023</v>
          </cell>
        </row>
        <row r="18266">
          <cell r="D18266" t="str">
            <v>2023</v>
          </cell>
        </row>
        <row r="18267">
          <cell r="D18267" t="str">
            <v>2023</v>
          </cell>
        </row>
        <row r="18268">
          <cell r="D18268" t="str">
            <v>2023</v>
          </cell>
        </row>
        <row r="18269">
          <cell r="D18269" t="str">
            <v>2023</v>
          </cell>
        </row>
        <row r="18270">
          <cell r="D18270" t="str">
            <v>2023</v>
          </cell>
        </row>
        <row r="18271">
          <cell r="D18271" t="str">
            <v>2023</v>
          </cell>
        </row>
        <row r="18272">
          <cell r="D18272" t="str">
            <v>2023</v>
          </cell>
        </row>
        <row r="18273">
          <cell r="D18273" t="str">
            <v>2023</v>
          </cell>
        </row>
        <row r="18274">
          <cell r="D18274" t="str">
            <v>2023</v>
          </cell>
        </row>
        <row r="18275">
          <cell r="D18275" t="str">
            <v>2023</v>
          </cell>
        </row>
        <row r="18276">
          <cell r="D18276" t="str">
            <v>2023</v>
          </cell>
        </row>
        <row r="18277">
          <cell r="D18277" t="str">
            <v>2023</v>
          </cell>
        </row>
        <row r="18278">
          <cell r="D18278" t="str">
            <v>2023</v>
          </cell>
        </row>
        <row r="18279">
          <cell r="D18279" t="str">
            <v>2023</v>
          </cell>
        </row>
        <row r="18280">
          <cell r="D18280" t="str">
            <v>2023</v>
          </cell>
        </row>
        <row r="18281">
          <cell r="D18281" t="str">
            <v>2023</v>
          </cell>
        </row>
        <row r="18282">
          <cell r="D18282" t="str">
            <v>2023</v>
          </cell>
        </row>
        <row r="18283">
          <cell r="D18283" t="str">
            <v>2023</v>
          </cell>
        </row>
        <row r="18284">
          <cell r="D18284" t="str">
            <v>2023</v>
          </cell>
        </row>
        <row r="18285">
          <cell r="D18285" t="str">
            <v>2023</v>
          </cell>
        </row>
        <row r="18286">
          <cell r="D18286" t="str">
            <v>2023</v>
          </cell>
        </row>
        <row r="18287">
          <cell r="D18287" t="str">
            <v>2023</v>
          </cell>
        </row>
        <row r="18288">
          <cell r="D18288" t="str">
            <v>2023</v>
          </cell>
        </row>
        <row r="18289">
          <cell r="D18289" t="str">
            <v>2023</v>
          </cell>
        </row>
        <row r="18290">
          <cell r="D18290" t="str">
            <v>2023</v>
          </cell>
        </row>
        <row r="18291">
          <cell r="D18291" t="str">
            <v>2023</v>
          </cell>
        </row>
        <row r="18292">
          <cell r="D18292" t="str">
            <v>2023</v>
          </cell>
        </row>
        <row r="18293">
          <cell r="D18293" t="str">
            <v>2023</v>
          </cell>
        </row>
        <row r="18294">
          <cell r="D18294" t="str">
            <v>2023</v>
          </cell>
        </row>
        <row r="18295">
          <cell r="D18295" t="str">
            <v>2023</v>
          </cell>
        </row>
        <row r="18296">
          <cell r="D18296" t="str">
            <v>2023</v>
          </cell>
        </row>
        <row r="18297">
          <cell r="D18297" t="str">
            <v>2023</v>
          </cell>
        </row>
        <row r="18298">
          <cell r="D18298" t="str">
            <v>2023</v>
          </cell>
        </row>
        <row r="18299">
          <cell r="D18299" t="str">
            <v>2023</v>
          </cell>
        </row>
        <row r="18300">
          <cell r="D18300" t="str">
            <v>2023</v>
          </cell>
        </row>
        <row r="18301">
          <cell r="D18301" t="str">
            <v>2023</v>
          </cell>
        </row>
        <row r="18302">
          <cell r="D18302" t="str">
            <v>2023</v>
          </cell>
        </row>
        <row r="18303">
          <cell r="D18303" t="str">
            <v>2023</v>
          </cell>
        </row>
        <row r="18304">
          <cell r="D18304" t="str">
            <v>2023</v>
          </cell>
        </row>
        <row r="18305">
          <cell r="D18305" t="str">
            <v>2023</v>
          </cell>
        </row>
        <row r="18306">
          <cell r="D18306" t="str">
            <v>2023</v>
          </cell>
        </row>
        <row r="18307">
          <cell r="D18307" t="str">
            <v>2023</v>
          </cell>
        </row>
        <row r="18308">
          <cell r="D18308" t="str">
            <v>2023</v>
          </cell>
        </row>
        <row r="18309">
          <cell r="D18309" t="str">
            <v>2023</v>
          </cell>
        </row>
        <row r="18310">
          <cell r="D18310" t="str">
            <v>2023</v>
          </cell>
        </row>
        <row r="18311">
          <cell r="D18311" t="str">
            <v>2023</v>
          </cell>
        </row>
        <row r="18312">
          <cell r="D18312" t="str">
            <v>2023</v>
          </cell>
        </row>
        <row r="18313">
          <cell r="D18313" t="str">
            <v>2023</v>
          </cell>
        </row>
        <row r="18314">
          <cell r="D18314" t="str">
            <v>2023</v>
          </cell>
        </row>
        <row r="18315">
          <cell r="D18315" t="str">
            <v>2023</v>
          </cell>
        </row>
        <row r="18316">
          <cell r="D18316" t="str">
            <v>2023</v>
          </cell>
        </row>
        <row r="18317">
          <cell r="D18317" t="str">
            <v>2023</v>
          </cell>
        </row>
        <row r="18318">
          <cell r="D18318" t="str">
            <v>2023</v>
          </cell>
        </row>
        <row r="18319">
          <cell r="D18319" t="str">
            <v>2023</v>
          </cell>
        </row>
        <row r="18320">
          <cell r="D18320" t="str">
            <v>2023</v>
          </cell>
        </row>
        <row r="18321">
          <cell r="D18321" t="str">
            <v>2023</v>
          </cell>
        </row>
        <row r="18322">
          <cell r="D18322" t="str">
            <v>2023</v>
          </cell>
        </row>
        <row r="18323">
          <cell r="D18323" t="str">
            <v>2023</v>
          </cell>
        </row>
        <row r="18324">
          <cell r="D18324" t="str">
            <v>2023</v>
          </cell>
        </row>
        <row r="18325">
          <cell r="D18325" t="str">
            <v>2023</v>
          </cell>
        </row>
        <row r="18326">
          <cell r="D18326" t="str">
            <v>2023</v>
          </cell>
        </row>
        <row r="18327">
          <cell r="D18327" t="str">
            <v>2023</v>
          </cell>
        </row>
        <row r="18328">
          <cell r="D18328" t="str">
            <v>2023</v>
          </cell>
        </row>
        <row r="18329">
          <cell r="D18329" t="str">
            <v>2023</v>
          </cell>
        </row>
        <row r="18330">
          <cell r="D18330" t="str">
            <v>2023</v>
          </cell>
        </row>
        <row r="18331">
          <cell r="D18331" t="str">
            <v>2023</v>
          </cell>
        </row>
        <row r="18332">
          <cell r="D18332" t="str">
            <v>2023</v>
          </cell>
        </row>
        <row r="18333">
          <cell r="D18333" t="str">
            <v>2023</v>
          </cell>
        </row>
        <row r="18334">
          <cell r="D18334" t="str">
            <v>2023</v>
          </cell>
        </row>
        <row r="18335">
          <cell r="D18335" t="str">
            <v>2023</v>
          </cell>
        </row>
        <row r="18336">
          <cell r="D18336" t="str">
            <v>2023</v>
          </cell>
        </row>
        <row r="18337">
          <cell r="D18337" t="str">
            <v>2023</v>
          </cell>
        </row>
        <row r="18338">
          <cell r="D18338" t="str">
            <v>2023</v>
          </cell>
        </row>
        <row r="18339">
          <cell r="D18339" t="str">
            <v>2023</v>
          </cell>
        </row>
        <row r="18340">
          <cell r="D18340" t="str">
            <v>2023</v>
          </cell>
        </row>
        <row r="18341">
          <cell r="D18341" t="str">
            <v>2023</v>
          </cell>
        </row>
        <row r="18342">
          <cell r="D18342" t="str">
            <v>2023</v>
          </cell>
        </row>
        <row r="18343">
          <cell r="D18343" t="str">
            <v>2023</v>
          </cell>
        </row>
        <row r="18344">
          <cell r="D18344" t="str">
            <v>2023</v>
          </cell>
        </row>
        <row r="18345">
          <cell r="D18345" t="str">
            <v>2023</v>
          </cell>
        </row>
        <row r="18346">
          <cell r="D18346" t="str">
            <v>2023</v>
          </cell>
        </row>
        <row r="18347">
          <cell r="D18347" t="str">
            <v>2023</v>
          </cell>
        </row>
        <row r="18348">
          <cell r="D18348" t="str">
            <v>2023</v>
          </cell>
        </row>
        <row r="18349">
          <cell r="D18349" t="str">
            <v>2023</v>
          </cell>
        </row>
        <row r="18350">
          <cell r="D18350" t="str">
            <v>2023</v>
          </cell>
        </row>
        <row r="18351">
          <cell r="D18351" t="str">
            <v>2023</v>
          </cell>
        </row>
        <row r="18352">
          <cell r="D18352" t="str">
            <v>2023</v>
          </cell>
        </row>
        <row r="18353">
          <cell r="D18353" t="str">
            <v>2023</v>
          </cell>
        </row>
        <row r="18354">
          <cell r="D18354" t="str">
            <v>2023</v>
          </cell>
        </row>
        <row r="18355">
          <cell r="D18355" t="str">
            <v>2023</v>
          </cell>
        </row>
        <row r="18356">
          <cell r="D18356" t="str">
            <v>2023</v>
          </cell>
        </row>
        <row r="18357">
          <cell r="D18357" t="str">
            <v>2023</v>
          </cell>
        </row>
        <row r="18358">
          <cell r="D18358" t="str">
            <v>2023</v>
          </cell>
        </row>
        <row r="18359">
          <cell r="D18359" t="str">
            <v>2023</v>
          </cell>
        </row>
        <row r="18360">
          <cell r="D18360" t="str">
            <v>2023</v>
          </cell>
        </row>
        <row r="18361">
          <cell r="D18361" t="str">
            <v>2023</v>
          </cell>
        </row>
        <row r="18362">
          <cell r="D18362" t="str">
            <v>2023</v>
          </cell>
        </row>
        <row r="18363">
          <cell r="D18363" t="str">
            <v>2023</v>
          </cell>
        </row>
        <row r="18364">
          <cell r="D18364" t="str">
            <v>2023</v>
          </cell>
        </row>
        <row r="18365">
          <cell r="D18365" t="str">
            <v>2023</v>
          </cell>
        </row>
        <row r="18366">
          <cell r="D18366" t="str">
            <v>2023</v>
          </cell>
        </row>
        <row r="18367">
          <cell r="D18367" t="str">
            <v>2023</v>
          </cell>
        </row>
        <row r="18368">
          <cell r="D18368" t="str">
            <v>2023</v>
          </cell>
        </row>
        <row r="18369">
          <cell r="D18369" t="str">
            <v>2023</v>
          </cell>
        </row>
        <row r="18370">
          <cell r="D18370" t="str">
            <v>2023</v>
          </cell>
        </row>
        <row r="18371">
          <cell r="D18371" t="str">
            <v>2023</v>
          </cell>
        </row>
        <row r="18372">
          <cell r="D18372" t="str">
            <v>2023</v>
          </cell>
        </row>
        <row r="18373">
          <cell r="D18373" t="str">
            <v>2023</v>
          </cell>
        </row>
        <row r="18374">
          <cell r="D18374" t="str">
            <v>2023</v>
          </cell>
        </row>
        <row r="18375">
          <cell r="D18375" t="str">
            <v>2023</v>
          </cell>
        </row>
        <row r="18376">
          <cell r="D18376" t="str">
            <v>2023</v>
          </cell>
        </row>
        <row r="18377">
          <cell r="D18377" t="str">
            <v>2023</v>
          </cell>
        </row>
        <row r="18378">
          <cell r="D18378" t="str">
            <v>2023</v>
          </cell>
        </row>
        <row r="18379">
          <cell r="D18379" t="str">
            <v>2023</v>
          </cell>
        </row>
        <row r="18380">
          <cell r="D18380" t="str">
            <v>2023</v>
          </cell>
        </row>
        <row r="18381">
          <cell r="D18381" t="str">
            <v>2023</v>
          </cell>
        </row>
        <row r="18382">
          <cell r="D18382" t="str">
            <v>2023</v>
          </cell>
        </row>
        <row r="18383">
          <cell r="D18383" t="str">
            <v>2023</v>
          </cell>
        </row>
        <row r="18384">
          <cell r="D18384" t="str">
            <v>2023</v>
          </cell>
        </row>
        <row r="18385">
          <cell r="D18385" t="str">
            <v>2023</v>
          </cell>
        </row>
        <row r="18386">
          <cell r="D18386" t="str">
            <v>2023</v>
          </cell>
        </row>
        <row r="18387">
          <cell r="D18387" t="str">
            <v>2023</v>
          </cell>
        </row>
        <row r="18388">
          <cell r="D18388" t="str">
            <v>2023</v>
          </cell>
        </row>
        <row r="18389">
          <cell r="D18389" t="str">
            <v>2023</v>
          </cell>
        </row>
        <row r="18390">
          <cell r="D18390" t="str">
            <v>2023</v>
          </cell>
        </row>
        <row r="18391">
          <cell r="D18391" t="str">
            <v>2023</v>
          </cell>
        </row>
        <row r="18392">
          <cell r="D18392" t="str">
            <v>2023</v>
          </cell>
        </row>
        <row r="18393">
          <cell r="D18393" t="str">
            <v>2023</v>
          </cell>
        </row>
        <row r="18394">
          <cell r="D18394" t="str">
            <v>2023</v>
          </cell>
        </row>
        <row r="18395">
          <cell r="D18395" t="str">
            <v>2023</v>
          </cell>
        </row>
        <row r="18396">
          <cell r="D18396" t="str">
            <v>2023</v>
          </cell>
        </row>
        <row r="18397">
          <cell r="D18397" t="str">
            <v>2023</v>
          </cell>
        </row>
        <row r="18398">
          <cell r="D18398" t="str">
            <v>2023</v>
          </cell>
        </row>
        <row r="18399">
          <cell r="D18399" t="str">
            <v>2023</v>
          </cell>
        </row>
        <row r="18400">
          <cell r="D18400" t="str">
            <v>2023</v>
          </cell>
        </row>
        <row r="18401">
          <cell r="D18401" t="str">
            <v>2023</v>
          </cell>
        </row>
        <row r="18402">
          <cell r="D18402" t="str">
            <v>2023</v>
          </cell>
        </row>
        <row r="18403">
          <cell r="D18403" t="str">
            <v>2023</v>
          </cell>
        </row>
        <row r="18404">
          <cell r="D18404" t="str">
            <v>2023</v>
          </cell>
        </row>
        <row r="18405">
          <cell r="D18405" t="str">
            <v>2023</v>
          </cell>
        </row>
        <row r="18406">
          <cell r="D18406" t="str">
            <v>2023</v>
          </cell>
        </row>
        <row r="18407">
          <cell r="D18407" t="str">
            <v>2023</v>
          </cell>
        </row>
        <row r="18408">
          <cell r="D18408" t="str">
            <v>2023</v>
          </cell>
        </row>
        <row r="18409">
          <cell r="D18409" t="str">
            <v>2023</v>
          </cell>
        </row>
        <row r="18410">
          <cell r="D18410" t="str">
            <v>2023</v>
          </cell>
        </row>
        <row r="18411">
          <cell r="D18411" t="str">
            <v>2023</v>
          </cell>
        </row>
        <row r="18412">
          <cell r="D18412" t="str">
            <v>2023</v>
          </cell>
        </row>
        <row r="18413">
          <cell r="D18413" t="str">
            <v>2023</v>
          </cell>
        </row>
        <row r="18414">
          <cell r="D18414" t="str">
            <v>2023</v>
          </cell>
        </row>
        <row r="18415">
          <cell r="D18415" t="str">
            <v>2023</v>
          </cell>
        </row>
        <row r="18416">
          <cell r="D18416" t="str">
            <v>2023</v>
          </cell>
        </row>
        <row r="18417">
          <cell r="D18417" t="str">
            <v>2023</v>
          </cell>
        </row>
        <row r="18418">
          <cell r="D18418" t="str">
            <v>2023</v>
          </cell>
        </row>
        <row r="18419">
          <cell r="D18419" t="str">
            <v>2023</v>
          </cell>
        </row>
        <row r="18420">
          <cell r="D18420" t="str">
            <v>2023</v>
          </cell>
        </row>
        <row r="18421">
          <cell r="D18421" t="str">
            <v>2023</v>
          </cell>
        </row>
        <row r="18422">
          <cell r="D18422" t="str">
            <v>2023</v>
          </cell>
        </row>
        <row r="18423">
          <cell r="D18423" t="str">
            <v>2023</v>
          </cell>
        </row>
        <row r="18424">
          <cell r="D18424" t="str">
            <v>2023</v>
          </cell>
        </row>
        <row r="18425">
          <cell r="D18425" t="str">
            <v>2023</v>
          </cell>
        </row>
        <row r="18426">
          <cell r="D18426" t="str">
            <v>2023</v>
          </cell>
        </row>
        <row r="18427">
          <cell r="D18427" t="str">
            <v>2023</v>
          </cell>
        </row>
        <row r="18428">
          <cell r="D18428" t="str">
            <v>2023</v>
          </cell>
        </row>
        <row r="18429">
          <cell r="D18429" t="str">
            <v>2023</v>
          </cell>
        </row>
        <row r="18430">
          <cell r="D18430" t="str">
            <v>2023</v>
          </cell>
        </row>
        <row r="18431">
          <cell r="D18431" t="str">
            <v>2023</v>
          </cell>
        </row>
        <row r="18432">
          <cell r="D18432" t="str">
            <v>2023</v>
          </cell>
        </row>
        <row r="18433">
          <cell r="D18433" t="str">
            <v>2023</v>
          </cell>
        </row>
        <row r="18434">
          <cell r="D18434" t="str">
            <v>2023</v>
          </cell>
        </row>
        <row r="18435">
          <cell r="D18435" t="str">
            <v>2023</v>
          </cell>
        </row>
        <row r="18436">
          <cell r="D18436" t="str">
            <v>2023</v>
          </cell>
        </row>
        <row r="18437">
          <cell r="D18437" t="str">
            <v>2023</v>
          </cell>
        </row>
        <row r="18438">
          <cell r="D18438" t="str">
            <v>2023</v>
          </cell>
        </row>
        <row r="18439">
          <cell r="D18439" t="str">
            <v>2023</v>
          </cell>
        </row>
        <row r="18440">
          <cell r="D18440" t="str">
            <v>2023</v>
          </cell>
        </row>
        <row r="18441">
          <cell r="D18441" t="str">
            <v>2023</v>
          </cell>
        </row>
        <row r="18442">
          <cell r="D18442" t="str">
            <v>2023</v>
          </cell>
        </row>
        <row r="18443">
          <cell r="D18443" t="str">
            <v>2023</v>
          </cell>
        </row>
        <row r="18444">
          <cell r="D18444" t="str">
            <v>2023</v>
          </cell>
        </row>
        <row r="18445">
          <cell r="D18445" t="str">
            <v>2023</v>
          </cell>
        </row>
        <row r="18446">
          <cell r="D18446" t="str">
            <v>2023</v>
          </cell>
        </row>
        <row r="18447">
          <cell r="D18447" t="str">
            <v>2023</v>
          </cell>
        </row>
        <row r="18448">
          <cell r="D18448" t="str">
            <v>2023</v>
          </cell>
        </row>
        <row r="18449">
          <cell r="D18449" t="str">
            <v>2023</v>
          </cell>
        </row>
        <row r="18450">
          <cell r="D18450" t="str">
            <v>2023</v>
          </cell>
        </row>
        <row r="18451">
          <cell r="D18451" t="str">
            <v>2023</v>
          </cell>
        </row>
        <row r="18452">
          <cell r="D18452" t="str">
            <v>2023</v>
          </cell>
        </row>
        <row r="18453">
          <cell r="D18453" t="str">
            <v>2023</v>
          </cell>
        </row>
        <row r="18454">
          <cell r="D18454" t="str">
            <v>2023</v>
          </cell>
        </row>
        <row r="18455">
          <cell r="D18455" t="str">
            <v>2023</v>
          </cell>
        </row>
        <row r="18456">
          <cell r="D18456" t="str">
            <v>2023</v>
          </cell>
        </row>
        <row r="18457">
          <cell r="D18457" t="str">
            <v>2023</v>
          </cell>
        </row>
        <row r="18458">
          <cell r="D18458" t="str">
            <v>2023</v>
          </cell>
        </row>
        <row r="18459">
          <cell r="D18459" t="str">
            <v>2023</v>
          </cell>
        </row>
        <row r="18460">
          <cell r="D18460" t="str">
            <v>2023</v>
          </cell>
        </row>
        <row r="18461">
          <cell r="D18461" t="str">
            <v>2023</v>
          </cell>
        </row>
        <row r="18462">
          <cell r="D18462" t="str">
            <v>2023</v>
          </cell>
        </row>
        <row r="18463">
          <cell r="D18463" t="str">
            <v>2023</v>
          </cell>
        </row>
        <row r="18464">
          <cell r="D18464" t="str">
            <v>2023</v>
          </cell>
        </row>
        <row r="18465">
          <cell r="D18465" t="str">
            <v>2023</v>
          </cell>
        </row>
        <row r="18466">
          <cell r="D18466" t="str">
            <v>2023</v>
          </cell>
        </row>
        <row r="18467">
          <cell r="D18467" t="str">
            <v>2023</v>
          </cell>
        </row>
        <row r="18468">
          <cell r="D18468" t="str">
            <v>2023</v>
          </cell>
        </row>
        <row r="18469">
          <cell r="D18469" t="str">
            <v>2023</v>
          </cell>
        </row>
        <row r="18470">
          <cell r="D18470" t="str">
            <v>2023</v>
          </cell>
        </row>
        <row r="18471">
          <cell r="D18471" t="str">
            <v>2023</v>
          </cell>
        </row>
        <row r="18472">
          <cell r="D18472" t="str">
            <v>2023</v>
          </cell>
        </row>
        <row r="18473">
          <cell r="D18473" t="str">
            <v>2023</v>
          </cell>
        </row>
        <row r="18474">
          <cell r="D18474" t="str">
            <v>2023</v>
          </cell>
        </row>
        <row r="18475">
          <cell r="D18475" t="str">
            <v>2023</v>
          </cell>
        </row>
        <row r="18476">
          <cell r="D18476" t="str">
            <v>2023</v>
          </cell>
        </row>
        <row r="18477">
          <cell r="D18477" t="str">
            <v>2023</v>
          </cell>
        </row>
        <row r="18478">
          <cell r="D18478" t="str">
            <v>2023</v>
          </cell>
        </row>
        <row r="18479">
          <cell r="D18479" t="str">
            <v>2023</v>
          </cell>
        </row>
        <row r="18480">
          <cell r="D18480" t="str">
            <v>2023</v>
          </cell>
        </row>
        <row r="18481">
          <cell r="D18481" t="str">
            <v>2023</v>
          </cell>
        </row>
        <row r="18482">
          <cell r="D18482" t="str">
            <v>2023</v>
          </cell>
        </row>
        <row r="18483">
          <cell r="D18483" t="str">
            <v>2023</v>
          </cell>
        </row>
        <row r="18484">
          <cell r="D18484" t="str">
            <v>2023</v>
          </cell>
        </row>
        <row r="18485">
          <cell r="D18485" t="str">
            <v>2023</v>
          </cell>
        </row>
        <row r="18486">
          <cell r="D18486" t="str">
            <v>2023</v>
          </cell>
        </row>
        <row r="18487">
          <cell r="D18487" t="str">
            <v>2023</v>
          </cell>
        </row>
        <row r="18488">
          <cell r="D18488" t="str">
            <v>2023</v>
          </cell>
        </row>
        <row r="18489">
          <cell r="D18489" t="str">
            <v>2023</v>
          </cell>
        </row>
        <row r="18490">
          <cell r="D18490" t="str">
            <v>2023</v>
          </cell>
        </row>
        <row r="18491">
          <cell r="D18491" t="str">
            <v>2023</v>
          </cell>
        </row>
        <row r="18492">
          <cell r="D18492" t="str">
            <v>2023</v>
          </cell>
        </row>
        <row r="18493">
          <cell r="D18493" t="str">
            <v>2023</v>
          </cell>
        </row>
        <row r="18494">
          <cell r="D18494" t="str">
            <v>2023</v>
          </cell>
        </row>
        <row r="18495">
          <cell r="D18495" t="str">
            <v>2023</v>
          </cell>
        </row>
        <row r="18496">
          <cell r="D18496" t="str">
            <v>2023</v>
          </cell>
        </row>
        <row r="18497">
          <cell r="D18497" t="str">
            <v>2023</v>
          </cell>
        </row>
        <row r="18498">
          <cell r="D18498" t="str">
            <v>2023</v>
          </cell>
        </row>
        <row r="18499">
          <cell r="D18499" t="str">
            <v>2023</v>
          </cell>
        </row>
        <row r="18500">
          <cell r="D18500" t="str">
            <v>2023</v>
          </cell>
        </row>
        <row r="18501">
          <cell r="D18501" t="str">
            <v>2023</v>
          </cell>
        </row>
        <row r="18502">
          <cell r="D18502" t="str">
            <v>2023</v>
          </cell>
        </row>
        <row r="18503">
          <cell r="D18503" t="str">
            <v>2023</v>
          </cell>
        </row>
        <row r="18504">
          <cell r="D18504" t="str">
            <v>2023</v>
          </cell>
        </row>
        <row r="18505">
          <cell r="D18505" t="str">
            <v>2023</v>
          </cell>
        </row>
        <row r="18506">
          <cell r="D18506" t="str">
            <v>2023</v>
          </cell>
        </row>
        <row r="18507">
          <cell r="D18507" t="str">
            <v>2023</v>
          </cell>
        </row>
        <row r="18508">
          <cell r="D18508" t="str">
            <v>2023</v>
          </cell>
        </row>
        <row r="18509">
          <cell r="D18509" t="str">
            <v>2023</v>
          </cell>
        </row>
        <row r="18510">
          <cell r="D18510" t="str">
            <v>2023</v>
          </cell>
        </row>
        <row r="18511">
          <cell r="D18511" t="str">
            <v>2023</v>
          </cell>
        </row>
        <row r="18512">
          <cell r="D18512" t="str">
            <v>2023</v>
          </cell>
        </row>
        <row r="18513">
          <cell r="D18513" t="str">
            <v>2023</v>
          </cell>
        </row>
        <row r="18514">
          <cell r="D18514" t="str">
            <v>2023</v>
          </cell>
        </row>
        <row r="18515">
          <cell r="D18515" t="str">
            <v>2023</v>
          </cell>
        </row>
        <row r="18516">
          <cell r="D18516" t="str">
            <v>2023</v>
          </cell>
        </row>
        <row r="18517">
          <cell r="D18517" t="str">
            <v>2023</v>
          </cell>
        </row>
        <row r="18518">
          <cell r="D18518" t="str">
            <v>2023</v>
          </cell>
        </row>
        <row r="18519">
          <cell r="D18519" t="str">
            <v>2023</v>
          </cell>
        </row>
        <row r="18520">
          <cell r="D18520" t="str">
            <v>2023</v>
          </cell>
        </row>
        <row r="18521">
          <cell r="D18521" t="str">
            <v>2023</v>
          </cell>
        </row>
        <row r="18522">
          <cell r="D18522" t="str">
            <v>2023</v>
          </cell>
        </row>
        <row r="18523">
          <cell r="D18523" t="str">
            <v>2023</v>
          </cell>
        </row>
        <row r="18524">
          <cell r="D18524" t="str">
            <v>2023</v>
          </cell>
        </row>
        <row r="18525">
          <cell r="D18525" t="str">
            <v>2023</v>
          </cell>
        </row>
        <row r="18526">
          <cell r="D18526" t="str">
            <v>2023</v>
          </cell>
        </row>
        <row r="18527">
          <cell r="D18527" t="str">
            <v>2023</v>
          </cell>
        </row>
        <row r="18528">
          <cell r="D18528" t="str">
            <v>2023</v>
          </cell>
        </row>
        <row r="18529">
          <cell r="D18529" t="str">
            <v>2023</v>
          </cell>
        </row>
        <row r="18530">
          <cell r="D18530" t="str">
            <v>2023</v>
          </cell>
        </row>
        <row r="18531">
          <cell r="D18531" t="str">
            <v>2023</v>
          </cell>
        </row>
        <row r="18532">
          <cell r="D18532" t="str">
            <v>2023</v>
          </cell>
        </row>
        <row r="18533">
          <cell r="D18533" t="str">
            <v>2023</v>
          </cell>
        </row>
        <row r="18534">
          <cell r="D18534" t="str">
            <v>2023</v>
          </cell>
        </row>
        <row r="18535">
          <cell r="D18535" t="str">
            <v>2023</v>
          </cell>
        </row>
        <row r="18536">
          <cell r="D18536" t="str">
            <v>2023</v>
          </cell>
        </row>
        <row r="18537">
          <cell r="D18537" t="str">
            <v>2023</v>
          </cell>
        </row>
        <row r="18538">
          <cell r="D18538" t="str">
            <v>2023</v>
          </cell>
        </row>
        <row r="18539">
          <cell r="D18539" t="str">
            <v>2023</v>
          </cell>
        </row>
        <row r="18540">
          <cell r="D18540" t="str">
            <v>2023</v>
          </cell>
        </row>
        <row r="18541">
          <cell r="D18541" t="str">
            <v>2023</v>
          </cell>
        </row>
        <row r="18542">
          <cell r="D18542" t="str">
            <v>2023</v>
          </cell>
        </row>
        <row r="18543">
          <cell r="D18543" t="str">
            <v>2023</v>
          </cell>
        </row>
        <row r="18544">
          <cell r="D18544" t="str">
            <v>2023</v>
          </cell>
        </row>
        <row r="18545">
          <cell r="D18545" t="str">
            <v>2023</v>
          </cell>
        </row>
        <row r="18546">
          <cell r="D18546" t="str">
            <v>2023</v>
          </cell>
        </row>
        <row r="18547">
          <cell r="D18547" t="str">
            <v>2023</v>
          </cell>
        </row>
        <row r="18548">
          <cell r="D18548" t="str">
            <v>2023</v>
          </cell>
        </row>
        <row r="18549">
          <cell r="D18549" t="str">
            <v>2023</v>
          </cell>
        </row>
        <row r="18550">
          <cell r="D18550" t="str">
            <v>2023</v>
          </cell>
        </row>
        <row r="18551">
          <cell r="D18551" t="str">
            <v>2023</v>
          </cell>
        </row>
        <row r="18552">
          <cell r="D18552" t="str">
            <v>2023</v>
          </cell>
        </row>
        <row r="18553">
          <cell r="D18553" t="str">
            <v>2023</v>
          </cell>
        </row>
        <row r="18554">
          <cell r="D18554" t="str">
            <v>2023</v>
          </cell>
        </row>
        <row r="18555">
          <cell r="D18555" t="str">
            <v>2023</v>
          </cell>
        </row>
        <row r="18556">
          <cell r="D18556" t="str">
            <v>2023</v>
          </cell>
        </row>
        <row r="18557">
          <cell r="D18557" t="str">
            <v>2023</v>
          </cell>
        </row>
        <row r="18558">
          <cell r="D18558" t="str">
            <v>2023</v>
          </cell>
        </row>
        <row r="18559">
          <cell r="D18559" t="str">
            <v>2023</v>
          </cell>
        </row>
        <row r="18560">
          <cell r="D18560" t="str">
            <v>2023</v>
          </cell>
        </row>
        <row r="18561">
          <cell r="D18561" t="str">
            <v>2023</v>
          </cell>
        </row>
        <row r="18562">
          <cell r="D18562" t="str">
            <v>2023</v>
          </cell>
        </row>
        <row r="18563">
          <cell r="D18563" t="str">
            <v>2023</v>
          </cell>
        </row>
        <row r="18564">
          <cell r="D18564" t="str">
            <v>2023</v>
          </cell>
        </row>
        <row r="18565">
          <cell r="D18565" t="str">
            <v>2023</v>
          </cell>
        </row>
        <row r="18566">
          <cell r="D18566" t="str">
            <v>2023</v>
          </cell>
        </row>
        <row r="18567">
          <cell r="D18567" t="str">
            <v>2023</v>
          </cell>
        </row>
        <row r="18568">
          <cell r="D18568" t="str">
            <v>2023</v>
          </cell>
        </row>
        <row r="18569">
          <cell r="D18569" t="str">
            <v>2023</v>
          </cell>
        </row>
        <row r="18570">
          <cell r="D18570" t="str">
            <v>2023</v>
          </cell>
        </row>
        <row r="18571">
          <cell r="D18571" t="str">
            <v>2023</v>
          </cell>
        </row>
        <row r="18572">
          <cell r="D18572" t="str">
            <v>2023</v>
          </cell>
        </row>
        <row r="18573">
          <cell r="D18573" t="str">
            <v>2023</v>
          </cell>
        </row>
        <row r="18574">
          <cell r="D18574" t="str">
            <v>2023</v>
          </cell>
        </row>
        <row r="18575">
          <cell r="D18575" t="str">
            <v>2023</v>
          </cell>
        </row>
        <row r="18576">
          <cell r="D18576" t="str">
            <v>2023</v>
          </cell>
        </row>
        <row r="18577">
          <cell r="D18577" t="str">
            <v>2023</v>
          </cell>
        </row>
        <row r="18578">
          <cell r="D18578" t="str">
            <v>2023</v>
          </cell>
        </row>
        <row r="18579">
          <cell r="D18579" t="str">
            <v>2023</v>
          </cell>
        </row>
        <row r="18580">
          <cell r="D18580" t="str">
            <v>2023</v>
          </cell>
        </row>
        <row r="18581">
          <cell r="D18581" t="str">
            <v>2023</v>
          </cell>
        </row>
        <row r="18582">
          <cell r="D18582" t="str">
            <v>2023</v>
          </cell>
        </row>
        <row r="18583">
          <cell r="D18583" t="str">
            <v>2023</v>
          </cell>
        </row>
        <row r="18584">
          <cell r="D18584" t="str">
            <v>2023</v>
          </cell>
        </row>
        <row r="18585">
          <cell r="D18585" t="str">
            <v>2023</v>
          </cell>
        </row>
        <row r="18586">
          <cell r="D18586" t="str">
            <v>2023</v>
          </cell>
        </row>
        <row r="18587">
          <cell r="D18587" t="str">
            <v>2023</v>
          </cell>
        </row>
        <row r="18588">
          <cell r="D18588" t="str">
            <v>2023</v>
          </cell>
        </row>
        <row r="18589">
          <cell r="D18589" t="str">
            <v>2023</v>
          </cell>
        </row>
        <row r="18590">
          <cell r="D18590" t="str">
            <v>2023</v>
          </cell>
        </row>
        <row r="18591">
          <cell r="D18591" t="str">
            <v>2023</v>
          </cell>
        </row>
        <row r="18592">
          <cell r="D18592" t="str">
            <v>2023</v>
          </cell>
        </row>
        <row r="18593">
          <cell r="D18593" t="str">
            <v>2023</v>
          </cell>
        </row>
        <row r="18594">
          <cell r="D18594" t="str">
            <v>2023</v>
          </cell>
        </row>
        <row r="18595">
          <cell r="D18595" t="str">
            <v>2023</v>
          </cell>
        </row>
        <row r="18596">
          <cell r="D18596" t="str">
            <v>2023</v>
          </cell>
        </row>
        <row r="18597">
          <cell r="D18597" t="str">
            <v>2023</v>
          </cell>
        </row>
        <row r="18598">
          <cell r="D18598" t="str">
            <v>2023</v>
          </cell>
        </row>
        <row r="18599">
          <cell r="D18599" t="str">
            <v>2023</v>
          </cell>
        </row>
        <row r="18600">
          <cell r="D18600" t="str">
            <v>2023</v>
          </cell>
        </row>
        <row r="18601">
          <cell r="D18601" t="str">
            <v>2023</v>
          </cell>
        </row>
        <row r="18602">
          <cell r="D18602" t="str">
            <v>2023</v>
          </cell>
        </row>
        <row r="18603">
          <cell r="D18603" t="str">
            <v>2023</v>
          </cell>
        </row>
        <row r="18604">
          <cell r="D18604" t="str">
            <v>2023</v>
          </cell>
        </row>
        <row r="18605">
          <cell r="D18605" t="str">
            <v>2023</v>
          </cell>
        </row>
        <row r="18606">
          <cell r="D18606" t="str">
            <v>2023</v>
          </cell>
        </row>
        <row r="18607">
          <cell r="D18607" t="str">
            <v>2023</v>
          </cell>
        </row>
        <row r="18608">
          <cell r="D18608" t="str">
            <v>2023</v>
          </cell>
        </row>
        <row r="18609">
          <cell r="D18609" t="str">
            <v>2023</v>
          </cell>
        </row>
        <row r="18610">
          <cell r="D18610" t="str">
            <v>2023</v>
          </cell>
        </row>
        <row r="18611">
          <cell r="D18611" t="str">
            <v>2023</v>
          </cell>
        </row>
        <row r="18612">
          <cell r="D18612" t="str">
            <v>2023</v>
          </cell>
        </row>
        <row r="18613">
          <cell r="D18613" t="str">
            <v>2023</v>
          </cell>
        </row>
        <row r="18614">
          <cell r="D18614" t="str">
            <v>2023</v>
          </cell>
        </row>
        <row r="18615">
          <cell r="D18615" t="str">
            <v>2023</v>
          </cell>
        </row>
        <row r="18616">
          <cell r="D18616" t="str">
            <v>2023</v>
          </cell>
        </row>
        <row r="18617">
          <cell r="D18617" t="str">
            <v>2023</v>
          </cell>
        </row>
        <row r="18618">
          <cell r="D18618" t="str">
            <v>2023</v>
          </cell>
        </row>
        <row r="18619">
          <cell r="D18619" t="str">
            <v>2023</v>
          </cell>
        </row>
        <row r="18620">
          <cell r="D18620" t="str">
            <v>2023</v>
          </cell>
        </row>
        <row r="18621">
          <cell r="D18621" t="str">
            <v>2023</v>
          </cell>
        </row>
        <row r="18622">
          <cell r="D18622" t="str">
            <v>2023</v>
          </cell>
        </row>
        <row r="18623">
          <cell r="D18623" t="str">
            <v>2023</v>
          </cell>
        </row>
        <row r="18624">
          <cell r="D18624" t="str">
            <v>2023</v>
          </cell>
        </row>
        <row r="18625">
          <cell r="D18625" t="str">
            <v>2023</v>
          </cell>
        </row>
        <row r="18626">
          <cell r="D18626" t="str">
            <v>2023</v>
          </cell>
        </row>
        <row r="18627">
          <cell r="D18627" t="str">
            <v>2023</v>
          </cell>
        </row>
        <row r="18628">
          <cell r="D18628" t="str">
            <v>2023</v>
          </cell>
        </row>
        <row r="18629">
          <cell r="D18629" t="str">
            <v>2023</v>
          </cell>
        </row>
        <row r="18630">
          <cell r="D18630" t="str">
            <v>2023</v>
          </cell>
        </row>
        <row r="18631">
          <cell r="D18631" t="str">
            <v>2023</v>
          </cell>
        </row>
        <row r="18632">
          <cell r="D18632" t="str">
            <v>2023</v>
          </cell>
        </row>
        <row r="18633">
          <cell r="D18633" t="str">
            <v>2023</v>
          </cell>
        </row>
        <row r="18634">
          <cell r="D18634" t="str">
            <v>2023</v>
          </cell>
        </row>
        <row r="18635">
          <cell r="D18635" t="str">
            <v>2023</v>
          </cell>
        </row>
        <row r="18636">
          <cell r="D18636" t="str">
            <v>2023</v>
          </cell>
        </row>
        <row r="18637">
          <cell r="D18637" t="str">
            <v>2023</v>
          </cell>
        </row>
        <row r="18638">
          <cell r="D18638" t="str">
            <v>2023</v>
          </cell>
        </row>
        <row r="18639">
          <cell r="D18639" t="str">
            <v>2023</v>
          </cell>
        </row>
        <row r="18640">
          <cell r="D18640" t="str">
            <v>2023</v>
          </cell>
        </row>
        <row r="18641">
          <cell r="D18641" t="str">
            <v>2023</v>
          </cell>
        </row>
        <row r="18642">
          <cell r="D18642" t="str">
            <v>2023</v>
          </cell>
        </row>
        <row r="18643">
          <cell r="D18643" t="str">
            <v>2023</v>
          </cell>
        </row>
        <row r="18644">
          <cell r="D18644" t="str">
            <v>2023</v>
          </cell>
        </row>
        <row r="18645">
          <cell r="D18645" t="str">
            <v>2023</v>
          </cell>
        </row>
        <row r="18646">
          <cell r="D18646" t="str">
            <v>2023</v>
          </cell>
        </row>
        <row r="18647">
          <cell r="D18647" t="str">
            <v>2023</v>
          </cell>
        </row>
        <row r="18648">
          <cell r="D18648" t="str">
            <v>2023</v>
          </cell>
        </row>
        <row r="18649">
          <cell r="D18649" t="str">
            <v>2023</v>
          </cell>
        </row>
        <row r="18650">
          <cell r="D18650" t="str">
            <v>2023</v>
          </cell>
        </row>
        <row r="18651">
          <cell r="D18651" t="str">
            <v>2023</v>
          </cell>
        </row>
        <row r="18652">
          <cell r="D18652" t="str">
            <v>2023</v>
          </cell>
        </row>
        <row r="18653">
          <cell r="D18653" t="str">
            <v>2023</v>
          </cell>
        </row>
        <row r="18654">
          <cell r="D18654" t="str">
            <v>2023</v>
          </cell>
        </row>
        <row r="18655">
          <cell r="D18655" t="str">
            <v>2023</v>
          </cell>
        </row>
        <row r="18656">
          <cell r="D18656" t="str">
            <v>2023</v>
          </cell>
        </row>
        <row r="18657">
          <cell r="D18657" t="str">
            <v>2023</v>
          </cell>
        </row>
        <row r="18658">
          <cell r="D18658" t="str">
            <v>2023</v>
          </cell>
        </row>
        <row r="18659">
          <cell r="D18659" t="str">
            <v>2023</v>
          </cell>
        </row>
        <row r="18660">
          <cell r="D18660" t="str">
            <v>2023</v>
          </cell>
        </row>
        <row r="18661">
          <cell r="D18661" t="str">
            <v>2023</v>
          </cell>
        </row>
        <row r="18662">
          <cell r="D18662" t="str">
            <v>2023</v>
          </cell>
        </row>
        <row r="18663">
          <cell r="D18663" t="str">
            <v>2023</v>
          </cell>
        </row>
        <row r="18664">
          <cell r="D18664" t="str">
            <v>2023</v>
          </cell>
        </row>
        <row r="18665">
          <cell r="D18665" t="str">
            <v>2023</v>
          </cell>
        </row>
        <row r="18666">
          <cell r="D18666" t="str">
            <v>2023</v>
          </cell>
        </row>
        <row r="18667">
          <cell r="D18667" t="str">
            <v>2023</v>
          </cell>
        </row>
        <row r="18668">
          <cell r="D18668" t="str">
            <v>2023</v>
          </cell>
        </row>
        <row r="18669">
          <cell r="D18669" t="str">
            <v>2023</v>
          </cell>
        </row>
        <row r="18670">
          <cell r="D18670" t="str">
            <v>2023</v>
          </cell>
        </row>
        <row r="18671">
          <cell r="D18671" t="str">
            <v>2023</v>
          </cell>
        </row>
        <row r="18672">
          <cell r="D18672" t="str">
            <v>2023</v>
          </cell>
        </row>
        <row r="18673">
          <cell r="D18673" t="str">
            <v>2023</v>
          </cell>
        </row>
        <row r="18674">
          <cell r="D18674" t="str">
            <v>2023</v>
          </cell>
        </row>
        <row r="18675">
          <cell r="D18675" t="str">
            <v>2023</v>
          </cell>
        </row>
        <row r="18676">
          <cell r="D18676" t="str">
            <v>2023</v>
          </cell>
        </row>
        <row r="18677">
          <cell r="D18677" t="str">
            <v>2023</v>
          </cell>
        </row>
        <row r="18678">
          <cell r="D18678" t="str">
            <v>2023</v>
          </cell>
        </row>
        <row r="18679">
          <cell r="D18679" t="str">
            <v>2023</v>
          </cell>
        </row>
        <row r="18680">
          <cell r="D18680" t="str">
            <v>2023</v>
          </cell>
        </row>
        <row r="18681">
          <cell r="D18681" t="str">
            <v>2023</v>
          </cell>
        </row>
        <row r="18682">
          <cell r="D18682" t="str">
            <v>2023</v>
          </cell>
        </row>
        <row r="18683">
          <cell r="D18683" t="str">
            <v>2023</v>
          </cell>
        </row>
        <row r="18684">
          <cell r="D18684" t="str">
            <v>2023</v>
          </cell>
        </row>
        <row r="18685">
          <cell r="D18685" t="str">
            <v>2023</v>
          </cell>
        </row>
        <row r="18686">
          <cell r="D18686" t="str">
            <v>2023</v>
          </cell>
        </row>
        <row r="18687">
          <cell r="D18687" t="str">
            <v>2023</v>
          </cell>
        </row>
        <row r="18688">
          <cell r="D18688" t="str">
            <v>2023</v>
          </cell>
        </row>
        <row r="18689">
          <cell r="D18689" t="str">
            <v>2023</v>
          </cell>
        </row>
        <row r="18690">
          <cell r="D18690" t="str">
            <v>2023</v>
          </cell>
        </row>
        <row r="18691">
          <cell r="D18691" t="str">
            <v>2023</v>
          </cell>
        </row>
        <row r="18692">
          <cell r="D18692" t="str">
            <v>2023</v>
          </cell>
        </row>
        <row r="18693">
          <cell r="D18693" t="str">
            <v>2023</v>
          </cell>
        </row>
        <row r="18694">
          <cell r="D18694" t="str">
            <v>2023</v>
          </cell>
        </row>
        <row r="18695">
          <cell r="D18695" t="str">
            <v>2023</v>
          </cell>
        </row>
        <row r="18696">
          <cell r="D18696" t="str">
            <v>2023</v>
          </cell>
        </row>
        <row r="18697">
          <cell r="D18697" t="str">
            <v>2023</v>
          </cell>
        </row>
        <row r="18698">
          <cell r="D18698" t="str">
            <v>2023</v>
          </cell>
        </row>
        <row r="18699">
          <cell r="D18699" t="str">
            <v>2023</v>
          </cell>
        </row>
        <row r="18700">
          <cell r="D18700" t="str">
            <v>2023</v>
          </cell>
        </row>
        <row r="18701">
          <cell r="D18701" t="str">
            <v>2023</v>
          </cell>
        </row>
        <row r="18702">
          <cell r="D18702" t="str">
            <v>2023</v>
          </cell>
        </row>
        <row r="18703">
          <cell r="D18703" t="str">
            <v>2023</v>
          </cell>
        </row>
        <row r="18704">
          <cell r="D18704" t="str">
            <v>2023</v>
          </cell>
        </row>
        <row r="18705">
          <cell r="D18705" t="str">
            <v>2023</v>
          </cell>
        </row>
        <row r="18706">
          <cell r="D18706" t="str">
            <v>2023</v>
          </cell>
        </row>
        <row r="18707">
          <cell r="D18707" t="str">
            <v>2023</v>
          </cell>
        </row>
        <row r="18708">
          <cell r="D18708" t="str">
            <v>2023</v>
          </cell>
        </row>
        <row r="18709">
          <cell r="D18709" t="str">
            <v>2023</v>
          </cell>
        </row>
        <row r="18710">
          <cell r="D18710" t="str">
            <v>2023</v>
          </cell>
        </row>
        <row r="18711">
          <cell r="D18711" t="str">
            <v>2023</v>
          </cell>
        </row>
        <row r="18712">
          <cell r="D18712" t="str">
            <v>2023</v>
          </cell>
        </row>
        <row r="18713">
          <cell r="D18713" t="str">
            <v>2023</v>
          </cell>
        </row>
        <row r="18714">
          <cell r="D18714" t="str">
            <v>2023</v>
          </cell>
        </row>
        <row r="18715">
          <cell r="D18715" t="str">
            <v>2023</v>
          </cell>
        </row>
        <row r="18716">
          <cell r="D18716" t="str">
            <v>2023</v>
          </cell>
        </row>
        <row r="18717">
          <cell r="D18717" t="str">
            <v>2023</v>
          </cell>
        </row>
        <row r="18718">
          <cell r="D18718" t="str">
            <v>2023</v>
          </cell>
        </row>
        <row r="18719">
          <cell r="D18719" t="str">
            <v>2023</v>
          </cell>
        </row>
        <row r="18720">
          <cell r="D18720" t="str">
            <v>2023</v>
          </cell>
        </row>
        <row r="18721">
          <cell r="D18721" t="str">
            <v>2023</v>
          </cell>
        </row>
        <row r="18722">
          <cell r="D18722" t="str">
            <v>2023</v>
          </cell>
        </row>
        <row r="18723">
          <cell r="D18723" t="str">
            <v>2023</v>
          </cell>
        </row>
        <row r="18724">
          <cell r="D18724" t="str">
            <v>2023</v>
          </cell>
        </row>
        <row r="18725">
          <cell r="D18725" t="str">
            <v>2023</v>
          </cell>
        </row>
        <row r="18726">
          <cell r="D18726" t="str">
            <v>2023</v>
          </cell>
        </row>
        <row r="18727">
          <cell r="D18727" t="str">
            <v>2023</v>
          </cell>
        </row>
        <row r="18728">
          <cell r="D18728" t="str">
            <v>2023</v>
          </cell>
        </row>
        <row r="18729">
          <cell r="D18729" t="str">
            <v>2023</v>
          </cell>
        </row>
        <row r="18730">
          <cell r="D18730" t="str">
            <v>2023</v>
          </cell>
        </row>
        <row r="18731">
          <cell r="D18731" t="str">
            <v>2023</v>
          </cell>
        </row>
        <row r="18732">
          <cell r="D18732" t="str">
            <v>2023</v>
          </cell>
        </row>
        <row r="18733">
          <cell r="D18733" t="str">
            <v>2023</v>
          </cell>
        </row>
        <row r="18734">
          <cell r="D18734" t="str">
            <v>2023</v>
          </cell>
        </row>
        <row r="18735">
          <cell r="D18735" t="str">
            <v>2023</v>
          </cell>
        </row>
        <row r="18736">
          <cell r="D18736" t="str">
            <v>2023</v>
          </cell>
        </row>
        <row r="18737">
          <cell r="D18737" t="str">
            <v>2023</v>
          </cell>
        </row>
        <row r="18738">
          <cell r="D18738" t="str">
            <v>2023</v>
          </cell>
        </row>
        <row r="18739">
          <cell r="D18739" t="str">
            <v>2023</v>
          </cell>
        </row>
        <row r="18740">
          <cell r="D18740" t="str">
            <v>2023</v>
          </cell>
        </row>
        <row r="18741">
          <cell r="D18741" t="str">
            <v>2023</v>
          </cell>
        </row>
        <row r="18742">
          <cell r="D18742" t="str">
            <v>2023</v>
          </cell>
        </row>
        <row r="18743">
          <cell r="D18743" t="str">
            <v>2023</v>
          </cell>
        </row>
        <row r="18744">
          <cell r="D18744" t="str">
            <v>2023</v>
          </cell>
        </row>
        <row r="18745">
          <cell r="D18745" t="str">
            <v>2023</v>
          </cell>
        </row>
        <row r="18746">
          <cell r="D18746" t="str">
            <v>2023</v>
          </cell>
        </row>
        <row r="18747">
          <cell r="D18747" t="str">
            <v>2023</v>
          </cell>
        </row>
        <row r="18748">
          <cell r="D18748" t="str">
            <v>2023</v>
          </cell>
        </row>
        <row r="18749">
          <cell r="D18749" t="str">
            <v>2023</v>
          </cell>
        </row>
        <row r="18750">
          <cell r="D18750" t="str">
            <v>2023</v>
          </cell>
        </row>
        <row r="18751">
          <cell r="D18751" t="str">
            <v>2023</v>
          </cell>
        </row>
        <row r="18752">
          <cell r="D18752" t="str">
            <v>2023</v>
          </cell>
        </row>
        <row r="18753">
          <cell r="D18753" t="str">
            <v>2023</v>
          </cell>
        </row>
        <row r="18754">
          <cell r="D18754" t="str">
            <v>2023</v>
          </cell>
        </row>
        <row r="18755">
          <cell r="D18755" t="str">
            <v>2023</v>
          </cell>
        </row>
        <row r="18756">
          <cell r="D18756" t="str">
            <v>2023</v>
          </cell>
        </row>
        <row r="18757">
          <cell r="D18757" t="str">
            <v>2023</v>
          </cell>
        </row>
        <row r="18758">
          <cell r="D18758" t="str">
            <v>2023</v>
          </cell>
        </row>
        <row r="18759">
          <cell r="D18759" t="str">
            <v>2023</v>
          </cell>
        </row>
        <row r="18760">
          <cell r="D18760" t="str">
            <v>2023</v>
          </cell>
        </row>
        <row r="18761">
          <cell r="D18761" t="str">
            <v>2023</v>
          </cell>
        </row>
        <row r="18762">
          <cell r="D18762" t="str">
            <v>2023</v>
          </cell>
        </row>
        <row r="18763">
          <cell r="D18763" t="str">
            <v>2023</v>
          </cell>
        </row>
        <row r="18764">
          <cell r="D18764" t="str">
            <v>2023</v>
          </cell>
        </row>
        <row r="18765">
          <cell r="D18765" t="str">
            <v>2023</v>
          </cell>
        </row>
        <row r="18766">
          <cell r="D18766" t="str">
            <v>2023</v>
          </cell>
        </row>
        <row r="18767">
          <cell r="D18767" t="str">
            <v>2023</v>
          </cell>
        </row>
        <row r="18768">
          <cell r="D18768" t="str">
            <v>2023</v>
          </cell>
        </row>
        <row r="18769">
          <cell r="D18769" t="str">
            <v>2023</v>
          </cell>
        </row>
        <row r="18770">
          <cell r="D18770" t="str">
            <v>2023</v>
          </cell>
        </row>
        <row r="18771">
          <cell r="D18771" t="str">
            <v>2023</v>
          </cell>
        </row>
        <row r="18772">
          <cell r="D18772" t="str">
            <v>2023</v>
          </cell>
        </row>
        <row r="18773">
          <cell r="D18773" t="str">
            <v>2023</v>
          </cell>
        </row>
        <row r="18774">
          <cell r="D18774" t="str">
            <v>2023</v>
          </cell>
        </row>
        <row r="18775">
          <cell r="D18775" t="str">
            <v>2023</v>
          </cell>
        </row>
        <row r="18776">
          <cell r="D18776" t="str">
            <v>2023</v>
          </cell>
        </row>
        <row r="18777">
          <cell r="D18777" t="str">
            <v>2023</v>
          </cell>
        </row>
        <row r="18778">
          <cell r="D18778" t="str">
            <v>2023</v>
          </cell>
        </row>
        <row r="18779">
          <cell r="D18779" t="str">
            <v>2023</v>
          </cell>
        </row>
        <row r="18780">
          <cell r="D18780" t="str">
            <v>2023</v>
          </cell>
        </row>
        <row r="18781">
          <cell r="D18781" t="str">
            <v>2023</v>
          </cell>
        </row>
        <row r="18782">
          <cell r="D18782" t="str">
            <v>2023</v>
          </cell>
        </row>
        <row r="18783">
          <cell r="D18783" t="str">
            <v>2023</v>
          </cell>
        </row>
        <row r="18784">
          <cell r="D18784" t="str">
            <v>2023</v>
          </cell>
        </row>
        <row r="18785">
          <cell r="D18785" t="str">
            <v>2023</v>
          </cell>
        </row>
        <row r="18786">
          <cell r="D18786" t="str">
            <v>2023</v>
          </cell>
        </row>
        <row r="18787">
          <cell r="D18787" t="str">
            <v>2023</v>
          </cell>
        </row>
        <row r="18788">
          <cell r="D18788" t="str">
            <v>2023</v>
          </cell>
        </row>
        <row r="18789">
          <cell r="D18789" t="str">
            <v>2023</v>
          </cell>
        </row>
        <row r="18790">
          <cell r="D18790" t="str">
            <v>2023</v>
          </cell>
        </row>
        <row r="18791">
          <cell r="D18791" t="str">
            <v>2023</v>
          </cell>
        </row>
        <row r="18792">
          <cell r="D18792" t="str">
            <v>2023</v>
          </cell>
        </row>
        <row r="18793">
          <cell r="D18793" t="str">
            <v>2023</v>
          </cell>
        </row>
        <row r="18794">
          <cell r="D18794" t="str">
            <v>2023</v>
          </cell>
        </row>
        <row r="18795">
          <cell r="D18795" t="str">
            <v>2023</v>
          </cell>
        </row>
        <row r="18796">
          <cell r="D18796" t="str">
            <v>2023</v>
          </cell>
        </row>
        <row r="18797">
          <cell r="D18797" t="str">
            <v>2023</v>
          </cell>
        </row>
        <row r="18798">
          <cell r="D18798" t="str">
            <v>2023</v>
          </cell>
        </row>
        <row r="18799">
          <cell r="D18799" t="str">
            <v>2023</v>
          </cell>
        </row>
        <row r="18800">
          <cell r="D18800" t="str">
            <v>2023</v>
          </cell>
        </row>
        <row r="18801">
          <cell r="D18801" t="str">
            <v>2023</v>
          </cell>
        </row>
        <row r="18802">
          <cell r="D18802" t="str">
            <v>2023</v>
          </cell>
        </row>
        <row r="18803">
          <cell r="D18803" t="str">
            <v>2023</v>
          </cell>
        </row>
        <row r="18804">
          <cell r="D18804" t="str">
            <v>2023</v>
          </cell>
        </row>
        <row r="18805">
          <cell r="D18805" t="str">
            <v>2023</v>
          </cell>
        </row>
        <row r="18806">
          <cell r="D18806" t="str">
            <v>2023</v>
          </cell>
        </row>
        <row r="18807">
          <cell r="D18807" t="str">
            <v>2023</v>
          </cell>
        </row>
        <row r="18808">
          <cell r="D18808" t="str">
            <v>2023</v>
          </cell>
        </row>
        <row r="18809">
          <cell r="D18809" t="str">
            <v>2023</v>
          </cell>
        </row>
        <row r="18810">
          <cell r="D18810" t="str">
            <v>2023</v>
          </cell>
        </row>
        <row r="18811">
          <cell r="D18811" t="str">
            <v>2023</v>
          </cell>
        </row>
        <row r="18812">
          <cell r="D18812" t="str">
            <v>2023</v>
          </cell>
        </row>
        <row r="18813">
          <cell r="D18813" t="str">
            <v>2023</v>
          </cell>
        </row>
        <row r="18814">
          <cell r="D18814" t="str">
            <v>2023</v>
          </cell>
        </row>
        <row r="18815">
          <cell r="D18815" t="str">
            <v>2023</v>
          </cell>
        </row>
        <row r="18816">
          <cell r="D18816" t="str">
            <v>2023</v>
          </cell>
        </row>
        <row r="18817">
          <cell r="D18817" t="str">
            <v>2023</v>
          </cell>
        </row>
        <row r="18818">
          <cell r="D18818" t="str">
            <v>2023</v>
          </cell>
        </row>
        <row r="18819">
          <cell r="D18819" t="str">
            <v>2023</v>
          </cell>
        </row>
        <row r="18820">
          <cell r="D18820" t="str">
            <v>2023</v>
          </cell>
        </row>
        <row r="18821">
          <cell r="D18821" t="str">
            <v>2023</v>
          </cell>
        </row>
        <row r="18822">
          <cell r="D18822" t="str">
            <v>2023</v>
          </cell>
        </row>
        <row r="18823">
          <cell r="D18823" t="str">
            <v>2023</v>
          </cell>
        </row>
        <row r="18824">
          <cell r="D18824" t="str">
            <v>2023</v>
          </cell>
        </row>
        <row r="18825">
          <cell r="D18825" t="str">
            <v>2023</v>
          </cell>
        </row>
        <row r="18826">
          <cell r="D18826" t="str">
            <v>2023</v>
          </cell>
        </row>
        <row r="18827">
          <cell r="D18827" t="str">
            <v>2023</v>
          </cell>
        </row>
        <row r="18828">
          <cell r="D18828" t="str">
            <v>2023</v>
          </cell>
        </row>
        <row r="18829">
          <cell r="D18829" t="str">
            <v>2023</v>
          </cell>
        </row>
        <row r="18830">
          <cell r="D18830" t="str">
            <v>2023</v>
          </cell>
        </row>
        <row r="18831">
          <cell r="D18831" t="str">
            <v>2023</v>
          </cell>
        </row>
        <row r="18832">
          <cell r="D18832" t="str">
            <v>2023</v>
          </cell>
        </row>
        <row r="18833">
          <cell r="D18833" t="str">
            <v>2023</v>
          </cell>
        </row>
        <row r="18834">
          <cell r="D18834" t="str">
            <v>2023</v>
          </cell>
        </row>
        <row r="18835">
          <cell r="D18835" t="str">
            <v>2023</v>
          </cell>
        </row>
        <row r="18836">
          <cell r="D18836" t="str">
            <v>2023</v>
          </cell>
        </row>
        <row r="18837">
          <cell r="D18837" t="str">
            <v>2023</v>
          </cell>
        </row>
        <row r="18838">
          <cell r="D18838" t="str">
            <v>2023</v>
          </cell>
        </row>
        <row r="18839">
          <cell r="D18839" t="str">
            <v>2023</v>
          </cell>
        </row>
        <row r="18840">
          <cell r="D18840" t="str">
            <v>2023</v>
          </cell>
        </row>
        <row r="18841">
          <cell r="D18841" t="str">
            <v>2023</v>
          </cell>
        </row>
        <row r="18842">
          <cell r="D18842" t="str">
            <v>2023</v>
          </cell>
        </row>
        <row r="18843">
          <cell r="D18843" t="str">
            <v>2023</v>
          </cell>
        </row>
        <row r="18844">
          <cell r="D18844" t="str">
            <v>2023</v>
          </cell>
        </row>
        <row r="18845">
          <cell r="D18845" t="str">
            <v>2023</v>
          </cell>
        </row>
        <row r="18846">
          <cell r="D18846" t="str">
            <v>2023</v>
          </cell>
        </row>
        <row r="18847">
          <cell r="D18847" t="str">
            <v>2023</v>
          </cell>
        </row>
        <row r="18848">
          <cell r="D18848" t="str">
            <v>2022</v>
          </cell>
        </row>
        <row r="18849">
          <cell r="D18849" t="str">
            <v>2023</v>
          </cell>
        </row>
        <row r="18850">
          <cell r="D18850" t="str">
            <v>2023</v>
          </cell>
        </row>
        <row r="18851">
          <cell r="D18851" t="str">
            <v>2023</v>
          </cell>
        </row>
        <row r="18852">
          <cell r="D18852" t="str">
            <v>2023</v>
          </cell>
        </row>
        <row r="18853">
          <cell r="D18853" t="str">
            <v>2023</v>
          </cell>
        </row>
        <row r="18854">
          <cell r="D18854" t="str">
            <v>2023</v>
          </cell>
        </row>
        <row r="18855">
          <cell r="D18855" t="str">
            <v>2023</v>
          </cell>
        </row>
        <row r="18856">
          <cell r="D18856" t="str">
            <v>2023</v>
          </cell>
        </row>
        <row r="18857">
          <cell r="D18857" t="str">
            <v>2023</v>
          </cell>
        </row>
        <row r="18858">
          <cell r="D18858" t="str">
            <v>2023</v>
          </cell>
        </row>
        <row r="18859">
          <cell r="D18859" t="str">
            <v>2023</v>
          </cell>
        </row>
        <row r="18860">
          <cell r="D18860" t="str">
            <v>2023</v>
          </cell>
        </row>
        <row r="18861">
          <cell r="D18861" t="str">
            <v>2023</v>
          </cell>
        </row>
        <row r="18862">
          <cell r="D18862" t="str">
            <v>2023</v>
          </cell>
        </row>
        <row r="18863">
          <cell r="D18863" t="str">
            <v>2023</v>
          </cell>
        </row>
        <row r="18864">
          <cell r="D18864" t="str">
            <v>2023</v>
          </cell>
        </row>
        <row r="18865">
          <cell r="D18865" t="str">
            <v>2023</v>
          </cell>
        </row>
        <row r="18866">
          <cell r="D18866" t="str">
            <v>2023</v>
          </cell>
        </row>
        <row r="18867">
          <cell r="D18867" t="str">
            <v>2023</v>
          </cell>
        </row>
        <row r="18868">
          <cell r="D18868" t="str">
            <v>2023</v>
          </cell>
        </row>
        <row r="18869">
          <cell r="D18869" t="str">
            <v>2023</v>
          </cell>
        </row>
        <row r="18870">
          <cell r="D18870" t="str">
            <v>2023</v>
          </cell>
        </row>
        <row r="18871">
          <cell r="D18871" t="str">
            <v>2022</v>
          </cell>
        </row>
        <row r="18872">
          <cell r="D18872" t="str">
            <v>2023</v>
          </cell>
        </row>
        <row r="18873">
          <cell r="D18873" t="str">
            <v>2023</v>
          </cell>
        </row>
        <row r="18874">
          <cell r="D18874" t="str">
            <v>2023</v>
          </cell>
        </row>
        <row r="18875">
          <cell r="D18875" t="str">
            <v>2023</v>
          </cell>
        </row>
        <row r="18876">
          <cell r="D18876" t="str">
            <v>2023</v>
          </cell>
        </row>
        <row r="18877">
          <cell r="D18877" t="str">
            <v>2023</v>
          </cell>
        </row>
        <row r="18878">
          <cell r="D18878" t="str">
            <v>2023</v>
          </cell>
        </row>
        <row r="18879">
          <cell r="D18879" t="str">
            <v>2023</v>
          </cell>
        </row>
        <row r="18880">
          <cell r="D18880" t="str">
            <v>2023</v>
          </cell>
        </row>
        <row r="18881">
          <cell r="D18881" t="str">
            <v>2023</v>
          </cell>
        </row>
        <row r="18882">
          <cell r="D18882" t="str">
            <v>2023</v>
          </cell>
        </row>
        <row r="18883">
          <cell r="D18883" t="str">
            <v>2023</v>
          </cell>
        </row>
        <row r="18884">
          <cell r="D18884" t="str">
            <v>2023</v>
          </cell>
        </row>
        <row r="18885">
          <cell r="D18885" t="str">
            <v>2023</v>
          </cell>
        </row>
        <row r="18886">
          <cell r="D18886" t="str">
            <v>2023</v>
          </cell>
        </row>
        <row r="18887">
          <cell r="D18887" t="str">
            <v>2023</v>
          </cell>
        </row>
        <row r="18888">
          <cell r="D18888" t="str">
            <v>2023</v>
          </cell>
        </row>
        <row r="18889">
          <cell r="D18889" t="str">
            <v>2023</v>
          </cell>
        </row>
        <row r="18890">
          <cell r="D18890" t="str">
            <v>2023</v>
          </cell>
        </row>
        <row r="18891">
          <cell r="D18891" t="str">
            <v>2023</v>
          </cell>
        </row>
        <row r="18892">
          <cell r="D18892" t="str">
            <v>2023</v>
          </cell>
        </row>
        <row r="18893">
          <cell r="D18893" t="str">
            <v>2023</v>
          </cell>
        </row>
        <row r="18894">
          <cell r="D18894" t="str">
            <v>2023</v>
          </cell>
        </row>
        <row r="18895">
          <cell r="D18895" t="str">
            <v>2023</v>
          </cell>
        </row>
        <row r="18896">
          <cell r="D18896" t="str">
            <v>2023</v>
          </cell>
        </row>
        <row r="18897">
          <cell r="D18897" t="str">
            <v>2023</v>
          </cell>
        </row>
        <row r="18898">
          <cell r="D18898" t="str">
            <v>2023</v>
          </cell>
        </row>
        <row r="18899">
          <cell r="D18899" t="str">
            <v>2023</v>
          </cell>
        </row>
        <row r="18900">
          <cell r="D18900" t="str">
            <v>2023</v>
          </cell>
        </row>
        <row r="18901">
          <cell r="D18901" t="str">
            <v>2023</v>
          </cell>
        </row>
        <row r="18902">
          <cell r="D18902" t="str">
            <v>2023</v>
          </cell>
        </row>
        <row r="18903">
          <cell r="D18903" t="str">
            <v>2023</v>
          </cell>
        </row>
        <row r="18904">
          <cell r="D18904" t="str">
            <v>2023</v>
          </cell>
        </row>
        <row r="18905">
          <cell r="D18905" t="str">
            <v>2023</v>
          </cell>
        </row>
        <row r="18906">
          <cell r="D18906" t="str">
            <v>2023</v>
          </cell>
        </row>
        <row r="18907">
          <cell r="D18907" t="str">
            <v>2023</v>
          </cell>
        </row>
        <row r="18908">
          <cell r="D18908" t="str">
            <v>2023</v>
          </cell>
        </row>
        <row r="18909">
          <cell r="D18909" t="str">
            <v>2023</v>
          </cell>
        </row>
        <row r="18910">
          <cell r="D18910" t="str">
            <v>2023</v>
          </cell>
        </row>
        <row r="18911">
          <cell r="D18911" t="str">
            <v>2023</v>
          </cell>
        </row>
        <row r="18912">
          <cell r="D18912" t="str">
            <v>2023</v>
          </cell>
        </row>
        <row r="18913">
          <cell r="D18913" t="str">
            <v>2023</v>
          </cell>
        </row>
        <row r="18914">
          <cell r="D18914" t="str">
            <v>2023</v>
          </cell>
        </row>
        <row r="18915">
          <cell r="D18915" t="str">
            <v>2023</v>
          </cell>
        </row>
        <row r="18916">
          <cell r="D18916" t="str">
            <v>2023</v>
          </cell>
        </row>
        <row r="18917">
          <cell r="D18917" t="str">
            <v>2023</v>
          </cell>
        </row>
        <row r="18918">
          <cell r="D18918" t="str">
            <v>2023</v>
          </cell>
        </row>
        <row r="18919">
          <cell r="D18919" t="str">
            <v>2023</v>
          </cell>
        </row>
        <row r="18920">
          <cell r="D18920" t="str">
            <v>2023</v>
          </cell>
        </row>
        <row r="18921">
          <cell r="D18921" t="str">
            <v>2023</v>
          </cell>
        </row>
        <row r="18922">
          <cell r="D18922" t="str">
            <v>2023</v>
          </cell>
        </row>
        <row r="18923">
          <cell r="D18923" t="str">
            <v>2023</v>
          </cell>
        </row>
        <row r="18924">
          <cell r="D18924" t="str">
            <v>2023</v>
          </cell>
        </row>
        <row r="18925">
          <cell r="D18925" t="str">
            <v>2023</v>
          </cell>
        </row>
        <row r="18926">
          <cell r="D18926" t="str">
            <v>2023</v>
          </cell>
        </row>
        <row r="18927">
          <cell r="D18927" t="str">
            <v>2023</v>
          </cell>
        </row>
        <row r="18928">
          <cell r="D18928" t="str">
            <v>2023</v>
          </cell>
        </row>
        <row r="18929">
          <cell r="D18929" t="str">
            <v>2023</v>
          </cell>
        </row>
        <row r="18930">
          <cell r="D18930" t="str">
            <v>2023</v>
          </cell>
        </row>
        <row r="18931">
          <cell r="D18931" t="str">
            <v>2023</v>
          </cell>
        </row>
        <row r="18932">
          <cell r="D18932" t="str">
            <v>2023</v>
          </cell>
        </row>
        <row r="18933">
          <cell r="D18933" t="str">
            <v>2023</v>
          </cell>
        </row>
        <row r="18934">
          <cell r="D18934" t="str">
            <v>2023</v>
          </cell>
        </row>
        <row r="18935">
          <cell r="D18935" t="str">
            <v>2023</v>
          </cell>
        </row>
        <row r="18936">
          <cell r="D18936" t="str">
            <v>2023</v>
          </cell>
        </row>
        <row r="18937">
          <cell r="D18937" t="str">
            <v>2023</v>
          </cell>
        </row>
        <row r="18938">
          <cell r="D18938" t="str">
            <v>2023</v>
          </cell>
        </row>
        <row r="18939">
          <cell r="D18939" t="str">
            <v>2023</v>
          </cell>
        </row>
        <row r="18940">
          <cell r="D18940" t="str">
            <v>2023</v>
          </cell>
        </row>
        <row r="18941">
          <cell r="D18941" t="str">
            <v>2023</v>
          </cell>
        </row>
        <row r="18942">
          <cell r="D18942" t="str">
            <v>2023</v>
          </cell>
        </row>
        <row r="18943">
          <cell r="D18943" t="str">
            <v>2023</v>
          </cell>
        </row>
        <row r="18944">
          <cell r="D18944" t="str">
            <v>2023</v>
          </cell>
        </row>
        <row r="18945">
          <cell r="D18945" t="str">
            <v>2023</v>
          </cell>
        </row>
        <row r="18946">
          <cell r="D18946" t="str">
            <v>2023</v>
          </cell>
        </row>
        <row r="18947">
          <cell r="D18947" t="str">
            <v>2023</v>
          </cell>
        </row>
        <row r="18948">
          <cell r="D18948" t="str">
            <v>2023</v>
          </cell>
        </row>
        <row r="18949">
          <cell r="D18949" t="str">
            <v>2023</v>
          </cell>
        </row>
        <row r="18950">
          <cell r="D18950" t="str">
            <v>2023</v>
          </cell>
        </row>
        <row r="18951">
          <cell r="D18951" t="str">
            <v>2023</v>
          </cell>
        </row>
        <row r="18952">
          <cell r="D18952" t="str">
            <v>2023</v>
          </cell>
        </row>
        <row r="18953">
          <cell r="D18953" t="str">
            <v>2023</v>
          </cell>
        </row>
        <row r="18954">
          <cell r="D18954" t="str">
            <v>2023</v>
          </cell>
        </row>
        <row r="18955">
          <cell r="D18955" t="str">
            <v>2023</v>
          </cell>
        </row>
        <row r="18956">
          <cell r="D18956" t="str">
            <v>2023</v>
          </cell>
        </row>
        <row r="18957">
          <cell r="D18957" t="str">
            <v>2023</v>
          </cell>
        </row>
        <row r="18958">
          <cell r="D18958" t="str">
            <v>2023</v>
          </cell>
        </row>
        <row r="18959">
          <cell r="D18959" t="str">
            <v>2023</v>
          </cell>
        </row>
        <row r="18960">
          <cell r="D18960" t="str">
            <v>2023</v>
          </cell>
        </row>
        <row r="18961">
          <cell r="D18961" t="str">
            <v>2023</v>
          </cell>
        </row>
        <row r="18962">
          <cell r="D18962" t="str">
            <v>2023</v>
          </cell>
        </row>
        <row r="18963">
          <cell r="D18963" t="str">
            <v>2023</v>
          </cell>
        </row>
        <row r="18964">
          <cell r="D18964" t="str">
            <v>2023</v>
          </cell>
        </row>
        <row r="18965">
          <cell r="D18965" t="str">
            <v>2023</v>
          </cell>
        </row>
        <row r="18966">
          <cell r="D18966" t="str">
            <v>2023</v>
          </cell>
        </row>
        <row r="18967">
          <cell r="D18967" t="str">
            <v>2023</v>
          </cell>
        </row>
        <row r="18968">
          <cell r="D18968" t="str">
            <v>2023</v>
          </cell>
        </row>
        <row r="18969">
          <cell r="D18969" t="str">
            <v>2023</v>
          </cell>
        </row>
        <row r="18970">
          <cell r="D18970" t="str">
            <v>2023</v>
          </cell>
        </row>
        <row r="18971">
          <cell r="D18971" t="str">
            <v>2023</v>
          </cell>
        </row>
        <row r="18972">
          <cell r="D18972" t="str">
            <v>2023</v>
          </cell>
        </row>
        <row r="18973">
          <cell r="D18973" t="str">
            <v>2023</v>
          </cell>
        </row>
        <row r="18974">
          <cell r="D18974" t="str">
            <v>2023</v>
          </cell>
        </row>
        <row r="18975">
          <cell r="D18975" t="str">
            <v>2023</v>
          </cell>
        </row>
        <row r="18976">
          <cell r="D18976" t="str">
            <v>2023</v>
          </cell>
        </row>
        <row r="18977">
          <cell r="D18977" t="str">
            <v>2023</v>
          </cell>
        </row>
        <row r="18978">
          <cell r="D18978" t="str">
            <v>2023</v>
          </cell>
        </row>
        <row r="18979">
          <cell r="D18979" t="str">
            <v>2023</v>
          </cell>
        </row>
        <row r="18980">
          <cell r="D18980" t="str">
            <v>2023</v>
          </cell>
        </row>
        <row r="18981">
          <cell r="D18981" t="str">
            <v>2023</v>
          </cell>
        </row>
        <row r="18982">
          <cell r="D18982" t="str">
            <v>2023</v>
          </cell>
        </row>
        <row r="18983">
          <cell r="D18983" t="str">
            <v>2023</v>
          </cell>
        </row>
        <row r="18984">
          <cell r="D18984" t="str">
            <v>2023</v>
          </cell>
        </row>
        <row r="18985">
          <cell r="D18985" t="str">
            <v>2023</v>
          </cell>
        </row>
        <row r="18986">
          <cell r="D18986" t="str">
            <v>2023</v>
          </cell>
        </row>
        <row r="18987">
          <cell r="D18987" t="str">
            <v>2023</v>
          </cell>
        </row>
        <row r="18988">
          <cell r="D18988" t="str">
            <v>2023</v>
          </cell>
        </row>
        <row r="18989">
          <cell r="D18989" t="str">
            <v>2023</v>
          </cell>
        </row>
        <row r="18990">
          <cell r="D18990" t="str">
            <v>2023</v>
          </cell>
        </row>
        <row r="18991">
          <cell r="D18991" t="str">
            <v>2023</v>
          </cell>
        </row>
        <row r="18992">
          <cell r="D18992" t="str">
            <v>2023</v>
          </cell>
        </row>
        <row r="18993">
          <cell r="D18993" t="str">
            <v>2023</v>
          </cell>
        </row>
        <row r="18994">
          <cell r="D18994" t="str">
            <v>2023</v>
          </cell>
        </row>
        <row r="18995">
          <cell r="D18995" t="str">
            <v>2023</v>
          </cell>
        </row>
        <row r="18996">
          <cell r="D18996" t="str">
            <v>2023</v>
          </cell>
        </row>
        <row r="18997">
          <cell r="D18997" t="str">
            <v>2023</v>
          </cell>
        </row>
        <row r="18998">
          <cell r="D18998" t="str">
            <v>2023</v>
          </cell>
        </row>
        <row r="18999">
          <cell r="D18999" t="str">
            <v>2023</v>
          </cell>
        </row>
        <row r="19000">
          <cell r="D19000" t="str">
            <v>2023</v>
          </cell>
        </row>
        <row r="19001">
          <cell r="D19001" t="str">
            <v>2023</v>
          </cell>
        </row>
        <row r="19002">
          <cell r="D19002" t="str">
            <v>2023</v>
          </cell>
        </row>
        <row r="19003">
          <cell r="D19003" t="str">
            <v>2023</v>
          </cell>
        </row>
        <row r="19004">
          <cell r="D19004" t="str">
            <v>2023</v>
          </cell>
        </row>
        <row r="19005">
          <cell r="D19005" t="str">
            <v>2023</v>
          </cell>
        </row>
        <row r="19006">
          <cell r="D19006" t="str">
            <v>2023</v>
          </cell>
        </row>
        <row r="19007">
          <cell r="D19007" t="str">
            <v>2023</v>
          </cell>
        </row>
        <row r="19008">
          <cell r="D19008" t="str">
            <v>2023</v>
          </cell>
        </row>
        <row r="19009">
          <cell r="D19009" t="str">
            <v>2023</v>
          </cell>
        </row>
        <row r="19010">
          <cell r="D19010" t="str">
            <v>2023</v>
          </cell>
        </row>
        <row r="19011">
          <cell r="D19011" t="str">
            <v>2023</v>
          </cell>
        </row>
        <row r="19012">
          <cell r="D19012" t="str">
            <v>2023</v>
          </cell>
        </row>
        <row r="19013">
          <cell r="D19013" t="str">
            <v>2023</v>
          </cell>
        </row>
        <row r="19014">
          <cell r="D19014" t="str">
            <v>2023</v>
          </cell>
        </row>
        <row r="19015">
          <cell r="D19015" t="str">
            <v>2023</v>
          </cell>
        </row>
        <row r="19016">
          <cell r="D19016" t="str">
            <v>2023</v>
          </cell>
        </row>
        <row r="19017">
          <cell r="D19017" t="str">
            <v>2023</v>
          </cell>
        </row>
        <row r="19018">
          <cell r="D19018" t="str">
            <v>2023</v>
          </cell>
        </row>
        <row r="19019">
          <cell r="D19019" t="str">
            <v>2023</v>
          </cell>
        </row>
        <row r="19020">
          <cell r="D19020" t="str">
            <v>2023</v>
          </cell>
        </row>
        <row r="19021">
          <cell r="D19021" t="str">
            <v>2023</v>
          </cell>
        </row>
        <row r="19022">
          <cell r="D19022" t="str">
            <v>2023</v>
          </cell>
        </row>
        <row r="19023">
          <cell r="D19023" t="str">
            <v>2023</v>
          </cell>
        </row>
        <row r="19024">
          <cell r="D19024" t="str">
            <v>2023</v>
          </cell>
        </row>
        <row r="19025">
          <cell r="D19025" t="str">
            <v>2023</v>
          </cell>
        </row>
        <row r="19026">
          <cell r="D19026" t="str">
            <v>2023</v>
          </cell>
        </row>
        <row r="19027">
          <cell r="D19027" t="str">
            <v>2023</v>
          </cell>
        </row>
        <row r="19028">
          <cell r="D19028" t="str">
            <v>2023</v>
          </cell>
        </row>
        <row r="19029">
          <cell r="D19029" t="str">
            <v>2023</v>
          </cell>
        </row>
        <row r="19030">
          <cell r="D19030" t="str">
            <v>2023</v>
          </cell>
        </row>
        <row r="19031">
          <cell r="D19031" t="str">
            <v>2023</v>
          </cell>
        </row>
        <row r="19032">
          <cell r="D19032" t="str">
            <v>2023</v>
          </cell>
        </row>
        <row r="19033">
          <cell r="D19033" t="str">
            <v>2023</v>
          </cell>
        </row>
        <row r="19034">
          <cell r="D19034" t="str">
            <v>2023</v>
          </cell>
        </row>
        <row r="19035">
          <cell r="D19035" t="str">
            <v>2023</v>
          </cell>
        </row>
        <row r="19036">
          <cell r="D19036" t="str">
            <v>2023</v>
          </cell>
        </row>
        <row r="19037">
          <cell r="D19037" t="str">
            <v>2023</v>
          </cell>
        </row>
        <row r="19038">
          <cell r="D19038" t="str">
            <v>2023</v>
          </cell>
        </row>
        <row r="19039">
          <cell r="D19039" t="str">
            <v>2023</v>
          </cell>
        </row>
        <row r="19040">
          <cell r="D19040" t="str">
            <v>2023</v>
          </cell>
        </row>
        <row r="19041">
          <cell r="D19041" t="str">
            <v>2023</v>
          </cell>
        </row>
        <row r="19042">
          <cell r="D19042" t="str">
            <v>2023</v>
          </cell>
        </row>
        <row r="19043">
          <cell r="D19043" t="str">
            <v>2023</v>
          </cell>
        </row>
        <row r="19044">
          <cell r="D19044" t="str">
            <v>2023</v>
          </cell>
        </row>
        <row r="19045">
          <cell r="D19045" t="str">
            <v>2023</v>
          </cell>
        </row>
        <row r="19046">
          <cell r="D19046" t="str">
            <v>2023</v>
          </cell>
        </row>
        <row r="19047">
          <cell r="D19047" t="str">
            <v>2023</v>
          </cell>
        </row>
        <row r="19048">
          <cell r="D19048" t="str">
            <v>2023</v>
          </cell>
        </row>
        <row r="19049">
          <cell r="D19049" t="str">
            <v>2023</v>
          </cell>
        </row>
        <row r="19050">
          <cell r="D19050" t="str">
            <v>2023</v>
          </cell>
        </row>
        <row r="19051">
          <cell r="D19051" t="str">
            <v>2023</v>
          </cell>
        </row>
        <row r="19052">
          <cell r="D19052" t="str">
            <v>2023</v>
          </cell>
        </row>
        <row r="19053">
          <cell r="D19053" t="str">
            <v>2023</v>
          </cell>
        </row>
        <row r="19054">
          <cell r="D19054" t="str">
            <v>2023</v>
          </cell>
        </row>
        <row r="19055">
          <cell r="D19055" t="str">
            <v>2023</v>
          </cell>
        </row>
        <row r="19056">
          <cell r="D19056" t="str">
            <v>2023</v>
          </cell>
        </row>
        <row r="19057">
          <cell r="D19057" t="str">
            <v>2023</v>
          </cell>
        </row>
        <row r="19058">
          <cell r="D19058" t="str">
            <v>2022</v>
          </cell>
        </row>
        <row r="19059">
          <cell r="D19059" t="str">
            <v>2023</v>
          </cell>
        </row>
        <row r="19060">
          <cell r="D19060" t="str">
            <v>2023</v>
          </cell>
        </row>
        <row r="19061">
          <cell r="D19061" t="str">
            <v>2023</v>
          </cell>
        </row>
        <row r="19062">
          <cell r="D19062" t="str">
            <v>2023</v>
          </cell>
        </row>
        <row r="19063">
          <cell r="D19063" t="str">
            <v>2023</v>
          </cell>
        </row>
        <row r="19064">
          <cell r="D19064" t="str">
            <v>2023</v>
          </cell>
        </row>
        <row r="19065">
          <cell r="D19065" t="str">
            <v>2023</v>
          </cell>
        </row>
        <row r="19066">
          <cell r="D19066" t="str">
            <v>2023</v>
          </cell>
        </row>
        <row r="19067">
          <cell r="D19067" t="str">
            <v>2023</v>
          </cell>
        </row>
        <row r="19068">
          <cell r="D19068" t="str">
            <v>2023</v>
          </cell>
        </row>
        <row r="19069">
          <cell r="D19069" t="str">
            <v>2023</v>
          </cell>
        </row>
        <row r="19070">
          <cell r="D19070" t="str">
            <v>2023</v>
          </cell>
        </row>
        <row r="19071">
          <cell r="D19071" t="str">
            <v>2023</v>
          </cell>
        </row>
        <row r="19072">
          <cell r="D19072" t="str">
            <v>2023</v>
          </cell>
        </row>
        <row r="19073">
          <cell r="D19073" t="str">
            <v>2023</v>
          </cell>
        </row>
        <row r="19074">
          <cell r="D19074" t="str">
            <v>2023</v>
          </cell>
        </row>
        <row r="19075">
          <cell r="D19075" t="str">
            <v>2023</v>
          </cell>
        </row>
        <row r="19076">
          <cell r="D19076" t="str">
            <v>2023</v>
          </cell>
        </row>
        <row r="19077">
          <cell r="D19077" t="str">
            <v>2023</v>
          </cell>
        </row>
        <row r="19078">
          <cell r="D19078" t="str">
            <v>2023</v>
          </cell>
        </row>
        <row r="19079">
          <cell r="D19079" t="str">
            <v>2023</v>
          </cell>
        </row>
        <row r="19080">
          <cell r="D19080" t="str">
            <v>2023</v>
          </cell>
        </row>
        <row r="19081">
          <cell r="D19081" t="str">
            <v>2023</v>
          </cell>
        </row>
        <row r="19082">
          <cell r="D19082" t="str">
            <v>2023</v>
          </cell>
        </row>
        <row r="19083">
          <cell r="D19083" t="str">
            <v>2023</v>
          </cell>
        </row>
        <row r="19084">
          <cell r="D19084" t="str">
            <v>2023</v>
          </cell>
        </row>
        <row r="19085">
          <cell r="D19085" t="str">
            <v>2023</v>
          </cell>
        </row>
        <row r="19086">
          <cell r="D19086" t="str">
            <v>2023</v>
          </cell>
        </row>
        <row r="19087">
          <cell r="D19087" t="str">
            <v>2023</v>
          </cell>
        </row>
        <row r="19088">
          <cell r="D19088" t="str">
            <v>2023</v>
          </cell>
        </row>
        <row r="19089">
          <cell r="D19089" t="str">
            <v>2023</v>
          </cell>
        </row>
        <row r="19090">
          <cell r="D19090" t="str">
            <v>2023</v>
          </cell>
        </row>
        <row r="19091">
          <cell r="D19091" t="str">
            <v>2023</v>
          </cell>
        </row>
        <row r="19092">
          <cell r="D19092" t="str">
            <v>2023</v>
          </cell>
        </row>
        <row r="19093">
          <cell r="D19093" t="str">
            <v>2023</v>
          </cell>
        </row>
        <row r="19094">
          <cell r="D19094" t="str">
            <v>2023</v>
          </cell>
        </row>
        <row r="19095">
          <cell r="D19095" t="str">
            <v>2023</v>
          </cell>
        </row>
        <row r="19096">
          <cell r="D19096" t="str">
            <v>2023</v>
          </cell>
        </row>
        <row r="19097">
          <cell r="D19097" t="str">
            <v>2023</v>
          </cell>
        </row>
        <row r="19098">
          <cell r="D19098" t="str">
            <v>2023</v>
          </cell>
        </row>
        <row r="19099">
          <cell r="D19099" t="str">
            <v>2023</v>
          </cell>
        </row>
        <row r="19100">
          <cell r="D19100" t="str">
            <v>2023</v>
          </cell>
        </row>
        <row r="19101">
          <cell r="D19101" t="str">
            <v>2023</v>
          </cell>
        </row>
        <row r="19102">
          <cell r="D19102" t="str">
            <v>2023</v>
          </cell>
        </row>
        <row r="19103">
          <cell r="D19103" t="str">
            <v>2023</v>
          </cell>
        </row>
        <row r="19104">
          <cell r="D19104" t="str">
            <v>2023</v>
          </cell>
        </row>
        <row r="19105">
          <cell r="D19105" t="str">
            <v>2023</v>
          </cell>
        </row>
        <row r="19106">
          <cell r="D19106" t="str">
            <v>2023</v>
          </cell>
        </row>
        <row r="19107">
          <cell r="D19107" t="str">
            <v>2023</v>
          </cell>
        </row>
        <row r="19108">
          <cell r="D19108" t="str">
            <v>2023</v>
          </cell>
        </row>
        <row r="19109">
          <cell r="D19109" t="str">
            <v>2023</v>
          </cell>
        </row>
        <row r="19110">
          <cell r="D19110" t="str">
            <v>2023</v>
          </cell>
        </row>
        <row r="19111">
          <cell r="D19111" t="str">
            <v>2023</v>
          </cell>
        </row>
        <row r="19112">
          <cell r="D19112" t="str">
            <v>2023</v>
          </cell>
        </row>
        <row r="19113">
          <cell r="D19113" t="str">
            <v>2023</v>
          </cell>
        </row>
        <row r="19114">
          <cell r="D19114" t="str">
            <v>2023</v>
          </cell>
        </row>
        <row r="19115">
          <cell r="D19115" t="str">
            <v>2023</v>
          </cell>
        </row>
        <row r="19116">
          <cell r="D19116" t="str">
            <v>2023</v>
          </cell>
        </row>
        <row r="19117">
          <cell r="D19117" t="str">
            <v>2023</v>
          </cell>
        </row>
        <row r="19118">
          <cell r="D19118" t="str">
            <v>2023</v>
          </cell>
        </row>
        <row r="19119">
          <cell r="D19119" t="str">
            <v>2023</v>
          </cell>
        </row>
        <row r="19120">
          <cell r="D19120" t="str">
            <v>2023</v>
          </cell>
        </row>
        <row r="19121">
          <cell r="D19121" t="str">
            <v>2023</v>
          </cell>
        </row>
        <row r="19122">
          <cell r="D19122" t="str">
            <v>2023</v>
          </cell>
        </row>
        <row r="19123">
          <cell r="D19123" t="str">
            <v>2023</v>
          </cell>
        </row>
        <row r="19124">
          <cell r="D19124" t="str">
            <v>2023</v>
          </cell>
        </row>
        <row r="19125">
          <cell r="D19125" t="str">
            <v>2023</v>
          </cell>
        </row>
        <row r="19126">
          <cell r="D19126" t="str">
            <v>2023</v>
          </cell>
        </row>
        <row r="19127">
          <cell r="D19127" t="str">
            <v>2023</v>
          </cell>
        </row>
        <row r="19128">
          <cell r="D19128" t="str">
            <v>2023</v>
          </cell>
        </row>
        <row r="19129">
          <cell r="D19129" t="str">
            <v>2023</v>
          </cell>
        </row>
        <row r="19130">
          <cell r="D19130" t="str">
            <v>2023</v>
          </cell>
        </row>
        <row r="19131">
          <cell r="D19131" t="str">
            <v>2023</v>
          </cell>
        </row>
        <row r="19132">
          <cell r="D19132" t="str">
            <v>2023</v>
          </cell>
        </row>
        <row r="19133">
          <cell r="D19133" t="str">
            <v>2023</v>
          </cell>
        </row>
        <row r="19134">
          <cell r="D19134" t="str">
            <v>2023</v>
          </cell>
        </row>
        <row r="19135">
          <cell r="D19135" t="str">
            <v>2023</v>
          </cell>
        </row>
        <row r="19136">
          <cell r="D19136" t="str">
            <v>2023</v>
          </cell>
        </row>
        <row r="19137">
          <cell r="D19137" t="str">
            <v>2023</v>
          </cell>
        </row>
        <row r="19138">
          <cell r="D19138" t="str">
            <v>2023</v>
          </cell>
        </row>
        <row r="19139">
          <cell r="D19139" t="str">
            <v>2023</v>
          </cell>
        </row>
        <row r="19140">
          <cell r="D19140" t="str">
            <v>2023</v>
          </cell>
        </row>
        <row r="19141">
          <cell r="D19141" t="str">
            <v>2023</v>
          </cell>
        </row>
        <row r="19142">
          <cell r="D19142" t="str">
            <v>2023</v>
          </cell>
        </row>
        <row r="19143">
          <cell r="D19143" t="str">
            <v>2023</v>
          </cell>
        </row>
        <row r="19144">
          <cell r="D19144" t="str">
            <v>2023</v>
          </cell>
        </row>
        <row r="19145">
          <cell r="D19145" t="str">
            <v>2023</v>
          </cell>
        </row>
        <row r="19146">
          <cell r="D19146" t="str">
            <v>2023</v>
          </cell>
        </row>
        <row r="19147">
          <cell r="D19147" t="str">
            <v>2023</v>
          </cell>
        </row>
        <row r="19148">
          <cell r="D19148" t="str">
            <v>2023</v>
          </cell>
        </row>
        <row r="19149">
          <cell r="D19149" t="str">
            <v>2023</v>
          </cell>
        </row>
        <row r="19150">
          <cell r="D19150" t="str">
            <v>2023</v>
          </cell>
        </row>
        <row r="19151">
          <cell r="D19151" t="str">
            <v>2023</v>
          </cell>
        </row>
        <row r="19152">
          <cell r="D19152" t="str">
            <v>2023</v>
          </cell>
        </row>
        <row r="19153">
          <cell r="D19153" t="str">
            <v>2023</v>
          </cell>
        </row>
        <row r="19154">
          <cell r="D19154" t="str">
            <v>2023</v>
          </cell>
        </row>
        <row r="19155">
          <cell r="D19155" t="str">
            <v>2023</v>
          </cell>
        </row>
        <row r="19156">
          <cell r="D19156" t="str">
            <v>2023</v>
          </cell>
        </row>
        <row r="19157">
          <cell r="D19157" t="str">
            <v>2023</v>
          </cell>
        </row>
        <row r="19158">
          <cell r="D19158" t="str">
            <v>2023</v>
          </cell>
        </row>
        <row r="19159">
          <cell r="D19159" t="str">
            <v>2023</v>
          </cell>
        </row>
        <row r="19160">
          <cell r="D19160" t="str">
            <v>2023</v>
          </cell>
        </row>
        <row r="19161">
          <cell r="D19161" t="str">
            <v>2023</v>
          </cell>
        </row>
        <row r="19162">
          <cell r="D19162" t="str">
            <v>2023</v>
          </cell>
        </row>
        <row r="19163">
          <cell r="D19163" t="str">
            <v>2023</v>
          </cell>
        </row>
        <row r="19164">
          <cell r="D19164" t="str">
            <v>2023</v>
          </cell>
        </row>
        <row r="19165">
          <cell r="D19165" t="str">
            <v>2023</v>
          </cell>
        </row>
        <row r="19166">
          <cell r="D19166" t="str">
            <v>2023</v>
          </cell>
        </row>
        <row r="19167">
          <cell r="D19167" t="str">
            <v>2023</v>
          </cell>
        </row>
        <row r="19168">
          <cell r="D19168" t="str">
            <v>2023</v>
          </cell>
        </row>
        <row r="19169">
          <cell r="D19169" t="str">
            <v>2023</v>
          </cell>
        </row>
        <row r="19170">
          <cell r="D19170" t="str">
            <v>2022</v>
          </cell>
        </row>
        <row r="19171">
          <cell r="D19171" t="str">
            <v>2023</v>
          </cell>
        </row>
        <row r="19172">
          <cell r="D19172" t="str">
            <v>2023</v>
          </cell>
        </row>
        <row r="19173">
          <cell r="D19173" t="str">
            <v>2023</v>
          </cell>
        </row>
        <row r="19174">
          <cell r="D19174" t="str">
            <v>2023</v>
          </cell>
        </row>
        <row r="19175">
          <cell r="D19175" t="str">
            <v>2023</v>
          </cell>
        </row>
        <row r="19176">
          <cell r="D19176" t="str">
            <v>2023</v>
          </cell>
        </row>
        <row r="19177">
          <cell r="D19177" t="str">
            <v>2023</v>
          </cell>
        </row>
        <row r="19178">
          <cell r="D19178" t="str">
            <v>2023</v>
          </cell>
        </row>
        <row r="19179">
          <cell r="D19179" t="str">
            <v>2023</v>
          </cell>
        </row>
        <row r="19180">
          <cell r="D19180" t="str">
            <v>2023</v>
          </cell>
        </row>
        <row r="19181">
          <cell r="D19181" t="str">
            <v>2023</v>
          </cell>
        </row>
        <row r="19182">
          <cell r="D19182" t="str">
            <v>2023</v>
          </cell>
        </row>
        <row r="19183">
          <cell r="D19183" t="str">
            <v>2023</v>
          </cell>
        </row>
        <row r="19184">
          <cell r="D19184" t="str">
            <v>2023</v>
          </cell>
        </row>
        <row r="19185">
          <cell r="D19185" t="str">
            <v>2023</v>
          </cell>
        </row>
        <row r="19186">
          <cell r="D19186" t="str">
            <v>2023</v>
          </cell>
        </row>
        <row r="19187">
          <cell r="D19187" t="str">
            <v>2023</v>
          </cell>
        </row>
        <row r="19188">
          <cell r="D19188" t="str">
            <v>2023</v>
          </cell>
        </row>
        <row r="19189">
          <cell r="D19189" t="str">
            <v>2023</v>
          </cell>
        </row>
        <row r="19190">
          <cell r="D19190" t="str">
            <v>2023</v>
          </cell>
        </row>
        <row r="19191">
          <cell r="D19191" t="str">
            <v>2023</v>
          </cell>
        </row>
        <row r="19192">
          <cell r="D19192" t="str">
            <v>2023</v>
          </cell>
        </row>
        <row r="19193">
          <cell r="D19193" t="str">
            <v>2023</v>
          </cell>
        </row>
        <row r="19194">
          <cell r="D19194" t="str">
            <v>2023</v>
          </cell>
        </row>
        <row r="19195">
          <cell r="D19195" t="str">
            <v>2023</v>
          </cell>
        </row>
        <row r="19196">
          <cell r="D19196" t="str">
            <v>2023</v>
          </cell>
        </row>
        <row r="19197">
          <cell r="D19197" t="str">
            <v>2023</v>
          </cell>
        </row>
        <row r="19198">
          <cell r="D19198" t="str">
            <v>2023</v>
          </cell>
        </row>
        <row r="19199">
          <cell r="D19199" t="str">
            <v>2023</v>
          </cell>
        </row>
        <row r="19200">
          <cell r="D19200" t="str">
            <v>2023</v>
          </cell>
        </row>
        <row r="19201">
          <cell r="D19201" t="str">
            <v>2023</v>
          </cell>
        </row>
        <row r="19202">
          <cell r="D19202" t="str">
            <v>2023</v>
          </cell>
        </row>
        <row r="19203">
          <cell r="D19203" t="str">
            <v>2023</v>
          </cell>
        </row>
        <row r="19204">
          <cell r="D19204" t="str">
            <v>2023</v>
          </cell>
        </row>
        <row r="19205">
          <cell r="D19205" t="str">
            <v>2023</v>
          </cell>
        </row>
        <row r="19206">
          <cell r="D19206" t="str">
            <v>2023</v>
          </cell>
        </row>
        <row r="19207">
          <cell r="D19207" t="str">
            <v>2023</v>
          </cell>
        </row>
        <row r="19208">
          <cell r="D19208" t="str">
            <v>2023</v>
          </cell>
        </row>
        <row r="19209">
          <cell r="D19209" t="str">
            <v>2023</v>
          </cell>
        </row>
        <row r="19210">
          <cell r="D19210" t="str">
            <v>2023</v>
          </cell>
        </row>
        <row r="19211">
          <cell r="D19211" t="str">
            <v>2023</v>
          </cell>
        </row>
        <row r="19212">
          <cell r="D19212" t="str">
            <v>2023</v>
          </cell>
        </row>
        <row r="19213">
          <cell r="D19213" t="str">
            <v>2023</v>
          </cell>
        </row>
        <row r="19214">
          <cell r="D19214" t="str">
            <v>2023</v>
          </cell>
        </row>
        <row r="19215">
          <cell r="D19215" t="str">
            <v>2023</v>
          </cell>
        </row>
        <row r="19216">
          <cell r="D19216" t="str">
            <v>2022</v>
          </cell>
        </row>
        <row r="19217">
          <cell r="D19217" t="str">
            <v>2023</v>
          </cell>
        </row>
        <row r="19218">
          <cell r="D19218" t="str">
            <v>2023</v>
          </cell>
        </row>
        <row r="19219">
          <cell r="D19219" t="str">
            <v>2023</v>
          </cell>
        </row>
        <row r="19220">
          <cell r="D19220" t="str">
            <v>2023</v>
          </cell>
        </row>
        <row r="19221">
          <cell r="D19221" t="str">
            <v>2023</v>
          </cell>
        </row>
        <row r="19222">
          <cell r="D19222" t="str">
            <v>2023</v>
          </cell>
        </row>
        <row r="19223">
          <cell r="D19223" t="str">
            <v>2023</v>
          </cell>
        </row>
        <row r="19224">
          <cell r="D19224" t="str">
            <v>2023</v>
          </cell>
        </row>
        <row r="19225">
          <cell r="D19225" t="str">
            <v>2023</v>
          </cell>
        </row>
        <row r="19226">
          <cell r="D19226" t="str">
            <v>2023</v>
          </cell>
        </row>
        <row r="19227">
          <cell r="D19227" t="str">
            <v>2023</v>
          </cell>
        </row>
        <row r="19228">
          <cell r="D19228" t="str">
            <v>2023</v>
          </cell>
        </row>
        <row r="19229">
          <cell r="D19229" t="str">
            <v>2023</v>
          </cell>
        </row>
        <row r="19230">
          <cell r="D19230" t="str">
            <v>2023</v>
          </cell>
        </row>
        <row r="19231">
          <cell r="D19231" t="str">
            <v>2023</v>
          </cell>
        </row>
        <row r="19232">
          <cell r="D19232" t="str">
            <v>2023</v>
          </cell>
        </row>
        <row r="19233">
          <cell r="D19233" t="str">
            <v>2023</v>
          </cell>
        </row>
        <row r="19234">
          <cell r="D19234" t="str">
            <v>2023</v>
          </cell>
        </row>
        <row r="19235">
          <cell r="D19235" t="str">
            <v>2023</v>
          </cell>
        </row>
        <row r="19236">
          <cell r="D19236" t="str">
            <v>2023</v>
          </cell>
        </row>
        <row r="19237">
          <cell r="D19237" t="str">
            <v>2023</v>
          </cell>
        </row>
        <row r="19238">
          <cell r="D19238" t="str">
            <v>2023</v>
          </cell>
        </row>
        <row r="19239">
          <cell r="D19239" t="str">
            <v>2023</v>
          </cell>
        </row>
        <row r="19240">
          <cell r="D19240" t="str">
            <v>2023</v>
          </cell>
        </row>
        <row r="19241">
          <cell r="D19241" t="str">
            <v>2022</v>
          </cell>
        </row>
        <row r="19242">
          <cell r="D19242" t="str">
            <v>2023</v>
          </cell>
        </row>
        <row r="19243">
          <cell r="D19243" t="str">
            <v>2023</v>
          </cell>
        </row>
        <row r="19244">
          <cell r="D19244" t="str">
            <v>2023</v>
          </cell>
        </row>
        <row r="19245">
          <cell r="D19245" t="str">
            <v>2023</v>
          </cell>
        </row>
        <row r="19246">
          <cell r="D19246" t="str">
            <v>2023</v>
          </cell>
        </row>
        <row r="19247">
          <cell r="D19247" t="str">
            <v>2023</v>
          </cell>
        </row>
        <row r="19248">
          <cell r="D19248" t="str">
            <v>2023</v>
          </cell>
        </row>
        <row r="19249">
          <cell r="D19249" t="str">
            <v>2023</v>
          </cell>
        </row>
        <row r="19250">
          <cell r="D19250" t="str">
            <v>2023</v>
          </cell>
        </row>
        <row r="19251">
          <cell r="D19251" t="str">
            <v>2023</v>
          </cell>
        </row>
        <row r="19252">
          <cell r="D19252" t="str">
            <v>2023</v>
          </cell>
        </row>
        <row r="19253">
          <cell r="D19253" t="str">
            <v>2023</v>
          </cell>
        </row>
        <row r="19254">
          <cell r="D19254" t="str">
            <v>2023</v>
          </cell>
        </row>
        <row r="19255">
          <cell r="D19255" t="str">
            <v>2023</v>
          </cell>
        </row>
        <row r="19256">
          <cell r="D19256" t="str">
            <v>2023</v>
          </cell>
        </row>
        <row r="19257">
          <cell r="D19257" t="str">
            <v>2023</v>
          </cell>
        </row>
        <row r="19258">
          <cell r="D19258" t="str">
            <v>2023</v>
          </cell>
        </row>
        <row r="19259">
          <cell r="D19259" t="str">
            <v>2023</v>
          </cell>
        </row>
        <row r="19260">
          <cell r="D19260" t="str">
            <v>2023</v>
          </cell>
        </row>
        <row r="19261">
          <cell r="D19261" t="str">
            <v>2023</v>
          </cell>
        </row>
        <row r="19262">
          <cell r="D19262" t="str">
            <v>2023</v>
          </cell>
        </row>
        <row r="19263">
          <cell r="D19263" t="str">
            <v>2023</v>
          </cell>
        </row>
        <row r="19264">
          <cell r="D19264" t="str">
            <v>2023</v>
          </cell>
        </row>
        <row r="19265">
          <cell r="D19265" t="str">
            <v>2023</v>
          </cell>
        </row>
        <row r="19266">
          <cell r="D19266" t="str">
            <v>2023</v>
          </cell>
        </row>
        <row r="19267">
          <cell r="D19267" t="str">
            <v>2023</v>
          </cell>
        </row>
        <row r="19268">
          <cell r="D19268" t="str">
            <v>2023</v>
          </cell>
        </row>
        <row r="19269">
          <cell r="D19269" t="str">
            <v>2023</v>
          </cell>
        </row>
        <row r="19270">
          <cell r="D19270" t="str">
            <v>2023</v>
          </cell>
        </row>
        <row r="19271">
          <cell r="D19271" t="str">
            <v>2023</v>
          </cell>
        </row>
        <row r="19272">
          <cell r="D19272" t="str">
            <v>2023</v>
          </cell>
        </row>
        <row r="19273">
          <cell r="D19273" t="str">
            <v>2023</v>
          </cell>
        </row>
        <row r="19274">
          <cell r="D19274" t="str">
            <v>2023</v>
          </cell>
        </row>
        <row r="19275">
          <cell r="D19275" t="str">
            <v>2023</v>
          </cell>
        </row>
        <row r="19276">
          <cell r="D19276" t="str">
            <v>2023</v>
          </cell>
        </row>
        <row r="19277">
          <cell r="D19277" t="str">
            <v>2023</v>
          </cell>
        </row>
        <row r="19278">
          <cell r="D19278" t="str">
            <v>2023</v>
          </cell>
        </row>
        <row r="19279">
          <cell r="D19279" t="str">
            <v>2023</v>
          </cell>
        </row>
        <row r="19280">
          <cell r="D19280" t="str">
            <v>2023</v>
          </cell>
        </row>
        <row r="19281">
          <cell r="D19281" t="str">
            <v>2023</v>
          </cell>
        </row>
        <row r="19282">
          <cell r="D19282" t="str">
            <v>2023</v>
          </cell>
        </row>
        <row r="19283">
          <cell r="D19283" t="str">
            <v>2023</v>
          </cell>
        </row>
        <row r="19284">
          <cell r="D19284" t="str">
            <v>2023</v>
          </cell>
        </row>
        <row r="19285">
          <cell r="D19285" t="str">
            <v>2023</v>
          </cell>
        </row>
        <row r="19286">
          <cell r="D19286" t="str">
            <v>2023</v>
          </cell>
        </row>
        <row r="19287">
          <cell r="D19287" t="str">
            <v>2023</v>
          </cell>
        </row>
        <row r="19288">
          <cell r="D19288" t="str">
            <v>2023</v>
          </cell>
        </row>
        <row r="19289">
          <cell r="D19289" t="str">
            <v>2023</v>
          </cell>
        </row>
        <row r="19290">
          <cell r="D19290" t="str">
            <v>2023</v>
          </cell>
        </row>
        <row r="19291">
          <cell r="D19291" t="str">
            <v>2023</v>
          </cell>
        </row>
        <row r="19292">
          <cell r="D19292" t="str">
            <v>2023</v>
          </cell>
        </row>
        <row r="19293">
          <cell r="D19293" t="str">
            <v>2023</v>
          </cell>
        </row>
        <row r="19294">
          <cell r="D19294" t="str">
            <v>2023</v>
          </cell>
        </row>
        <row r="19295">
          <cell r="D19295" t="str">
            <v>2023</v>
          </cell>
        </row>
        <row r="19296">
          <cell r="D19296" t="str">
            <v>2023</v>
          </cell>
        </row>
        <row r="19297">
          <cell r="D19297" t="str">
            <v>2023</v>
          </cell>
        </row>
        <row r="19298">
          <cell r="D19298" t="str">
            <v>2023</v>
          </cell>
        </row>
        <row r="19299">
          <cell r="D19299" t="str">
            <v>2023</v>
          </cell>
        </row>
        <row r="19300">
          <cell r="D19300" t="str">
            <v>2023</v>
          </cell>
        </row>
        <row r="19301">
          <cell r="D19301" t="str">
            <v>2023</v>
          </cell>
        </row>
        <row r="19302">
          <cell r="D19302" t="str">
            <v>2023</v>
          </cell>
        </row>
        <row r="19303">
          <cell r="D19303" t="str">
            <v>2023</v>
          </cell>
        </row>
        <row r="19304">
          <cell r="D19304" t="str">
            <v>2023</v>
          </cell>
        </row>
        <row r="19305">
          <cell r="D19305" t="str">
            <v>2023</v>
          </cell>
        </row>
        <row r="19306">
          <cell r="D19306" t="str">
            <v>2023</v>
          </cell>
        </row>
        <row r="19307">
          <cell r="D19307" t="str">
            <v>2023</v>
          </cell>
        </row>
        <row r="19308">
          <cell r="D19308" t="str">
            <v>2023</v>
          </cell>
        </row>
        <row r="19309">
          <cell r="D19309" t="str">
            <v>2023</v>
          </cell>
        </row>
        <row r="19310">
          <cell r="D19310" t="str">
            <v>2023</v>
          </cell>
        </row>
        <row r="19311">
          <cell r="D19311" t="str">
            <v>2023</v>
          </cell>
        </row>
        <row r="19312">
          <cell r="D19312" t="str">
            <v>2023</v>
          </cell>
        </row>
        <row r="19313">
          <cell r="D19313" t="str">
            <v>2023</v>
          </cell>
        </row>
        <row r="19314">
          <cell r="D19314" t="str">
            <v>2023</v>
          </cell>
        </row>
        <row r="19315">
          <cell r="D19315" t="str">
            <v>2023</v>
          </cell>
        </row>
        <row r="19316">
          <cell r="D19316" t="str">
            <v>2023</v>
          </cell>
        </row>
        <row r="19317">
          <cell r="D19317" t="str">
            <v>2023</v>
          </cell>
        </row>
        <row r="19318">
          <cell r="D19318" t="str">
            <v>2023</v>
          </cell>
        </row>
        <row r="19319">
          <cell r="D19319" t="str">
            <v>2023</v>
          </cell>
        </row>
        <row r="19320">
          <cell r="D19320" t="str">
            <v>2023</v>
          </cell>
        </row>
        <row r="19321">
          <cell r="D19321" t="str">
            <v>2023</v>
          </cell>
        </row>
        <row r="19322">
          <cell r="D19322" t="str">
            <v>2023</v>
          </cell>
        </row>
        <row r="19323">
          <cell r="D19323" t="str">
            <v>2023</v>
          </cell>
        </row>
        <row r="19324">
          <cell r="D19324" t="str">
            <v>2023</v>
          </cell>
        </row>
        <row r="19325">
          <cell r="D19325" t="str">
            <v>2023</v>
          </cell>
        </row>
        <row r="19326">
          <cell r="D19326" t="str">
            <v>2023</v>
          </cell>
        </row>
        <row r="19327">
          <cell r="D19327" t="str">
            <v>2023</v>
          </cell>
        </row>
        <row r="19328">
          <cell r="D19328" t="str">
            <v>2023</v>
          </cell>
        </row>
        <row r="19329">
          <cell r="D19329" t="str">
            <v>2023</v>
          </cell>
        </row>
        <row r="19330">
          <cell r="D19330" t="str">
            <v>2023</v>
          </cell>
        </row>
        <row r="19331">
          <cell r="D19331" t="str">
            <v>2023</v>
          </cell>
        </row>
        <row r="19332">
          <cell r="D19332" t="str">
            <v>2023</v>
          </cell>
        </row>
        <row r="19333">
          <cell r="D19333" t="str">
            <v>2023</v>
          </cell>
        </row>
        <row r="19334">
          <cell r="D19334" t="str">
            <v>2023</v>
          </cell>
        </row>
        <row r="19335">
          <cell r="D19335" t="str">
            <v>2023</v>
          </cell>
        </row>
        <row r="19336">
          <cell r="D19336" t="str">
            <v>2023</v>
          </cell>
        </row>
        <row r="19337">
          <cell r="D19337" t="str">
            <v>2023</v>
          </cell>
        </row>
        <row r="19338">
          <cell r="D19338" t="str">
            <v>2023</v>
          </cell>
        </row>
        <row r="19339">
          <cell r="D19339" t="str">
            <v>2023</v>
          </cell>
        </row>
        <row r="19340">
          <cell r="D19340" t="str">
            <v>2023</v>
          </cell>
        </row>
        <row r="19341">
          <cell r="D19341" t="str">
            <v>2023</v>
          </cell>
        </row>
        <row r="19342">
          <cell r="D19342" t="str">
            <v>2023</v>
          </cell>
        </row>
        <row r="19343">
          <cell r="D19343" t="str">
            <v>2023</v>
          </cell>
        </row>
        <row r="19344">
          <cell r="D19344" t="str">
            <v>2023</v>
          </cell>
        </row>
        <row r="19345">
          <cell r="D19345" t="str">
            <v>2023</v>
          </cell>
        </row>
        <row r="19346">
          <cell r="D19346" t="str">
            <v>2023</v>
          </cell>
        </row>
        <row r="19347">
          <cell r="D19347" t="str">
            <v>2023</v>
          </cell>
        </row>
        <row r="19348">
          <cell r="D19348" t="str">
            <v>2023</v>
          </cell>
        </row>
        <row r="19349">
          <cell r="D19349" t="str">
            <v>2023</v>
          </cell>
        </row>
        <row r="19350">
          <cell r="D19350" t="str">
            <v>2023</v>
          </cell>
        </row>
        <row r="19351">
          <cell r="D19351" t="str">
            <v>2023</v>
          </cell>
        </row>
        <row r="19352">
          <cell r="D19352" t="str">
            <v>2023</v>
          </cell>
        </row>
        <row r="19353">
          <cell r="D19353" t="str">
            <v>2023</v>
          </cell>
        </row>
        <row r="19354">
          <cell r="D19354" t="str">
            <v>2023</v>
          </cell>
        </row>
        <row r="19355">
          <cell r="D19355" t="str">
            <v>2023</v>
          </cell>
        </row>
        <row r="19356">
          <cell r="D19356" t="str">
            <v>2023</v>
          </cell>
        </row>
        <row r="19357">
          <cell r="D19357" t="str">
            <v>2023</v>
          </cell>
        </row>
        <row r="19358">
          <cell r="D19358" t="str">
            <v>2023</v>
          </cell>
        </row>
        <row r="19359">
          <cell r="D19359" t="str">
            <v>2023</v>
          </cell>
        </row>
        <row r="19360">
          <cell r="D19360" t="str">
            <v>2023</v>
          </cell>
        </row>
        <row r="19361">
          <cell r="D19361" t="str">
            <v>2023</v>
          </cell>
        </row>
        <row r="19362">
          <cell r="D19362" t="str">
            <v>2023</v>
          </cell>
        </row>
        <row r="19363">
          <cell r="D19363" t="str">
            <v>2023</v>
          </cell>
        </row>
        <row r="19364">
          <cell r="D19364" t="str">
            <v>2023</v>
          </cell>
        </row>
        <row r="19365">
          <cell r="D19365" t="str">
            <v>2023</v>
          </cell>
        </row>
        <row r="19366">
          <cell r="D19366" t="str">
            <v>2023</v>
          </cell>
        </row>
        <row r="19367">
          <cell r="D19367" t="str">
            <v>2023</v>
          </cell>
        </row>
        <row r="19368">
          <cell r="D19368" t="str">
            <v>2023</v>
          </cell>
        </row>
        <row r="19369">
          <cell r="D19369" t="str">
            <v>2023</v>
          </cell>
        </row>
        <row r="19370">
          <cell r="D19370" t="str">
            <v>2023</v>
          </cell>
        </row>
        <row r="19371">
          <cell r="D19371" t="str">
            <v>2023</v>
          </cell>
        </row>
        <row r="19372">
          <cell r="D19372" t="str">
            <v>2023</v>
          </cell>
        </row>
        <row r="19373">
          <cell r="D19373" t="str">
            <v>2023</v>
          </cell>
        </row>
        <row r="19374">
          <cell r="D19374" t="str">
            <v>2023</v>
          </cell>
        </row>
        <row r="19375">
          <cell r="D19375" t="str">
            <v>2023</v>
          </cell>
        </row>
        <row r="19376">
          <cell r="D19376" t="str">
            <v>2023</v>
          </cell>
        </row>
        <row r="19377">
          <cell r="D19377" t="str">
            <v>2023</v>
          </cell>
        </row>
        <row r="19378">
          <cell r="D19378" t="str">
            <v>2023</v>
          </cell>
        </row>
        <row r="19379">
          <cell r="D19379" t="str">
            <v>2023</v>
          </cell>
        </row>
        <row r="19380">
          <cell r="D19380" t="str">
            <v>2023</v>
          </cell>
        </row>
        <row r="19381">
          <cell r="D19381" t="str">
            <v>2023</v>
          </cell>
        </row>
        <row r="19382">
          <cell r="D19382" t="str">
            <v>2023</v>
          </cell>
        </row>
        <row r="19383">
          <cell r="D19383" t="str">
            <v>2023</v>
          </cell>
        </row>
        <row r="19384">
          <cell r="D19384" t="str">
            <v>2023</v>
          </cell>
        </row>
        <row r="19385">
          <cell r="D19385" t="str">
            <v>2023</v>
          </cell>
        </row>
        <row r="19386">
          <cell r="D19386" t="str">
            <v>2023</v>
          </cell>
        </row>
        <row r="19387">
          <cell r="D19387" t="str">
            <v>2023</v>
          </cell>
        </row>
        <row r="19388">
          <cell r="D19388" t="str">
            <v>2023</v>
          </cell>
        </row>
        <row r="19389">
          <cell r="D19389" t="str">
            <v>2023</v>
          </cell>
        </row>
        <row r="19390">
          <cell r="D19390" t="str">
            <v>2023</v>
          </cell>
        </row>
        <row r="19391">
          <cell r="D19391" t="str">
            <v>2023</v>
          </cell>
        </row>
        <row r="19392">
          <cell r="D19392" t="str">
            <v>2023</v>
          </cell>
        </row>
        <row r="19393">
          <cell r="D19393" t="str">
            <v>2023</v>
          </cell>
        </row>
        <row r="19394">
          <cell r="D19394" t="str">
            <v>2023</v>
          </cell>
        </row>
        <row r="19395">
          <cell r="D19395" t="str">
            <v>2023</v>
          </cell>
        </row>
        <row r="19396">
          <cell r="D19396" t="str">
            <v>2023</v>
          </cell>
        </row>
        <row r="19397">
          <cell r="D19397" t="str">
            <v>2023</v>
          </cell>
        </row>
        <row r="19398">
          <cell r="D19398" t="str">
            <v>2023</v>
          </cell>
        </row>
        <row r="19399">
          <cell r="D19399" t="str">
            <v>2023</v>
          </cell>
        </row>
        <row r="19400">
          <cell r="D19400" t="str">
            <v>2023</v>
          </cell>
        </row>
        <row r="19401">
          <cell r="D19401" t="str">
            <v>2023</v>
          </cell>
        </row>
        <row r="19402">
          <cell r="D19402" t="str">
            <v>2023</v>
          </cell>
        </row>
        <row r="19403">
          <cell r="D19403" t="str">
            <v>2023</v>
          </cell>
        </row>
        <row r="19404">
          <cell r="D19404" t="str">
            <v>2023</v>
          </cell>
        </row>
        <row r="19405">
          <cell r="D19405" t="str">
            <v>2023</v>
          </cell>
        </row>
        <row r="19406">
          <cell r="D19406" t="str">
            <v>2023</v>
          </cell>
        </row>
        <row r="19407">
          <cell r="D19407" t="str">
            <v>2023</v>
          </cell>
        </row>
        <row r="19408">
          <cell r="D19408" t="str">
            <v>2023</v>
          </cell>
        </row>
        <row r="19409">
          <cell r="D19409" t="str">
            <v>2023</v>
          </cell>
        </row>
        <row r="19410">
          <cell r="D19410" t="str">
            <v>2023</v>
          </cell>
        </row>
        <row r="19411">
          <cell r="D19411" t="str">
            <v>2023</v>
          </cell>
        </row>
        <row r="19412">
          <cell r="D19412" t="str">
            <v>2023</v>
          </cell>
        </row>
        <row r="19413">
          <cell r="D19413" t="str">
            <v>2023</v>
          </cell>
        </row>
        <row r="19414">
          <cell r="D19414" t="str">
            <v>2023</v>
          </cell>
        </row>
        <row r="19415">
          <cell r="D19415" t="str">
            <v>2023</v>
          </cell>
        </row>
        <row r="19416">
          <cell r="D19416" t="str">
            <v>2023</v>
          </cell>
        </row>
        <row r="19417">
          <cell r="D19417" t="str">
            <v>2023</v>
          </cell>
        </row>
        <row r="19418">
          <cell r="D19418" t="str">
            <v>2023</v>
          </cell>
        </row>
        <row r="19419">
          <cell r="D19419" t="str">
            <v>2023</v>
          </cell>
        </row>
        <row r="19420">
          <cell r="D19420" t="str">
            <v>2023</v>
          </cell>
        </row>
        <row r="19421">
          <cell r="D19421" t="str">
            <v>2023</v>
          </cell>
        </row>
        <row r="19422">
          <cell r="D19422" t="str">
            <v>2023</v>
          </cell>
        </row>
        <row r="19423">
          <cell r="D19423" t="str">
            <v>2023</v>
          </cell>
        </row>
        <row r="19424">
          <cell r="D19424" t="str">
            <v>2023</v>
          </cell>
        </row>
        <row r="19425">
          <cell r="D19425" t="str">
            <v>2023</v>
          </cell>
        </row>
        <row r="19426">
          <cell r="D19426" t="str">
            <v>2023</v>
          </cell>
        </row>
        <row r="19427">
          <cell r="D19427" t="str">
            <v>2023</v>
          </cell>
        </row>
        <row r="19428">
          <cell r="D19428" t="str">
            <v>2023</v>
          </cell>
        </row>
        <row r="19429">
          <cell r="D19429" t="str">
            <v>2023</v>
          </cell>
        </row>
        <row r="19430">
          <cell r="D19430" t="str">
            <v>2023</v>
          </cell>
        </row>
        <row r="19431">
          <cell r="D19431" t="str">
            <v>2023</v>
          </cell>
        </row>
        <row r="19432">
          <cell r="D19432" t="str">
            <v>2023</v>
          </cell>
        </row>
        <row r="19433">
          <cell r="D19433" t="str">
            <v>2023</v>
          </cell>
        </row>
        <row r="19434">
          <cell r="D19434" t="str">
            <v>2023</v>
          </cell>
        </row>
        <row r="19435">
          <cell r="D19435" t="str">
            <v>2023</v>
          </cell>
        </row>
        <row r="19436">
          <cell r="D19436" t="str">
            <v>2023</v>
          </cell>
        </row>
        <row r="19437">
          <cell r="D19437" t="str">
            <v>2023</v>
          </cell>
        </row>
        <row r="19438">
          <cell r="D19438" t="str">
            <v>2023</v>
          </cell>
        </row>
        <row r="19439">
          <cell r="D19439" t="str">
            <v>2023</v>
          </cell>
        </row>
        <row r="19440">
          <cell r="D19440" t="str">
            <v>2023</v>
          </cell>
        </row>
        <row r="19441">
          <cell r="D19441" t="str">
            <v>2023</v>
          </cell>
        </row>
        <row r="19442">
          <cell r="D19442" t="str">
            <v>2023</v>
          </cell>
        </row>
        <row r="19443">
          <cell r="D19443" t="str">
            <v>2023</v>
          </cell>
        </row>
        <row r="19444">
          <cell r="D19444" t="str">
            <v>2023</v>
          </cell>
        </row>
        <row r="19445">
          <cell r="D19445" t="str">
            <v>2023</v>
          </cell>
        </row>
        <row r="19446">
          <cell r="D19446" t="str">
            <v>2023</v>
          </cell>
        </row>
        <row r="19447">
          <cell r="D19447" t="str">
            <v>2023</v>
          </cell>
        </row>
        <row r="19448">
          <cell r="D19448" t="str">
            <v>2023</v>
          </cell>
        </row>
        <row r="19449">
          <cell r="D19449" t="str">
            <v>2023</v>
          </cell>
        </row>
        <row r="19450">
          <cell r="D19450" t="str">
            <v>2023</v>
          </cell>
        </row>
        <row r="19451">
          <cell r="D19451" t="str">
            <v>2023</v>
          </cell>
        </row>
        <row r="19452">
          <cell r="D19452" t="str">
            <v>2023</v>
          </cell>
        </row>
        <row r="19453">
          <cell r="D19453" t="str">
            <v>2023</v>
          </cell>
        </row>
        <row r="19454">
          <cell r="D19454" t="str">
            <v>2023</v>
          </cell>
        </row>
        <row r="19455">
          <cell r="D19455" t="str">
            <v>2023</v>
          </cell>
        </row>
        <row r="19456">
          <cell r="D19456" t="str">
            <v>2023</v>
          </cell>
        </row>
        <row r="19457">
          <cell r="D19457" t="str">
            <v>2023</v>
          </cell>
        </row>
        <row r="19458">
          <cell r="D19458" t="str">
            <v>2023</v>
          </cell>
        </row>
        <row r="19459">
          <cell r="D19459" t="str">
            <v>2023</v>
          </cell>
        </row>
        <row r="19460">
          <cell r="D19460" t="str">
            <v>2023</v>
          </cell>
        </row>
        <row r="19461">
          <cell r="D19461" t="str">
            <v>2023</v>
          </cell>
        </row>
        <row r="19462">
          <cell r="D19462" t="str">
            <v>2023</v>
          </cell>
        </row>
        <row r="19463">
          <cell r="D19463" t="str">
            <v>2023</v>
          </cell>
        </row>
        <row r="19464">
          <cell r="D19464" t="str">
            <v>2023</v>
          </cell>
        </row>
        <row r="19465">
          <cell r="D19465" t="str">
            <v>2023</v>
          </cell>
        </row>
        <row r="19466">
          <cell r="D19466" t="str">
            <v>2023</v>
          </cell>
        </row>
        <row r="19467">
          <cell r="D19467" t="str">
            <v>2023</v>
          </cell>
        </row>
        <row r="19468">
          <cell r="D19468" t="str">
            <v>2023</v>
          </cell>
        </row>
        <row r="19469">
          <cell r="D19469" t="str">
            <v>2023</v>
          </cell>
        </row>
        <row r="19470">
          <cell r="D19470" t="str">
            <v>2023</v>
          </cell>
        </row>
        <row r="19471">
          <cell r="D19471" t="str">
            <v>2023</v>
          </cell>
        </row>
        <row r="19472">
          <cell r="D19472" t="str">
            <v>2023</v>
          </cell>
        </row>
        <row r="19473">
          <cell r="D19473" t="str">
            <v>2023</v>
          </cell>
        </row>
        <row r="19474">
          <cell r="D19474" t="str">
            <v>2023</v>
          </cell>
        </row>
        <row r="19475">
          <cell r="D19475" t="str">
            <v>2023</v>
          </cell>
        </row>
        <row r="19476">
          <cell r="D19476" t="str">
            <v>2023</v>
          </cell>
        </row>
        <row r="19477">
          <cell r="D19477" t="str">
            <v>2023</v>
          </cell>
        </row>
        <row r="19478">
          <cell r="D19478" t="str">
            <v>2023</v>
          </cell>
        </row>
        <row r="19479">
          <cell r="D19479" t="str">
            <v>2023</v>
          </cell>
        </row>
        <row r="19480">
          <cell r="D19480" t="str">
            <v>2023</v>
          </cell>
        </row>
        <row r="19481">
          <cell r="D19481" t="str">
            <v>2023</v>
          </cell>
        </row>
        <row r="19482">
          <cell r="D19482" t="str">
            <v>2023</v>
          </cell>
        </row>
        <row r="19483">
          <cell r="D19483" t="str">
            <v>2023</v>
          </cell>
        </row>
        <row r="19484">
          <cell r="D19484" t="str">
            <v>2023</v>
          </cell>
        </row>
        <row r="19485">
          <cell r="D19485" t="str">
            <v>2023</v>
          </cell>
        </row>
        <row r="19486">
          <cell r="D19486" t="str">
            <v>2023</v>
          </cell>
        </row>
        <row r="19487">
          <cell r="D19487" t="str">
            <v>2023</v>
          </cell>
        </row>
        <row r="19488">
          <cell r="D19488" t="str">
            <v>2023</v>
          </cell>
        </row>
        <row r="19489">
          <cell r="D19489" t="str">
            <v>2023</v>
          </cell>
        </row>
        <row r="19490">
          <cell r="D19490" t="str">
            <v>2023</v>
          </cell>
        </row>
        <row r="19491">
          <cell r="D19491" t="str">
            <v>2023</v>
          </cell>
        </row>
        <row r="19492">
          <cell r="D19492" t="str">
            <v>2023</v>
          </cell>
        </row>
        <row r="19493">
          <cell r="D19493" t="str">
            <v>2023</v>
          </cell>
        </row>
        <row r="19494">
          <cell r="D19494" t="str">
            <v>2023</v>
          </cell>
        </row>
        <row r="19495">
          <cell r="D19495" t="str">
            <v>2023</v>
          </cell>
        </row>
        <row r="19496">
          <cell r="D19496" t="str">
            <v>2023</v>
          </cell>
        </row>
        <row r="19497">
          <cell r="D19497" t="str">
            <v>2023</v>
          </cell>
        </row>
        <row r="19498">
          <cell r="D19498" t="str">
            <v>2023</v>
          </cell>
        </row>
        <row r="19499">
          <cell r="D19499" t="str">
            <v>2023</v>
          </cell>
        </row>
        <row r="19500">
          <cell r="D19500" t="str">
            <v>2023</v>
          </cell>
        </row>
        <row r="19501">
          <cell r="D19501" t="str">
            <v>2023</v>
          </cell>
        </row>
        <row r="19502">
          <cell r="D19502" t="str">
            <v>2023</v>
          </cell>
        </row>
        <row r="19503">
          <cell r="D19503" t="str">
            <v>2023</v>
          </cell>
        </row>
        <row r="19504">
          <cell r="D19504" t="str">
            <v>2023</v>
          </cell>
        </row>
        <row r="19505">
          <cell r="D19505" t="str">
            <v>2023</v>
          </cell>
        </row>
        <row r="19506">
          <cell r="D19506" t="str">
            <v>2023</v>
          </cell>
        </row>
        <row r="19507">
          <cell r="D19507" t="str">
            <v>2023</v>
          </cell>
        </row>
        <row r="19508">
          <cell r="D19508" t="str">
            <v>2023</v>
          </cell>
        </row>
        <row r="19509">
          <cell r="D19509" t="str">
            <v>2023</v>
          </cell>
        </row>
        <row r="19510">
          <cell r="D19510" t="str">
            <v>2023</v>
          </cell>
        </row>
        <row r="19511">
          <cell r="D19511" t="str">
            <v>2023</v>
          </cell>
        </row>
        <row r="19512">
          <cell r="D19512" t="str">
            <v>2023</v>
          </cell>
        </row>
        <row r="19513">
          <cell r="D19513" t="str">
            <v>2023</v>
          </cell>
        </row>
        <row r="19514">
          <cell r="D19514" t="str">
            <v>2023</v>
          </cell>
        </row>
        <row r="19515">
          <cell r="D19515" t="str">
            <v>2023</v>
          </cell>
        </row>
        <row r="19516">
          <cell r="D19516" t="str">
            <v>2023</v>
          </cell>
        </row>
        <row r="19517">
          <cell r="D19517" t="str">
            <v>2023</v>
          </cell>
        </row>
        <row r="19518">
          <cell r="D19518" t="str">
            <v>2023</v>
          </cell>
        </row>
        <row r="19519">
          <cell r="D19519" t="str">
            <v>2023</v>
          </cell>
        </row>
        <row r="19520">
          <cell r="D19520" t="str">
            <v>2023</v>
          </cell>
        </row>
        <row r="19521">
          <cell r="D19521" t="str">
            <v>2023</v>
          </cell>
        </row>
        <row r="19522">
          <cell r="D19522" t="str">
            <v>2023</v>
          </cell>
        </row>
        <row r="19523">
          <cell r="D19523" t="str">
            <v>2023</v>
          </cell>
        </row>
        <row r="19524">
          <cell r="D19524" t="str">
            <v>2023</v>
          </cell>
        </row>
        <row r="19525">
          <cell r="D19525" t="str">
            <v>2023</v>
          </cell>
        </row>
        <row r="19526">
          <cell r="D19526" t="str">
            <v>2023</v>
          </cell>
        </row>
        <row r="19527">
          <cell r="D19527" t="str">
            <v>2023</v>
          </cell>
        </row>
        <row r="19528">
          <cell r="D19528" t="str">
            <v>2023</v>
          </cell>
        </row>
        <row r="19529">
          <cell r="D19529" t="str">
            <v>2023</v>
          </cell>
        </row>
        <row r="19530">
          <cell r="D19530" t="str">
            <v>2023</v>
          </cell>
        </row>
        <row r="19531">
          <cell r="D19531" t="str">
            <v>2023</v>
          </cell>
        </row>
        <row r="19532">
          <cell r="D19532" t="str">
            <v>2023</v>
          </cell>
        </row>
        <row r="19533">
          <cell r="D19533" t="str">
            <v>2023</v>
          </cell>
        </row>
        <row r="19534">
          <cell r="D19534" t="str">
            <v>2023</v>
          </cell>
        </row>
        <row r="19535">
          <cell r="D19535" t="str">
            <v>2023</v>
          </cell>
        </row>
        <row r="19536">
          <cell r="D19536" t="str">
            <v>2023</v>
          </cell>
        </row>
        <row r="19537">
          <cell r="D19537" t="str">
            <v>2023</v>
          </cell>
        </row>
        <row r="19538">
          <cell r="D19538" t="str">
            <v>2023</v>
          </cell>
        </row>
        <row r="19539">
          <cell r="D19539" t="str">
            <v>2023</v>
          </cell>
        </row>
        <row r="19540">
          <cell r="D19540" t="str">
            <v>2023</v>
          </cell>
        </row>
        <row r="19541">
          <cell r="D19541" t="str">
            <v>2023</v>
          </cell>
        </row>
        <row r="19542">
          <cell r="D19542" t="str">
            <v>2023</v>
          </cell>
        </row>
        <row r="19543">
          <cell r="D19543" t="str">
            <v>2023</v>
          </cell>
        </row>
        <row r="19544">
          <cell r="D19544" t="str">
            <v>2023</v>
          </cell>
        </row>
        <row r="19545">
          <cell r="D19545" t="str">
            <v>2023</v>
          </cell>
        </row>
        <row r="19546">
          <cell r="D19546" t="str">
            <v>2023</v>
          </cell>
        </row>
        <row r="19547">
          <cell r="D19547" t="str">
            <v>2023</v>
          </cell>
        </row>
        <row r="19548">
          <cell r="D19548" t="str">
            <v>2023</v>
          </cell>
        </row>
        <row r="19549">
          <cell r="D19549" t="str">
            <v>2023</v>
          </cell>
        </row>
        <row r="19550">
          <cell r="D19550" t="str">
            <v>2023</v>
          </cell>
        </row>
        <row r="19551">
          <cell r="D19551" t="str">
            <v>2023</v>
          </cell>
        </row>
        <row r="19552">
          <cell r="D19552" t="str">
            <v>2023</v>
          </cell>
        </row>
        <row r="19553">
          <cell r="D19553" t="str">
            <v>2023</v>
          </cell>
        </row>
        <row r="19554">
          <cell r="D19554" t="str">
            <v>2023</v>
          </cell>
        </row>
        <row r="19555">
          <cell r="D19555" t="str">
            <v>2023</v>
          </cell>
        </row>
        <row r="19556">
          <cell r="D19556" t="str">
            <v>2023</v>
          </cell>
        </row>
        <row r="19557">
          <cell r="D19557" t="str">
            <v>2023</v>
          </cell>
        </row>
        <row r="19558">
          <cell r="D19558" t="str">
            <v>2023</v>
          </cell>
        </row>
        <row r="19559">
          <cell r="D19559" t="str">
            <v>2023</v>
          </cell>
        </row>
        <row r="19560">
          <cell r="D19560" t="str">
            <v>2023</v>
          </cell>
        </row>
        <row r="19561">
          <cell r="D19561" t="str">
            <v>2023</v>
          </cell>
        </row>
        <row r="19562">
          <cell r="D19562" t="str">
            <v>2023</v>
          </cell>
        </row>
        <row r="19563">
          <cell r="D19563" t="str">
            <v>2023</v>
          </cell>
        </row>
        <row r="19564">
          <cell r="D19564" t="str">
            <v>2023</v>
          </cell>
        </row>
        <row r="19565">
          <cell r="D19565" t="str">
            <v>2023</v>
          </cell>
        </row>
        <row r="19566">
          <cell r="D19566" t="str">
            <v>2023</v>
          </cell>
        </row>
        <row r="19567">
          <cell r="D19567" t="str">
            <v>2023</v>
          </cell>
        </row>
        <row r="19568">
          <cell r="D19568" t="str">
            <v>2023</v>
          </cell>
        </row>
        <row r="19569">
          <cell r="D19569" t="str">
            <v>2023</v>
          </cell>
        </row>
        <row r="19570">
          <cell r="D19570" t="str">
            <v>2023</v>
          </cell>
        </row>
        <row r="19571">
          <cell r="D19571" t="str">
            <v>2023</v>
          </cell>
        </row>
        <row r="19572">
          <cell r="D19572" t="str">
            <v>2023</v>
          </cell>
        </row>
        <row r="19573">
          <cell r="D19573" t="str">
            <v>2023</v>
          </cell>
        </row>
        <row r="19574">
          <cell r="D19574" t="str">
            <v>2023</v>
          </cell>
        </row>
        <row r="19575">
          <cell r="D19575" t="str">
            <v>2023</v>
          </cell>
        </row>
        <row r="19576">
          <cell r="D19576" t="str">
            <v>2023</v>
          </cell>
        </row>
        <row r="19577">
          <cell r="D19577" t="str">
            <v>2023</v>
          </cell>
        </row>
        <row r="19578">
          <cell r="D19578" t="str">
            <v>2023</v>
          </cell>
        </row>
        <row r="19579">
          <cell r="D19579" t="str">
            <v>2023</v>
          </cell>
        </row>
        <row r="19580">
          <cell r="D19580" t="str">
            <v>2023</v>
          </cell>
        </row>
        <row r="19581">
          <cell r="D19581" t="str">
            <v>2023</v>
          </cell>
        </row>
        <row r="19582">
          <cell r="D19582" t="str">
            <v>2023</v>
          </cell>
        </row>
        <row r="19583">
          <cell r="D19583" t="str">
            <v>2023</v>
          </cell>
        </row>
        <row r="19584">
          <cell r="D19584" t="str">
            <v>2023</v>
          </cell>
        </row>
        <row r="19585">
          <cell r="D19585" t="str">
            <v>2023</v>
          </cell>
        </row>
        <row r="19586">
          <cell r="D19586" t="str">
            <v>2023</v>
          </cell>
        </row>
        <row r="19587">
          <cell r="D19587" t="str">
            <v>2023</v>
          </cell>
        </row>
        <row r="19588">
          <cell r="D19588" t="str">
            <v>2023</v>
          </cell>
        </row>
        <row r="19589">
          <cell r="D19589" t="str">
            <v>2023</v>
          </cell>
        </row>
        <row r="19590">
          <cell r="D19590" t="str">
            <v>2023</v>
          </cell>
        </row>
        <row r="19591">
          <cell r="D19591" t="str">
            <v>2023</v>
          </cell>
        </row>
        <row r="19592">
          <cell r="D19592" t="str">
            <v>2023</v>
          </cell>
        </row>
        <row r="19593">
          <cell r="D19593" t="str">
            <v>2023</v>
          </cell>
        </row>
        <row r="19594">
          <cell r="D19594" t="str">
            <v>2023</v>
          </cell>
        </row>
        <row r="19595">
          <cell r="D19595" t="str">
            <v>2023</v>
          </cell>
        </row>
        <row r="19596">
          <cell r="D19596" t="str">
            <v>2023</v>
          </cell>
        </row>
        <row r="19597">
          <cell r="D19597" t="str">
            <v>2023</v>
          </cell>
        </row>
        <row r="19598">
          <cell r="D19598" t="str">
            <v>2023</v>
          </cell>
        </row>
        <row r="19599">
          <cell r="D19599" t="str">
            <v>2023</v>
          </cell>
        </row>
        <row r="19600">
          <cell r="D19600" t="str">
            <v>2023</v>
          </cell>
        </row>
        <row r="19601">
          <cell r="D19601" t="str">
            <v>2023</v>
          </cell>
        </row>
        <row r="19602">
          <cell r="D19602" t="str">
            <v>2023</v>
          </cell>
        </row>
        <row r="19603">
          <cell r="D19603" t="str">
            <v>2023</v>
          </cell>
        </row>
        <row r="19604">
          <cell r="D19604" t="str">
            <v>2023</v>
          </cell>
        </row>
        <row r="19605">
          <cell r="D19605" t="str">
            <v>2023</v>
          </cell>
        </row>
        <row r="19606">
          <cell r="D19606" t="str">
            <v>2023</v>
          </cell>
        </row>
        <row r="19607">
          <cell r="D19607" t="str">
            <v>2023</v>
          </cell>
        </row>
        <row r="19608">
          <cell r="D19608" t="str">
            <v>2023</v>
          </cell>
        </row>
        <row r="19609">
          <cell r="D19609" t="str">
            <v>2023</v>
          </cell>
        </row>
        <row r="19610">
          <cell r="D19610" t="str">
            <v>2023</v>
          </cell>
        </row>
        <row r="19611">
          <cell r="D19611" t="str">
            <v>2023</v>
          </cell>
        </row>
        <row r="19612">
          <cell r="D19612" t="str">
            <v>2023</v>
          </cell>
        </row>
        <row r="19613">
          <cell r="D19613" t="str">
            <v>2023</v>
          </cell>
        </row>
        <row r="19614">
          <cell r="D19614" t="str">
            <v>2023</v>
          </cell>
        </row>
        <row r="19615">
          <cell r="D19615" t="str">
            <v>2023</v>
          </cell>
        </row>
        <row r="19616">
          <cell r="D19616" t="str">
            <v>2023</v>
          </cell>
        </row>
        <row r="19617">
          <cell r="D19617" t="str">
            <v>2023</v>
          </cell>
        </row>
        <row r="19618">
          <cell r="D19618" t="str">
            <v>2023</v>
          </cell>
        </row>
        <row r="19619">
          <cell r="D19619" t="str">
            <v>2023</v>
          </cell>
        </row>
        <row r="19620">
          <cell r="D19620" t="str">
            <v>2023</v>
          </cell>
        </row>
        <row r="19621">
          <cell r="D19621" t="str">
            <v>2023</v>
          </cell>
        </row>
        <row r="19622">
          <cell r="D19622" t="str">
            <v>2023</v>
          </cell>
        </row>
        <row r="19623">
          <cell r="D19623" t="str">
            <v>2023</v>
          </cell>
        </row>
        <row r="19624">
          <cell r="D19624" t="str">
            <v>2023</v>
          </cell>
        </row>
        <row r="19625">
          <cell r="D19625" t="str">
            <v>2023</v>
          </cell>
        </row>
        <row r="19626">
          <cell r="D19626" t="str">
            <v>2023</v>
          </cell>
        </row>
        <row r="19627">
          <cell r="D19627" t="str">
            <v>2023</v>
          </cell>
        </row>
        <row r="19628">
          <cell r="D19628" t="str">
            <v>2023</v>
          </cell>
        </row>
        <row r="19629">
          <cell r="D19629" t="str">
            <v>2023</v>
          </cell>
        </row>
        <row r="19630">
          <cell r="D19630" t="str">
            <v>2023</v>
          </cell>
        </row>
        <row r="19631">
          <cell r="D19631" t="str">
            <v>2023</v>
          </cell>
        </row>
        <row r="19632">
          <cell r="D19632" t="str">
            <v>2023</v>
          </cell>
        </row>
        <row r="19633">
          <cell r="D19633" t="str">
            <v>2023</v>
          </cell>
        </row>
        <row r="19634">
          <cell r="D19634" t="str">
            <v>2023</v>
          </cell>
        </row>
        <row r="19635">
          <cell r="D19635" t="str">
            <v>2023</v>
          </cell>
        </row>
        <row r="19636">
          <cell r="D19636" t="str">
            <v>2023</v>
          </cell>
        </row>
        <row r="19637">
          <cell r="D19637" t="str">
            <v>2023</v>
          </cell>
        </row>
        <row r="19638">
          <cell r="D19638" t="str">
            <v>2023</v>
          </cell>
        </row>
        <row r="19639">
          <cell r="D19639" t="str">
            <v>2023</v>
          </cell>
        </row>
        <row r="19640">
          <cell r="D19640" t="str">
            <v>2023</v>
          </cell>
        </row>
        <row r="19641">
          <cell r="D19641" t="str">
            <v>2023</v>
          </cell>
        </row>
        <row r="19642">
          <cell r="D19642" t="str">
            <v>2023</v>
          </cell>
        </row>
        <row r="19643">
          <cell r="D19643" t="str">
            <v>2023</v>
          </cell>
        </row>
        <row r="19644">
          <cell r="D19644" t="str">
            <v>2023</v>
          </cell>
        </row>
        <row r="19645">
          <cell r="D19645" t="str">
            <v>2023</v>
          </cell>
        </row>
        <row r="19646">
          <cell r="D19646" t="str">
            <v>2023</v>
          </cell>
        </row>
        <row r="19647">
          <cell r="D19647" t="str">
            <v>2023</v>
          </cell>
        </row>
        <row r="19648">
          <cell r="D19648" t="str">
            <v>2023</v>
          </cell>
        </row>
        <row r="19649">
          <cell r="D19649" t="str">
            <v>2023</v>
          </cell>
        </row>
        <row r="19650">
          <cell r="D19650" t="str">
            <v>2023</v>
          </cell>
        </row>
        <row r="19651">
          <cell r="D19651" t="str">
            <v>2023</v>
          </cell>
        </row>
        <row r="19652">
          <cell r="D19652" t="str">
            <v>2023</v>
          </cell>
        </row>
        <row r="19653">
          <cell r="D19653" t="str">
            <v>2023</v>
          </cell>
        </row>
        <row r="19654">
          <cell r="D19654" t="str">
            <v>2023</v>
          </cell>
        </row>
        <row r="19655">
          <cell r="D19655" t="str">
            <v>2023</v>
          </cell>
        </row>
        <row r="19656">
          <cell r="D19656" t="str">
            <v>2023</v>
          </cell>
        </row>
        <row r="19657">
          <cell r="D19657" t="str">
            <v>2023</v>
          </cell>
        </row>
        <row r="19658">
          <cell r="D19658" t="str">
            <v>2023</v>
          </cell>
        </row>
        <row r="19659">
          <cell r="D19659" t="str">
            <v>2023</v>
          </cell>
        </row>
        <row r="19660">
          <cell r="D19660" t="str">
            <v>2023</v>
          </cell>
        </row>
        <row r="19661">
          <cell r="D19661" t="str">
            <v>2023</v>
          </cell>
        </row>
        <row r="19662">
          <cell r="D19662" t="str">
            <v>2023</v>
          </cell>
        </row>
        <row r="19663">
          <cell r="D19663" t="str">
            <v>2023</v>
          </cell>
        </row>
        <row r="19664">
          <cell r="D19664" t="str">
            <v>2023</v>
          </cell>
        </row>
        <row r="19665">
          <cell r="D19665" t="str">
            <v>2023</v>
          </cell>
        </row>
        <row r="19666">
          <cell r="D19666" t="str">
            <v>2023</v>
          </cell>
        </row>
        <row r="19667">
          <cell r="D19667" t="str">
            <v>2023</v>
          </cell>
        </row>
        <row r="19668">
          <cell r="D19668" t="str">
            <v>2023</v>
          </cell>
        </row>
        <row r="19669">
          <cell r="D19669" t="str">
            <v>2023</v>
          </cell>
        </row>
        <row r="19670">
          <cell r="D19670" t="str">
            <v>2023</v>
          </cell>
        </row>
        <row r="19671">
          <cell r="D19671" t="str">
            <v>2023</v>
          </cell>
        </row>
        <row r="19672">
          <cell r="D19672" t="str">
            <v>2023</v>
          </cell>
        </row>
        <row r="19673">
          <cell r="D19673" t="str">
            <v>2023</v>
          </cell>
        </row>
        <row r="19674">
          <cell r="D19674" t="str">
            <v>2023</v>
          </cell>
        </row>
        <row r="19675">
          <cell r="D19675" t="str">
            <v>2022</v>
          </cell>
        </row>
        <row r="19676">
          <cell r="D19676" t="str">
            <v>2023</v>
          </cell>
        </row>
        <row r="19677">
          <cell r="D19677" t="str">
            <v>2023</v>
          </cell>
        </row>
        <row r="19678">
          <cell r="D19678" t="str">
            <v>2023</v>
          </cell>
        </row>
        <row r="19679">
          <cell r="D19679" t="str">
            <v>2023</v>
          </cell>
        </row>
        <row r="19680">
          <cell r="D19680" t="str">
            <v>2023</v>
          </cell>
        </row>
        <row r="19681">
          <cell r="D19681" t="str">
            <v>2023</v>
          </cell>
        </row>
        <row r="19682">
          <cell r="D19682" t="str">
            <v>2023</v>
          </cell>
        </row>
        <row r="19683">
          <cell r="D19683" t="str">
            <v>2023</v>
          </cell>
        </row>
        <row r="19684">
          <cell r="D19684" t="str">
            <v>2023</v>
          </cell>
        </row>
        <row r="19685">
          <cell r="D19685" t="str">
            <v>2023</v>
          </cell>
        </row>
        <row r="19686">
          <cell r="D19686" t="str">
            <v>2023</v>
          </cell>
        </row>
        <row r="19687">
          <cell r="D19687" t="str">
            <v>2023</v>
          </cell>
        </row>
        <row r="19688">
          <cell r="D19688" t="str">
            <v>2023</v>
          </cell>
        </row>
        <row r="19689">
          <cell r="D19689" t="str">
            <v>2023</v>
          </cell>
        </row>
        <row r="19690">
          <cell r="D19690" t="str">
            <v>2023</v>
          </cell>
        </row>
        <row r="19691">
          <cell r="D19691" t="str">
            <v>2023</v>
          </cell>
        </row>
        <row r="19692">
          <cell r="D19692" t="str">
            <v>2023</v>
          </cell>
        </row>
        <row r="19693">
          <cell r="D19693" t="str">
            <v>2023</v>
          </cell>
        </row>
        <row r="19694">
          <cell r="D19694" t="str">
            <v>2023</v>
          </cell>
        </row>
        <row r="19695">
          <cell r="D19695" t="str">
            <v>2023</v>
          </cell>
        </row>
        <row r="19696">
          <cell r="D19696" t="str">
            <v>2023</v>
          </cell>
        </row>
        <row r="19697">
          <cell r="D19697" t="str">
            <v>2023</v>
          </cell>
        </row>
        <row r="19698">
          <cell r="D19698" t="str">
            <v>2023</v>
          </cell>
        </row>
        <row r="19699">
          <cell r="D19699" t="str">
            <v>2023</v>
          </cell>
        </row>
        <row r="19700">
          <cell r="D19700" t="str">
            <v>2023</v>
          </cell>
        </row>
        <row r="19701">
          <cell r="D19701" t="str">
            <v>2023</v>
          </cell>
        </row>
        <row r="19702">
          <cell r="D19702" t="str">
            <v>2023</v>
          </cell>
        </row>
        <row r="19703">
          <cell r="D19703" t="str">
            <v>2023</v>
          </cell>
        </row>
        <row r="19704">
          <cell r="D19704" t="str">
            <v>2023</v>
          </cell>
        </row>
        <row r="19705">
          <cell r="D19705" t="str">
            <v>2023</v>
          </cell>
        </row>
        <row r="19706">
          <cell r="D19706" t="str">
            <v>2023</v>
          </cell>
        </row>
        <row r="19707">
          <cell r="D19707" t="str">
            <v>2023</v>
          </cell>
        </row>
        <row r="19708">
          <cell r="D19708" t="str">
            <v>2023</v>
          </cell>
        </row>
        <row r="19709">
          <cell r="D19709" t="str">
            <v>2023</v>
          </cell>
        </row>
        <row r="19710">
          <cell r="D19710" t="str">
            <v>2023</v>
          </cell>
        </row>
        <row r="19711">
          <cell r="D19711" t="str">
            <v>2023</v>
          </cell>
        </row>
        <row r="19712">
          <cell r="D19712" t="str">
            <v>2023</v>
          </cell>
        </row>
        <row r="19713">
          <cell r="D19713" t="str">
            <v>2023</v>
          </cell>
        </row>
        <row r="19714">
          <cell r="D19714" t="str">
            <v>2023</v>
          </cell>
        </row>
        <row r="19715">
          <cell r="D19715" t="str">
            <v>2023</v>
          </cell>
        </row>
        <row r="19716">
          <cell r="D19716" t="str">
            <v>2023</v>
          </cell>
        </row>
        <row r="19717">
          <cell r="D19717" t="str">
            <v>2023</v>
          </cell>
        </row>
        <row r="19718">
          <cell r="D19718" t="str">
            <v>2023</v>
          </cell>
        </row>
        <row r="19719">
          <cell r="D19719" t="str">
            <v>2023</v>
          </cell>
        </row>
        <row r="19720">
          <cell r="D19720" t="str">
            <v>2023</v>
          </cell>
        </row>
        <row r="19721">
          <cell r="D19721" t="str">
            <v>2023</v>
          </cell>
        </row>
        <row r="19722">
          <cell r="D19722" t="str">
            <v>2023</v>
          </cell>
        </row>
        <row r="19723">
          <cell r="D19723" t="str">
            <v>2023</v>
          </cell>
        </row>
        <row r="19724">
          <cell r="D19724" t="str">
            <v>2023</v>
          </cell>
        </row>
        <row r="19725">
          <cell r="D19725" t="str">
            <v>2023</v>
          </cell>
        </row>
        <row r="19726">
          <cell r="D19726" t="str">
            <v>2023</v>
          </cell>
        </row>
        <row r="19727">
          <cell r="D19727" t="str">
            <v>2023</v>
          </cell>
        </row>
        <row r="19728">
          <cell r="D19728" t="str">
            <v>2023</v>
          </cell>
        </row>
        <row r="19729">
          <cell r="D19729" t="str">
            <v>2023</v>
          </cell>
        </row>
        <row r="19730">
          <cell r="D19730" t="str">
            <v>2023</v>
          </cell>
        </row>
        <row r="19731">
          <cell r="D19731" t="str">
            <v>2023</v>
          </cell>
        </row>
        <row r="19732">
          <cell r="D19732" t="str">
            <v>2023</v>
          </cell>
        </row>
        <row r="19733">
          <cell r="D19733" t="str">
            <v>2023</v>
          </cell>
        </row>
        <row r="19734">
          <cell r="D19734" t="str">
            <v>2023</v>
          </cell>
        </row>
        <row r="19735">
          <cell r="D19735" t="str">
            <v>2023</v>
          </cell>
        </row>
        <row r="19736">
          <cell r="D19736" t="str">
            <v>2023</v>
          </cell>
        </row>
        <row r="19737">
          <cell r="D19737" t="str">
            <v>2023</v>
          </cell>
        </row>
        <row r="19738">
          <cell r="D19738" t="str">
            <v>2023</v>
          </cell>
        </row>
        <row r="19739">
          <cell r="D19739" t="str">
            <v>2023</v>
          </cell>
        </row>
        <row r="19740">
          <cell r="D19740" t="str">
            <v>2023</v>
          </cell>
        </row>
        <row r="19741">
          <cell r="D19741" t="str">
            <v>2023</v>
          </cell>
        </row>
        <row r="19742">
          <cell r="D19742" t="str">
            <v>2023</v>
          </cell>
        </row>
        <row r="19743">
          <cell r="D19743" t="str">
            <v>2023</v>
          </cell>
        </row>
        <row r="19744">
          <cell r="D19744" t="str">
            <v>2023</v>
          </cell>
        </row>
        <row r="19745">
          <cell r="D19745" t="str">
            <v>2023</v>
          </cell>
        </row>
        <row r="19746">
          <cell r="D19746" t="str">
            <v>2023</v>
          </cell>
        </row>
        <row r="19747">
          <cell r="D19747" t="str">
            <v>2023</v>
          </cell>
        </row>
        <row r="19748">
          <cell r="D19748" t="str">
            <v>2023</v>
          </cell>
        </row>
        <row r="19749">
          <cell r="D19749" t="str">
            <v>2023</v>
          </cell>
        </row>
        <row r="19750">
          <cell r="D19750" t="str">
            <v>2023</v>
          </cell>
        </row>
        <row r="19751">
          <cell r="D19751" t="str">
            <v>2023</v>
          </cell>
        </row>
        <row r="19752">
          <cell r="D19752" t="str">
            <v>2023</v>
          </cell>
        </row>
        <row r="19753">
          <cell r="D19753" t="str">
            <v>2023</v>
          </cell>
        </row>
        <row r="19754">
          <cell r="D19754" t="str">
            <v>2023</v>
          </cell>
        </row>
        <row r="19755">
          <cell r="D19755" t="str">
            <v>2023</v>
          </cell>
        </row>
        <row r="19756">
          <cell r="D19756" t="str">
            <v>2023</v>
          </cell>
        </row>
        <row r="19757">
          <cell r="D19757" t="str">
            <v>2023</v>
          </cell>
        </row>
        <row r="19758">
          <cell r="D19758" t="str">
            <v>2023</v>
          </cell>
        </row>
        <row r="19759">
          <cell r="D19759" t="str">
            <v>2023</v>
          </cell>
        </row>
        <row r="19760">
          <cell r="D19760" t="str">
            <v>2023</v>
          </cell>
        </row>
        <row r="19761">
          <cell r="D19761" t="str">
            <v>2023</v>
          </cell>
        </row>
        <row r="19762">
          <cell r="D19762" t="str">
            <v>2023</v>
          </cell>
        </row>
        <row r="19763">
          <cell r="D19763" t="str">
            <v>2023</v>
          </cell>
        </row>
        <row r="19764">
          <cell r="D19764" t="str">
            <v>2023</v>
          </cell>
        </row>
        <row r="19765">
          <cell r="D19765" t="str">
            <v>2023</v>
          </cell>
        </row>
        <row r="19766">
          <cell r="D19766" t="str">
            <v>2023</v>
          </cell>
        </row>
        <row r="19767">
          <cell r="D19767" t="str">
            <v>2023</v>
          </cell>
        </row>
        <row r="19768">
          <cell r="D19768" t="str">
            <v>2023</v>
          </cell>
        </row>
        <row r="19769">
          <cell r="D19769" t="str">
            <v>2023</v>
          </cell>
        </row>
        <row r="19770">
          <cell r="D19770" t="str">
            <v>2023</v>
          </cell>
        </row>
        <row r="19771">
          <cell r="D19771" t="str">
            <v>2023</v>
          </cell>
        </row>
        <row r="19772">
          <cell r="D19772" t="str">
            <v>2023</v>
          </cell>
        </row>
        <row r="19773">
          <cell r="D19773" t="str">
            <v>2023</v>
          </cell>
        </row>
        <row r="19774">
          <cell r="D19774" t="str">
            <v>2023</v>
          </cell>
        </row>
        <row r="19775">
          <cell r="D19775" t="str">
            <v>2023</v>
          </cell>
        </row>
        <row r="19776">
          <cell r="D19776" t="str">
            <v>2023</v>
          </cell>
        </row>
        <row r="19777">
          <cell r="D19777" t="str">
            <v>2023</v>
          </cell>
        </row>
        <row r="19778">
          <cell r="D19778" t="str">
            <v>2023</v>
          </cell>
        </row>
        <row r="19779">
          <cell r="D19779" t="str">
            <v>2023</v>
          </cell>
        </row>
        <row r="19780">
          <cell r="D19780" t="str">
            <v>2023</v>
          </cell>
        </row>
        <row r="19781">
          <cell r="D19781" t="str">
            <v>2023</v>
          </cell>
        </row>
        <row r="19782">
          <cell r="D19782" t="str">
            <v>2023</v>
          </cell>
        </row>
        <row r="19783">
          <cell r="D19783" t="str">
            <v>2023</v>
          </cell>
        </row>
        <row r="19784">
          <cell r="D19784" t="str">
            <v>2023</v>
          </cell>
        </row>
        <row r="19785">
          <cell r="D19785" t="str">
            <v>2023</v>
          </cell>
        </row>
        <row r="19786">
          <cell r="D19786" t="str">
            <v>2023</v>
          </cell>
        </row>
        <row r="19787">
          <cell r="D19787" t="str">
            <v>2023</v>
          </cell>
        </row>
        <row r="19788">
          <cell r="D19788" t="str">
            <v>2023</v>
          </cell>
        </row>
        <row r="19789">
          <cell r="D19789" t="str">
            <v>2023</v>
          </cell>
        </row>
        <row r="19790">
          <cell r="D19790" t="str">
            <v>2023</v>
          </cell>
        </row>
        <row r="19791">
          <cell r="D19791" t="str">
            <v>2023</v>
          </cell>
        </row>
        <row r="19792">
          <cell r="D19792" t="str">
            <v>2023</v>
          </cell>
        </row>
        <row r="19793">
          <cell r="D19793" t="str">
            <v>2023</v>
          </cell>
        </row>
        <row r="19794">
          <cell r="D19794" t="str">
            <v>2023</v>
          </cell>
        </row>
        <row r="19795">
          <cell r="D19795" t="str">
            <v>2023</v>
          </cell>
        </row>
        <row r="19796">
          <cell r="D19796" t="str">
            <v>2023</v>
          </cell>
        </row>
        <row r="19797">
          <cell r="D19797" t="str">
            <v>2023</v>
          </cell>
        </row>
        <row r="19798">
          <cell r="D19798" t="str">
            <v>2023</v>
          </cell>
        </row>
        <row r="19799">
          <cell r="D19799" t="str">
            <v>2023</v>
          </cell>
        </row>
        <row r="19800">
          <cell r="D19800" t="str">
            <v>2023</v>
          </cell>
        </row>
        <row r="19801">
          <cell r="D19801" t="str">
            <v>2023</v>
          </cell>
        </row>
        <row r="19802">
          <cell r="D19802" t="str">
            <v>2023</v>
          </cell>
        </row>
        <row r="19803">
          <cell r="D19803" t="str">
            <v>2023</v>
          </cell>
        </row>
        <row r="19804">
          <cell r="D19804" t="str">
            <v>2023</v>
          </cell>
        </row>
        <row r="19805">
          <cell r="D19805" t="str">
            <v>2023</v>
          </cell>
        </row>
        <row r="19806">
          <cell r="D19806" t="str">
            <v>2023</v>
          </cell>
        </row>
        <row r="19807">
          <cell r="D19807" t="str">
            <v>2023</v>
          </cell>
        </row>
        <row r="19808">
          <cell r="D19808" t="str">
            <v>2023</v>
          </cell>
        </row>
        <row r="19809">
          <cell r="D19809" t="str">
            <v>2022</v>
          </cell>
        </row>
        <row r="19810">
          <cell r="D19810" t="str">
            <v>2023</v>
          </cell>
        </row>
        <row r="19811">
          <cell r="D19811" t="str">
            <v>2023</v>
          </cell>
        </row>
        <row r="19812">
          <cell r="D19812" t="str">
            <v>2023</v>
          </cell>
        </row>
        <row r="19813">
          <cell r="D19813" t="str">
            <v>2023</v>
          </cell>
        </row>
        <row r="19814">
          <cell r="D19814" t="str">
            <v>2023</v>
          </cell>
        </row>
        <row r="19815">
          <cell r="D19815" t="str">
            <v>2023</v>
          </cell>
        </row>
        <row r="19816">
          <cell r="D19816" t="str">
            <v>2023</v>
          </cell>
        </row>
        <row r="19817">
          <cell r="D19817" t="str">
            <v>2023</v>
          </cell>
        </row>
        <row r="19818">
          <cell r="D19818" t="str">
            <v>2023</v>
          </cell>
        </row>
        <row r="19819">
          <cell r="D19819" t="str">
            <v>2023</v>
          </cell>
        </row>
        <row r="19820">
          <cell r="D19820" t="str">
            <v>2023</v>
          </cell>
        </row>
        <row r="19821">
          <cell r="D19821" t="str">
            <v>2023</v>
          </cell>
        </row>
        <row r="19822">
          <cell r="D19822" t="str">
            <v>2023</v>
          </cell>
        </row>
        <row r="19823">
          <cell r="D19823" t="str">
            <v>2023</v>
          </cell>
        </row>
        <row r="19824">
          <cell r="D19824" t="str">
            <v>2023</v>
          </cell>
        </row>
        <row r="19825">
          <cell r="D19825" t="str">
            <v>2023</v>
          </cell>
        </row>
        <row r="19826">
          <cell r="D19826" t="str">
            <v>2023</v>
          </cell>
        </row>
        <row r="19827">
          <cell r="D19827" t="str">
            <v>2023</v>
          </cell>
        </row>
        <row r="19828">
          <cell r="D19828" t="str">
            <v>2023</v>
          </cell>
        </row>
        <row r="19829">
          <cell r="D19829" t="str">
            <v>2023</v>
          </cell>
        </row>
        <row r="19830">
          <cell r="D19830" t="str">
            <v>2023</v>
          </cell>
        </row>
        <row r="19831">
          <cell r="D19831" t="str">
            <v>2023</v>
          </cell>
        </row>
        <row r="19832">
          <cell r="D19832" t="str">
            <v>2023</v>
          </cell>
        </row>
        <row r="19833">
          <cell r="D19833" t="str">
            <v>2023</v>
          </cell>
        </row>
        <row r="19834">
          <cell r="D19834" t="str">
            <v>2023</v>
          </cell>
        </row>
        <row r="19835">
          <cell r="D19835" t="str">
            <v>2023</v>
          </cell>
        </row>
        <row r="19836">
          <cell r="D19836" t="str">
            <v>2023</v>
          </cell>
        </row>
        <row r="19837">
          <cell r="D19837" t="str">
            <v>2023</v>
          </cell>
        </row>
        <row r="19838">
          <cell r="D19838" t="str">
            <v>2023</v>
          </cell>
        </row>
        <row r="19839">
          <cell r="D19839" t="str">
            <v>2023</v>
          </cell>
        </row>
        <row r="19840">
          <cell r="D19840" t="str">
            <v>2023</v>
          </cell>
        </row>
        <row r="19841">
          <cell r="D19841" t="str">
            <v>2023</v>
          </cell>
        </row>
        <row r="19842">
          <cell r="D19842" t="str">
            <v>2023</v>
          </cell>
        </row>
        <row r="19843">
          <cell r="D19843" t="str">
            <v>2023</v>
          </cell>
        </row>
        <row r="19844">
          <cell r="D19844" t="str">
            <v>2023</v>
          </cell>
        </row>
        <row r="19845">
          <cell r="D19845" t="str">
            <v>2023</v>
          </cell>
        </row>
        <row r="19846">
          <cell r="D19846" t="str">
            <v>2023</v>
          </cell>
        </row>
        <row r="19847">
          <cell r="D19847" t="str">
            <v>2023</v>
          </cell>
        </row>
        <row r="19848">
          <cell r="D19848" t="str">
            <v>2023</v>
          </cell>
        </row>
        <row r="19849">
          <cell r="D19849" t="str">
            <v>2023</v>
          </cell>
        </row>
        <row r="19850">
          <cell r="D19850" t="str">
            <v>2023</v>
          </cell>
        </row>
        <row r="19851">
          <cell r="D19851" t="str">
            <v>2023</v>
          </cell>
        </row>
        <row r="19852">
          <cell r="D19852" t="str">
            <v>2023</v>
          </cell>
        </row>
        <row r="19853">
          <cell r="D19853" t="str">
            <v>2023</v>
          </cell>
        </row>
        <row r="19854">
          <cell r="D19854" t="str">
            <v>2023</v>
          </cell>
        </row>
        <row r="19855">
          <cell r="D19855" t="str">
            <v>2023</v>
          </cell>
        </row>
        <row r="19856">
          <cell r="D19856" t="str">
            <v>2023</v>
          </cell>
        </row>
        <row r="19857">
          <cell r="D19857" t="str">
            <v>2023</v>
          </cell>
        </row>
        <row r="19858">
          <cell r="D19858" t="str">
            <v>2023</v>
          </cell>
        </row>
        <row r="19859">
          <cell r="D19859" t="str">
            <v>2023</v>
          </cell>
        </row>
        <row r="19860">
          <cell r="D19860" t="str">
            <v>2023</v>
          </cell>
        </row>
        <row r="19861">
          <cell r="D19861" t="str">
            <v>2023</v>
          </cell>
        </row>
        <row r="19862">
          <cell r="D19862" t="str">
            <v>2023</v>
          </cell>
        </row>
        <row r="19863">
          <cell r="D19863" t="str">
            <v>2023</v>
          </cell>
        </row>
        <row r="19864">
          <cell r="D19864" t="str">
            <v>2023</v>
          </cell>
        </row>
        <row r="19865">
          <cell r="D19865" t="str">
            <v>2023</v>
          </cell>
        </row>
        <row r="19866">
          <cell r="D19866" t="str">
            <v>2023</v>
          </cell>
        </row>
        <row r="19867">
          <cell r="D19867" t="str">
            <v>2023</v>
          </cell>
        </row>
        <row r="19868">
          <cell r="D19868" t="str">
            <v>2023</v>
          </cell>
        </row>
        <row r="19869">
          <cell r="D19869" t="str">
            <v>2023</v>
          </cell>
        </row>
        <row r="19870">
          <cell r="D19870" t="str">
            <v>2023</v>
          </cell>
        </row>
        <row r="19871">
          <cell r="D19871" t="str">
            <v>2023</v>
          </cell>
        </row>
        <row r="19872">
          <cell r="D19872" t="str">
            <v>2023</v>
          </cell>
        </row>
        <row r="19873">
          <cell r="D19873" t="str">
            <v>2023</v>
          </cell>
        </row>
        <row r="19874">
          <cell r="D19874" t="str">
            <v>2023</v>
          </cell>
        </row>
        <row r="19875">
          <cell r="D19875" t="str">
            <v>2023</v>
          </cell>
        </row>
        <row r="19876">
          <cell r="D19876" t="str">
            <v>2023</v>
          </cell>
        </row>
        <row r="19877">
          <cell r="D19877" t="str">
            <v>2023</v>
          </cell>
        </row>
        <row r="19878">
          <cell r="D19878" t="str">
            <v>2023</v>
          </cell>
        </row>
        <row r="19879">
          <cell r="D19879" t="str">
            <v>2023</v>
          </cell>
        </row>
        <row r="19880">
          <cell r="D19880" t="str">
            <v>2023</v>
          </cell>
        </row>
        <row r="19881">
          <cell r="D19881" t="str">
            <v>2023</v>
          </cell>
        </row>
        <row r="19882">
          <cell r="D19882" t="str">
            <v>2023</v>
          </cell>
        </row>
        <row r="19883">
          <cell r="D19883" t="str">
            <v>2023</v>
          </cell>
        </row>
        <row r="19884">
          <cell r="D19884" t="str">
            <v>2023</v>
          </cell>
        </row>
        <row r="19885">
          <cell r="D19885" t="str">
            <v>2023</v>
          </cell>
        </row>
        <row r="19886">
          <cell r="D19886" t="str">
            <v>2023</v>
          </cell>
        </row>
        <row r="19887">
          <cell r="D19887" t="str">
            <v>2023</v>
          </cell>
        </row>
        <row r="19888">
          <cell r="D19888" t="str">
            <v>2023</v>
          </cell>
        </row>
        <row r="19889">
          <cell r="D19889" t="str">
            <v>2023</v>
          </cell>
        </row>
        <row r="19890">
          <cell r="D19890" t="str">
            <v>2023</v>
          </cell>
        </row>
        <row r="19891">
          <cell r="D19891" t="str">
            <v>2023</v>
          </cell>
        </row>
        <row r="19892">
          <cell r="D19892" t="str">
            <v>2023</v>
          </cell>
        </row>
        <row r="19893">
          <cell r="D19893" t="str">
            <v>2023</v>
          </cell>
        </row>
        <row r="19894">
          <cell r="D19894" t="str">
            <v>2023</v>
          </cell>
        </row>
        <row r="19895">
          <cell r="D19895" t="str">
            <v>2023</v>
          </cell>
        </row>
        <row r="19896">
          <cell r="D19896" t="str">
            <v>2023</v>
          </cell>
        </row>
        <row r="19897">
          <cell r="D19897" t="str">
            <v>2023</v>
          </cell>
        </row>
        <row r="19898">
          <cell r="D19898" t="str">
            <v>2023</v>
          </cell>
        </row>
        <row r="19899">
          <cell r="D19899" t="str">
            <v>2023</v>
          </cell>
        </row>
        <row r="19900">
          <cell r="D19900" t="str">
            <v>2023</v>
          </cell>
        </row>
        <row r="19901">
          <cell r="D19901" t="str">
            <v>2023</v>
          </cell>
        </row>
        <row r="19902">
          <cell r="D19902" t="str">
            <v>2023</v>
          </cell>
        </row>
        <row r="19903">
          <cell r="D19903" t="str">
            <v>2023</v>
          </cell>
        </row>
        <row r="19904">
          <cell r="D19904" t="str">
            <v>2023</v>
          </cell>
        </row>
        <row r="19905">
          <cell r="D19905" t="str">
            <v>2023</v>
          </cell>
        </row>
        <row r="19906">
          <cell r="D19906" t="str">
            <v>2023</v>
          </cell>
        </row>
        <row r="19907">
          <cell r="D19907" t="str">
            <v>2023</v>
          </cell>
        </row>
        <row r="19908">
          <cell r="D19908" t="str">
            <v>2023</v>
          </cell>
        </row>
        <row r="19909">
          <cell r="D19909" t="str">
            <v>2023</v>
          </cell>
        </row>
        <row r="19910">
          <cell r="D19910" t="str">
            <v>2023</v>
          </cell>
        </row>
        <row r="19911">
          <cell r="D19911" t="str">
            <v>2023</v>
          </cell>
        </row>
        <row r="19912">
          <cell r="D19912" t="str">
            <v>2023</v>
          </cell>
        </row>
        <row r="19913">
          <cell r="D19913" t="str">
            <v>2023</v>
          </cell>
        </row>
        <row r="19914">
          <cell r="D19914" t="str">
            <v>2023</v>
          </cell>
        </row>
        <row r="19915">
          <cell r="D19915" t="str">
            <v>2023</v>
          </cell>
        </row>
        <row r="19916">
          <cell r="D19916" t="str">
            <v>2023</v>
          </cell>
        </row>
        <row r="19917">
          <cell r="D19917" t="str">
            <v>2023</v>
          </cell>
        </row>
        <row r="19918">
          <cell r="D19918" t="str">
            <v>2023</v>
          </cell>
        </row>
        <row r="19919">
          <cell r="D19919" t="str">
            <v>2023</v>
          </cell>
        </row>
        <row r="19920">
          <cell r="D19920" t="str">
            <v>2023</v>
          </cell>
        </row>
        <row r="19921">
          <cell r="D19921" t="str">
            <v>2023</v>
          </cell>
        </row>
        <row r="19922">
          <cell r="D19922" t="str">
            <v>2023</v>
          </cell>
        </row>
        <row r="19923">
          <cell r="D19923" t="str">
            <v>2023</v>
          </cell>
        </row>
        <row r="19924">
          <cell r="D19924" t="str">
            <v>2023</v>
          </cell>
        </row>
        <row r="19925">
          <cell r="D19925" t="str">
            <v>2023</v>
          </cell>
        </row>
        <row r="19926">
          <cell r="D19926" t="str">
            <v>2023</v>
          </cell>
        </row>
        <row r="19927">
          <cell r="D19927" t="str">
            <v>2023</v>
          </cell>
        </row>
        <row r="19928">
          <cell r="D19928" t="str">
            <v>2023</v>
          </cell>
        </row>
        <row r="19929">
          <cell r="D19929" t="str">
            <v>2023</v>
          </cell>
        </row>
        <row r="19930">
          <cell r="D19930" t="str">
            <v>2023</v>
          </cell>
        </row>
        <row r="19931">
          <cell r="D19931" t="str">
            <v>2023</v>
          </cell>
        </row>
        <row r="19932">
          <cell r="D19932" t="str">
            <v>2023</v>
          </cell>
        </row>
        <row r="19933">
          <cell r="D19933" t="str">
            <v>2023</v>
          </cell>
        </row>
        <row r="19934">
          <cell r="D19934" t="str">
            <v>2023</v>
          </cell>
        </row>
        <row r="19935">
          <cell r="D19935" t="str">
            <v>2023</v>
          </cell>
        </row>
        <row r="19936">
          <cell r="D19936" t="str">
            <v>2023</v>
          </cell>
        </row>
        <row r="19937">
          <cell r="D19937" t="str">
            <v>2023</v>
          </cell>
        </row>
        <row r="19938">
          <cell r="D19938" t="str">
            <v>2023</v>
          </cell>
        </row>
        <row r="19939">
          <cell r="D19939" t="str">
            <v>2023</v>
          </cell>
        </row>
        <row r="19940">
          <cell r="D19940" t="str">
            <v>2023</v>
          </cell>
        </row>
        <row r="19941">
          <cell r="D19941" t="str">
            <v>2023</v>
          </cell>
        </row>
        <row r="19942">
          <cell r="D19942" t="str">
            <v>2023</v>
          </cell>
        </row>
        <row r="19943">
          <cell r="D19943" t="str">
            <v>2023</v>
          </cell>
        </row>
        <row r="19944">
          <cell r="D19944" t="str">
            <v>2023</v>
          </cell>
        </row>
        <row r="19945">
          <cell r="D19945" t="str">
            <v>2023</v>
          </cell>
        </row>
        <row r="19946">
          <cell r="D19946" t="str">
            <v>2023</v>
          </cell>
        </row>
        <row r="19947">
          <cell r="D19947" t="str">
            <v>2023</v>
          </cell>
        </row>
        <row r="19948">
          <cell r="D19948" t="str">
            <v>2023</v>
          </cell>
        </row>
        <row r="19949">
          <cell r="D19949" t="str">
            <v>2023</v>
          </cell>
        </row>
        <row r="19950">
          <cell r="D19950" t="str">
            <v>2023</v>
          </cell>
        </row>
        <row r="19951">
          <cell r="D19951" t="str">
            <v>2023</v>
          </cell>
        </row>
        <row r="19952">
          <cell r="D19952" t="str">
            <v>2023</v>
          </cell>
        </row>
        <row r="19953">
          <cell r="D19953" t="str">
            <v>2023</v>
          </cell>
        </row>
        <row r="19954">
          <cell r="D19954" t="str">
            <v>2023</v>
          </cell>
        </row>
        <row r="19955">
          <cell r="D19955" t="str">
            <v>2023</v>
          </cell>
        </row>
        <row r="19956">
          <cell r="D19956" t="str">
            <v>2023</v>
          </cell>
        </row>
        <row r="19957">
          <cell r="D19957" t="str">
            <v>2023</v>
          </cell>
        </row>
        <row r="19958">
          <cell r="D19958" t="str">
            <v>2023</v>
          </cell>
        </row>
        <row r="19959">
          <cell r="D19959" t="str">
            <v>2023</v>
          </cell>
        </row>
        <row r="19960">
          <cell r="D19960" t="str">
            <v>2023</v>
          </cell>
        </row>
        <row r="19961">
          <cell r="D19961" t="str">
            <v>2023</v>
          </cell>
        </row>
        <row r="19962">
          <cell r="D19962" t="str">
            <v>2023</v>
          </cell>
        </row>
        <row r="19963">
          <cell r="D19963" t="str">
            <v>2023</v>
          </cell>
        </row>
        <row r="19964">
          <cell r="D19964" t="str">
            <v>2023</v>
          </cell>
        </row>
        <row r="19965">
          <cell r="D19965" t="str">
            <v>2023</v>
          </cell>
        </row>
        <row r="19966">
          <cell r="D19966" t="str">
            <v>2023</v>
          </cell>
        </row>
        <row r="19967">
          <cell r="D19967" t="str">
            <v>2023</v>
          </cell>
        </row>
        <row r="19968">
          <cell r="D19968" t="str">
            <v>2023</v>
          </cell>
        </row>
        <row r="19969">
          <cell r="D19969" t="str">
            <v>2023</v>
          </cell>
        </row>
        <row r="19970">
          <cell r="D19970" t="str">
            <v>2023</v>
          </cell>
        </row>
        <row r="19971">
          <cell r="D19971" t="str">
            <v>2023</v>
          </cell>
        </row>
        <row r="19972">
          <cell r="D19972" t="str">
            <v>2023</v>
          </cell>
        </row>
        <row r="19973">
          <cell r="D19973" t="str">
            <v>2023</v>
          </cell>
        </row>
        <row r="19974">
          <cell r="D19974" t="str">
            <v>2023</v>
          </cell>
        </row>
        <row r="19975">
          <cell r="D19975" t="str">
            <v>2023</v>
          </cell>
        </row>
        <row r="19976">
          <cell r="D19976" t="str">
            <v>2023</v>
          </cell>
        </row>
        <row r="19977">
          <cell r="D19977" t="str">
            <v>2023</v>
          </cell>
        </row>
        <row r="19978">
          <cell r="D19978" t="str">
            <v>2023</v>
          </cell>
        </row>
        <row r="19979">
          <cell r="D19979" t="str">
            <v>2023</v>
          </cell>
        </row>
        <row r="19980">
          <cell r="D19980" t="str">
            <v>2023</v>
          </cell>
        </row>
        <row r="19981">
          <cell r="D19981" t="str">
            <v>2023</v>
          </cell>
        </row>
        <row r="19982">
          <cell r="D19982" t="str">
            <v>2023</v>
          </cell>
        </row>
        <row r="19983">
          <cell r="D19983" t="str">
            <v>2023</v>
          </cell>
        </row>
        <row r="19984">
          <cell r="D19984" t="str">
            <v>2023</v>
          </cell>
        </row>
        <row r="19985">
          <cell r="D19985" t="str">
            <v>2023</v>
          </cell>
        </row>
        <row r="19986">
          <cell r="D19986" t="str">
            <v>2023</v>
          </cell>
        </row>
        <row r="19987">
          <cell r="D19987" t="str">
            <v>2023</v>
          </cell>
        </row>
        <row r="19988">
          <cell r="D19988" t="str">
            <v>2023</v>
          </cell>
        </row>
        <row r="19989">
          <cell r="D19989" t="str">
            <v>2023</v>
          </cell>
        </row>
        <row r="19990">
          <cell r="D19990" t="str">
            <v>2023</v>
          </cell>
        </row>
        <row r="19991">
          <cell r="D19991" t="str">
            <v>2023</v>
          </cell>
        </row>
        <row r="19992">
          <cell r="D19992" t="str">
            <v>2023</v>
          </cell>
        </row>
        <row r="19993">
          <cell r="D19993" t="str">
            <v>2023</v>
          </cell>
        </row>
        <row r="19994">
          <cell r="D19994" t="str">
            <v>2023</v>
          </cell>
        </row>
        <row r="19995">
          <cell r="D19995" t="str">
            <v>2023</v>
          </cell>
        </row>
        <row r="19996">
          <cell r="D19996" t="str">
            <v>2023</v>
          </cell>
        </row>
        <row r="19997">
          <cell r="D19997" t="str">
            <v>2023</v>
          </cell>
        </row>
        <row r="19998">
          <cell r="D19998" t="str">
            <v>2023</v>
          </cell>
        </row>
        <row r="19999">
          <cell r="D19999" t="str">
            <v>2023</v>
          </cell>
        </row>
        <row r="20000">
          <cell r="D20000" t="str">
            <v>2023</v>
          </cell>
        </row>
        <row r="20001">
          <cell r="D20001" t="str">
            <v>2023</v>
          </cell>
        </row>
        <row r="20002">
          <cell r="D20002" t="str">
            <v>2023</v>
          </cell>
        </row>
        <row r="20003">
          <cell r="D20003" t="str">
            <v>2023</v>
          </cell>
        </row>
        <row r="20004">
          <cell r="D20004" t="str">
            <v>2023</v>
          </cell>
        </row>
        <row r="20005">
          <cell r="D20005" t="str">
            <v>2023</v>
          </cell>
        </row>
        <row r="20006">
          <cell r="D20006" t="str">
            <v>2023</v>
          </cell>
        </row>
        <row r="20007">
          <cell r="D20007" t="str">
            <v>2023</v>
          </cell>
        </row>
        <row r="20008">
          <cell r="D20008" t="str">
            <v>2023</v>
          </cell>
        </row>
        <row r="20009">
          <cell r="D20009" t="str">
            <v>2023</v>
          </cell>
        </row>
        <row r="20010">
          <cell r="D20010" t="str">
            <v>2023</v>
          </cell>
        </row>
        <row r="20011">
          <cell r="D20011" t="str">
            <v>2023</v>
          </cell>
        </row>
        <row r="20012">
          <cell r="D20012" t="str">
            <v>2023</v>
          </cell>
        </row>
        <row r="20013">
          <cell r="D20013" t="str">
            <v>2023</v>
          </cell>
        </row>
        <row r="20014">
          <cell r="D20014" t="str">
            <v>2023</v>
          </cell>
        </row>
        <row r="20015">
          <cell r="D20015" t="str">
            <v>2023</v>
          </cell>
        </row>
        <row r="20016">
          <cell r="D20016" t="str">
            <v>2023</v>
          </cell>
        </row>
        <row r="20017">
          <cell r="D20017" t="str">
            <v>2023</v>
          </cell>
        </row>
        <row r="20018">
          <cell r="D20018" t="str">
            <v>2023</v>
          </cell>
        </row>
        <row r="20019">
          <cell r="D20019" t="str">
            <v>2023</v>
          </cell>
        </row>
        <row r="20020">
          <cell r="D20020" t="str">
            <v>2023</v>
          </cell>
        </row>
        <row r="20021">
          <cell r="D20021" t="str">
            <v>2023</v>
          </cell>
        </row>
        <row r="20022">
          <cell r="D20022" t="str">
            <v>2023</v>
          </cell>
        </row>
        <row r="20023">
          <cell r="D20023" t="str">
            <v>2023</v>
          </cell>
        </row>
        <row r="20024">
          <cell r="D20024" t="str">
            <v>2023</v>
          </cell>
        </row>
        <row r="20025">
          <cell r="D20025" t="str">
            <v>2023</v>
          </cell>
        </row>
        <row r="20026">
          <cell r="D20026" t="str">
            <v>2023</v>
          </cell>
        </row>
        <row r="20027">
          <cell r="D20027" t="str">
            <v>2023</v>
          </cell>
        </row>
        <row r="20028">
          <cell r="D20028" t="str">
            <v>2023</v>
          </cell>
        </row>
        <row r="20029">
          <cell r="D20029" t="str">
            <v>2023</v>
          </cell>
        </row>
        <row r="20030">
          <cell r="D20030" t="str">
            <v>2023</v>
          </cell>
        </row>
        <row r="20031">
          <cell r="D20031" t="str">
            <v>2023</v>
          </cell>
        </row>
        <row r="20032">
          <cell r="D20032" t="str">
            <v>2023</v>
          </cell>
        </row>
        <row r="20033">
          <cell r="D20033" t="str">
            <v>2023</v>
          </cell>
        </row>
        <row r="20034">
          <cell r="D20034" t="str">
            <v>2023</v>
          </cell>
        </row>
        <row r="20035">
          <cell r="D20035" t="str">
            <v>2023</v>
          </cell>
        </row>
        <row r="20036">
          <cell r="D20036" t="str">
            <v>2023</v>
          </cell>
        </row>
        <row r="20037">
          <cell r="D20037" t="str">
            <v>2023</v>
          </cell>
        </row>
        <row r="20038">
          <cell r="D20038" t="str">
            <v>2023</v>
          </cell>
        </row>
        <row r="20039">
          <cell r="D20039" t="str">
            <v>2023</v>
          </cell>
        </row>
        <row r="20040">
          <cell r="D20040" t="str">
            <v>2023</v>
          </cell>
        </row>
        <row r="20041">
          <cell r="D20041" t="str">
            <v>2023</v>
          </cell>
        </row>
        <row r="20042">
          <cell r="D20042" t="str">
            <v>2023</v>
          </cell>
        </row>
        <row r="20043">
          <cell r="D20043" t="str">
            <v>2023</v>
          </cell>
        </row>
        <row r="20044">
          <cell r="D20044" t="str">
            <v>2023</v>
          </cell>
        </row>
        <row r="20045">
          <cell r="D20045" t="str">
            <v>2023</v>
          </cell>
        </row>
        <row r="20046">
          <cell r="D20046" t="str">
            <v>2023</v>
          </cell>
        </row>
        <row r="20047">
          <cell r="D20047" t="str">
            <v>2023</v>
          </cell>
        </row>
        <row r="20048">
          <cell r="D20048" t="str">
            <v>2023</v>
          </cell>
        </row>
        <row r="20049">
          <cell r="D20049" t="str">
            <v>2023</v>
          </cell>
        </row>
        <row r="20050">
          <cell r="D20050" t="str">
            <v>2023</v>
          </cell>
        </row>
        <row r="20051">
          <cell r="D20051" t="str">
            <v>2023</v>
          </cell>
        </row>
        <row r="20052">
          <cell r="D20052" t="str">
            <v>2023</v>
          </cell>
        </row>
        <row r="20053">
          <cell r="D20053" t="str">
            <v>2023</v>
          </cell>
        </row>
        <row r="20054">
          <cell r="D20054" t="str">
            <v>2023</v>
          </cell>
        </row>
        <row r="20055">
          <cell r="D20055" t="str">
            <v>2023</v>
          </cell>
        </row>
        <row r="20056">
          <cell r="D20056" t="str">
            <v>2023</v>
          </cell>
        </row>
        <row r="20057">
          <cell r="D20057" t="str">
            <v>2023</v>
          </cell>
        </row>
        <row r="20058">
          <cell r="D20058" t="str">
            <v>2023</v>
          </cell>
        </row>
        <row r="20059">
          <cell r="D20059" t="str">
            <v>2023</v>
          </cell>
        </row>
        <row r="20060">
          <cell r="D20060" t="str">
            <v>2023</v>
          </cell>
        </row>
        <row r="20061">
          <cell r="D20061" t="str">
            <v>2023</v>
          </cell>
        </row>
        <row r="20062">
          <cell r="D20062" t="str">
            <v>2023</v>
          </cell>
        </row>
        <row r="20063">
          <cell r="D20063" t="str">
            <v>2023</v>
          </cell>
        </row>
        <row r="20064">
          <cell r="D20064" t="str">
            <v>2023</v>
          </cell>
        </row>
        <row r="20065">
          <cell r="D20065" t="str">
            <v>2023</v>
          </cell>
        </row>
        <row r="20066">
          <cell r="D20066" t="str">
            <v>2023</v>
          </cell>
        </row>
        <row r="20067">
          <cell r="D20067" t="str">
            <v>2023</v>
          </cell>
        </row>
        <row r="20068">
          <cell r="D20068" t="str">
            <v>2023</v>
          </cell>
        </row>
        <row r="20069">
          <cell r="D20069" t="str">
            <v>2023</v>
          </cell>
        </row>
        <row r="20070">
          <cell r="D20070" t="str">
            <v>2023</v>
          </cell>
        </row>
        <row r="20071">
          <cell r="D20071" t="str">
            <v>2023</v>
          </cell>
        </row>
        <row r="20072">
          <cell r="D20072" t="str">
            <v>2023</v>
          </cell>
        </row>
        <row r="20073">
          <cell r="D20073" t="str">
            <v>2023</v>
          </cell>
        </row>
        <row r="20074">
          <cell r="D20074" t="str">
            <v>2023</v>
          </cell>
        </row>
        <row r="20075">
          <cell r="D20075" t="str">
            <v>2023</v>
          </cell>
        </row>
        <row r="20076">
          <cell r="D20076" t="str">
            <v>2023</v>
          </cell>
        </row>
        <row r="20077">
          <cell r="D20077" t="str">
            <v>2023</v>
          </cell>
        </row>
        <row r="20078">
          <cell r="D20078" t="str">
            <v>2023</v>
          </cell>
        </row>
        <row r="20079">
          <cell r="D20079" t="str">
            <v>2023</v>
          </cell>
        </row>
        <row r="20080">
          <cell r="D20080" t="str">
            <v>2023</v>
          </cell>
        </row>
        <row r="20081">
          <cell r="D20081" t="str">
            <v>2023</v>
          </cell>
        </row>
        <row r="20082">
          <cell r="D20082" t="str">
            <v>2023</v>
          </cell>
        </row>
        <row r="20083">
          <cell r="D20083" t="str">
            <v>2023</v>
          </cell>
        </row>
        <row r="20084">
          <cell r="D20084" t="str">
            <v>2023</v>
          </cell>
        </row>
        <row r="20085">
          <cell r="D20085" t="str">
            <v>2023</v>
          </cell>
        </row>
        <row r="20086">
          <cell r="D20086" t="str">
            <v>2023</v>
          </cell>
        </row>
        <row r="20087">
          <cell r="D20087" t="str">
            <v>2023</v>
          </cell>
        </row>
        <row r="20088">
          <cell r="D20088" t="str">
            <v>2023</v>
          </cell>
        </row>
        <row r="20089">
          <cell r="D20089" t="str">
            <v>2023</v>
          </cell>
        </row>
        <row r="20090">
          <cell r="D20090" t="str">
            <v>2023</v>
          </cell>
        </row>
        <row r="20091">
          <cell r="D20091" t="str">
            <v>2023</v>
          </cell>
        </row>
        <row r="20092">
          <cell r="D20092" t="str">
            <v>2023</v>
          </cell>
        </row>
        <row r="20093">
          <cell r="D20093" t="str">
            <v>2023</v>
          </cell>
        </row>
        <row r="20094">
          <cell r="D20094" t="str">
            <v>2023</v>
          </cell>
        </row>
        <row r="20095">
          <cell r="D20095" t="str">
            <v>2023</v>
          </cell>
        </row>
        <row r="20096">
          <cell r="D20096" t="str">
            <v>2023</v>
          </cell>
        </row>
        <row r="20097">
          <cell r="D20097" t="str">
            <v>2023</v>
          </cell>
        </row>
        <row r="20098">
          <cell r="D20098" t="str">
            <v>2023</v>
          </cell>
        </row>
        <row r="20099">
          <cell r="D20099" t="str">
            <v>2023</v>
          </cell>
        </row>
        <row r="20100">
          <cell r="D20100" t="str">
            <v>2023</v>
          </cell>
        </row>
        <row r="20101">
          <cell r="D20101" t="str">
            <v>2023</v>
          </cell>
        </row>
        <row r="20102">
          <cell r="D20102" t="str">
            <v>2023</v>
          </cell>
        </row>
        <row r="20103">
          <cell r="D20103" t="str">
            <v>2023</v>
          </cell>
        </row>
        <row r="20104">
          <cell r="D20104" t="str">
            <v>2023</v>
          </cell>
        </row>
        <row r="20105">
          <cell r="D20105" t="str">
            <v>2023</v>
          </cell>
        </row>
        <row r="20106">
          <cell r="D20106" t="str">
            <v>2023</v>
          </cell>
        </row>
        <row r="20107">
          <cell r="D20107" t="str">
            <v>2023</v>
          </cell>
        </row>
        <row r="20108">
          <cell r="D20108" t="str">
            <v>2023</v>
          </cell>
        </row>
        <row r="20109">
          <cell r="D20109" t="str">
            <v>2023</v>
          </cell>
        </row>
        <row r="20110">
          <cell r="D20110" t="str">
            <v>2023</v>
          </cell>
        </row>
        <row r="20111">
          <cell r="D20111" t="str">
            <v>2023</v>
          </cell>
        </row>
        <row r="20112">
          <cell r="D20112" t="str">
            <v>2023</v>
          </cell>
        </row>
        <row r="20113">
          <cell r="D20113" t="str">
            <v>2023</v>
          </cell>
        </row>
        <row r="20114">
          <cell r="D20114" t="str">
            <v>2023</v>
          </cell>
        </row>
        <row r="20115">
          <cell r="D20115" t="str">
            <v>2023</v>
          </cell>
        </row>
        <row r="20116">
          <cell r="D20116" t="str">
            <v>2023</v>
          </cell>
        </row>
        <row r="20117">
          <cell r="D20117" t="str">
            <v>2023</v>
          </cell>
        </row>
        <row r="20118">
          <cell r="D20118" t="str">
            <v>2023</v>
          </cell>
        </row>
        <row r="20119">
          <cell r="D20119" t="str">
            <v>2023</v>
          </cell>
        </row>
        <row r="20120">
          <cell r="D20120" t="str">
            <v>2023</v>
          </cell>
        </row>
        <row r="20121">
          <cell r="D20121" t="str">
            <v>2023</v>
          </cell>
        </row>
        <row r="20122">
          <cell r="D20122" t="str">
            <v>2023</v>
          </cell>
        </row>
        <row r="20123">
          <cell r="D20123" t="str">
            <v>2023</v>
          </cell>
        </row>
        <row r="20124">
          <cell r="D20124" t="str">
            <v>2023</v>
          </cell>
        </row>
        <row r="20125">
          <cell r="D20125" t="str">
            <v>2023</v>
          </cell>
        </row>
        <row r="20126">
          <cell r="D20126" t="str">
            <v>2023</v>
          </cell>
        </row>
        <row r="20127">
          <cell r="D20127" t="str">
            <v>2023</v>
          </cell>
        </row>
        <row r="20128">
          <cell r="D20128" t="str">
            <v>2023</v>
          </cell>
        </row>
        <row r="20129">
          <cell r="D20129" t="str">
            <v>2023</v>
          </cell>
        </row>
        <row r="20130">
          <cell r="D20130" t="str">
            <v>2023</v>
          </cell>
        </row>
        <row r="20131">
          <cell r="D20131" t="str">
            <v>2023</v>
          </cell>
        </row>
        <row r="20132">
          <cell r="D20132" t="str">
            <v>2023</v>
          </cell>
        </row>
        <row r="20133">
          <cell r="D20133" t="str">
            <v>2023</v>
          </cell>
        </row>
        <row r="20134">
          <cell r="D20134" t="str">
            <v>2023</v>
          </cell>
        </row>
        <row r="20135">
          <cell r="D20135" t="str">
            <v>2023</v>
          </cell>
        </row>
        <row r="20136">
          <cell r="D20136" t="str">
            <v>2023</v>
          </cell>
        </row>
        <row r="20137">
          <cell r="D20137" t="str">
            <v>2023</v>
          </cell>
        </row>
        <row r="20138">
          <cell r="D20138" t="str">
            <v>2023</v>
          </cell>
        </row>
        <row r="20139">
          <cell r="D20139" t="str">
            <v>2023</v>
          </cell>
        </row>
        <row r="20140">
          <cell r="D20140" t="str">
            <v>2023</v>
          </cell>
        </row>
        <row r="20141">
          <cell r="D20141" t="str">
            <v>2023</v>
          </cell>
        </row>
        <row r="20142">
          <cell r="D20142" t="str">
            <v>2023</v>
          </cell>
        </row>
        <row r="20143">
          <cell r="D20143" t="str">
            <v>2023</v>
          </cell>
        </row>
        <row r="20144">
          <cell r="D20144" t="str">
            <v>2023</v>
          </cell>
        </row>
        <row r="20145">
          <cell r="D20145" t="str">
            <v>2023</v>
          </cell>
        </row>
        <row r="20146">
          <cell r="D20146" t="str">
            <v>2023</v>
          </cell>
        </row>
        <row r="20147">
          <cell r="D20147" t="str">
            <v>2023</v>
          </cell>
        </row>
        <row r="20148">
          <cell r="D20148" t="str">
            <v>2023</v>
          </cell>
        </row>
        <row r="20149">
          <cell r="D20149" t="str">
            <v>2023</v>
          </cell>
        </row>
        <row r="20150">
          <cell r="D20150" t="str">
            <v>2023</v>
          </cell>
        </row>
        <row r="20151">
          <cell r="D20151" t="str">
            <v>2023</v>
          </cell>
        </row>
        <row r="20152">
          <cell r="D20152" t="str">
            <v>2023</v>
          </cell>
        </row>
        <row r="20153">
          <cell r="D20153" t="str">
            <v>2023</v>
          </cell>
        </row>
        <row r="20154">
          <cell r="D20154" t="str">
            <v>2023</v>
          </cell>
        </row>
        <row r="20155">
          <cell r="D20155" t="str">
            <v>2023</v>
          </cell>
        </row>
        <row r="20156">
          <cell r="D20156" t="str">
            <v>2023</v>
          </cell>
        </row>
        <row r="20157">
          <cell r="D20157" t="str">
            <v>2023</v>
          </cell>
        </row>
        <row r="20158">
          <cell r="D20158" t="str">
            <v>2023</v>
          </cell>
        </row>
        <row r="20159">
          <cell r="D20159" t="str">
            <v>2023</v>
          </cell>
        </row>
        <row r="20160">
          <cell r="D20160" t="str">
            <v>2023</v>
          </cell>
        </row>
        <row r="20161">
          <cell r="D20161" t="str">
            <v>2023</v>
          </cell>
        </row>
        <row r="20162">
          <cell r="D20162" t="str">
            <v>2023</v>
          </cell>
        </row>
        <row r="20163">
          <cell r="D20163" t="str">
            <v>2023</v>
          </cell>
        </row>
        <row r="20164">
          <cell r="D20164" t="str">
            <v>2023</v>
          </cell>
        </row>
        <row r="20165">
          <cell r="D20165" t="str">
            <v>2023</v>
          </cell>
        </row>
        <row r="20166">
          <cell r="D20166" t="str">
            <v>2023</v>
          </cell>
        </row>
        <row r="20167">
          <cell r="D20167" t="str">
            <v>2023</v>
          </cell>
        </row>
        <row r="20168">
          <cell r="D20168" t="str">
            <v>2023</v>
          </cell>
        </row>
        <row r="20169">
          <cell r="D20169" t="str">
            <v>2023</v>
          </cell>
        </row>
        <row r="20170">
          <cell r="D20170" t="str">
            <v>2023</v>
          </cell>
        </row>
        <row r="20171">
          <cell r="D20171" t="str">
            <v>2023</v>
          </cell>
        </row>
        <row r="20172">
          <cell r="D20172" t="str">
            <v>2023</v>
          </cell>
        </row>
        <row r="20173">
          <cell r="D20173" t="str">
            <v>2023</v>
          </cell>
        </row>
        <row r="20174">
          <cell r="D20174" t="str">
            <v>2023</v>
          </cell>
        </row>
        <row r="20175">
          <cell r="D20175" t="str">
            <v>2023</v>
          </cell>
        </row>
        <row r="20176">
          <cell r="D20176" t="str">
            <v>2023</v>
          </cell>
        </row>
        <row r="20177">
          <cell r="D20177" t="str">
            <v>2023</v>
          </cell>
        </row>
        <row r="20178">
          <cell r="D20178" t="str">
            <v>2023</v>
          </cell>
        </row>
        <row r="20179">
          <cell r="D20179" t="str">
            <v>2023</v>
          </cell>
        </row>
        <row r="20180">
          <cell r="D20180" t="str">
            <v>2023</v>
          </cell>
        </row>
        <row r="20181">
          <cell r="D20181" t="str">
            <v>2023</v>
          </cell>
        </row>
        <row r="20182">
          <cell r="D20182" t="str">
            <v>2023</v>
          </cell>
        </row>
        <row r="20183">
          <cell r="D20183" t="str">
            <v>2023</v>
          </cell>
        </row>
        <row r="20184">
          <cell r="D20184" t="str">
            <v>2023</v>
          </cell>
        </row>
        <row r="20185">
          <cell r="D20185" t="str">
            <v>2023</v>
          </cell>
        </row>
        <row r="20186">
          <cell r="D20186" t="str">
            <v>2023</v>
          </cell>
        </row>
        <row r="20187">
          <cell r="D20187" t="str">
            <v>2023</v>
          </cell>
        </row>
        <row r="20188">
          <cell r="D20188" t="str">
            <v>2023</v>
          </cell>
        </row>
        <row r="20189">
          <cell r="D20189" t="str">
            <v>2023</v>
          </cell>
        </row>
        <row r="20190">
          <cell r="D20190" t="str">
            <v>2023</v>
          </cell>
        </row>
        <row r="20191">
          <cell r="D20191" t="str">
            <v>2023</v>
          </cell>
        </row>
        <row r="20192">
          <cell r="D20192" t="str">
            <v>2023</v>
          </cell>
        </row>
        <row r="20193">
          <cell r="D20193" t="str">
            <v>2023</v>
          </cell>
        </row>
        <row r="20194">
          <cell r="D20194" t="str">
            <v>2023</v>
          </cell>
        </row>
        <row r="20195">
          <cell r="D20195" t="str">
            <v>2023</v>
          </cell>
        </row>
        <row r="20196">
          <cell r="D20196" t="str">
            <v>2023</v>
          </cell>
        </row>
        <row r="20197">
          <cell r="D20197" t="str">
            <v>2023</v>
          </cell>
        </row>
        <row r="20198">
          <cell r="D20198" t="str">
            <v>2023</v>
          </cell>
        </row>
        <row r="20199">
          <cell r="D20199" t="str">
            <v>2023</v>
          </cell>
        </row>
        <row r="20200">
          <cell r="D20200" t="str">
            <v>2023</v>
          </cell>
        </row>
        <row r="20201">
          <cell r="D20201" t="str">
            <v>2023</v>
          </cell>
        </row>
        <row r="20202">
          <cell r="D20202" t="str">
            <v>2023</v>
          </cell>
        </row>
        <row r="20203">
          <cell r="D20203" t="str">
            <v>2023</v>
          </cell>
        </row>
        <row r="20204">
          <cell r="D20204" t="str">
            <v>2023</v>
          </cell>
        </row>
        <row r="20205">
          <cell r="D20205" t="str">
            <v>2023</v>
          </cell>
        </row>
        <row r="20206">
          <cell r="D20206" t="str">
            <v>2023</v>
          </cell>
        </row>
        <row r="20207">
          <cell r="D20207" t="str">
            <v>2023</v>
          </cell>
        </row>
        <row r="20208">
          <cell r="D20208" t="str">
            <v>2023</v>
          </cell>
        </row>
        <row r="20209">
          <cell r="D20209" t="str">
            <v>2023</v>
          </cell>
        </row>
        <row r="20210">
          <cell r="D20210" t="str">
            <v>2023</v>
          </cell>
        </row>
        <row r="20211">
          <cell r="D20211" t="str">
            <v>2023</v>
          </cell>
        </row>
        <row r="20212">
          <cell r="D20212" t="str">
            <v>2023</v>
          </cell>
        </row>
        <row r="20213">
          <cell r="D20213" t="str">
            <v>2023</v>
          </cell>
        </row>
        <row r="20214">
          <cell r="D20214" t="str">
            <v>2023</v>
          </cell>
        </row>
        <row r="20215">
          <cell r="D20215" t="str">
            <v>2023</v>
          </cell>
        </row>
        <row r="20216">
          <cell r="D20216" t="str">
            <v>2023</v>
          </cell>
        </row>
        <row r="20217">
          <cell r="D20217" t="str">
            <v>2023</v>
          </cell>
        </row>
        <row r="20218">
          <cell r="D20218" t="str">
            <v>2023</v>
          </cell>
        </row>
        <row r="20219">
          <cell r="D20219" t="str">
            <v>2023</v>
          </cell>
        </row>
        <row r="20220">
          <cell r="D20220" t="str">
            <v>2023</v>
          </cell>
        </row>
        <row r="20221">
          <cell r="D20221" t="str">
            <v>2023</v>
          </cell>
        </row>
        <row r="20222">
          <cell r="D20222" t="str">
            <v>2023</v>
          </cell>
        </row>
        <row r="20223">
          <cell r="D20223" t="str">
            <v>2023</v>
          </cell>
        </row>
        <row r="20224">
          <cell r="D20224" t="str">
            <v>2023</v>
          </cell>
        </row>
        <row r="20225">
          <cell r="D20225" t="str">
            <v>2023</v>
          </cell>
        </row>
        <row r="20226">
          <cell r="D20226" t="str">
            <v>2023</v>
          </cell>
        </row>
        <row r="20227">
          <cell r="D20227" t="str">
            <v>2023</v>
          </cell>
        </row>
        <row r="20228">
          <cell r="D20228" t="str">
            <v>2023</v>
          </cell>
        </row>
        <row r="20229">
          <cell r="D20229" t="str">
            <v>2023</v>
          </cell>
        </row>
        <row r="20230">
          <cell r="D20230" t="str">
            <v>2023</v>
          </cell>
        </row>
        <row r="20231">
          <cell r="D20231" t="str">
            <v>2023</v>
          </cell>
        </row>
        <row r="20232">
          <cell r="D20232" t="str">
            <v>2023</v>
          </cell>
        </row>
        <row r="20233">
          <cell r="D20233" t="str">
            <v>2023</v>
          </cell>
        </row>
        <row r="20234">
          <cell r="D20234" t="str">
            <v>2023</v>
          </cell>
        </row>
        <row r="20235">
          <cell r="D20235" t="str">
            <v>2023</v>
          </cell>
        </row>
        <row r="20236">
          <cell r="D20236" t="str">
            <v>2023</v>
          </cell>
        </row>
        <row r="20237">
          <cell r="D20237" t="str">
            <v>2023</v>
          </cell>
        </row>
        <row r="20238">
          <cell r="D20238" t="str">
            <v>2023</v>
          </cell>
        </row>
        <row r="20239">
          <cell r="D20239" t="str">
            <v>2023</v>
          </cell>
        </row>
        <row r="20240">
          <cell r="D20240" t="str">
            <v>2023</v>
          </cell>
        </row>
        <row r="20241">
          <cell r="D20241" t="str">
            <v>2023</v>
          </cell>
        </row>
        <row r="20242">
          <cell r="D20242" t="str">
            <v>2023</v>
          </cell>
        </row>
        <row r="20243">
          <cell r="D20243" t="str">
            <v>2023</v>
          </cell>
        </row>
        <row r="20244">
          <cell r="D20244" t="str">
            <v>2023</v>
          </cell>
        </row>
        <row r="20245">
          <cell r="D20245" t="str">
            <v>2023</v>
          </cell>
        </row>
        <row r="20246">
          <cell r="D20246" t="str">
            <v>2023</v>
          </cell>
        </row>
        <row r="20247">
          <cell r="D20247" t="str">
            <v>2023</v>
          </cell>
        </row>
        <row r="20248">
          <cell r="D20248" t="str">
            <v>2023</v>
          </cell>
        </row>
        <row r="20249">
          <cell r="D20249" t="str">
            <v>2023</v>
          </cell>
        </row>
        <row r="20250">
          <cell r="D20250" t="str">
            <v>2023</v>
          </cell>
        </row>
        <row r="20251">
          <cell r="D20251" t="str">
            <v>2023</v>
          </cell>
        </row>
        <row r="20252">
          <cell r="D20252" t="str">
            <v>2023</v>
          </cell>
        </row>
        <row r="20253">
          <cell r="D20253" t="str">
            <v>2023</v>
          </cell>
        </row>
        <row r="20254">
          <cell r="D20254" t="str">
            <v>2023</v>
          </cell>
        </row>
        <row r="20255">
          <cell r="D20255" t="str">
            <v>2023</v>
          </cell>
        </row>
        <row r="20256">
          <cell r="D20256" t="str">
            <v>2023</v>
          </cell>
        </row>
        <row r="20257">
          <cell r="D20257" t="str">
            <v>2023</v>
          </cell>
        </row>
        <row r="20258">
          <cell r="D20258" t="str">
            <v>2023</v>
          </cell>
        </row>
        <row r="20259">
          <cell r="D20259" t="str">
            <v>2023</v>
          </cell>
        </row>
        <row r="20260">
          <cell r="D20260" t="str">
            <v>2023</v>
          </cell>
        </row>
        <row r="20261">
          <cell r="D20261" t="str">
            <v>2023</v>
          </cell>
        </row>
        <row r="20262">
          <cell r="D20262" t="str">
            <v>2023</v>
          </cell>
        </row>
        <row r="20263">
          <cell r="D20263" t="str">
            <v>2023</v>
          </cell>
        </row>
        <row r="20264">
          <cell r="D20264" t="str">
            <v>2023</v>
          </cell>
        </row>
        <row r="20265">
          <cell r="D20265" t="str">
            <v>2023</v>
          </cell>
        </row>
        <row r="20266">
          <cell r="D20266" t="str">
            <v>2023</v>
          </cell>
        </row>
        <row r="20267">
          <cell r="D20267" t="str">
            <v>2023</v>
          </cell>
        </row>
        <row r="20268">
          <cell r="D20268" t="str">
            <v>2023</v>
          </cell>
        </row>
        <row r="20269">
          <cell r="D20269" t="str">
            <v>2023</v>
          </cell>
        </row>
        <row r="20270">
          <cell r="D20270" t="str">
            <v>2023</v>
          </cell>
        </row>
        <row r="20271">
          <cell r="D20271" t="str">
            <v>2023</v>
          </cell>
        </row>
        <row r="20272">
          <cell r="D20272" t="str">
            <v>2023</v>
          </cell>
        </row>
        <row r="20273">
          <cell r="D20273" t="str">
            <v>2023</v>
          </cell>
        </row>
        <row r="20274">
          <cell r="D20274" t="str">
            <v>2023</v>
          </cell>
        </row>
        <row r="20275">
          <cell r="D20275" t="str">
            <v>2023</v>
          </cell>
        </row>
        <row r="20276">
          <cell r="D20276" t="str">
            <v>2023</v>
          </cell>
        </row>
        <row r="20277">
          <cell r="D20277" t="str">
            <v>2023</v>
          </cell>
        </row>
        <row r="20278">
          <cell r="D20278" t="str">
            <v>2023</v>
          </cell>
        </row>
        <row r="20279">
          <cell r="D20279" t="str">
            <v>2023</v>
          </cell>
        </row>
        <row r="20280">
          <cell r="D20280" t="str">
            <v>2023</v>
          </cell>
        </row>
        <row r="20281">
          <cell r="D20281" t="str">
            <v>2023</v>
          </cell>
        </row>
        <row r="20282">
          <cell r="D20282" t="str">
            <v>2023</v>
          </cell>
        </row>
        <row r="20283">
          <cell r="D20283" t="str">
            <v>2023</v>
          </cell>
        </row>
        <row r="20284">
          <cell r="D20284" t="str">
            <v>2023</v>
          </cell>
        </row>
        <row r="20285">
          <cell r="D20285" t="str">
            <v>2023</v>
          </cell>
        </row>
        <row r="20286">
          <cell r="D20286" t="str">
            <v>2023</v>
          </cell>
        </row>
        <row r="20287">
          <cell r="D20287" t="str">
            <v>2023</v>
          </cell>
        </row>
        <row r="20288">
          <cell r="D20288" t="str">
            <v>2023</v>
          </cell>
        </row>
        <row r="20289">
          <cell r="D20289" t="str">
            <v>2023</v>
          </cell>
        </row>
        <row r="20290">
          <cell r="D20290" t="str">
            <v>2023</v>
          </cell>
        </row>
        <row r="20291">
          <cell r="D20291" t="str">
            <v>2023</v>
          </cell>
        </row>
        <row r="20292">
          <cell r="D20292" t="str">
            <v>2023</v>
          </cell>
        </row>
        <row r="20293">
          <cell r="D20293" t="str">
            <v>2023</v>
          </cell>
        </row>
        <row r="20294">
          <cell r="D20294" t="str">
            <v>2023</v>
          </cell>
        </row>
        <row r="20295">
          <cell r="D20295" t="str">
            <v>2023</v>
          </cell>
        </row>
        <row r="20296">
          <cell r="D20296" t="str">
            <v>2023</v>
          </cell>
        </row>
        <row r="20297">
          <cell r="D20297" t="str">
            <v>2023</v>
          </cell>
        </row>
        <row r="20298">
          <cell r="D20298" t="str">
            <v>2023</v>
          </cell>
        </row>
        <row r="20299">
          <cell r="D20299" t="str">
            <v>2023</v>
          </cell>
        </row>
        <row r="20300">
          <cell r="D20300" t="str">
            <v>2023</v>
          </cell>
        </row>
        <row r="20301">
          <cell r="D20301" t="str">
            <v>2023</v>
          </cell>
        </row>
        <row r="20302">
          <cell r="D20302" t="str">
            <v>2023</v>
          </cell>
        </row>
        <row r="20303">
          <cell r="D20303" t="str">
            <v>2023</v>
          </cell>
        </row>
        <row r="20304">
          <cell r="D20304" t="str">
            <v>2023</v>
          </cell>
        </row>
        <row r="20305">
          <cell r="D20305" t="str">
            <v>2023</v>
          </cell>
        </row>
        <row r="20306">
          <cell r="D20306" t="str">
            <v>2023</v>
          </cell>
        </row>
        <row r="20307">
          <cell r="D20307" t="str">
            <v>2023</v>
          </cell>
        </row>
        <row r="20308">
          <cell r="D20308" t="str">
            <v>2023</v>
          </cell>
        </row>
        <row r="20309">
          <cell r="D20309" t="str">
            <v>2023</v>
          </cell>
        </row>
        <row r="20310">
          <cell r="D20310" t="str">
            <v>2023</v>
          </cell>
        </row>
        <row r="20311">
          <cell r="D20311" t="str">
            <v>2023</v>
          </cell>
        </row>
        <row r="20312">
          <cell r="D20312" t="str">
            <v>2023</v>
          </cell>
        </row>
        <row r="20313">
          <cell r="D20313" t="str">
            <v>2023</v>
          </cell>
        </row>
        <row r="20314">
          <cell r="D20314" t="str">
            <v>2023</v>
          </cell>
        </row>
        <row r="20315">
          <cell r="D20315" t="str">
            <v>2023</v>
          </cell>
        </row>
        <row r="20316">
          <cell r="D20316" t="str">
            <v>2023</v>
          </cell>
        </row>
        <row r="20317">
          <cell r="D20317" t="str">
            <v>2023</v>
          </cell>
        </row>
        <row r="20318">
          <cell r="D20318" t="str">
            <v>2023</v>
          </cell>
        </row>
        <row r="20319">
          <cell r="D20319" t="str">
            <v>2023</v>
          </cell>
        </row>
        <row r="20320">
          <cell r="D20320" t="str">
            <v>2023</v>
          </cell>
        </row>
        <row r="20321">
          <cell r="D20321" t="str">
            <v>2023</v>
          </cell>
        </row>
        <row r="20322">
          <cell r="D20322" t="str">
            <v>2023</v>
          </cell>
        </row>
        <row r="20323">
          <cell r="D20323" t="str">
            <v>2023</v>
          </cell>
        </row>
        <row r="20324">
          <cell r="D20324" t="str">
            <v>2023</v>
          </cell>
        </row>
        <row r="20325">
          <cell r="D20325" t="str">
            <v>2023</v>
          </cell>
        </row>
        <row r="20326">
          <cell r="D20326" t="str">
            <v>2023</v>
          </cell>
        </row>
        <row r="20327">
          <cell r="D20327" t="str">
            <v>2023</v>
          </cell>
        </row>
        <row r="20328">
          <cell r="D20328" t="str">
            <v>2023</v>
          </cell>
        </row>
        <row r="20329">
          <cell r="D20329" t="str">
            <v>2023</v>
          </cell>
        </row>
        <row r="20330">
          <cell r="D20330" t="str">
            <v>2023</v>
          </cell>
        </row>
        <row r="20331">
          <cell r="D20331" t="str">
            <v>2023</v>
          </cell>
        </row>
        <row r="20332">
          <cell r="D20332" t="str">
            <v>2023</v>
          </cell>
        </row>
        <row r="20333">
          <cell r="D20333" t="str">
            <v>2023</v>
          </cell>
        </row>
        <row r="20334">
          <cell r="D20334" t="str">
            <v>2023</v>
          </cell>
        </row>
        <row r="20335">
          <cell r="D20335" t="str">
            <v>2023</v>
          </cell>
        </row>
        <row r="20336">
          <cell r="D20336" t="str">
            <v>2023</v>
          </cell>
        </row>
        <row r="20337">
          <cell r="D20337" t="str">
            <v>2023</v>
          </cell>
        </row>
        <row r="20338">
          <cell r="D20338" t="str">
            <v>2023</v>
          </cell>
        </row>
        <row r="20339">
          <cell r="D20339" t="str">
            <v>2023</v>
          </cell>
        </row>
        <row r="20340">
          <cell r="D20340" t="str">
            <v>2023</v>
          </cell>
        </row>
        <row r="20341">
          <cell r="D20341" t="str">
            <v>2023</v>
          </cell>
        </row>
        <row r="20342">
          <cell r="D20342" t="str">
            <v>2023</v>
          </cell>
        </row>
        <row r="20343">
          <cell r="D20343" t="str">
            <v>2023</v>
          </cell>
        </row>
        <row r="20344">
          <cell r="D20344" t="str">
            <v>2023</v>
          </cell>
        </row>
        <row r="20345">
          <cell r="D20345" t="str">
            <v>2023</v>
          </cell>
        </row>
        <row r="20346">
          <cell r="D20346" t="str">
            <v>2023</v>
          </cell>
        </row>
        <row r="20347">
          <cell r="D20347" t="str">
            <v>2023</v>
          </cell>
        </row>
        <row r="20348">
          <cell r="D20348" t="str">
            <v>2023</v>
          </cell>
        </row>
        <row r="20349">
          <cell r="D20349" t="str">
            <v>2023</v>
          </cell>
        </row>
        <row r="20350">
          <cell r="D20350" t="str">
            <v>2023</v>
          </cell>
        </row>
        <row r="20351">
          <cell r="D20351" t="str">
            <v>2023</v>
          </cell>
        </row>
        <row r="20352">
          <cell r="D20352" t="str">
            <v>2023</v>
          </cell>
        </row>
        <row r="20353">
          <cell r="D20353" t="str">
            <v>2023</v>
          </cell>
        </row>
        <row r="20354">
          <cell r="D20354" t="str">
            <v>2023</v>
          </cell>
        </row>
        <row r="20355">
          <cell r="D20355" t="str">
            <v>2023</v>
          </cell>
        </row>
        <row r="20356">
          <cell r="D20356" t="str">
            <v>2023</v>
          </cell>
        </row>
        <row r="20357">
          <cell r="D20357" t="str">
            <v>2023</v>
          </cell>
        </row>
        <row r="20358">
          <cell r="D20358" t="str">
            <v>2023</v>
          </cell>
        </row>
        <row r="20359">
          <cell r="D20359" t="str">
            <v>2023</v>
          </cell>
        </row>
        <row r="20360">
          <cell r="D20360" t="str">
            <v>2023</v>
          </cell>
        </row>
        <row r="20361">
          <cell r="D20361" t="str">
            <v>2023</v>
          </cell>
        </row>
        <row r="20362">
          <cell r="D20362" t="str">
            <v>2023</v>
          </cell>
        </row>
        <row r="20363">
          <cell r="D20363" t="str">
            <v>2023</v>
          </cell>
        </row>
        <row r="20364">
          <cell r="D20364" t="str">
            <v>2023</v>
          </cell>
        </row>
        <row r="20365">
          <cell r="D20365" t="str">
            <v>2023</v>
          </cell>
        </row>
        <row r="20366">
          <cell r="D20366" t="str">
            <v>2023</v>
          </cell>
        </row>
        <row r="20367">
          <cell r="D20367" t="str">
            <v>2023</v>
          </cell>
        </row>
        <row r="20368">
          <cell r="D20368" t="str">
            <v>2022</v>
          </cell>
        </row>
        <row r="20369">
          <cell r="D20369" t="str">
            <v>2023</v>
          </cell>
        </row>
        <row r="20370">
          <cell r="D20370" t="str">
            <v>2023</v>
          </cell>
        </row>
        <row r="20371">
          <cell r="D20371" t="str">
            <v>2023</v>
          </cell>
        </row>
        <row r="20372">
          <cell r="D20372" t="str">
            <v>2023</v>
          </cell>
        </row>
        <row r="20373">
          <cell r="D20373" t="str">
            <v>2023</v>
          </cell>
        </row>
        <row r="20374">
          <cell r="D20374" t="str">
            <v>2023</v>
          </cell>
        </row>
        <row r="20375">
          <cell r="D20375" t="str">
            <v>2023</v>
          </cell>
        </row>
        <row r="20376">
          <cell r="D20376" t="str">
            <v>2023</v>
          </cell>
        </row>
        <row r="20377">
          <cell r="D20377" t="str">
            <v>2023</v>
          </cell>
        </row>
        <row r="20378">
          <cell r="D20378" t="str">
            <v>2023</v>
          </cell>
        </row>
        <row r="20379">
          <cell r="D20379" t="str">
            <v>2023</v>
          </cell>
        </row>
        <row r="20380">
          <cell r="D20380" t="str">
            <v>2023</v>
          </cell>
        </row>
        <row r="20381">
          <cell r="D20381" t="str">
            <v>2023</v>
          </cell>
        </row>
        <row r="20382">
          <cell r="D20382" t="str">
            <v>2023</v>
          </cell>
        </row>
        <row r="20383">
          <cell r="D20383" t="str">
            <v>2023</v>
          </cell>
        </row>
        <row r="20384">
          <cell r="D20384" t="str">
            <v>2023</v>
          </cell>
        </row>
        <row r="20385">
          <cell r="D20385" t="str">
            <v>2023</v>
          </cell>
        </row>
        <row r="20386">
          <cell r="D20386" t="str">
            <v>2023</v>
          </cell>
        </row>
        <row r="20387">
          <cell r="D20387" t="str">
            <v>2023</v>
          </cell>
        </row>
        <row r="20388">
          <cell r="D20388" t="str">
            <v>2023</v>
          </cell>
        </row>
        <row r="20389">
          <cell r="D20389" t="str">
            <v>2023</v>
          </cell>
        </row>
        <row r="20390">
          <cell r="D20390" t="str">
            <v>2023</v>
          </cell>
        </row>
        <row r="20391">
          <cell r="D20391" t="str">
            <v>2023</v>
          </cell>
        </row>
        <row r="20392">
          <cell r="D20392" t="str">
            <v>2023</v>
          </cell>
        </row>
        <row r="20393">
          <cell r="D20393" t="str">
            <v>2023</v>
          </cell>
        </row>
        <row r="20394">
          <cell r="D20394" t="str">
            <v>2023</v>
          </cell>
        </row>
        <row r="20395">
          <cell r="D20395" t="str">
            <v>2023</v>
          </cell>
        </row>
        <row r="20396">
          <cell r="D20396" t="str">
            <v>2023</v>
          </cell>
        </row>
        <row r="20397">
          <cell r="D20397" t="str">
            <v>2023</v>
          </cell>
        </row>
        <row r="20398">
          <cell r="D20398" t="str">
            <v>2023</v>
          </cell>
        </row>
        <row r="20399">
          <cell r="D20399" t="str">
            <v>2023</v>
          </cell>
        </row>
        <row r="20400">
          <cell r="D20400" t="str">
            <v>2023</v>
          </cell>
        </row>
        <row r="20401">
          <cell r="D20401" t="str">
            <v>2023</v>
          </cell>
        </row>
        <row r="20402">
          <cell r="D20402" t="str">
            <v>2023</v>
          </cell>
        </row>
        <row r="20403">
          <cell r="D20403" t="str">
            <v>2023</v>
          </cell>
        </row>
        <row r="20404">
          <cell r="D20404" t="str">
            <v>2023</v>
          </cell>
        </row>
        <row r="20405">
          <cell r="D20405" t="str">
            <v>2023</v>
          </cell>
        </row>
        <row r="20406">
          <cell r="D20406" t="str">
            <v>2023</v>
          </cell>
        </row>
        <row r="20407">
          <cell r="D20407" t="str">
            <v>2023</v>
          </cell>
        </row>
        <row r="20408">
          <cell r="D20408" t="str">
            <v>2023</v>
          </cell>
        </row>
        <row r="20409">
          <cell r="D20409" t="str">
            <v>2023</v>
          </cell>
        </row>
        <row r="20410">
          <cell r="D20410" t="str">
            <v>2023</v>
          </cell>
        </row>
        <row r="20411">
          <cell r="D20411" t="str">
            <v>2023</v>
          </cell>
        </row>
        <row r="20412">
          <cell r="D20412" t="str">
            <v>2023</v>
          </cell>
        </row>
        <row r="20413">
          <cell r="D20413" t="str">
            <v>2023</v>
          </cell>
        </row>
        <row r="20414">
          <cell r="D20414" t="str">
            <v>2023</v>
          </cell>
        </row>
        <row r="20415">
          <cell r="D20415" t="str">
            <v>2023</v>
          </cell>
        </row>
        <row r="20416">
          <cell r="D20416" t="str">
            <v>2023</v>
          </cell>
        </row>
        <row r="20417">
          <cell r="D20417" t="str">
            <v>2023</v>
          </cell>
        </row>
        <row r="20418">
          <cell r="D20418" t="str">
            <v>2023</v>
          </cell>
        </row>
        <row r="20419">
          <cell r="D20419" t="str">
            <v>2023</v>
          </cell>
        </row>
        <row r="20420">
          <cell r="D20420" t="str">
            <v>2023</v>
          </cell>
        </row>
        <row r="20421">
          <cell r="D20421" t="str">
            <v>2023</v>
          </cell>
        </row>
        <row r="20422">
          <cell r="D20422" t="str">
            <v>2023</v>
          </cell>
        </row>
        <row r="20423">
          <cell r="D20423" t="str">
            <v>2023</v>
          </cell>
        </row>
        <row r="20424">
          <cell r="D20424" t="str">
            <v>2023</v>
          </cell>
        </row>
        <row r="20425">
          <cell r="D20425" t="str">
            <v>2023</v>
          </cell>
        </row>
        <row r="20426">
          <cell r="D20426" t="str">
            <v>2023</v>
          </cell>
        </row>
        <row r="20427">
          <cell r="D20427" t="str">
            <v>2023</v>
          </cell>
        </row>
        <row r="20428">
          <cell r="D20428" t="str">
            <v>2023</v>
          </cell>
        </row>
        <row r="20429">
          <cell r="D20429" t="str">
            <v>2023</v>
          </cell>
        </row>
        <row r="20430">
          <cell r="D20430" t="str">
            <v>2023</v>
          </cell>
        </row>
        <row r="20431">
          <cell r="D20431" t="str">
            <v>2023</v>
          </cell>
        </row>
        <row r="20432">
          <cell r="D20432" t="str">
            <v>2023</v>
          </cell>
        </row>
        <row r="20433">
          <cell r="D20433" t="str">
            <v>2023</v>
          </cell>
        </row>
        <row r="20434">
          <cell r="D20434" t="str">
            <v>2023</v>
          </cell>
        </row>
        <row r="20435">
          <cell r="D20435" t="str">
            <v>2022</v>
          </cell>
        </row>
        <row r="20436">
          <cell r="D20436" t="str">
            <v>2023</v>
          </cell>
        </row>
        <row r="20437">
          <cell r="D20437" t="str">
            <v>2023</v>
          </cell>
        </row>
        <row r="20438">
          <cell r="D20438" t="str">
            <v>2023</v>
          </cell>
        </row>
        <row r="20439">
          <cell r="D20439" t="str">
            <v>2023</v>
          </cell>
        </row>
        <row r="20440">
          <cell r="D20440" t="str">
            <v>2023</v>
          </cell>
        </row>
        <row r="20441">
          <cell r="D20441" t="str">
            <v>2023</v>
          </cell>
        </row>
        <row r="20442">
          <cell r="D20442" t="str">
            <v>2023</v>
          </cell>
        </row>
        <row r="20443">
          <cell r="D20443" t="str">
            <v>2023</v>
          </cell>
        </row>
        <row r="20444">
          <cell r="D20444" t="str">
            <v>2023</v>
          </cell>
        </row>
        <row r="20445">
          <cell r="D20445" t="str">
            <v>2023</v>
          </cell>
        </row>
        <row r="20446">
          <cell r="D20446" t="str">
            <v>2023</v>
          </cell>
        </row>
        <row r="20447">
          <cell r="D20447" t="str">
            <v>2023</v>
          </cell>
        </row>
        <row r="20448">
          <cell r="D20448" t="str">
            <v>2023</v>
          </cell>
        </row>
        <row r="20449">
          <cell r="D20449" t="str">
            <v>2023</v>
          </cell>
        </row>
        <row r="20450">
          <cell r="D20450" t="str">
            <v>2023</v>
          </cell>
        </row>
        <row r="20451">
          <cell r="D20451" t="str">
            <v>2023</v>
          </cell>
        </row>
        <row r="20452">
          <cell r="D20452" t="str">
            <v>2023</v>
          </cell>
        </row>
        <row r="20453">
          <cell r="D20453" t="str">
            <v>2023</v>
          </cell>
        </row>
        <row r="20454">
          <cell r="D20454" t="str">
            <v>2023</v>
          </cell>
        </row>
        <row r="20455">
          <cell r="D20455" t="str">
            <v>2023</v>
          </cell>
        </row>
        <row r="20456">
          <cell r="D20456" t="str">
            <v>2023</v>
          </cell>
        </row>
        <row r="20457">
          <cell r="D20457" t="str">
            <v>2023</v>
          </cell>
        </row>
        <row r="20458">
          <cell r="D20458" t="str">
            <v>2023</v>
          </cell>
        </row>
        <row r="20459">
          <cell r="D20459" t="str">
            <v>2023</v>
          </cell>
        </row>
        <row r="20460">
          <cell r="D20460" t="str">
            <v>2023</v>
          </cell>
        </row>
        <row r="20461">
          <cell r="D20461" t="str">
            <v>2023</v>
          </cell>
        </row>
        <row r="20462">
          <cell r="D20462" t="str">
            <v>2023</v>
          </cell>
        </row>
        <row r="20463">
          <cell r="D20463" t="str">
            <v>2023</v>
          </cell>
        </row>
        <row r="20464">
          <cell r="D20464" t="str">
            <v>2023</v>
          </cell>
        </row>
        <row r="20465">
          <cell r="D20465" t="str">
            <v>2023</v>
          </cell>
        </row>
        <row r="20466">
          <cell r="D20466" t="str">
            <v>2023</v>
          </cell>
        </row>
        <row r="20467">
          <cell r="D20467" t="str">
            <v>2023</v>
          </cell>
        </row>
        <row r="20468">
          <cell r="D20468" t="str">
            <v>2023</v>
          </cell>
        </row>
        <row r="20469">
          <cell r="D20469" t="str">
            <v>2023</v>
          </cell>
        </row>
        <row r="20470">
          <cell r="D20470" t="str">
            <v>2023</v>
          </cell>
        </row>
        <row r="20471">
          <cell r="D20471" t="str">
            <v>2023</v>
          </cell>
        </row>
        <row r="20472">
          <cell r="D20472" t="str">
            <v>2023</v>
          </cell>
        </row>
        <row r="20473">
          <cell r="D20473" t="str">
            <v>2023</v>
          </cell>
        </row>
        <row r="20474">
          <cell r="D20474" t="str">
            <v>2023</v>
          </cell>
        </row>
        <row r="20475">
          <cell r="D20475" t="str">
            <v>2023</v>
          </cell>
        </row>
        <row r="20476">
          <cell r="D20476" t="str">
            <v>2023</v>
          </cell>
        </row>
        <row r="20477">
          <cell r="D20477" t="str">
            <v>2023</v>
          </cell>
        </row>
        <row r="20478">
          <cell r="D20478" t="str">
            <v>2023</v>
          </cell>
        </row>
        <row r="20479">
          <cell r="D20479" t="str">
            <v>2023</v>
          </cell>
        </row>
        <row r="20480">
          <cell r="D20480" t="str">
            <v>2023</v>
          </cell>
        </row>
        <row r="20481">
          <cell r="D20481" t="str">
            <v>2023</v>
          </cell>
        </row>
        <row r="20482">
          <cell r="D20482" t="str">
            <v>2023</v>
          </cell>
        </row>
        <row r="20483">
          <cell r="D20483" t="str">
            <v>2023</v>
          </cell>
        </row>
        <row r="20484">
          <cell r="D20484" t="str">
            <v>2023</v>
          </cell>
        </row>
        <row r="20485">
          <cell r="D20485" t="str">
            <v>2023</v>
          </cell>
        </row>
        <row r="20486">
          <cell r="D20486" t="str">
            <v>2023</v>
          </cell>
        </row>
        <row r="20487">
          <cell r="D20487" t="str">
            <v>2023</v>
          </cell>
        </row>
        <row r="20488">
          <cell r="D20488" t="str">
            <v>2023</v>
          </cell>
        </row>
        <row r="20489">
          <cell r="D20489" t="str">
            <v>2023</v>
          </cell>
        </row>
        <row r="20490">
          <cell r="D20490" t="str">
            <v>2023</v>
          </cell>
        </row>
        <row r="20491">
          <cell r="D20491" t="str">
            <v>2023</v>
          </cell>
        </row>
        <row r="20492">
          <cell r="D20492" t="str">
            <v>2023</v>
          </cell>
        </row>
        <row r="20493">
          <cell r="D20493" t="str">
            <v>2023</v>
          </cell>
        </row>
        <row r="20494">
          <cell r="D20494" t="str">
            <v>2023</v>
          </cell>
        </row>
        <row r="20495">
          <cell r="D20495" t="str">
            <v>2023</v>
          </cell>
        </row>
        <row r="20496">
          <cell r="D20496" t="str">
            <v>2023</v>
          </cell>
        </row>
        <row r="20497">
          <cell r="D20497" t="str">
            <v>2023</v>
          </cell>
        </row>
        <row r="20498">
          <cell r="D20498" t="str">
            <v>2023</v>
          </cell>
        </row>
        <row r="20499">
          <cell r="D20499" t="str">
            <v>2023</v>
          </cell>
        </row>
        <row r="20500">
          <cell r="D20500" t="str">
            <v>2023</v>
          </cell>
        </row>
        <row r="20501">
          <cell r="D20501" t="str">
            <v>2023</v>
          </cell>
        </row>
        <row r="20502">
          <cell r="D20502" t="str">
            <v>2023</v>
          </cell>
        </row>
        <row r="20503">
          <cell r="D20503" t="str">
            <v>2023</v>
          </cell>
        </row>
        <row r="20504">
          <cell r="D20504" t="str">
            <v>2023</v>
          </cell>
        </row>
        <row r="20505">
          <cell r="D20505" t="str">
            <v>2023</v>
          </cell>
        </row>
        <row r="20506">
          <cell r="D20506" t="str">
            <v>2023</v>
          </cell>
        </row>
        <row r="20507">
          <cell r="D20507" t="str">
            <v>2023</v>
          </cell>
        </row>
        <row r="20508">
          <cell r="D20508" t="str">
            <v>2023</v>
          </cell>
        </row>
        <row r="20509">
          <cell r="D20509" t="str">
            <v>2023</v>
          </cell>
        </row>
        <row r="20510">
          <cell r="D20510" t="str">
            <v>2023</v>
          </cell>
        </row>
        <row r="20511">
          <cell r="D20511" t="str">
            <v>2023</v>
          </cell>
        </row>
        <row r="20512">
          <cell r="D20512" t="str">
            <v>2023</v>
          </cell>
        </row>
        <row r="20513">
          <cell r="D20513" t="str">
            <v>2023</v>
          </cell>
        </row>
        <row r="20514">
          <cell r="D20514" t="str">
            <v>2023</v>
          </cell>
        </row>
        <row r="20515">
          <cell r="D20515" t="str">
            <v>2023</v>
          </cell>
        </row>
        <row r="20516">
          <cell r="D20516" t="str">
            <v>2023</v>
          </cell>
        </row>
        <row r="20517">
          <cell r="D20517" t="str">
            <v>2023</v>
          </cell>
        </row>
        <row r="20518">
          <cell r="D20518" t="str">
            <v>2023</v>
          </cell>
        </row>
        <row r="20519">
          <cell r="D20519" t="str">
            <v>2023</v>
          </cell>
        </row>
        <row r="20520">
          <cell r="D20520" t="str">
            <v>2023</v>
          </cell>
        </row>
        <row r="20521">
          <cell r="D20521" t="str">
            <v>2023</v>
          </cell>
        </row>
        <row r="20522">
          <cell r="D20522" t="str">
            <v>2023</v>
          </cell>
        </row>
        <row r="20523">
          <cell r="D20523" t="str">
            <v>2023</v>
          </cell>
        </row>
        <row r="20524">
          <cell r="D20524" t="str">
            <v>2023</v>
          </cell>
        </row>
        <row r="20525">
          <cell r="D20525" t="str">
            <v>2023</v>
          </cell>
        </row>
        <row r="20526">
          <cell r="D20526" t="str">
            <v>2023</v>
          </cell>
        </row>
        <row r="20527">
          <cell r="D20527" t="str">
            <v>2023</v>
          </cell>
        </row>
        <row r="20528">
          <cell r="D20528" t="str">
            <v>2023</v>
          </cell>
        </row>
        <row r="20529">
          <cell r="D20529" t="str">
            <v>2023</v>
          </cell>
        </row>
        <row r="20530">
          <cell r="D20530" t="str">
            <v>2023</v>
          </cell>
        </row>
        <row r="20531">
          <cell r="D20531" t="str">
            <v>2023</v>
          </cell>
        </row>
        <row r="20532">
          <cell r="D20532" t="str">
            <v>2023</v>
          </cell>
        </row>
        <row r="20533">
          <cell r="D20533" t="str">
            <v>2023</v>
          </cell>
        </row>
        <row r="20534">
          <cell r="D20534" t="str">
            <v>2023</v>
          </cell>
        </row>
        <row r="20535">
          <cell r="D20535" t="str">
            <v>2023</v>
          </cell>
        </row>
        <row r="20536">
          <cell r="D20536" t="str">
            <v>2023</v>
          </cell>
        </row>
        <row r="20537">
          <cell r="D20537" t="str">
            <v>2023</v>
          </cell>
        </row>
        <row r="20538">
          <cell r="D20538" t="str">
            <v>2023</v>
          </cell>
        </row>
        <row r="20539">
          <cell r="D20539" t="str">
            <v>2023</v>
          </cell>
        </row>
        <row r="20540">
          <cell r="D20540" t="str">
            <v>2023</v>
          </cell>
        </row>
        <row r="20541">
          <cell r="D20541" t="str">
            <v>2023</v>
          </cell>
        </row>
        <row r="20542">
          <cell r="D20542" t="str">
            <v>2023</v>
          </cell>
        </row>
        <row r="20543">
          <cell r="D20543" t="str">
            <v>2023</v>
          </cell>
        </row>
        <row r="20544">
          <cell r="D20544" t="str">
            <v>2023</v>
          </cell>
        </row>
        <row r="20545">
          <cell r="D20545" t="str">
            <v>2023</v>
          </cell>
        </row>
        <row r="20546">
          <cell r="D20546" t="str">
            <v>2023</v>
          </cell>
        </row>
        <row r="20547">
          <cell r="D20547" t="str">
            <v>2023</v>
          </cell>
        </row>
        <row r="20548">
          <cell r="D20548" t="str">
            <v>2023</v>
          </cell>
        </row>
        <row r="20549">
          <cell r="D20549" t="str">
            <v>2023</v>
          </cell>
        </row>
        <row r="20550">
          <cell r="D20550" t="str">
            <v>2023</v>
          </cell>
        </row>
        <row r="20551">
          <cell r="D20551" t="str">
            <v>2023</v>
          </cell>
        </row>
        <row r="20552">
          <cell r="D20552" t="str">
            <v>2023</v>
          </cell>
        </row>
        <row r="20553">
          <cell r="D20553" t="str">
            <v>2023</v>
          </cell>
        </row>
        <row r="20554">
          <cell r="D20554" t="str">
            <v>2023</v>
          </cell>
        </row>
        <row r="20555">
          <cell r="D20555" t="str">
            <v>2023</v>
          </cell>
        </row>
        <row r="20556">
          <cell r="D20556" t="str">
            <v>2023</v>
          </cell>
        </row>
        <row r="20557">
          <cell r="D20557" t="str">
            <v>2023</v>
          </cell>
        </row>
        <row r="20558">
          <cell r="D20558" t="str">
            <v>2023</v>
          </cell>
        </row>
        <row r="20559">
          <cell r="D20559" t="str">
            <v>2023</v>
          </cell>
        </row>
        <row r="20560">
          <cell r="D20560" t="str">
            <v>2023</v>
          </cell>
        </row>
        <row r="20561">
          <cell r="D20561" t="str">
            <v>2023</v>
          </cell>
        </row>
        <row r="20562">
          <cell r="D20562" t="str">
            <v>2023</v>
          </cell>
        </row>
        <row r="20563">
          <cell r="D20563" t="str">
            <v>2023</v>
          </cell>
        </row>
        <row r="20564">
          <cell r="D20564" t="str">
            <v>2023</v>
          </cell>
        </row>
        <row r="20565">
          <cell r="D20565" t="str">
            <v>2023</v>
          </cell>
        </row>
        <row r="20566">
          <cell r="D20566" t="str">
            <v>2023</v>
          </cell>
        </row>
        <row r="20567">
          <cell r="D20567" t="str">
            <v>2023</v>
          </cell>
        </row>
        <row r="20568">
          <cell r="D20568" t="str">
            <v>2023</v>
          </cell>
        </row>
        <row r="20569">
          <cell r="D20569" t="str">
            <v>2023</v>
          </cell>
        </row>
        <row r="20570">
          <cell r="D20570" t="str">
            <v>2023</v>
          </cell>
        </row>
        <row r="20571">
          <cell r="D20571" t="str">
            <v>2023</v>
          </cell>
        </row>
        <row r="20572">
          <cell r="D20572" t="str">
            <v>2023</v>
          </cell>
        </row>
        <row r="20573">
          <cell r="D20573" t="str">
            <v>2023</v>
          </cell>
        </row>
        <row r="20574">
          <cell r="D20574" t="str">
            <v>2023</v>
          </cell>
        </row>
        <row r="20575">
          <cell r="D20575" t="str">
            <v>2023</v>
          </cell>
        </row>
        <row r="20576">
          <cell r="D20576" t="str">
            <v>2023</v>
          </cell>
        </row>
        <row r="20577">
          <cell r="D20577" t="str">
            <v>2023</v>
          </cell>
        </row>
        <row r="20578">
          <cell r="D20578" t="str">
            <v>2023</v>
          </cell>
        </row>
        <row r="20579">
          <cell r="D20579" t="str">
            <v>2023</v>
          </cell>
        </row>
        <row r="20580">
          <cell r="D20580" t="str">
            <v>2023</v>
          </cell>
        </row>
        <row r="20581">
          <cell r="D20581" t="str">
            <v>2023</v>
          </cell>
        </row>
        <row r="20582">
          <cell r="D20582" t="str">
            <v>2023</v>
          </cell>
        </row>
        <row r="20583">
          <cell r="D20583" t="str">
            <v>2023</v>
          </cell>
        </row>
        <row r="20584">
          <cell r="D20584" t="str">
            <v>2023</v>
          </cell>
        </row>
        <row r="20585">
          <cell r="D20585" t="str">
            <v>2023</v>
          </cell>
        </row>
        <row r="20586">
          <cell r="D20586" t="str">
            <v>2023</v>
          </cell>
        </row>
        <row r="20587">
          <cell r="D20587" t="str">
            <v>2023</v>
          </cell>
        </row>
        <row r="20588">
          <cell r="D20588" t="str">
            <v>2023</v>
          </cell>
        </row>
        <row r="20589">
          <cell r="D20589" t="str">
            <v>2023</v>
          </cell>
        </row>
        <row r="20590">
          <cell r="D20590" t="str">
            <v>2023</v>
          </cell>
        </row>
        <row r="20591">
          <cell r="D20591" t="str">
            <v>2023</v>
          </cell>
        </row>
        <row r="20592">
          <cell r="D20592" t="str">
            <v>2023</v>
          </cell>
        </row>
        <row r="20593">
          <cell r="D20593" t="str">
            <v>2023</v>
          </cell>
        </row>
        <row r="20594">
          <cell r="D20594" t="str">
            <v>2023</v>
          </cell>
        </row>
        <row r="20595">
          <cell r="D20595" t="str">
            <v>2023</v>
          </cell>
        </row>
        <row r="20596">
          <cell r="D20596" t="str">
            <v>2023</v>
          </cell>
        </row>
        <row r="20597">
          <cell r="D20597" t="str">
            <v>2023</v>
          </cell>
        </row>
        <row r="20598">
          <cell r="D20598" t="str">
            <v>2023</v>
          </cell>
        </row>
        <row r="20599">
          <cell r="D20599" t="str">
            <v>2023</v>
          </cell>
        </row>
        <row r="20600">
          <cell r="D20600" t="str">
            <v>2023</v>
          </cell>
        </row>
        <row r="20601">
          <cell r="D20601" t="str">
            <v>2023</v>
          </cell>
        </row>
        <row r="20602">
          <cell r="D20602" t="str">
            <v>2023</v>
          </cell>
        </row>
        <row r="20603">
          <cell r="D20603" t="str">
            <v>2023</v>
          </cell>
        </row>
        <row r="20604">
          <cell r="D20604" t="str">
            <v>2023</v>
          </cell>
        </row>
        <row r="20605">
          <cell r="D20605" t="str">
            <v>2023</v>
          </cell>
        </row>
        <row r="20606">
          <cell r="D20606" t="str">
            <v>2023</v>
          </cell>
        </row>
        <row r="20607">
          <cell r="D20607" t="str">
            <v>2023</v>
          </cell>
        </row>
        <row r="20608">
          <cell r="D20608" t="str">
            <v>2023</v>
          </cell>
        </row>
        <row r="20609">
          <cell r="D20609" t="str">
            <v>2023</v>
          </cell>
        </row>
        <row r="20610">
          <cell r="D20610" t="str">
            <v>2023</v>
          </cell>
        </row>
        <row r="20611">
          <cell r="D20611" t="str">
            <v>2023</v>
          </cell>
        </row>
        <row r="20612">
          <cell r="D20612" t="str">
            <v>2023</v>
          </cell>
        </row>
        <row r="20613">
          <cell r="D20613" t="str">
            <v>2023</v>
          </cell>
        </row>
        <row r="20614">
          <cell r="D20614" t="str">
            <v>2023</v>
          </cell>
        </row>
        <row r="20615">
          <cell r="D20615" t="str">
            <v>2023</v>
          </cell>
        </row>
        <row r="20616">
          <cell r="D20616" t="str">
            <v>2023</v>
          </cell>
        </row>
        <row r="20617">
          <cell r="D20617" t="str">
            <v>2023</v>
          </cell>
        </row>
        <row r="20618">
          <cell r="D20618" t="str">
            <v>2023</v>
          </cell>
        </row>
        <row r="20619">
          <cell r="D20619" t="str">
            <v>2023</v>
          </cell>
        </row>
        <row r="20620">
          <cell r="D20620" t="str">
            <v>2023</v>
          </cell>
        </row>
        <row r="20621">
          <cell r="D20621" t="str">
            <v>2023</v>
          </cell>
        </row>
        <row r="20622">
          <cell r="D20622" t="str">
            <v>2023</v>
          </cell>
        </row>
        <row r="20623">
          <cell r="D20623" t="str">
            <v>2023</v>
          </cell>
        </row>
        <row r="20624">
          <cell r="D20624" t="str">
            <v>2023</v>
          </cell>
        </row>
        <row r="20625">
          <cell r="D20625" t="str">
            <v>2023</v>
          </cell>
        </row>
        <row r="20626">
          <cell r="D20626" t="str">
            <v>2023</v>
          </cell>
        </row>
        <row r="20627">
          <cell r="D20627" t="str">
            <v>2021</v>
          </cell>
        </row>
        <row r="20628">
          <cell r="D20628" t="str">
            <v>2023</v>
          </cell>
        </row>
        <row r="20629">
          <cell r="D20629" t="str">
            <v>2023</v>
          </cell>
        </row>
        <row r="20630">
          <cell r="D20630" t="str">
            <v>2023</v>
          </cell>
        </row>
        <row r="20631">
          <cell r="D20631" t="str">
            <v>2023</v>
          </cell>
        </row>
        <row r="20632">
          <cell r="D20632" t="str">
            <v>2023</v>
          </cell>
        </row>
        <row r="20633">
          <cell r="D20633" t="str">
            <v>2023</v>
          </cell>
        </row>
        <row r="20634">
          <cell r="D20634" t="str">
            <v>2023</v>
          </cell>
        </row>
        <row r="20635">
          <cell r="D20635" t="str">
            <v>2023</v>
          </cell>
        </row>
        <row r="20636">
          <cell r="D20636" t="str">
            <v>2023</v>
          </cell>
        </row>
        <row r="20637">
          <cell r="D20637" t="str">
            <v>2023</v>
          </cell>
        </row>
        <row r="20638">
          <cell r="D20638" t="str">
            <v>2023</v>
          </cell>
        </row>
        <row r="20639">
          <cell r="D20639" t="str">
            <v>2023</v>
          </cell>
        </row>
        <row r="20640">
          <cell r="D20640" t="str">
            <v>2023</v>
          </cell>
        </row>
        <row r="20641">
          <cell r="D20641" t="str">
            <v>2023</v>
          </cell>
        </row>
        <row r="20642">
          <cell r="D20642" t="str">
            <v>2023</v>
          </cell>
        </row>
        <row r="20643">
          <cell r="D20643" t="str">
            <v>2023</v>
          </cell>
        </row>
        <row r="20644">
          <cell r="D20644" t="str">
            <v>2023</v>
          </cell>
        </row>
        <row r="20645">
          <cell r="D20645" t="str">
            <v>2023</v>
          </cell>
        </row>
        <row r="20646">
          <cell r="D20646" t="str">
            <v>2023</v>
          </cell>
        </row>
        <row r="20647">
          <cell r="D20647" t="str">
            <v>2023</v>
          </cell>
        </row>
        <row r="20648">
          <cell r="D20648" t="str">
            <v>2023</v>
          </cell>
        </row>
        <row r="20649">
          <cell r="D20649" t="str">
            <v>2023</v>
          </cell>
        </row>
        <row r="20650">
          <cell r="D20650" t="str">
            <v>2023</v>
          </cell>
        </row>
        <row r="20651">
          <cell r="D20651" t="str">
            <v>2023</v>
          </cell>
        </row>
        <row r="20652">
          <cell r="D20652" t="str">
            <v>2023</v>
          </cell>
        </row>
        <row r="20653">
          <cell r="D20653" t="str">
            <v>2023</v>
          </cell>
        </row>
        <row r="20654">
          <cell r="D20654" t="str">
            <v>2023</v>
          </cell>
        </row>
        <row r="20655">
          <cell r="D20655" t="str">
            <v>2023</v>
          </cell>
        </row>
        <row r="20656">
          <cell r="D20656" t="str">
            <v>2023</v>
          </cell>
        </row>
        <row r="20657">
          <cell r="D20657" t="str">
            <v>2023</v>
          </cell>
        </row>
        <row r="20658">
          <cell r="D20658" t="str">
            <v>2023</v>
          </cell>
        </row>
        <row r="20659">
          <cell r="D20659" t="str">
            <v>2023</v>
          </cell>
        </row>
        <row r="20660">
          <cell r="D20660" t="str">
            <v>2023</v>
          </cell>
        </row>
        <row r="20661">
          <cell r="D20661" t="str">
            <v>2023</v>
          </cell>
        </row>
        <row r="20662">
          <cell r="D20662" t="str">
            <v>2023</v>
          </cell>
        </row>
        <row r="20663">
          <cell r="D20663" t="str">
            <v>2023</v>
          </cell>
        </row>
        <row r="20664">
          <cell r="D20664" t="str">
            <v>2023</v>
          </cell>
        </row>
        <row r="20665">
          <cell r="D20665" t="str">
            <v>2023</v>
          </cell>
        </row>
        <row r="20666">
          <cell r="D20666" t="str">
            <v>2023</v>
          </cell>
        </row>
        <row r="20667">
          <cell r="D20667" t="str">
            <v>2023</v>
          </cell>
        </row>
        <row r="20668">
          <cell r="D20668" t="str">
            <v>2023</v>
          </cell>
        </row>
        <row r="20669">
          <cell r="D20669" t="str">
            <v>2023</v>
          </cell>
        </row>
        <row r="20670">
          <cell r="D20670" t="str">
            <v>2023</v>
          </cell>
        </row>
        <row r="20671">
          <cell r="D20671" t="str">
            <v>2023</v>
          </cell>
        </row>
        <row r="20672">
          <cell r="D20672" t="str">
            <v>2023</v>
          </cell>
        </row>
        <row r="20673">
          <cell r="D20673" t="str">
            <v>2023</v>
          </cell>
        </row>
        <row r="20674">
          <cell r="D20674" t="str">
            <v>2023</v>
          </cell>
        </row>
        <row r="20675">
          <cell r="D20675" t="str">
            <v>2023</v>
          </cell>
        </row>
        <row r="20676">
          <cell r="D20676" t="str">
            <v>2023</v>
          </cell>
        </row>
        <row r="20677">
          <cell r="D20677" t="str">
            <v>2023</v>
          </cell>
        </row>
        <row r="20678">
          <cell r="D20678" t="str">
            <v>2023</v>
          </cell>
        </row>
        <row r="20679">
          <cell r="D20679" t="str">
            <v>2023</v>
          </cell>
        </row>
        <row r="20680">
          <cell r="D20680" t="str">
            <v>2023</v>
          </cell>
        </row>
        <row r="20681">
          <cell r="D20681" t="str">
            <v>2023</v>
          </cell>
        </row>
        <row r="20682">
          <cell r="D20682" t="str">
            <v>2023</v>
          </cell>
        </row>
        <row r="20683">
          <cell r="D20683" t="str">
            <v>2023</v>
          </cell>
        </row>
        <row r="20684">
          <cell r="D20684" t="str">
            <v>2023</v>
          </cell>
        </row>
        <row r="20685">
          <cell r="D20685" t="str">
            <v>2023</v>
          </cell>
        </row>
        <row r="20686">
          <cell r="D20686" t="str">
            <v>2023</v>
          </cell>
        </row>
        <row r="20687">
          <cell r="D20687" t="str">
            <v>2023</v>
          </cell>
        </row>
        <row r="20688">
          <cell r="D20688" t="str">
            <v>2023</v>
          </cell>
        </row>
        <row r="20689">
          <cell r="D20689" t="str">
            <v>2023</v>
          </cell>
        </row>
        <row r="20690">
          <cell r="D20690" t="str">
            <v>2023</v>
          </cell>
        </row>
        <row r="20691">
          <cell r="D20691" t="str">
            <v>2023</v>
          </cell>
        </row>
        <row r="20692">
          <cell r="D20692" t="str">
            <v>2023</v>
          </cell>
        </row>
        <row r="20693">
          <cell r="D20693" t="str">
            <v>2023</v>
          </cell>
        </row>
        <row r="20694">
          <cell r="D20694" t="str">
            <v>2023</v>
          </cell>
        </row>
        <row r="20695">
          <cell r="D20695" t="str">
            <v>2023</v>
          </cell>
        </row>
        <row r="20696">
          <cell r="D20696" t="str">
            <v>2023</v>
          </cell>
        </row>
        <row r="20697">
          <cell r="D20697" t="str">
            <v>2023</v>
          </cell>
        </row>
        <row r="20698">
          <cell r="D20698" t="str">
            <v>2023</v>
          </cell>
        </row>
        <row r="20699">
          <cell r="D20699" t="str">
            <v>2023</v>
          </cell>
        </row>
        <row r="20700">
          <cell r="D20700" t="str">
            <v>2023</v>
          </cell>
        </row>
        <row r="20701">
          <cell r="D20701" t="str">
            <v>2023</v>
          </cell>
        </row>
        <row r="20702">
          <cell r="D20702" t="str">
            <v>2023</v>
          </cell>
        </row>
        <row r="20703">
          <cell r="D20703" t="str">
            <v>2023</v>
          </cell>
        </row>
        <row r="20704">
          <cell r="D20704" t="str">
            <v>2023</v>
          </cell>
        </row>
        <row r="20705">
          <cell r="D20705" t="str">
            <v>2023</v>
          </cell>
        </row>
        <row r="20706">
          <cell r="D20706" t="str">
            <v>2023</v>
          </cell>
        </row>
        <row r="20707">
          <cell r="D20707" t="str">
            <v>2023</v>
          </cell>
        </row>
        <row r="20708">
          <cell r="D20708" t="str">
            <v>2023</v>
          </cell>
        </row>
        <row r="20709">
          <cell r="D20709" t="str">
            <v>2023</v>
          </cell>
        </row>
        <row r="20710">
          <cell r="D20710" t="str">
            <v>2023</v>
          </cell>
        </row>
        <row r="20711">
          <cell r="D20711" t="str">
            <v>2023</v>
          </cell>
        </row>
        <row r="20712">
          <cell r="D20712" t="str">
            <v>2023</v>
          </cell>
        </row>
        <row r="20713">
          <cell r="D20713" t="str">
            <v>2023</v>
          </cell>
        </row>
        <row r="20714">
          <cell r="D20714" t="str">
            <v>2023</v>
          </cell>
        </row>
        <row r="20715">
          <cell r="D20715" t="str">
            <v>2023</v>
          </cell>
        </row>
        <row r="20716">
          <cell r="D20716" t="str">
            <v>2023</v>
          </cell>
        </row>
        <row r="20717">
          <cell r="D20717" t="str">
            <v>2023</v>
          </cell>
        </row>
        <row r="20718">
          <cell r="D20718" t="str">
            <v>2023</v>
          </cell>
        </row>
        <row r="20719">
          <cell r="D20719" t="str">
            <v>2023</v>
          </cell>
        </row>
        <row r="20720">
          <cell r="D20720" t="str">
            <v>2023</v>
          </cell>
        </row>
        <row r="20721">
          <cell r="D20721" t="str">
            <v>2023</v>
          </cell>
        </row>
        <row r="20722">
          <cell r="D20722" t="str">
            <v>2023</v>
          </cell>
        </row>
        <row r="20723">
          <cell r="D20723" t="str">
            <v>2023</v>
          </cell>
        </row>
        <row r="20724">
          <cell r="D20724" t="str">
            <v>2023</v>
          </cell>
        </row>
        <row r="20725">
          <cell r="D20725" t="str">
            <v>2023</v>
          </cell>
        </row>
        <row r="20726">
          <cell r="D20726" t="str">
            <v>2023</v>
          </cell>
        </row>
        <row r="20727">
          <cell r="D20727" t="str">
            <v>2023</v>
          </cell>
        </row>
        <row r="20728">
          <cell r="D20728" t="str">
            <v>2023</v>
          </cell>
        </row>
        <row r="20729">
          <cell r="D20729" t="str">
            <v>2023</v>
          </cell>
        </row>
        <row r="20730">
          <cell r="D20730" t="str">
            <v>2023</v>
          </cell>
        </row>
        <row r="20731">
          <cell r="D20731" t="str">
            <v>2023</v>
          </cell>
        </row>
        <row r="20732">
          <cell r="D20732" t="str">
            <v>2023</v>
          </cell>
        </row>
        <row r="20733">
          <cell r="D20733" t="str">
            <v>2023</v>
          </cell>
        </row>
        <row r="20734">
          <cell r="D20734" t="str">
            <v>2023</v>
          </cell>
        </row>
        <row r="20735">
          <cell r="D20735" t="str">
            <v>2023</v>
          </cell>
        </row>
        <row r="20736">
          <cell r="D20736" t="str">
            <v>2023</v>
          </cell>
        </row>
        <row r="20737">
          <cell r="D20737" t="str">
            <v>2023</v>
          </cell>
        </row>
        <row r="20738">
          <cell r="D20738" t="str">
            <v>2023</v>
          </cell>
        </row>
        <row r="20739">
          <cell r="D20739" t="str">
            <v>2023</v>
          </cell>
        </row>
        <row r="20740">
          <cell r="D20740" t="str">
            <v>2023</v>
          </cell>
        </row>
        <row r="20741">
          <cell r="D20741" t="str">
            <v>2023</v>
          </cell>
        </row>
        <row r="20742">
          <cell r="D20742" t="str">
            <v>2023</v>
          </cell>
        </row>
        <row r="20743">
          <cell r="D20743" t="str">
            <v>2023</v>
          </cell>
        </row>
        <row r="20744">
          <cell r="D20744" t="str">
            <v>2023</v>
          </cell>
        </row>
        <row r="20745">
          <cell r="D20745" t="str">
            <v>2023</v>
          </cell>
        </row>
        <row r="20746">
          <cell r="D20746" t="str">
            <v>2023</v>
          </cell>
        </row>
        <row r="20747">
          <cell r="D20747" t="str">
            <v>2023</v>
          </cell>
        </row>
        <row r="20748">
          <cell r="D20748" t="str">
            <v>2023</v>
          </cell>
        </row>
        <row r="20749">
          <cell r="D20749" t="str">
            <v>2023</v>
          </cell>
        </row>
        <row r="20750">
          <cell r="D20750" t="str">
            <v>2023</v>
          </cell>
        </row>
        <row r="20751">
          <cell r="D20751" t="str">
            <v>2023</v>
          </cell>
        </row>
        <row r="20752">
          <cell r="D20752" t="str">
            <v>2023</v>
          </cell>
        </row>
        <row r="20753">
          <cell r="D20753" t="str">
            <v>2023</v>
          </cell>
        </row>
        <row r="20754">
          <cell r="D20754" t="str">
            <v>2023</v>
          </cell>
        </row>
        <row r="20755">
          <cell r="D20755" t="str">
            <v>2023</v>
          </cell>
        </row>
        <row r="20756">
          <cell r="D20756" t="str">
            <v>2023</v>
          </cell>
        </row>
        <row r="20757">
          <cell r="D20757" t="str">
            <v>2023</v>
          </cell>
        </row>
        <row r="20758">
          <cell r="D20758" t="str">
            <v>2023</v>
          </cell>
        </row>
        <row r="20759">
          <cell r="D20759" t="str">
            <v>2023</v>
          </cell>
        </row>
        <row r="20760">
          <cell r="D20760" t="str">
            <v>2023</v>
          </cell>
        </row>
        <row r="20761">
          <cell r="D20761" t="str">
            <v>2023</v>
          </cell>
        </row>
        <row r="20762">
          <cell r="D20762" t="str">
            <v>2023</v>
          </cell>
        </row>
        <row r="20763">
          <cell r="D20763" t="str">
            <v>2023</v>
          </cell>
        </row>
        <row r="20764">
          <cell r="D20764" t="str">
            <v>2023</v>
          </cell>
        </row>
        <row r="20765">
          <cell r="D20765" t="str">
            <v>2023</v>
          </cell>
        </row>
        <row r="20766">
          <cell r="D20766" t="str">
            <v>2023</v>
          </cell>
        </row>
        <row r="20767">
          <cell r="D20767" t="str">
            <v>2023</v>
          </cell>
        </row>
        <row r="20768">
          <cell r="D20768" t="str">
            <v>2023</v>
          </cell>
        </row>
        <row r="20769">
          <cell r="D20769" t="str">
            <v>2023</v>
          </cell>
        </row>
        <row r="20770">
          <cell r="D20770" t="str">
            <v>2023</v>
          </cell>
        </row>
        <row r="20771">
          <cell r="D20771" t="str">
            <v>2023</v>
          </cell>
        </row>
        <row r="20772">
          <cell r="D20772" t="str">
            <v>2023</v>
          </cell>
        </row>
        <row r="20773">
          <cell r="D20773" t="str">
            <v>2023</v>
          </cell>
        </row>
        <row r="20774">
          <cell r="D20774" t="str">
            <v>2023</v>
          </cell>
        </row>
        <row r="20775">
          <cell r="D20775" t="str">
            <v>2023</v>
          </cell>
        </row>
        <row r="20776">
          <cell r="D20776" t="str">
            <v>2023</v>
          </cell>
        </row>
        <row r="20777">
          <cell r="D20777" t="str">
            <v>2023</v>
          </cell>
        </row>
        <row r="20778">
          <cell r="D20778" t="str">
            <v>2023</v>
          </cell>
        </row>
        <row r="20779">
          <cell r="D20779" t="str">
            <v>2023</v>
          </cell>
        </row>
        <row r="20780">
          <cell r="D20780" t="str">
            <v>2023</v>
          </cell>
        </row>
        <row r="20781">
          <cell r="D20781" t="str">
            <v>2023</v>
          </cell>
        </row>
        <row r="20782">
          <cell r="D20782" t="str">
            <v>2023</v>
          </cell>
        </row>
        <row r="20783">
          <cell r="D20783" t="str">
            <v>2023</v>
          </cell>
        </row>
        <row r="20784">
          <cell r="D20784" t="str">
            <v>2023</v>
          </cell>
        </row>
        <row r="20785">
          <cell r="D20785" t="str">
            <v>2023</v>
          </cell>
        </row>
        <row r="20786">
          <cell r="D20786" t="str">
            <v>2023</v>
          </cell>
        </row>
        <row r="20787">
          <cell r="D20787" t="str">
            <v>2023</v>
          </cell>
        </row>
        <row r="20788">
          <cell r="D20788" t="str">
            <v>2023</v>
          </cell>
        </row>
        <row r="20789">
          <cell r="D20789" t="str">
            <v>2023</v>
          </cell>
        </row>
        <row r="20790">
          <cell r="D20790" t="str">
            <v>2023</v>
          </cell>
        </row>
        <row r="20791">
          <cell r="D20791" t="str">
            <v>2023</v>
          </cell>
        </row>
        <row r="20792">
          <cell r="D20792" t="str">
            <v>2023</v>
          </cell>
        </row>
        <row r="20793">
          <cell r="D20793" t="str">
            <v>2023</v>
          </cell>
        </row>
        <row r="20794">
          <cell r="D20794" t="str">
            <v>2023</v>
          </cell>
        </row>
        <row r="20795">
          <cell r="D20795" t="str">
            <v>2023</v>
          </cell>
        </row>
        <row r="20796">
          <cell r="D20796" t="str">
            <v>2023</v>
          </cell>
        </row>
        <row r="20797">
          <cell r="D20797" t="str">
            <v>2023</v>
          </cell>
        </row>
        <row r="20798">
          <cell r="D20798" t="str">
            <v>2023</v>
          </cell>
        </row>
        <row r="20799">
          <cell r="D20799" t="str">
            <v>2023</v>
          </cell>
        </row>
        <row r="20800">
          <cell r="D20800" t="str">
            <v>2023</v>
          </cell>
        </row>
        <row r="20801">
          <cell r="D20801" t="str">
            <v>2023</v>
          </cell>
        </row>
        <row r="20802">
          <cell r="D20802" t="str">
            <v>2023</v>
          </cell>
        </row>
        <row r="20803">
          <cell r="D20803" t="str">
            <v>2023</v>
          </cell>
        </row>
        <row r="20804">
          <cell r="D20804" t="str">
            <v>2023</v>
          </cell>
        </row>
        <row r="20805">
          <cell r="D20805" t="str">
            <v>2023</v>
          </cell>
        </row>
        <row r="20806">
          <cell r="D20806" t="str">
            <v>2023</v>
          </cell>
        </row>
        <row r="20807">
          <cell r="D20807" t="str">
            <v>2023</v>
          </cell>
        </row>
        <row r="20808">
          <cell r="D20808" t="str">
            <v>2023</v>
          </cell>
        </row>
        <row r="20809">
          <cell r="D20809" t="str">
            <v>2023</v>
          </cell>
        </row>
        <row r="20810">
          <cell r="D20810" t="str">
            <v>2023</v>
          </cell>
        </row>
        <row r="20811">
          <cell r="D20811" t="str">
            <v>2023</v>
          </cell>
        </row>
        <row r="20812">
          <cell r="D20812" t="str">
            <v>2023</v>
          </cell>
        </row>
        <row r="20813">
          <cell r="D20813" t="str">
            <v>2023</v>
          </cell>
        </row>
        <row r="20814">
          <cell r="D20814" t="str">
            <v>2023</v>
          </cell>
        </row>
        <row r="20815">
          <cell r="D20815" t="str">
            <v>2023</v>
          </cell>
        </row>
        <row r="20816">
          <cell r="D20816" t="str">
            <v>2023</v>
          </cell>
        </row>
        <row r="20817">
          <cell r="D20817" t="str">
            <v>2023</v>
          </cell>
        </row>
        <row r="20818">
          <cell r="D20818" t="str">
            <v>2023</v>
          </cell>
        </row>
        <row r="20819">
          <cell r="D20819" t="str">
            <v>2023</v>
          </cell>
        </row>
        <row r="20820">
          <cell r="D20820" t="str">
            <v>2023</v>
          </cell>
        </row>
        <row r="20821">
          <cell r="D20821" t="str">
            <v>2023</v>
          </cell>
        </row>
        <row r="20822">
          <cell r="D20822" t="str">
            <v>2023</v>
          </cell>
        </row>
        <row r="20823">
          <cell r="D20823" t="str">
            <v>2023</v>
          </cell>
        </row>
        <row r="20824">
          <cell r="D20824" t="str">
            <v>2023</v>
          </cell>
        </row>
        <row r="20825">
          <cell r="D20825" t="str">
            <v>2023</v>
          </cell>
        </row>
        <row r="20826">
          <cell r="D20826" t="str">
            <v>2023</v>
          </cell>
        </row>
        <row r="20827">
          <cell r="D20827" t="str">
            <v>2023</v>
          </cell>
        </row>
        <row r="20828">
          <cell r="D20828" t="str">
            <v>2023</v>
          </cell>
        </row>
        <row r="20829">
          <cell r="D20829" t="str">
            <v>2023</v>
          </cell>
        </row>
        <row r="20830">
          <cell r="D20830" t="str">
            <v>2023</v>
          </cell>
        </row>
        <row r="20831">
          <cell r="D20831" t="str">
            <v>2023</v>
          </cell>
        </row>
        <row r="20832">
          <cell r="D20832" t="str">
            <v>2023</v>
          </cell>
        </row>
        <row r="20833">
          <cell r="D20833" t="str">
            <v>2023</v>
          </cell>
        </row>
        <row r="20834">
          <cell r="D20834" t="str">
            <v>2023</v>
          </cell>
        </row>
        <row r="20835">
          <cell r="D20835" t="str">
            <v>2023</v>
          </cell>
        </row>
        <row r="20836">
          <cell r="D20836" t="str">
            <v>2023</v>
          </cell>
        </row>
        <row r="20837">
          <cell r="D20837" t="str">
            <v>2023</v>
          </cell>
        </row>
        <row r="20838">
          <cell r="D20838" t="str">
            <v>2023</v>
          </cell>
        </row>
        <row r="20839">
          <cell r="D20839" t="str">
            <v>2023</v>
          </cell>
        </row>
        <row r="20840">
          <cell r="D20840" t="str">
            <v>2023</v>
          </cell>
        </row>
        <row r="20841">
          <cell r="D20841" t="str">
            <v>2023</v>
          </cell>
        </row>
        <row r="20842">
          <cell r="D20842" t="str">
            <v>2023</v>
          </cell>
        </row>
        <row r="20843">
          <cell r="D20843" t="str">
            <v>2023</v>
          </cell>
        </row>
        <row r="20844">
          <cell r="D20844" t="str">
            <v>2023</v>
          </cell>
        </row>
        <row r="20845">
          <cell r="D20845" t="str">
            <v>2023</v>
          </cell>
        </row>
        <row r="20846">
          <cell r="D20846" t="str">
            <v>2023</v>
          </cell>
        </row>
        <row r="20847">
          <cell r="D20847" t="str">
            <v>2023</v>
          </cell>
        </row>
        <row r="20848">
          <cell r="D20848" t="str">
            <v>2023</v>
          </cell>
        </row>
        <row r="20849">
          <cell r="D20849" t="str">
            <v>2023</v>
          </cell>
        </row>
        <row r="20850">
          <cell r="D20850" t="str">
            <v>2023</v>
          </cell>
        </row>
        <row r="20851">
          <cell r="D20851" t="str">
            <v>2023</v>
          </cell>
        </row>
        <row r="20852">
          <cell r="D20852" t="str">
            <v>2023</v>
          </cell>
        </row>
        <row r="20853">
          <cell r="D20853" t="str">
            <v>2023</v>
          </cell>
        </row>
        <row r="20854">
          <cell r="D20854" t="str">
            <v>2023</v>
          </cell>
        </row>
        <row r="20855">
          <cell r="D20855" t="str">
            <v>2023</v>
          </cell>
        </row>
        <row r="20856">
          <cell r="D20856" t="str">
            <v>2023</v>
          </cell>
        </row>
        <row r="20857">
          <cell r="D20857" t="str">
            <v>2023</v>
          </cell>
        </row>
        <row r="20858">
          <cell r="D20858" t="str">
            <v>2023</v>
          </cell>
        </row>
        <row r="20859">
          <cell r="D20859" t="str">
            <v>2023</v>
          </cell>
        </row>
        <row r="20860">
          <cell r="D20860" t="str">
            <v>2023</v>
          </cell>
        </row>
        <row r="20861">
          <cell r="D20861" t="str">
            <v>2023</v>
          </cell>
        </row>
        <row r="20862">
          <cell r="D20862" t="str">
            <v>2023</v>
          </cell>
        </row>
        <row r="20863">
          <cell r="D20863" t="str">
            <v>2023</v>
          </cell>
        </row>
        <row r="20864">
          <cell r="D20864" t="str">
            <v>2023</v>
          </cell>
        </row>
        <row r="20865">
          <cell r="D20865" t="str">
            <v>2023</v>
          </cell>
        </row>
        <row r="20866">
          <cell r="D20866" t="str">
            <v>2023</v>
          </cell>
        </row>
        <row r="20867">
          <cell r="D20867" t="str">
            <v>2023</v>
          </cell>
        </row>
        <row r="20868">
          <cell r="D20868" t="str">
            <v>2023</v>
          </cell>
        </row>
        <row r="20869">
          <cell r="D20869" t="str">
            <v>2023</v>
          </cell>
        </row>
        <row r="20870">
          <cell r="D20870" t="str">
            <v>2023</v>
          </cell>
        </row>
        <row r="20871">
          <cell r="D20871" t="str">
            <v>2023</v>
          </cell>
        </row>
        <row r="20872">
          <cell r="D20872" t="str">
            <v>2023</v>
          </cell>
        </row>
        <row r="20873">
          <cell r="D20873" t="str">
            <v>2023</v>
          </cell>
        </row>
        <row r="20874">
          <cell r="D20874" t="str">
            <v>2023</v>
          </cell>
        </row>
        <row r="20875">
          <cell r="D20875" t="str">
            <v>2023</v>
          </cell>
        </row>
        <row r="20876">
          <cell r="D20876" t="str">
            <v>2023</v>
          </cell>
        </row>
        <row r="20877">
          <cell r="D20877" t="str">
            <v>2023</v>
          </cell>
        </row>
        <row r="20878">
          <cell r="D20878" t="str">
            <v>2023</v>
          </cell>
        </row>
        <row r="20879">
          <cell r="D20879" t="str">
            <v>2023</v>
          </cell>
        </row>
        <row r="20880">
          <cell r="D20880" t="str">
            <v>2023</v>
          </cell>
        </row>
        <row r="20881">
          <cell r="D20881" t="str">
            <v>2023</v>
          </cell>
        </row>
        <row r="20882">
          <cell r="D20882" t="str">
            <v>2023</v>
          </cell>
        </row>
        <row r="20883">
          <cell r="D20883" t="str">
            <v>2023</v>
          </cell>
        </row>
        <row r="20884">
          <cell r="D20884" t="str">
            <v>2023</v>
          </cell>
        </row>
        <row r="20885">
          <cell r="D20885" t="str">
            <v>2023</v>
          </cell>
        </row>
        <row r="20886">
          <cell r="D20886" t="str">
            <v>2023</v>
          </cell>
        </row>
        <row r="20887">
          <cell r="D20887" t="str">
            <v>2023</v>
          </cell>
        </row>
        <row r="20888">
          <cell r="D20888" t="str">
            <v>2023</v>
          </cell>
        </row>
        <row r="20889">
          <cell r="D20889" t="str">
            <v>2023</v>
          </cell>
        </row>
        <row r="20890">
          <cell r="D20890" t="str">
            <v>2023</v>
          </cell>
        </row>
        <row r="20891">
          <cell r="D20891" t="str">
            <v>2023</v>
          </cell>
        </row>
        <row r="20892">
          <cell r="D20892" t="str">
            <v>2023</v>
          </cell>
        </row>
        <row r="20893">
          <cell r="D20893" t="str">
            <v>2023</v>
          </cell>
        </row>
        <row r="20894">
          <cell r="D20894" t="str">
            <v>2023</v>
          </cell>
        </row>
        <row r="20895">
          <cell r="D20895" t="str">
            <v>2023</v>
          </cell>
        </row>
        <row r="20896">
          <cell r="D20896" t="str">
            <v>2023</v>
          </cell>
        </row>
        <row r="20897">
          <cell r="D20897" t="str">
            <v>2023</v>
          </cell>
        </row>
        <row r="20898">
          <cell r="D20898" t="str">
            <v>2023</v>
          </cell>
        </row>
        <row r="20899">
          <cell r="D20899" t="str">
            <v>2023</v>
          </cell>
        </row>
        <row r="20900">
          <cell r="D20900" t="str">
            <v>2023</v>
          </cell>
        </row>
        <row r="20901">
          <cell r="D20901" t="str">
            <v>2023</v>
          </cell>
        </row>
        <row r="20902">
          <cell r="D20902" t="str">
            <v>2023</v>
          </cell>
        </row>
        <row r="20903">
          <cell r="D20903" t="str">
            <v>2023</v>
          </cell>
        </row>
        <row r="20904">
          <cell r="D20904" t="str">
            <v>2023</v>
          </cell>
        </row>
        <row r="20905">
          <cell r="D20905" t="str">
            <v>2023</v>
          </cell>
        </row>
        <row r="20906">
          <cell r="D20906" t="str">
            <v>2023</v>
          </cell>
        </row>
        <row r="20907">
          <cell r="D20907" t="str">
            <v>2023</v>
          </cell>
        </row>
        <row r="20908">
          <cell r="D20908" t="str">
            <v>2023</v>
          </cell>
        </row>
        <row r="20909">
          <cell r="D20909" t="str">
            <v>2023</v>
          </cell>
        </row>
        <row r="20910">
          <cell r="D20910" t="str">
            <v>2023</v>
          </cell>
        </row>
        <row r="20911">
          <cell r="D20911" t="str">
            <v>2023</v>
          </cell>
        </row>
        <row r="20912">
          <cell r="D20912" t="str">
            <v>2023</v>
          </cell>
        </row>
        <row r="20913">
          <cell r="D20913" t="str">
            <v>2023</v>
          </cell>
        </row>
        <row r="20914">
          <cell r="D20914" t="str">
            <v>2023</v>
          </cell>
        </row>
        <row r="20915">
          <cell r="D20915" t="str">
            <v>2023</v>
          </cell>
        </row>
        <row r="20916">
          <cell r="D20916" t="str">
            <v>2023</v>
          </cell>
        </row>
        <row r="20917">
          <cell r="D20917" t="str">
            <v>2023</v>
          </cell>
        </row>
        <row r="20918">
          <cell r="D20918" t="str">
            <v>2023</v>
          </cell>
        </row>
        <row r="20919">
          <cell r="D20919" t="str">
            <v>2023</v>
          </cell>
        </row>
        <row r="20920">
          <cell r="D20920" t="str">
            <v>2023</v>
          </cell>
        </row>
        <row r="20921">
          <cell r="D20921" t="str">
            <v>2023</v>
          </cell>
        </row>
        <row r="20922">
          <cell r="D20922" t="str">
            <v>2023</v>
          </cell>
        </row>
        <row r="20923">
          <cell r="D20923" t="str">
            <v>2023</v>
          </cell>
        </row>
        <row r="20924">
          <cell r="D20924" t="str">
            <v>2023</v>
          </cell>
        </row>
        <row r="20925">
          <cell r="D20925" t="str">
            <v>2023</v>
          </cell>
        </row>
        <row r="20926">
          <cell r="D20926" t="str">
            <v>2023</v>
          </cell>
        </row>
        <row r="20927">
          <cell r="D20927" t="str">
            <v>2023</v>
          </cell>
        </row>
        <row r="20928">
          <cell r="D20928" t="str">
            <v>2023</v>
          </cell>
        </row>
        <row r="20929">
          <cell r="D20929" t="str">
            <v>2023</v>
          </cell>
        </row>
        <row r="20930">
          <cell r="D20930" t="str">
            <v>2023</v>
          </cell>
        </row>
        <row r="20931">
          <cell r="D20931" t="str">
            <v>2023</v>
          </cell>
        </row>
        <row r="20932">
          <cell r="D20932" t="str">
            <v>2023</v>
          </cell>
        </row>
        <row r="20933">
          <cell r="D20933" t="str">
            <v>2023</v>
          </cell>
        </row>
        <row r="20934">
          <cell r="D20934" t="str">
            <v>2023</v>
          </cell>
        </row>
        <row r="20935">
          <cell r="D20935" t="str">
            <v>2023</v>
          </cell>
        </row>
        <row r="20936">
          <cell r="D20936" t="str">
            <v>2023</v>
          </cell>
        </row>
        <row r="20937">
          <cell r="D20937" t="str">
            <v>2023</v>
          </cell>
        </row>
        <row r="20938">
          <cell r="D20938" t="str">
            <v>2023</v>
          </cell>
        </row>
        <row r="20939">
          <cell r="D20939" t="str">
            <v>2023</v>
          </cell>
        </row>
        <row r="20940">
          <cell r="D20940" t="str">
            <v>2023</v>
          </cell>
        </row>
        <row r="20941">
          <cell r="D20941" t="str">
            <v>2023</v>
          </cell>
        </row>
        <row r="20942">
          <cell r="D20942" t="str">
            <v>2023</v>
          </cell>
        </row>
        <row r="20943">
          <cell r="D20943" t="str">
            <v>2023</v>
          </cell>
        </row>
        <row r="20944">
          <cell r="D20944" t="str">
            <v>2023</v>
          </cell>
        </row>
        <row r="20945">
          <cell r="D20945" t="str">
            <v>2023</v>
          </cell>
        </row>
        <row r="20946">
          <cell r="D20946" t="str">
            <v>2023</v>
          </cell>
        </row>
        <row r="20947">
          <cell r="D20947" t="str">
            <v>2023</v>
          </cell>
        </row>
        <row r="20948">
          <cell r="D20948" t="str">
            <v>2023</v>
          </cell>
        </row>
        <row r="20949">
          <cell r="D20949" t="str">
            <v>2023</v>
          </cell>
        </row>
        <row r="20950">
          <cell r="D20950" t="str">
            <v>2023</v>
          </cell>
        </row>
        <row r="20951">
          <cell r="D20951" t="str">
            <v>2023</v>
          </cell>
        </row>
        <row r="20952">
          <cell r="D20952" t="str">
            <v>2023</v>
          </cell>
        </row>
        <row r="20953">
          <cell r="D20953" t="str">
            <v>2023</v>
          </cell>
        </row>
        <row r="20954">
          <cell r="D20954" t="str">
            <v>2023</v>
          </cell>
        </row>
        <row r="20955">
          <cell r="D20955" t="str">
            <v>2023</v>
          </cell>
        </row>
        <row r="20956">
          <cell r="D20956" t="str">
            <v>2023</v>
          </cell>
        </row>
        <row r="20957">
          <cell r="D20957" t="str">
            <v>2023</v>
          </cell>
        </row>
        <row r="20958">
          <cell r="D20958" t="str">
            <v>2023</v>
          </cell>
        </row>
        <row r="20959">
          <cell r="D20959" t="str">
            <v>2023</v>
          </cell>
        </row>
        <row r="20960">
          <cell r="D20960" t="str">
            <v>2023</v>
          </cell>
        </row>
        <row r="20961">
          <cell r="D20961" t="str">
            <v>2023</v>
          </cell>
        </row>
        <row r="20962">
          <cell r="D20962" t="str">
            <v>2023</v>
          </cell>
        </row>
        <row r="20963">
          <cell r="D20963" t="str">
            <v>2023</v>
          </cell>
        </row>
        <row r="20964">
          <cell r="D20964" t="str">
            <v>2023</v>
          </cell>
        </row>
        <row r="20965">
          <cell r="D20965" t="str">
            <v>2023</v>
          </cell>
        </row>
        <row r="20966">
          <cell r="D20966" t="str">
            <v>2023</v>
          </cell>
        </row>
        <row r="20967">
          <cell r="D20967" t="str">
            <v>2023</v>
          </cell>
        </row>
        <row r="20968">
          <cell r="D20968" t="str">
            <v>2023</v>
          </cell>
        </row>
        <row r="20969">
          <cell r="D20969" t="str">
            <v>2023</v>
          </cell>
        </row>
        <row r="20970">
          <cell r="D20970" t="str">
            <v>2023</v>
          </cell>
        </row>
        <row r="20971">
          <cell r="D20971" t="str">
            <v>2023</v>
          </cell>
        </row>
        <row r="20972">
          <cell r="D20972" t="str">
            <v>2023</v>
          </cell>
        </row>
        <row r="20973">
          <cell r="D20973" t="str">
            <v>2023</v>
          </cell>
        </row>
        <row r="20974">
          <cell r="D20974" t="str">
            <v>2023</v>
          </cell>
        </row>
        <row r="20975">
          <cell r="D20975" t="str">
            <v>2023</v>
          </cell>
        </row>
        <row r="20976">
          <cell r="D20976" t="str">
            <v>2023</v>
          </cell>
        </row>
        <row r="20977">
          <cell r="D20977" t="str">
            <v>2023</v>
          </cell>
        </row>
        <row r="20978">
          <cell r="D20978" t="str">
            <v>2023</v>
          </cell>
        </row>
        <row r="20979">
          <cell r="D20979" t="str">
            <v>2023</v>
          </cell>
        </row>
        <row r="20980">
          <cell r="D20980" t="str">
            <v>2023</v>
          </cell>
        </row>
        <row r="20981">
          <cell r="D20981" t="str">
            <v>2023</v>
          </cell>
        </row>
        <row r="20982">
          <cell r="D20982" t="str">
            <v>2023</v>
          </cell>
        </row>
        <row r="20983">
          <cell r="D20983" t="str">
            <v>2023</v>
          </cell>
        </row>
        <row r="20984">
          <cell r="D20984" t="str">
            <v>2023</v>
          </cell>
        </row>
        <row r="20985">
          <cell r="D20985" t="str">
            <v>2023</v>
          </cell>
        </row>
        <row r="20986">
          <cell r="D20986" t="str">
            <v>2023</v>
          </cell>
        </row>
        <row r="20987">
          <cell r="D20987" t="str">
            <v>2023</v>
          </cell>
        </row>
        <row r="20988">
          <cell r="D20988" t="str">
            <v>2023</v>
          </cell>
        </row>
        <row r="20989">
          <cell r="D20989" t="str">
            <v>2023</v>
          </cell>
        </row>
        <row r="20990">
          <cell r="D20990" t="str">
            <v>2023</v>
          </cell>
        </row>
        <row r="20991">
          <cell r="D20991" t="str">
            <v>2023</v>
          </cell>
        </row>
        <row r="20992">
          <cell r="D20992" t="str">
            <v>2023</v>
          </cell>
        </row>
        <row r="20993">
          <cell r="D20993" t="str">
            <v>2023</v>
          </cell>
        </row>
        <row r="20994">
          <cell r="D20994" t="str">
            <v>2023</v>
          </cell>
        </row>
        <row r="20995">
          <cell r="D20995" t="str">
            <v>2023</v>
          </cell>
        </row>
        <row r="20996">
          <cell r="D20996" t="str">
            <v>2023</v>
          </cell>
        </row>
        <row r="20997">
          <cell r="D20997" t="str">
            <v>2023</v>
          </cell>
        </row>
        <row r="20998">
          <cell r="D20998" t="str">
            <v>2023</v>
          </cell>
        </row>
        <row r="20999">
          <cell r="D20999" t="str">
            <v>2023</v>
          </cell>
        </row>
        <row r="21000">
          <cell r="D21000" t="str">
            <v>2023</v>
          </cell>
        </row>
        <row r="21001">
          <cell r="D21001" t="str">
            <v>2023</v>
          </cell>
        </row>
        <row r="21002">
          <cell r="D21002" t="str">
            <v>2023</v>
          </cell>
        </row>
        <row r="21003">
          <cell r="D21003" t="str">
            <v>2023</v>
          </cell>
        </row>
        <row r="21004">
          <cell r="D21004" t="str">
            <v>2023</v>
          </cell>
        </row>
        <row r="21005">
          <cell r="D21005" t="str">
            <v>2023</v>
          </cell>
        </row>
        <row r="21006">
          <cell r="D21006" t="str">
            <v>2023</v>
          </cell>
        </row>
        <row r="21007">
          <cell r="D21007" t="str">
            <v>2023</v>
          </cell>
        </row>
        <row r="21008">
          <cell r="D21008" t="str">
            <v>2023</v>
          </cell>
        </row>
        <row r="21009">
          <cell r="D21009" t="str">
            <v>2023</v>
          </cell>
        </row>
        <row r="21010">
          <cell r="D21010" t="str">
            <v>2023</v>
          </cell>
        </row>
        <row r="21011">
          <cell r="D21011" t="str">
            <v>2023</v>
          </cell>
        </row>
        <row r="21012">
          <cell r="D21012" t="str">
            <v>2023</v>
          </cell>
        </row>
        <row r="21013">
          <cell r="D21013" t="str">
            <v>2023</v>
          </cell>
        </row>
        <row r="21014">
          <cell r="D21014" t="str">
            <v>2023</v>
          </cell>
        </row>
        <row r="21015">
          <cell r="D21015" t="str">
            <v>2023</v>
          </cell>
        </row>
        <row r="21016">
          <cell r="D21016" t="str">
            <v>2023</v>
          </cell>
        </row>
        <row r="21017">
          <cell r="D21017" t="str">
            <v>2023</v>
          </cell>
        </row>
        <row r="21018">
          <cell r="D21018" t="str">
            <v>2023</v>
          </cell>
        </row>
        <row r="21019">
          <cell r="D21019" t="str">
            <v>2023</v>
          </cell>
        </row>
        <row r="21020">
          <cell r="D21020" t="str">
            <v>2023</v>
          </cell>
        </row>
        <row r="21021">
          <cell r="D21021" t="str">
            <v>2023</v>
          </cell>
        </row>
        <row r="21022">
          <cell r="D21022" t="str">
            <v>2023</v>
          </cell>
        </row>
        <row r="21023">
          <cell r="D21023" t="str">
            <v>2023</v>
          </cell>
        </row>
        <row r="21024">
          <cell r="D21024" t="str">
            <v>2023</v>
          </cell>
        </row>
        <row r="21025">
          <cell r="D21025" t="str">
            <v>2023</v>
          </cell>
        </row>
        <row r="21026">
          <cell r="D21026" t="str">
            <v>2023</v>
          </cell>
        </row>
        <row r="21027">
          <cell r="D21027" t="str">
            <v>2023</v>
          </cell>
        </row>
        <row r="21028">
          <cell r="D21028" t="str">
            <v>2023</v>
          </cell>
        </row>
        <row r="21029">
          <cell r="D21029" t="str">
            <v>2023</v>
          </cell>
        </row>
        <row r="21030">
          <cell r="D21030" t="str">
            <v>2023</v>
          </cell>
        </row>
        <row r="21031">
          <cell r="D21031" t="str">
            <v>2023</v>
          </cell>
        </row>
        <row r="21032">
          <cell r="D21032" t="str">
            <v>2023</v>
          </cell>
        </row>
        <row r="21033">
          <cell r="D21033" t="str">
            <v>2023</v>
          </cell>
        </row>
        <row r="21034">
          <cell r="D21034" t="str">
            <v>2023</v>
          </cell>
        </row>
        <row r="21035">
          <cell r="D21035" t="str">
            <v>2023</v>
          </cell>
        </row>
        <row r="21036">
          <cell r="D21036" t="str">
            <v>2023</v>
          </cell>
        </row>
        <row r="21037">
          <cell r="D21037" t="str">
            <v>2023</v>
          </cell>
        </row>
        <row r="21038">
          <cell r="D21038" t="str">
            <v>2023</v>
          </cell>
        </row>
        <row r="21039">
          <cell r="D21039" t="str">
            <v>2023</v>
          </cell>
        </row>
        <row r="21040">
          <cell r="D21040" t="str">
            <v>2023</v>
          </cell>
        </row>
        <row r="21041">
          <cell r="D21041" t="str">
            <v>2023</v>
          </cell>
        </row>
        <row r="21042">
          <cell r="D21042" t="str">
            <v>2023</v>
          </cell>
        </row>
        <row r="21043">
          <cell r="D21043" t="str">
            <v>2023</v>
          </cell>
        </row>
        <row r="21044">
          <cell r="D21044" t="str">
            <v>2023</v>
          </cell>
        </row>
        <row r="21045">
          <cell r="D21045" t="str">
            <v>2023</v>
          </cell>
        </row>
        <row r="21046">
          <cell r="D21046" t="str">
            <v>2023</v>
          </cell>
        </row>
        <row r="21047">
          <cell r="D21047" t="str">
            <v>2023</v>
          </cell>
        </row>
        <row r="21048">
          <cell r="D21048" t="str">
            <v>2023</v>
          </cell>
        </row>
        <row r="21049">
          <cell r="D21049" t="str">
            <v>2023</v>
          </cell>
        </row>
        <row r="21050">
          <cell r="D21050" t="str">
            <v>2023</v>
          </cell>
        </row>
        <row r="21051">
          <cell r="D21051" t="str">
            <v>2023</v>
          </cell>
        </row>
        <row r="21052">
          <cell r="D21052" t="str">
            <v>2023</v>
          </cell>
        </row>
        <row r="21053">
          <cell r="D21053" t="str">
            <v>2023</v>
          </cell>
        </row>
        <row r="21054">
          <cell r="D21054" t="str">
            <v>2023</v>
          </cell>
        </row>
        <row r="21055">
          <cell r="D21055" t="str">
            <v>2023</v>
          </cell>
        </row>
        <row r="21056">
          <cell r="D21056" t="str">
            <v>2023</v>
          </cell>
        </row>
        <row r="21057">
          <cell r="D21057" t="str">
            <v>2023</v>
          </cell>
        </row>
        <row r="21058">
          <cell r="D21058" t="str">
            <v>2023</v>
          </cell>
        </row>
        <row r="21059">
          <cell r="D21059" t="str">
            <v>2023</v>
          </cell>
        </row>
        <row r="21060">
          <cell r="D21060" t="str">
            <v>2023</v>
          </cell>
        </row>
        <row r="21061">
          <cell r="D21061" t="str">
            <v>2023</v>
          </cell>
        </row>
        <row r="21062">
          <cell r="D21062" t="str">
            <v>2023</v>
          </cell>
        </row>
        <row r="21063">
          <cell r="D21063" t="str">
            <v>2023</v>
          </cell>
        </row>
        <row r="21064">
          <cell r="D21064" t="str">
            <v>2023</v>
          </cell>
        </row>
        <row r="21065">
          <cell r="D21065" t="str">
            <v>2023</v>
          </cell>
        </row>
        <row r="21066">
          <cell r="D21066" t="str">
            <v>2023</v>
          </cell>
        </row>
        <row r="21067">
          <cell r="D21067" t="str">
            <v>2023</v>
          </cell>
        </row>
        <row r="21068">
          <cell r="D21068" t="str">
            <v>2023</v>
          </cell>
        </row>
        <row r="21069">
          <cell r="D21069" t="str">
            <v>2023</v>
          </cell>
        </row>
        <row r="21070">
          <cell r="D21070" t="str">
            <v>2023</v>
          </cell>
        </row>
        <row r="21071">
          <cell r="D21071" t="str">
            <v>2023</v>
          </cell>
        </row>
        <row r="21072">
          <cell r="D21072" t="str">
            <v>2023</v>
          </cell>
        </row>
        <row r="21073">
          <cell r="D21073" t="str">
            <v>2023</v>
          </cell>
        </row>
        <row r="21074">
          <cell r="D21074" t="str">
            <v>2023</v>
          </cell>
        </row>
        <row r="21075">
          <cell r="D21075" t="str">
            <v>2023</v>
          </cell>
        </row>
        <row r="21076">
          <cell r="D21076" t="str">
            <v>2023</v>
          </cell>
        </row>
      </sheetData>
      <sheetData sheetId="1">
        <row r="1">
          <cell r="B1" t="str">
            <v>All Questions</v>
          </cell>
          <cell r="C1" t="str">
            <v>Without Accepted Answer</v>
          </cell>
          <cell r="D1" t="str">
            <v>With Accepted Answer</v>
          </cell>
        </row>
        <row r="2">
          <cell r="A2">
            <v>2021</v>
          </cell>
          <cell r="B2">
            <v>1315</v>
          </cell>
          <cell r="C2">
            <v>201</v>
          </cell>
          <cell r="D2">
            <v>1114</v>
          </cell>
        </row>
        <row r="3">
          <cell r="A3">
            <v>2022</v>
          </cell>
          <cell r="B3">
            <v>1786</v>
          </cell>
          <cell r="C3">
            <v>422</v>
          </cell>
          <cell r="D3">
            <v>1364</v>
          </cell>
        </row>
        <row r="4">
          <cell r="A4">
            <v>2023</v>
          </cell>
          <cell r="B4">
            <v>16995</v>
          </cell>
          <cell r="C4">
            <v>3792</v>
          </cell>
          <cell r="D4">
            <v>13203</v>
          </cell>
        </row>
        <row r="5">
          <cell r="A5">
            <v>2024</v>
          </cell>
          <cell r="B5">
            <v>979</v>
          </cell>
          <cell r="C5">
            <v>220</v>
          </cell>
          <cell r="D5">
            <v>759</v>
          </cell>
        </row>
      </sheetData>
      <sheetData sheetId="2"/>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Sheet1"/>
      <sheetName val="Sheet2"/>
    </sheetNames>
    <sheetDataSet>
      <sheetData sheetId="0">
        <row r="1">
          <cell r="F1" t="str">
            <v>数量/个</v>
          </cell>
        </row>
        <row r="2">
          <cell r="E2">
            <v>0</v>
          </cell>
          <cell r="F2">
            <v>119632</v>
          </cell>
        </row>
        <row r="3">
          <cell r="E3">
            <v>1</v>
          </cell>
          <cell r="F3">
            <v>244664</v>
          </cell>
        </row>
        <row r="4">
          <cell r="E4">
            <v>2</v>
          </cell>
          <cell r="F4">
            <v>70129</v>
          </cell>
        </row>
        <row r="5">
          <cell r="E5">
            <v>3</v>
          </cell>
          <cell r="F5">
            <v>23775</v>
          </cell>
        </row>
        <row r="6">
          <cell r="E6">
            <v>4</v>
          </cell>
          <cell r="F6">
            <v>12471</v>
          </cell>
        </row>
        <row r="7">
          <cell r="E7">
            <v>5</v>
          </cell>
          <cell r="F7">
            <v>7873</v>
          </cell>
        </row>
        <row r="8">
          <cell r="E8" t="str">
            <v>6~10</v>
          </cell>
          <cell r="F8">
            <v>17684</v>
          </cell>
        </row>
        <row r="9">
          <cell r="E9" t="str">
            <v>11~30</v>
          </cell>
          <cell r="F9">
            <v>14645</v>
          </cell>
        </row>
        <row r="10">
          <cell r="E10" t="str">
            <v>31~100</v>
          </cell>
          <cell r="F10">
            <v>4836</v>
          </cell>
        </row>
        <row r="11">
          <cell r="E11" t="str">
            <v>&gt;100</v>
          </cell>
          <cell r="F11">
            <v>1003</v>
          </cell>
        </row>
      </sheetData>
      <sheetData sheetId="1">
        <row r="1">
          <cell r="E1" t="str">
            <v>数量/个</v>
          </cell>
        </row>
        <row r="2">
          <cell r="D2">
            <v>0</v>
          </cell>
          <cell r="E2">
            <v>146963</v>
          </cell>
        </row>
        <row r="3">
          <cell r="D3">
            <v>1</v>
          </cell>
          <cell r="E3">
            <v>57625</v>
          </cell>
        </row>
        <row r="4">
          <cell r="D4">
            <v>2</v>
          </cell>
          <cell r="E4">
            <v>47310</v>
          </cell>
        </row>
        <row r="5">
          <cell r="D5">
            <v>3</v>
          </cell>
          <cell r="E5">
            <v>38863</v>
          </cell>
        </row>
        <row r="6">
          <cell r="D6">
            <v>4</v>
          </cell>
          <cell r="E6">
            <v>22654</v>
          </cell>
        </row>
        <row r="7">
          <cell r="D7">
            <v>5</v>
          </cell>
          <cell r="E7">
            <v>21184</v>
          </cell>
        </row>
        <row r="8">
          <cell r="D8">
            <v>6</v>
          </cell>
          <cell r="E8">
            <v>17691</v>
          </cell>
        </row>
        <row r="9">
          <cell r="D9">
            <v>7</v>
          </cell>
          <cell r="E9">
            <v>13506</v>
          </cell>
        </row>
        <row r="10">
          <cell r="D10">
            <v>8</v>
          </cell>
          <cell r="E10">
            <v>11354</v>
          </cell>
        </row>
        <row r="11">
          <cell r="D11">
            <v>9</v>
          </cell>
          <cell r="E11">
            <v>10006</v>
          </cell>
        </row>
        <row r="12">
          <cell r="D12">
            <v>10</v>
          </cell>
          <cell r="E12">
            <v>9156</v>
          </cell>
        </row>
        <row r="13">
          <cell r="D13" t="str">
            <v>11~12</v>
          </cell>
          <cell r="E13">
            <v>14857</v>
          </cell>
        </row>
        <row r="14">
          <cell r="D14" t="str">
            <v>13~15</v>
          </cell>
          <cell r="E14">
            <v>17230</v>
          </cell>
        </row>
        <row r="15">
          <cell r="D15" t="str">
            <v>16~20</v>
          </cell>
          <cell r="E15">
            <v>19389</v>
          </cell>
        </row>
        <row r="16">
          <cell r="D16" t="str">
            <v>21~30</v>
          </cell>
          <cell r="E16">
            <v>20466</v>
          </cell>
        </row>
        <row r="17">
          <cell r="D17" t="str">
            <v>31~50</v>
          </cell>
          <cell r="E17">
            <v>18156</v>
          </cell>
        </row>
        <row r="18">
          <cell r="D18" t="str">
            <v>51~100</v>
          </cell>
          <cell r="E18">
            <v>15302</v>
          </cell>
        </row>
        <row r="19">
          <cell r="D19" t="str">
            <v>&gt;100</v>
          </cell>
          <cell r="E19">
            <v>15000</v>
          </cell>
        </row>
      </sheetData>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8"/>
  <sheetViews>
    <sheetView workbookViewId="0">
      <selection activeCell="Q16" sqref="Q16"/>
    </sheetView>
  </sheetViews>
  <sheetFormatPr defaultColWidth="9" defaultRowHeight="14" outlineLevelCol="2"/>
  <cols>
    <col min="1" max="3" width="40.5833333333333" customWidth="1"/>
  </cols>
  <sheetData>
    <row r="1" ht="18.5" customHeight="1" spans="1:3">
      <c r="A1" s="19" t="s">
        <v>0</v>
      </c>
      <c r="B1" s="23" t="s">
        <v>1</v>
      </c>
      <c r="C1" s="6" t="s">
        <v>2</v>
      </c>
    </row>
    <row r="2" ht="18.5" customHeight="1" spans="1:3">
      <c r="A2" s="20">
        <v>44228</v>
      </c>
      <c r="B2" s="24">
        <v>1</v>
      </c>
      <c r="C2" s="8">
        <f>B2</f>
        <v>1</v>
      </c>
    </row>
    <row r="3" ht="18.5" customHeight="1" spans="1:3">
      <c r="A3" s="21">
        <v>44256</v>
      </c>
      <c r="B3" s="25">
        <v>5</v>
      </c>
      <c r="C3" s="10">
        <f>B3+C2</f>
        <v>6</v>
      </c>
    </row>
    <row r="4" ht="18.5" customHeight="1" spans="1:3">
      <c r="A4" s="21">
        <v>44287</v>
      </c>
      <c r="B4" s="25">
        <v>80</v>
      </c>
      <c r="C4" s="10">
        <f>B4+C3</f>
        <v>86</v>
      </c>
    </row>
    <row r="5" ht="18.5" customHeight="1" spans="1:3">
      <c r="A5" s="21">
        <v>44317</v>
      </c>
      <c r="B5" s="25">
        <v>141</v>
      </c>
      <c r="C5" s="10">
        <f t="shared" ref="C5:C38" si="0">B5+C4</f>
        <v>227</v>
      </c>
    </row>
    <row r="6" ht="18.5" customHeight="1" spans="1:3">
      <c r="A6" s="21">
        <v>44348</v>
      </c>
      <c r="B6" s="25">
        <v>146</v>
      </c>
      <c r="C6" s="10">
        <f t="shared" si="0"/>
        <v>373</v>
      </c>
    </row>
    <row r="7" ht="18.5" customHeight="1" spans="1:3">
      <c r="A7" s="21">
        <v>44378</v>
      </c>
      <c r="B7" s="25">
        <v>163</v>
      </c>
      <c r="C7" s="10">
        <f t="shared" si="0"/>
        <v>536</v>
      </c>
    </row>
    <row r="8" ht="18.5" customHeight="1" spans="1:3">
      <c r="A8" s="21">
        <v>44409</v>
      </c>
      <c r="B8" s="25">
        <v>211</v>
      </c>
      <c r="C8" s="10">
        <f t="shared" si="0"/>
        <v>747</v>
      </c>
    </row>
    <row r="9" ht="18.5" customHeight="1" spans="1:3">
      <c r="A9" s="21">
        <v>44440</v>
      </c>
      <c r="B9" s="25">
        <v>205</v>
      </c>
      <c r="C9" s="10">
        <f t="shared" si="0"/>
        <v>952</v>
      </c>
    </row>
    <row r="10" ht="18.5" customHeight="1" spans="1:3">
      <c r="A10" s="21">
        <v>44470</v>
      </c>
      <c r="B10" s="25">
        <v>136</v>
      </c>
      <c r="C10" s="10">
        <f t="shared" si="0"/>
        <v>1088</v>
      </c>
    </row>
    <row r="11" ht="18.5" customHeight="1" spans="1:3">
      <c r="A11" s="21">
        <v>44501</v>
      </c>
      <c r="B11" s="25">
        <v>113</v>
      </c>
      <c r="C11" s="10">
        <f t="shared" si="0"/>
        <v>1201</v>
      </c>
    </row>
    <row r="12" ht="18.5" customHeight="1" spans="1:3">
      <c r="A12" s="21">
        <v>44531</v>
      </c>
      <c r="B12" s="25">
        <v>114</v>
      </c>
      <c r="C12" s="10">
        <f t="shared" si="0"/>
        <v>1315</v>
      </c>
    </row>
    <row r="13" ht="18.5" customHeight="1" spans="1:3">
      <c r="A13" s="21">
        <v>44562</v>
      </c>
      <c r="B13" s="25">
        <v>100</v>
      </c>
      <c r="C13" s="10">
        <f t="shared" si="0"/>
        <v>1415</v>
      </c>
    </row>
    <row r="14" ht="18.5" customHeight="1" spans="1:3">
      <c r="A14" s="21">
        <v>44593</v>
      </c>
      <c r="B14" s="25">
        <v>70</v>
      </c>
      <c r="C14" s="10">
        <f t="shared" si="0"/>
        <v>1485</v>
      </c>
    </row>
    <row r="15" ht="18.5" customHeight="1" spans="1:3">
      <c r="A15" s="21">
        <v>44621</v>
      </c>
      <c r="B15" s="25">
        <v>69</v>
      </c>
      <c r="C15" s="10">
        <f t="shared" si="0"/>
        <v>1554</v>
      </c>
    </row>
    <row r="16" ht="18.5" customHeight="1" spans="1:3">
      <c r="A16" s="21">
        <v>44652</v>
      </c>
      <c r="B16" s="25">
        <v>128</v>
      </c>
      <c r="C16" s="10">
        <f t="shared" si="0"/>
        <v>1682</v>
      </c>
    </row>
    <row r="17" ht="18.5" customHeight="1" spans="1:3">
      <c r="A17" s="21">
        <v>44682</v>
      </c>
      <c r="B17" s="25">
        <v>128</v>
      </c>
      <c r="C17" s="10">
        <f t="shared" si="0"/>
        <v>1810</v>
      </c>
    </row>
    <row r="18" ht="18.5" customHeight="1" spans="1:3">
      <c r="A18" s="21">
        <v>44713</v>
      </c>
      <c r="B18" s="25">
        <v>137</v>
      </c>
      <c r="C18" s="10">
        <f t="shared" si="0"/>
        <v>1947</v>
      </c>
    </row>
    <row r="19" ht="18.5" customHeight="1" spans="1:3">
      <c r="A19" s="21">
        <v>44743</v>
      </c>
      <c r="B19" s="25">
        <v>140</v>
      </c>
      <c r="C19" s="10">
        <f t="shared" si="0"/>
        <v>2087</v>
      </c>
    </row>
    <row r="20" ht="18.5" customHeight="1" spans="1:3">
      <c r="A20" s="21">
        <v>44774</v>
      </c>
      <c r="B20" s="25">
        <v>148</v>
      </c>
      <c r="C20" s="10">
        <f t="shared" si="0"/>
        <v>2235</v>
      </c>
    </row>
    <row r="21" ht="18.5" customHeight="1" spans="1:3">
      <c r="A21" s="21">
        <v>44805</v>
      </c>
      <c r="B21" s="25">
        <v>135</v>
      </c>
      <c r="C21" s="10">
        <f t="shared" si="0"/>
        <v>2370</v>
      </c>
    </row>
    <row r="22" ht="18.5" customHeight="1" spans="1:3">
      <c r="A22" s="21">
        <v>44835</v>
      </c>
      <c r="B22" s="25">
        <v>164</v>
      </c>
      <c r="C22" s="10">
        <f t="shared" si="0"/>
        <v>2534</v>
      </c>
    </row>
    <row r="23" ht="18.5" customHeight="1" spans="1:3">
      <c r="A23" s="21">
        <v>44866</v>
      </c>
      <c r="B23" s="25">
        <v>139</v>
      </c>
      <c r="C23" s="10">
        <f t="shared" si="0"/>
        <v>2673</v>
      </c>
    </row>
    <row r="24" ht="18.5" customHeight="1" spans="1:3">
      <c r="A24" s="21">
        <v>44896</v>
      </c>
      <c r="B24" s="25">
        <v>428</v>
      </c>
      <c r="C24" s="10">
        <f t="shared" si="0"/>
        <v>3101</v>
      </c>
    </row>
    <row r="25" ht="18.5" customHeight="1" spans="1:3">
      <c r="A25" s="21">
        <v>44927</v>
      </c>
      <c r="B25" s="25">
        <v>738</v>
      </c>
      <c r="C25" s="10">
        <f t="shared" si="0"/>
        <v>3839</v>
      </c>
    </row>
    <row r="26" ht="18.5" customHeight="1" spans="1:3">
      <c r="A26" s="21">
        <v>44958</v>
      </c>
      <c r="B26" s="25">
        <v>811</v>
      </c>
      <c r="C26" s="10">
        <f t="shared" si="0"/>
        <v>4650</v>
      </c>
    </row>
    <row r="27" ht="18.5" customHeight="1" spans="1:3">
      <c r="A27" s="21">
        <v>44986</v>
      </c>
      <c r="B27" s="25">
        <v>1814</v>
      </c>
      <c r="C27" s="10">
        <f t="shared" si="0"/>
        <v>6464</v>
      </c>
    </row>
    <row r="28" ht="18.5" customHeight="1" spans="1:3">
      <c r="A28" s="21">
        <v>45017</v>
      </c>
      <c r="B28" s="25">
        <v>1584</v>
      </c>
      <c r="C28" s="10">
        <f t="shared" si="0"/>
        <v>8048</v>
      </c>
    </row>
    <row r="29" ht="18.5" customHeight="1" spans="1:3">
      <c r="A29" s="21">
        <v>45047</v>
      </c>
      <c r="B29" s="25">
        <v>1740</v>
      </c>
      <c r="C29" s="10">
        <f t="shared" si="0"/>
        <v>9788</v>
      </c>
    </row>
    <row r="30" ht="18.5" customHeight="1" spans="1:3">
      <c r="A30" s="21">
        <v>45078</v>
      </c>
      <c r="B30" s="25">
        <v>1179</v>
      </c>
      <c r="C30" s="10">
        <f t="shared" si="0"/>
        <v>10967</v>
      </c>
    </row>
    <row r="31" ht="18.5" customHeight="1" spans="1:3">
      <c r="A31" s="21">
        <v>45108</v>
      </c>
      <c r="B31" s="25">
        <v>1089</v>
      </c>
      <c r="C31" s="10">
        <f t="shared" si="0"/>
        <v>12056</v>
      </c>
    </row>
    <row r="32" ht="18.5" customHeight="1" spans="1:3">
      <c r="A32" s="21">
        <v>45139</v>
      </c>
      <c r="B32" s="25">
        <v>964</v>
      </c>
      <c r="C32" s="10">
        <f t="shared" si="0"/>
        <v>13020</v>
      </c>
    </row>
    <row r="33" ht="18.5" customHeight="1" spans="1:3">
      <c r="A33" s="21">
        <v>45170</v>
      </c>
      <c r="B33" s="25">
        <v>1029</v>
      </c>
      <c r="C33" s="10">
        <f t="shared" si="0"/>
        <v>14049</v>
      </c>
    </row>
    <row r="34" ht="18.5" customHeight="1" spans="1:3">
      <c r="A34" s="21">
        <v>45200</v>
      </c>
      <c r="B34" s="25">
        <v>1140</v>
      </c>
      <c r="C34" s="10">
        <f t="shared" si="0"/>
        <v>15189</v>
      </c>
    </row>
    <row r="35" ht="18.5" customHeight="1" spans="1:3">
      <c r="A35" s="21">
        <v>45231</v>
      </c>
      <c r="B35" s="25">
        <v>3131</v>
      </c>
      <c r="C35" s="10">
        <f t="shared" si="0"/>
        <v>18320</v>
      </c>
    </row>
    <row r="36" ht="18.5" customHeight="1" spans="1:3">
      <c r="A36" s="21">
        <v>45261</v>
      </c>
      <c r="B36" s="25">
        <v>1776</v>
      </c>
      <c r="C36" s="10">
        <f t="shared" si="0"/>
        <v>20096</v>
      </c>
    </row>
    <row r="37" ht="18.5" customHeight="1" spans="1:3">
      <c r="A37" s="21">
        <v>45292</v>
      </c>
      <c r="B37" s="25">
        <v>979</v>
      </c>
      <c r="C37" s="10">
        <f t="shared" si="0"/>
        <v>21075</v>
      </c>
    </row>
    <row r="38" ht="18.5" customHeight="1" spans="1:3">
      <c r="A38" s="22" t="s">
        <v>3</v>
      </c>
      <c r="B38" s="26">
        <v>21075</v>
      </c>
      <c r="C38" s="12"/>
    </row>
  </sheetData>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7"/>
  <sheetViews>
    <sheetView topLeftCell="C7" workbookViewId="0">
      <selection activeCell="C1" sqref="C1"/>
    </sheetView>
  </sheetViews>
  <sheetFormatPr defaultColWidth="9" defaultRowHeight="14" outlineLevelCol="2"/>
  <cols>
    <col min="1" max="1" width="36.8583333333333" customWidth="1"/>
    <col min="2" max="3" width="40.5833333333333" customWidth="1"/>
  </cols>
  <sheetData>
    <row r="1" ht="18.5" customHeight="1" spans="1:3">
      <c r="A1" s="81" t="s">
        <v>4</v>
      </c>
      <c r="B1" s="82" t="s">
        <v>5</v>
      </c>
      <c r="C1" s="81" t="s">
        <v>6</v>
      </c>
    </row>
    <row r="2" ht="18.5" customHeight="1" spans="1:3">
      <c r="A2" s="83">
        <v>44228</v>
      </c>
      <c r="B2" s="84">
        <v>4</v>
      </c>
      <c r="C2" s="84">
        <f>B2</f>
        <v>4</v>
      </c>
    </row>
    <row r="3" ht="18.5" customHeight="1" spans="1:3">
      <c r="A3" s="83">
        <v>44256</v>
      </c>
      <c r="B3" s="84">
        <v>25</v>
      </c>
      <c r="C3" s="84">
        <f>B3+C2</f>
        <v>29</v>
      </c>
    </row>
    <row r="4" ht="18.5" customHeight="1" spans="1:3">
      <c r="A4" s="83">
        <v>44287</v>
      </c>
      <c r="B4" s="84">
        <v>623</v>
      </c>
      <c r="C4" s="84">
        <f>B4+C3</f>
        <v>652</v>
      </c>
    </row>
    <row r="5" ht="18.5" customHeight="1" spans="1:3">
      <c r="A5" s="83">
        <v>44317</v>
      </c>
      <c r="B5" s="84">
        <v>570</v>
      </c>
      <c r="C5" s="84">
        <f t="shared" ref="C5:C37" si="0">B5+C4</f>
        <v>1222</v>
      </c>
    </row>
    <row r="6" ht="18.5" customHeight="1" spans="1:3">
      <c r="A6" s="83">
        <v>44348</v>
      </c>
      <c r="B6" s="84">
        <v>433</v>
      </c>
      <c r="C6" s="84">
        <f t="shared" si="0"/>
        <v>1655</v>
      </c>
    </row>
    <row r="7" ht="18.5" customHeight="1" spans="1:3">
      <c r="A7" s="83">
        <v>44378</v>
      </c>
      <c r="B7" s="84">
        <v>454</v>
      </c>
      <c r="C7" s="84">
        <f t="shared" si="0"/>
        <v>2109</v>
      </c>
    </row>
    <row r="8" ht="18.5" customHeight="1" spans="1:3">
      <c r="A8" s="83">
        <v>44409</v>
      </c>
      <c r="B8" s="84">
        <v>491</v>
      </c>
      <c r="C8" s="84">
        <f t="shared" si="0"/>
        <v>2600</v>
      </c>
    </row>
    <row r="9" ht="18.5" customHeight="1" spans="1:3">
      <c r="A9" s="83">
        <v>44440</v>
      </c>
      <c r="B9" s="84">
        <v>509</v>
      </c>
      <c r="C9" s="84">
        <f t="shared" si="0"/>
        <v>3109</v>
      </c>
    </row>
    <row r="10" ht="18.5" customHeight="1" spans="1:3">
      <c r="A10" s="83">
        <v>44470</v>
      </c>
      <c r="B10" s="84">
        <v>266</v>
      </c>
      <c r="C10" s="84">
        <f t="shared" si="0"/>
        <v>3375</v>
      </c>
    </row>
    <row r="11" ht="18.5" customHeight="1" spans="1:3">
      <c r="A11" s="83">
        <v>44501</v>
      </c>
      <c r="B11" s="84">
        <v>228</v>
      </c>
      <c r="C11" s="84">
        <f t="shared" si="0"/>
        <v>3603</v>
      </c>
    </row>
    <row r="12" ht="18.5" customHeight="1" spans="1:3">
      <c r="A12" s="83">
        <v>44531</v>
      </c>
      <c r="B12" s="84">
        <v>265</v>
      </c>
      <c r="C12" s="84">
        <f t="shared" si="0"/>
        <v>3868</v>
      </c>
    </row>
    <row r="13" ht="18.5" customHeight="1" spans="1:3">
      <c r="A13" s="83">
        <v>44562</v>
      </c>
      <c r="B13" s="84">
        <v>309</v>
      </c>
      <c r="C13" s="84">
        <f t="shared" si="0"/>
        <v>4177</v>
      </c>
    </row>
    <row r="14" ht="18.5" customHeight="1" spans="1:3">
      <c r="A14" s="83">
        <v>44593</v>
      </c>
      <c r="B14" s="84">
        <v>437</v>
      </c>
      <c r="C14" s="84">
        <f t="shared" si="0"/>
        <v>4614</v>
      </c>
    </row>
    <row r="15" ht="18.5" customHeight="1" spans="1:3">
      <c r="A15" s="83">
        <v>44621</v>
      </c>
      <c r="B15" s="84">
        <v>467</v>
      </c>
      <c r="C15" s="84">
        <f t="shared" si="0"/>
        <v>5081</v>
      </c>
    </row>
    <row r="16" ht="18.5" customHeight="1" spans="1:3">
      <c r="A16" s="83">
        <v>44652</v>
      </c>
      <c r="B16" s="84">
        <v>784</v>
      </c>
      <c r="C16" s="84">
        <f t="shared" si="0"/>
        <v>5865</v>
      </c>
    </row>
    <row r="17" ht="18.5" customHeight="1" spans="1:3">
      <c r="A17" s="83">
        <v>44682</v>
      </c>
      <c r="B17" s="84">
        <v>509</v>
      </c>
      <c r="C17" s="84">
        <f t="shared" si="0"/>
        <v>6374</v>
      </c>
    </row>
    <row r="18" ht="18.5" customHeight="1" spans="1:3">
      <c r="A18" s="83">
        <v>44713</v>
      </c>
      <c r="B18" s="84">
        <v>282</v>
      </c>
      <c r="C18" s="84">
        <f t="shared" si="0"/>
        <v>6656</v>
      </c>
    </row>
    <row r="19" ht="18.5" customHeight="1" spans="1:3">
      <c r="A19" s="83">
        <v>44743</v>
      </c>
      <c r="B19" s="84">
        <v>450</v>
      </c>
      <c r="C19" s="84">
        <f t="shared" si="0"/>
        <v>7106</v>
      </c>
    </row>
    <row r="20" ht="18.5" customHeight="1" spans="1:3">
      <c r="A20" s="83">
        <v>44774</v>
      </c>
      <c r="B20" s="84">
        <v>523</v>
      </c>
      <c r="C20" s="84">
        <f t="shared" si="0"/>
        <v>7629</v>
      </c>
    </row>
    <row r="21" ht="18.5" customHeight="1" spans="1:3">
      <c r="A21" s="83">
        <v>44805</v>
      </c>
      <c r="B21" s="84">
        <v>429</v>
      </c>
      <c r="C21" s="84">
        <f t="shared" si="0"/>
        <v>8058</v>
      </c>
    </row>
    <row r="22" ht="18.5" customHeight="1" spans="1:3">
      <c r="A22" s="83">
        <v>44835</v>
      </c>
      <c r="B22" s="84">
        <v>550</v>
      </c>
      <c r="C22" s="84">
        <f t="shared" si="0"/>
        <v>8608</v>
      </c>
    </row>
    <row r="23" ht="18.5" customHeight="1" spans="1:3">
      <c r="A23" s="83">
        <v>44866</v>
      </c>
      <c r="B23" s="84">
        <v>614</v>
      </c>
      <c r="C23" s="84">
        <f t="shared" si="0"/>
        <v>9222</v>
      </c>
    </row>
    <row r="24" ht="18.5" customHeight="1" spans="1:3">
      <c r="A24" s="83">
        <v>44896</v>
      </c>
      <c r="B24" s="84">
        <v>4008</v>
      </c>
      <c r="C24" s="84">
        <f t="shared" si="0"/>
        <v>13230</v>
      </c>
    </row>
    <row r="25" ht="18.5" customHeight="1" spans="1:3">
      <c r="A25" s="83">
        <v>44927</v>
      </c>
      <c r="B25" s="84">
        <v>14933</v>
      </c>
      <c r="C25" s="84">
        <f t="shared" si="0"/>
        <v>28163</v>
      </c>
    </row>
    <row r="26" ht="18.5" customHeight="1" spans="1:3">
      <c r="A26" s="83">
        <v>44958</v>
      </c>
      <c r="B26" s="84">
        <v>28685</v>
      </c>
      <c r="C26" s="84">
        <f t="shared" si="0"/>
        <v>56848</v>
      </c>
    </row>
    <row r="27" ht="18.5" customHeight="1" spans="1:3">
      <c r="A27" s="83">
        <v>44986</v>
      </c>
      <c r="B27" s="84">
        <v>47123</v>
      </c>
      <c r="C27" s="84">
        <f t="shared" si="0"/>
        <v>103971</v>
      </c>
    </row>
    <row r="28" ht="18.5" customHeight="1" spans="1:3">
      <c r="A28" s="83">
        <v>45017</v>
      </c>
      <c r="B28" s="84">
        <v>47067</v>
      </c>
      <c r="C28" s="84">
        <f t="shared" si="0"/>
        <v>151038</v>
      </c>
    </row>
    <row r="29" ht="18.5" customHeight="1" spans="1:3">
      <c r="A29" s="83">
        <v>45047</v>
      </c>
      <c r="B29" s="84">
        <v>51609</v>
      </c>
      <c r="C29" s="84">
        <f t="shared" si="0"/>
        <v>202647</v>
      </c>
    </row>
    <row r="30" ht="18.5" customHeight="1" spans="1:3">
      <c r="A30" s="83">
        <v>45078</v>
      </c>
      <c r="B30" s="84">
        <v>35068</v>
      </c>
      <c r="C30" s="84">
        <f t="shared" si="0"/>
        <v>237715</v>
      </c>
    </row>
    <row r="31" ht="18.5" customHeight="1" spans="1:3">
      <c r="A31" s="83">
        <v>45108</v>
      </c>
      <c r="B31" s="84">
        <v>25223</v>
      </c>
      <c r="C31" s="84">
        <f t="shared" si="0"/>
        <v>262938</v>
      </c>
    </row>
    <row r="32" ht="18.5" customHeight="1" spans="1:3">
      <c r="A32" s="83">
        <v>45139</v>
      </c>
      <c r="B32" s="84">
        <v>28288</v>
      </c>
      <c r="C32" s="84">
        <f t="shared" si="0"/>
        <v>291226</v>
      </c>
    </row>
    <row r="33" ht="18.5" customHeight="1" spans="1:3">
      <c r="A33" s="83">
        <v>45170</v>
      </c>
      <c r="B33" s="84">
        <v>57179</v>
      </c>
      <c r="C33" s="84">
        <f t="shared" si="0"/>
        <v>348405</v>
      </c>
    </row>
    <row r="34" ht="18.5" customHeight="1" spans="1:3">
      <c r="A34" s="83">
        <v>45200</v>
      </c>
      <c r="B34" s="84">
        <v>52760</v>
      </c>
      <c r="C34" s="84">
        <f t="shared" si="0"/>
        <v>401165</v>
      </c>
    </row>
    <row r="35" ht="18.5" customHeight="1" spans="1:3">
      <c r="A35" s="83">
        <v>45231</v>
      </c>
      <c r="B35" s="84">
        <v>61750</v>
      </c>
      <c r="C35" s="84">
        <f t="shared" si="0"/>
        <v>462915</v>
      </c>
    </row>
    <row r="36" ht="18.5" customHeight="1" spans="1:3">
      <c r="A36" s="83">
        <v>45261</v>
      </c>
      <c r="B36" s="84">
        <v>33094</v>
      </c>
      <c r="C36" s="84">
        <f t="shared" si="0"/>
        <v>496009</v>
      </c>
    </row>
    <row r="37" ht="18.5" customHeight="1" spans="1:3">
      <c r="A37" s="83">
        <v>45292</v>
      </c>
      <c r="B37" s="84">
        <v>20703</v>
      </c>
      <c r="C37" s="84">
        <f t="shared" si="0"/>
        <v>516712</v>
      </c>
    </row>
  </sheetData>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9"/>
  <sheetViews>
    <sheetView workbookViewId="0">
      <selection activeCell="B1" sqref="B1"/>
    </sheetView>
  </sheetViews>
  <sheetFormatPr defaultColWidth="8.66666666666667" defaultRowHeight="14" outlineLevelCol="2"/>
  <cols>
    <col min="1" max="1" width="40.5833333333333" customWidth="1"/>
    <col min="2" max="2" width="14.1833333333333" customWidth="1"/>
    <col min="3" max="3" width="18.0666666666667" style="75" customWidth="1"/>
  </cols>
  <sheetData>
    <row r="1" ht="17.15" customHeight="1" spans="1:3">
      <c r="A1" s="5" t="s">
        <v>7</v>
      </c>
      <c r="B1" s="23" t="s">
        <v>8</v>
      </c>
      <c r="C1" s="53" t="s">
        <v>9</v>
      </c>
    </row>
    <row r="2" ht="17.15" customHeight="1" spans="1:3">
      <c r="A2" s="7" t="s">
        <v>10</v>
      </c>
      <c r="B2" s="24">
        <v>33</v>
      </c>
      <c r="C2" s="77">
        <f>B2/B15</f>
        <v>0.00156583629893238</v>
      </c>
    </row>
    <row r="3" ht="17.15" customHeight="1" spans="1:3">
      <c r="A3" s="9" t="s">
        <v>11</v>
      </c>
      <c r="B3" s="25">
        <v>33</v>
      </c>
      <c r="C3" s="78">
        <f>B3/B15</f>
        <v>0.00156583629893238</v>
      </c>
    </row>
    <row r="4" ht="17.15" customHeight="1" spans="1:3">
      <c r="A4" s="9" t="s">
        <v>12</v>
      </c>
      <c r="B4" s="25">
        <v>46</v>
      </c>
      <c r="C4" s="78">
        <f>B4/B15</f>
        <v>0.00218268090154211</v>
      </c>
    </row>
    <row r="5" ht="17.15" customHeight="1" spans="1:3">
      <c r="A5" s="9" t="s">
        <v>13</v>
      </c>
      <c r="B5" s="25">
        <v>61</v>
      </c>
      <c r="C5" s="78">
        <f>B5/B15</f>
        <v>0.0028944246737841</v>
      </c>
    </row>
    <row r="6" ht="17.15" customHeight="1" spans="1:3">
      <c r="A6" s="9" t="s">
        <v>14</v>
      </c>
      <c r="B6" s="25">
        <v>191</v>
      </c>
      <c r="C6" s="78">
        <f>B6/B15</f>
        <v>0.00906287069988138</v>
      </c>
    </row>
    <row r="7" ht="17.15" customHeight="1" spans="1:3">
      <c r="A7" s="9" t="s">
        <v>15</v>
      </c>
      <c r="B7" s="25">
        <v>248</v>
      </c>
      <c r="C7" s="78">
        <f>B7/B15</f>
        <v>0.0117674970344009</v>
      </c>
    </row>
    <row r="8" ht="17.15" customHeight="1" spans="1:3">
      <c r="A8" s="9" t="s">
        <v>16</v>
      </c>
      <c r="B8" s="25">
        <v>258</v>
      </c>
      <c r="C8" s="78">
        <f>B8/B15</f>
        <v>0.0122419928825623</v>
      </c>
    </row>
    <row r="9" ht="17.15" customHeight="1" spans="1:3">
      <c r="A9" s="9" t="s">
        <v>17</v>
      </c>
      <c r="B9" s="25">
        <v>269</v>
      </c>
      <c r="C9" s="78">
        <f>B9/B15</f>
        <v>0.0127639383155397</v>
      </c>
    </row>
    <row r="10" ht="17.15" customHeight="1" spans="1:3">
      <c r="A10" s="9" t="s">
        <v>18</v>
      </c>
      <c r="B10" s="25">
        <v>1638</v>
      </c>
      <c r="C10" s="78">
        <f>B10/B15</f>
        <v>0.0777224199288256</v>
      </c>
    </row>
    <row r="11" ht="17.15" customHeight="1" spans="1:3">
      <c r="A11" s="9" t="s">
        <v>19</v>
      </c>
      <c r="B11" s="25">
        <v>1827</v>
      </c>
      <c r="C11" s="78">
        <f>B11/B15</f>
        <v>0.0866903914590747</v>
      </c>
    </row>
    <row r="12" ht="17.15" customHeight="1" spans="1:3">
      <c r="A12" s="9" t="s">
        <v>20</v>
      </c>
      <c r="B12" s="25">
        <v>2553</v>
      </c>
      <c r="C12" s="78">
        <f>B12/B15</f>
        <v>0.121138790035587</v>
      </c>
    </row>
    <row r="13" ht="17.15" customHeight="1" spans="1:3">
      <c r="A13" s="9" t="s">
        <v>21</v>
      </c>
      <c r="B13" s="25">
        <v>3868</v>
      </c>
      <c r="C13" s="78">
        <f>B13/B15</f>
        <v>0.183534994068802</v>
      </c>
    </row>
    <row r="14" ht="17.15" customHeight="1" spans="1:3">
      <c r="A14" s="9" t="s">
        <v>22</v>
      </c>
      <c r="B14" s="25">
        <v>10050</v>
      </c>
      <c r="C14" s="78">
        <f>B14/B15</f>
        <v>0.476868327402135</v>
      </c>
    </row>
    <row r="15" ht="17.15" customHeight="1" spans="1:3">
      <c r="A15" s="11" t="s">
        <v>3</v>
      </c>
      <c r="B15" s="26">
        <v>21075</v>
      </c>
      <c r="C15" s="79">
        <f>SUM(C2:C14)</f>
        <v>1</v>
      </c>
    </row>
    <row r="17" spans="2:2">
      <c r="B17" s="80"/>
    </row>
    <row r="19" spans="2:2">
      <c r="B19" s="80"/>
    </row>
    <row r="21" spans="2:2">
      <c r="B21" s="80"/>
    </row>
    <row r="23" spans="2:2">
      <c r="B23" s="80"/>
    </row>
    <row r="25" spans="2:2">
      <c r="B25" s="80"/>
    </row>
    <row r="27" spans="2:2">
      <c r="B27" s="80"/>
    </row>
    <row r="29" spans="2:2">
      <c r="B29" s="80"/>
    </row>
  </sheetData>
  <sortState ref="A2:B15">
    <sortCondition ref="B2"/>
  </sortState>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53"/>
  <sheetViews>
    <sheetView workbookViewId="0">
      <selection activeCell="F1" sqref="F1:I40"/>
    </sheetView>
  </sheetViews>
  <sheetFormatPr defaultColWidth="8.66666666666667" defaultRowHeight="14"/>
  <cols>
    <col min="1" max="1" width="12.8416666666667" customWidth="1"/>
    <col min="2" max="2" width="9.34166666666667" customWidth="1"/>
    <col min="3" max="3" width="9.84166666666667" style="75" customWidth="1"/>
    <col min="6" max="6" width="28.675" customWidth="1"/>
    <col min="7" max="7" width="6.84166666666667" customWidth="1"/>
    <col min="8" max="8" width="9.34166666666667" style="13" customWidth="1"/>
    <col min="9" max="9" width="8.84166666666667" style="75" customWidth="1"/>
    <col min="12" max="12" width="13.175" customWidth="1"/>
    <col min="13" max="13" width="6.675" customWidth="1"/>
    <col min="14" max="14" width="9.34166666666667" customWidth="1"/>
    <col min="17" max="17" width="25.8416666666667" customWidth="1"/>
    <col min="18" max="18" width="6.675" customWidth="1"/>
    <col min="19" max="19" width="9.34166666666667" customWidth="1"/>
  </cols>
  <sheetData>
    <row r="1" ht="18.5" customHeight="1" spans="1:19">
      <c r="A1" s="5" t="s">
        <v>23</v>
      </c>
      <c r="B1" s="23" t="s">
        <v>8</v>
      </c>
      <c r="C1" s="53" t="s">
        <v>9</v>
      </c>
      <c r="F1" s="5" t="s">
        <v>23</v>
      </c>
      <c r="G1" s="23" t="s">
        <v>24</v>
      </c>
      <c r="H1" s="38" t="s">
        <v>8</v>
      </c>
      <c r="I1" s="53" t="s">
        <v>9</v>
      </c>
      <c r="L1" s="5" t="s">
        <v>25</v>
      </c>
      <c r="M1" s="23" t="s">
        <v>24</v>
      </c>
      <c r="N1" s="6" t="s">
        <v>8</v>
      </c>
      <c r="Q1" s="5" t="s">
        <v>26</v>
      </c>
      <c r="R1" s="23" t="s">
        <v>24</v>
      </c>
      <c r="S1" s="6" t="s">
        <v>8</v>
      </c>
    </row>
    <row r="2" ht="18.5" customHeight="1" spans="1:19">
      <c r="A2" s="54" t="s">
        <v>27</v>
      </c>
      <c r="B2" s="55">
        <v>10</v>
      </c>
      <c r="C2" s="57">
        <f t="shared" ref="C2:C65" si="0">B2/1489</f>
        <v>0.00671591672263264</v>
      </c>
      <c r="F2" s="54" t="s">
        <v>28</v>
      </c>
      <c r="G2" s="55" t="s">
        <v>27</v>
      </c>
      <c r="H2" s="56">
        <f>B2+B3+B4+B5+B6</f>
        <v>16</v>
      </c>
      <c r="I2" s="57">
        <f>H2/S2</f>
        <v>0.0359550561797753</v>
      </c>
      <c r="L2" s="54" t="s">
        <v>22</v>
      </c>
      <c r="M2" s="55" t="s">
        <v>29</v>
      </c>
      <c r="N2" s="66">
        <f ca="1">SUM(Sheet5!H2:Sheet5!H7)+B125+B126</f>
        <v>2039</v>
      </c>
      <c r="Q2" s="54" t="s">
        <v>30</v>
      </c>
      <c r="R2" s="55" t="s">
        <v>31</v>
      </c>
      <c r="S2" s="66">
        <v>445</v>
      </c>
    </row>
    <row r="3" ht="18.5" customHeight="1" spans="1:19">
      <c r="A3" s="58" t="s">
        <v>32</v>
      </c>
      <c r="B3" s="59">
        <v>3</v>
      </c>
      <c r="C3" s="61">
        <f t="shared" si="0"/>
        <v>0.00201477501678979</v>
      </c>
      <c r="F3" s="58" t="s">
        <v>33</v>
      </c>
      <c r="G3" s="59" t="s">
        <v>34</v>
      </c>
      <c r="H3" s="60">
        <f>B7+B8</f>
        <v>10</v>
      </c>
      <c r="I3" s="61">
        <f>H3/S2</f>
        <v>0.0224719101123595</v>
      </c>
      <c r="L3" s="58" t="s">
        <v>35</v>
      </c>
      <c r="M3" s="59" t="s">
        <v>36</v>
      </c>
      <c r="N3" s="67">
        <f ca="1">SUM(Sheet5!H8:Sheet5!H10)+SUM(B131:B135)+SUM(B147:B152)</f>
        <v>219</v>
      </c>
      <c r="Q3" s="58" t="s">
        <v>37</v>
      </c>
      <c r="R3" s="59" t="s">
        <v>38</v>
      </c>
      <c r="S3" s="67">
        <v>506</v>
      </c>
    </row>
    <row r="4" ht="18.5" customHeight="1" spans="1:19">
      <c r="A4" s="58" t="s">
        <v>39</v>
      </c>
      <c r="B4" s="59">
        <v>1</v>
      </c>
      <c r="C4" s="61">
        <f t="shared" si="0"/>
        <v>0.000671591672263264</v>
      </c>
      <c r="F4" s="58" t="s">
        <v>40</v>
      </c>
      <c r="G4" s="59" t="s">
        <v>41</v>
      </c>
      <c r="H4" s="60">
        <f>SUM(B9:B15)</f>
        <v>86</v>
      </c>
      <c r="I4" s="61">
        <f>H4/S2</f>
        <v>0.193258426966292</v>
      </c>
      <c r="L4" s="58" t="s">
        <v>21</v>
      </c>
      <c r="M4" s="59" t="s">
        <v>42</v>
      </c>
      <c r="N4" s="67"/>
      <c r="Q4" s="58" t="s">
        <v>43</v>
      </c>
      <c r="R4" s="59" t="s">
        <v>44</v>
      </c>
      <c r="S4" s="67">
        <v>212</v>
      </c>
    </row>
    <row r="5" ht="18.5" customHeight="1" spans="1:19">
      <c r="A5" s="58" t="s">
        <v>45</v>
      </c>
      <c r="B5" s="59">
        <v>1</v>
      </c>
      <c r="C5" s="61">
        <f t="shared" si="0"/>
        <v>0.000671591672263264</v>
      </c>
      <c r="F5" s="58" t="s">
        <v>46</v>
      </c>
      <c r="G5" s="59" t="s">
        <v>47</v>
      </c>
      <c r="H5" s="60">
        <f>SUM(B16:B31)</f>
        <v>333</v>
      </c>
      <c r="I5" s="61">
        <f>H5/S2</f>
        <v>0.748314606741573</v>
      </c>
      <c r="L5" s="62" t="s">
        <v>19</v>
      </c>
      <c r="M5" s="63" t="s">
        <v>48</v>
      </c>
      <c r="N5" s="76"/>
      <c r="Q5" s="58" t="s">
        <v>49</v>
      </c>
      <c r="R5" s="59" t="s">
        <v>50</v>
      </c>
      <c r="S5" s="67">
        <v>95</v>
      </c>
    </row>
    <row r="6" ht="18.5" customHeight="1" spans="1:19">
      <c r="A6" s="58" t="s">
        <v>51</v>
      </c>
      <c r="B6" s="59">
        <v>1</v>
      </c>
      <c r="C6" s="61">
        <f t="shared" si="0"/>
        <v>0.000671591672263264</v>
      </c>
      <c r="F6" s="58" t="s">
        <v>52</v>
      </c>
      <c r="G6" s="59" t="s">
        <v>53</v>
      </c>
      <c r="H6" s="60">
        <f>SUM(B32:B37)</f>
        <v>20</v>
      </c>
      <c r="I6" s="61">
        <f>H6/S3</f>
        <v>0.0395256916996047</v>
      </c>
      <c r="Q6" s="58" t="s">
        <v>54</v>
      </c>
      <c r="R6" s="59" t="s">
        <v>55</v>
      </c>
      <c r="S6" s="67">
        <v>493</v>
      </c>
    </row>
    <row r="7" ht="18.5" customHeight="1" spans="1:19">
      <c r="A7" s="58" t="s">
        <v>34</v>
      </c>
      <c r="B7" s="59">
        <v>9</v>
      </c>
      <c r="C7" s="61">
        <f t="shared" si="0"/>
        <v>0.00604432505036938</v>
      </c>
      <c r="F7" s="58" t="s">
        <v>56</v>
      </c>
      <c r="G7" s="59" t="s">
        <v>57</v>
      </c>
      <c r="H7" s="60">
        <f>SUM(B38:B48)</f>
        <v>69</v>
      </c>
      <c r="I7" s="61">
        <f>H7/S3</f>
        <v>0.136363636363636</v>
      </c>
      <c r="Q7" s="58" t="s">
        <v>58</v>
      </c>
      <c r="R7" s="59" t="s">
        <v>59</v>
      </c>
      <c r="S7" s="67">
        <v>249</v>
      </c>
    </row>
    <row r="8" ht="18.5" customHeight="1" spans="1:19">
      <c r="A8" s="58" t="s">
        <v>60</v>
      </c>
      <c r="B8" s="59">
        <v>1</v>
      </c>
      <c r="C8" s="61">
        <f t="shared" si="0"/>
        <v>0.000671591672263264</v>
      </c>
      <c r="F8" s="58" t="s">
        <v>61</v>
      </c>
      <c r="G8" s="59" t="s">
        <v>62</v>
      </c>
      <c r="H8" s="60">
        <f>SUM(B33:B36)+SUM(B39:B62)+H5-147</f>
        <v>374</v>
      </c>
      <c r="I8" s="61">
        <f>H8/S3</f>
        <v>0.739130434782609</v>
      </c>
      <c r="Q8" s="58" t="s">
        <v>63</v>
      </c>
      <c r="R8" s="59" t="s">
        <v>64</v>
      </c>
      <c r="S8" s="67">
        <v>39</v>
      </c>
    </row>
    <row r="9" ht="18.5" customHeight="1" spans="1:19">
      <c r="A9" s="58" t="s">
        <v>41</v>
      </c>
      <c r="B9" s="59">
        <v>66</v>
      </c>
      <c r="C9" s="61">
        <f t="shared" si="0"/>
        <v>0.0443250503693754</v>
      </c>
      <c r="F9" s="58" t="s">
        <v>65</v>
      </c>
      <c r="G9" s="59" t="s">
        <v>66</v>
      </c>
      <c r="H9" s="60">
        <f>SUM(B64:B66)</f>
        <v>43</v>
      </c>
      <c r="I9" s="61">
        <f>H9/S3</f>
        <v>0.0849802371541502</v>
      </c>
      <c r="Q9" s="58" t="s">
        <v>67</v>
      </c>
      <c r="R9" s="59" t="s">
        <v>68</v>
      </c>
      <c r="S9" s="67">
        <v>99</v>
      </c>
    </row>
    <row r="10" ht="18.5" customHeight="1" spans="1:19">
      <c r="A10" s="58" t="s">
        <v>69</v>
      </c>
      <c r="B10" s="59">
        <v>10</v>
      </c>
      <c r="C10" s="61">
        <f t="shared" si="0"/>
        <v>0.00671591672263264</v>
      </c>
      <c r="F10" s="58" t="s">
        <v>70</v>
      </c>
      <c r="G10" s="59" t="s">
        <v>71</v>
      </c>
      <c r="H10" s="60">
        <f>SUM(B67:B71)+H9</f>
        <v>74</v>
      </c>
      <c r="I10" s="61">
        <f>H10/S4</f>
        <v>0.349056603773585</v>
      </c>
      <c r="Q10" s="58" t="s">
        <v>72</v>
      </c>
      <c r="R10" s="59" t="s">
        <v>73</v>
      </c>
      <c r="S10" s="67">
        <v>11</v>
      </c>
    </row>
    <row r="11" ht="18.5" customHeight="1" spans="1:19">
      <c r="A11" s="58" t="s">
        <v>74</v>
      </c>
      <c r="B11" s="59">
        <v>1</v>
      </c>
      <c r="C11" s="61">
        <f t="shared" si="0"/>
        <v>0.000671591672263264</v>
      </c>
      <c r="F11" s="58" t="s">
        <v>75</v>
      </c>
      <c r="G11" s="59" t="s">
        <v>76</v>
      </c>
      <c r="H11" s="60">
        <f>SUM(B72:B85)</f>
        <v>138</v>
      </c>
      <c r="I11" s="61">
        <f>H11/S4</f>
        <v>0.650943396226415</v>
      </c>
      <c r="Q11" s="58" t="s">
        <v>77</v>
      </c>
      <c r="R11" s="59" t="s">
        <v>78</v>
      </c>
      <c r="S11" s="67">
        <v>3</v>
      </c>
    </row>
    <row r="12" ht="18.5" customHeight="1" spans="1:19">
      <c r="A12" s="58" t="s">
        <v>79</v>
      </c>
      <c r="B12" s="59">
        <v>1</v>
      </c>
      <c r="C12" s="61">
        <f t="shared" si="0"/>
        <v>0.000671591672263264</v>
      </c>
      <c r="F12" s="58" t="s">
        <v>80</v>
      </c>
      <c r="G12" s="59" t="s">
        <v>81</v>
      </c>
      <c r="H12" s="60">
        <f>2+H11-55</f>
        <v>85</v>
      </c>
      <c r="I12" s="61">
        <f>H12/S5</f>
        <v>0.894736842105263</v>
      </c>
      <c r="Q12" s="58" t="s">
        <v>70</v>
      </c>
      <c r="R12" s="59" t="s">
        <v>82</v>
      </c>
      <c r="S12" s="67">
        <v>16</v>
      </c>
    </row>
    <row r="13" ht="18.5" customHeight="1" spans="1:19">
      <c r="A13" s="58" t="s">
        <v>83</v>
      </c>
      <c r="B13" s="59">
        <v>5</v>
      </c>
      <c r="C13" s="61">
        <f t="shared" si="0"/>
        <v>0.00335795836131632</v>
      </c>
      <c r="F13" s="58" t="s">
        <v>84</v>
      </c>
      <c r="G13" s="59" t="s">
        <v>85</v>
      </c>
      <c r="H13" s="60">
        <f>5</f>
        <v>5</v>
      </c>
      <c r="I13" s="61">
        <f>H13/S5</f>
        <v>0.0526315789473684</v>
      </c>
      <c r="Q13" s="58" t="s">
        <v>86</v>
      </c>
      <c r="R13" s="59" t="s">
        <v>87</v>
      </c>
      <c r="S13" s="67">
        <v>29</v>
      </c>
    </row>
    <row r="14" ht="18.5" customHeight="1" spans="1:19">
      <c r="A14" s="58" t="s">
        <v>88</v>
      </c>
      <c r="B14" s="59">
        <v>1</v>
      </c>
      <c r="C14" s="61">
        <f t="shared" si="0"/>
        <v>0.000671591672263264</v>
      </c>
      <c r="F14" s="58" t="s">
        <v>89</v>
      </c>
      <c r="G14" s="59" t="s">
        <v>90</v>
      </c>
      <c r="H14" s="60">
        <v>3</v>
      </c>
      <c r="I14" s="61">
        <f>H14/S5</f>
        <v>0.0315789473684211</v>
      </c>
      <c r="Q14" s="68" t="s">
        <v>91</v>
      </c>
      <c r="R14" s="69" t="s">
        <v>92</v>
      </c>
      <c r="S14" s="70">
        <v>43</v>
      </c>
    </row>
    <row r="15" ht="18.5" customHeight="1" spans="1:19">
      <c r="A15" s="58" t="s">
        <v>93</v>
      </c>
      <c r="B15" s="59">
        <v>2</v>
      </c>
      <c r="C15" s="61">
        <f t="shared" si="0"/>
        <v>0.00134318334452653</v>
      </c>
      <c r="F15" s="58" t="s">
        <v>94</v>
      </c>
      <c r="G15" s="59" t="s">
        <v>95</v>
      </c>
      <c r="H15" s="60">
        <v>0</v>
      </c>
      <c r="I15" s="61">
        <f>H15/S5</f>
        <v>0</v>
      </c>
      <c r="Q15" s="71" t="s">
        <v>96</v>
      </c>
      <c r="R15" s="72" t="s">
        <v>97</v>
      </c>
      <c r="S15" s="73">
        <v>13</v>
      </c>
    </row>
    <row r="16" ht="18.5" customHeight="1" spans="1:9">
      <c r="A16" s="58" t="s">
        <v>47</v>
      </c>
      <c r="B16" s="59">
        <v>143</v>
      </c>
      <c r="C16" s="61">
        <f t="shared" si="0"/>
        <v>0.0960376091336467</v>
      </c>
      <c r="F16" s="58" t="s">
        <v>98</v>
      </c>
      <c r="G16" s="59" t="s">
        <v>99</v>
      </c>
      <c r="H16" s="60">
        <v>2</v>
      </c>
      <c r="I16" s="61">
        <f>H16/S5</f>
        <v>0.0210526315789474</v>
      </c>
    </row>
    <row r="17" ht="18.5" customHeight="1" spans="1:9">
      <c r="A17" s="58" t="s">
        <v>100</v>
      </c>
      <c r="B17" s="59">
        <v>4</v>
      </c>
      <c r="C17" s="61">
        <f t="shared" si="0"/>
        <v>0.00268636668905306</v>
      </c>
      <c r="F17" s="58" t="s">
        <v>101</v>
      </c>
      <c r="G17" s="59" t="s">
        <v>102</v>
      </c>
      <c r="H17" s="60">
        <f>39+56+32</f>
        <v>127</v>
      </c>
      <c r="I17" s="61">
        <f>H17/S6</f>
        <v>0.257606490872211</v>
      </c>
    </row>
    <row r="18" ht="18.5" customHeight="1" spans="1:9">
      <c r="A18" s="58" t="s">
        <v>103</v>
      </c>
      <c r="B18" s="59">
        <v>1</v>
      </c>
      <c r="C18" s="61">
        <f t="shared" si="0"/>
        <v>0.000671591672263264</v>
      </c>
      <c r="F18" s="58" t="s">
        <v>104</v>
      </c>
      <c r="G18" s="59" t="s">
        <v>105</v>
      </c>
      <c r="H18" s="60">
        <v>54</v>
      </c>
      <c r="I18" s="61">
        <f>H18/S6</f>
        <v>0.109533468559838</v>
      </c>
    </row>
    <row r="19" ht="18.5" customHeight="1" spans="1:9">
      <c r="A19" s="58" t="s">
        <v>106</v>
      </c>
      <c r="B19" s="59">
        <v>36</v>
      </c>
      <c r="C19" s="61">
        <f t="shared" si="0"/>
        <v>0.0241773002014775</v>
      </c>
      <c r="F19" s="58" t="s">
        <v>107</v>
      </c>
      <c r="G19" s="59" t="s">
        <v>108</v>
      </c>
      <c r="H19" s="60">
        <v>29</v>
      </c>
      <c r="I19" s="61">
        <f>H19/S6</f>
        <v>0.0588235294117647</v>
      </c>
    </row>
    <row r="20" ht="18.5" customHeight="1" spans="1:9">
      <c r="A20" s="58" t="s">
        <v>109</v>
      </c>
      <c r="B20" s="59">
        <v>2</v>
      </c>
      <c r="C20" s="61">
        <f t="shared" si="0"/>
        <v>0.00134318334452653</v>
      </c>
      <c r="F20" s="58" t="s">
        <v>110</v>
      </c>
      <c r="G20" s="59" t="s">
        <v>111</v>
      </c>
      <c r="H20" s="60">
        <v>71</v>
      </c>
      <c r="I20" s="61">
        <f>H20/S6</f>
        <v>0.144016227180527</v>
      </c>
    </row>
    <row r="21" ht="18.5" customHeight="1" spans="1:9">
      <c r="A21" s="58" t="s">
        <v>112</v>
      </c>
      <c r="B21" s="59">
        <v>9</v>
      </c>
      <c r="C21" s="61">
        <f t="shared" si="0"/>
        <v>0.00604432505036938</v>
      </c>
      <c r="F21" s="58" t="s">
        <v>113</v>
      </c>
      <c r="G21" s="59" t="s">
        <v>114</v>
      </c>
      <c r="H21" s="60">
        <v>35</v>
      </c>
      <c r="I21" s="61">
        <f>H21/S6</f>
        <v>0.0709939148073022</v>
      </c>
    </row>
    <row r="22" ht="18.5" customHeight="1" spans="1:9">
      <c r="A22" s="58" t="s">
        <v>115</v>
      </c>
      <c r="B22" s="59">
        <v>7</v>
      </c>
      <c r="C22" s="61">
        <f t="shared" si="0"/>
        <v>0.00470114170584285</v>
      </c>
      <c r="F22" s="58" t="s">
        <v>116</v>
      </c>
      <c r="G22" s="59" t="s">
        <v>117</v>
      </c>
      <c r="H22" s="60">
        <v>134</v>
      </c>
      <c r="I22" s="61">
        <f>H22/S6</f>
        <v>0.271805273833671</v>
      </c>
    </row>
    <row r="23" ht="18.5" customHeight="1" spans="1:9">
      <c r="A23" s="58" t="s">
        <v>118</v>
      </c>
      <c r="B23" s="59">
        <v>22</v>
      </c>
      <c r="C23" s="61">
        <f t="shared" si="0"/>
        <v>0.0147750167897918</v>
      </c>
      <c r="F23" s="58" t="s">
        <v>119</v>
      </c>
      <c r="G23" s="59" t="s">
        <v>120</v>
      </c>
      <c r="H23" s="60">
        <v>16</v>
      </c>
      <c r="I23" s="61">
        <f>H23/S6</f>
        <v>0.0324543610547667</v>
      </c>
    </row>
    <row r="24" ht="18.5" customHeight="1" spans="1:9">
      <c r="A24" s="58" t="s">
        <v>121</v>
      </c>
      <c r="B24" s="59">
        <v>23</v>
      </c>
      <c r="C24" s="61">
        <f t="shared" si="0"/>
        <v>0.0154466084620551</v>
      </c>
      <c r="F24" s="58" t="s">
        <v>122</v>
      </c>
      <c r="G24" s="59" t="s">
        <v>123</v>
      </c>
      <c r="H24" s="60">
        <v>27</v>
      </c>
      <c r="I24" s="61">
        <f>H24/S6</f>
        <v>0.0547667342799189</v>
      </c>
    </row>
    <row r="25" ht="18.5" customHeight="1" spans="1:9">
      <c r="A25" s="58" t="s">
        <v>124</v>
      </c>
      <c r="B25" s="59">
        <v>66</v>
      </c>
      <c r="C25" s="61">
        <f t="shared" si="0"/>
        <v>0.0443250503693754</v>
      </c>
      <c r="F25" s="58" t="s">
        <v>125</v>
      </c>
      <c r="G25" s="59" t="s">
        <v>126</v>
      </c>
      <c r="H25" s="60">
        <v>62</v>
      </c>
      <c r="I25" s="61">
        <f>H25/S7</f>
        <v>0.248995983935743</v>
      </c>
    </row>
    <row r="26" ht="18.5" customHeight="1" spans="1:9">
      <c r="A26" s="58" t="s">
        <v>127</v>
      </c>
      <c r="B26" s="59">
        <v>1</v>
      </c>
      <c r="C26" s="61">
        <f t="shared" si="0"/>
        <v>0.000671591672263264</v>
      </c>
      <c r="F26" s="58" t="s">
        <v>128</v>
      </c>
      <c r="G26" s="59" t="s">
        <v>129</v>
      </c>
      <c r="H26" s="60">
        <v>67</v>
      </c>
      <c r="I26" s="61">
        <f>H26/S7</f>
        <v>0.269076305220884</v>
      </c>
    </row>
    <row r="27" ht="18.5" customHeight="1" spans="1:9">
      <c r="A27" s="58" t="s">
        <v>130</v>
      </c>
      <c r="B27" s="59">
        <v>2</v>
      </c>
      <c r="C27" s="61">
        <f t="shared" si="0"/>
        <v>0.00134318334452653</v>
      </c>
      <c r="F27" s="58" t="s">
        <v>131</v>
      </c>
      <c r="G27" s="59" t="s">
        <v>132</v>
      </c>
      <c r="H27" s="60">
        <v>40</v>
      </c>
      <c r="I27" s="61">
        <f>H27/S7</f>
        <v>0.160642570281124</v>
      </c>
    </row>
    <row r="28" ht="18.5" customHeight="1" spans="1:9">
      <c r="A28" s="58" t="s">
        <v>133</v>
      </c>
      <c r="B28" s="59">
        <v>14</v>
      </c>
      <c r="C28" s="61">
        <f t="shared" si="0"/>
        <v>0.0094022834116857</v>
      </c>
      <c r="F28" s="58" t="s">
        <v>134</v>
      </c>
      <c r="G28" s="59" t="s">
        <v>135</v>
      </c>
      <c r="H28" s="60">
        <f>B116+B31</f>
        <v>12</v>
      </c>
      <c r="I28" s="61">
        <f>H28/S7</f>
        <v>0.0481927710843374</v>
      </c>
    </row>
    <row r="29" ht="18.5" customHeight="1" spans="1:9">
      <c r="A29" s="58" t="s">
        <v>136</v>
      </c>
      <c r="B29" s="59">
        <v>1</v>
      </c>
      <c r="C29" s="61">
        <f t="shared" si="0"/>
        <v>0.000671591672263264</v>
      </c>
      <c r="F29" s="58" t="s">
        <v>137</v>
      </c>
      <c r="G29" s="59" t="s">
        <v>138</v>
      </c>
      <c r="H29" s="60">
        <f>B117+B118</f>
        <v>11</v>
      </c>
      <c r="I29" s="61">
        <f>H29/S7</f>
        <v>0.0441767068273092</v>
      </c>
    </row>
    <row r="30" ht="18.5" customHeight="1" spans="1:9">
      <c r="A30" s="58" t="s">
        <v>139</v>
      </c>
      <c r="B30" s="59">
        <v>1</v>
      </c>
      <c r="C30" s="61">
        <f t="shared" si="0"/>
        <v>0.000671591672263264</v>
      </c>
      <c r="F30" s="58" t="s">
        <v>140</v>
      </c>
      <c r="G30" s="59" t="s">
        <v>141</v>
      </c>
      <c r="H30" s="60">
        <v>46</v>
      </c>
      <c r="I30" s="61">
        <f>H30/S7</f>
        <v>0.184738955823293</v>
      </c>
    </row>
    <row r="31" ht="18.5" customHeight="1" spans="1:9">
      <c r="A31" s="58" t="s">
        <v>142</v>
      </c>
      <c r="B31" s="59">
        <v>1</v>
      </c>
      <c r="C31" s="61">
        <f t="shared" si="0"/>
        <v>0.000671591672263264</v>
      </c>
      <c r="F31" s="58" t="s">
        <v>143</v>
      </c>
      <c r="G31" s="59" t="s">
        <v>144</v>
      </c>
      <c r="H31" s="60">
        <v>11</v>
      </c>
      <c r="I31" s="61">
        <f>H31/S7</f>
        <v>0.0441767068273092</v>
      </c>
    </row>
    <row r="32" ht="18.5" customHeight="1" spans="1:9">
      <c r="A32" s="58" t="s">
        <v>53</v>
      </c>
      <c r="B32" s="59">
        <v>11</v>
      </c>
      <c r="C32" s="61">
        <f t="shared" si="0"/>
        <v>0.0073875083948959</v>
      </c>
      <c r="F32" s="58" t="s">
        <v>145</v>
      </c>
      <c r="G32" s="59" t="s">
        <v>146</v>
      </c>
      <c r="H32" s="60">
        <f>B127+B128</f>
        <v>55</v>
      </c>
      <c r="I32" s="61">
        <f>H32/S9</f>
        <v>0.555555555555556</v>
      </c>
    </row>
    <row r="33" ht="18.5" customHeight="1" spans="1:9">
      <c r="A33" s="58" t="s">
        <v>147</v>
      </c>
      <c r="B33" s="59">
        <v>2</v>
      </c>
      <c r="C33" s="61">
        <f t="shared" si="0"/>
        <v>0.00134318334452653</v>
      </c>
      <c r="F33" s="58" t="s">
        <v>148</v>
      </c>
      <c r="G33" s="59" t="s">
        <v>149</v>
      </c>
      <c r="H33" s="60">
        <f>B129+B130+B85</f>
        <v>44</v>
      </c>
      <c r="I33" s="61">
        <f>H33/S9</f>
        <v>0.444444444444444</v>
      </c>
    </row>
    <row r="34" ht="18.5" customHeight="1" spans="1:9">
      <c r="A34" s="58" t="s">
        <v>150</v>
      </c>
      <c r="B34" s="59">
        <v>2</v>
      </c>
      <c r="C34" s="61">
        <f t="shared" si="0"/>
        <v>0.00134318334452653</v>
      </c>
      <c r="F34" s="58" t="s">
        <v>151</v>
      </c>
      <c r="G34" s="59" t="s">
        <v>152</v>
      </c>
      <c r="H34" s="60">
        <f>B137+B138+B139</f>
        <v>9</v>
      </c>
      <c r="I34" s="61">
        <f>H34/S12</f>
        <v>0.5625</v>
      </c>
    </row>
    <row r="35" ht="18.5" customHeight="1" spans="1:9">
      <c r="A35" s="58" t="s">
        <v>153</v>
      </c>
      <c r="B35" s="59">
        <v>2</v>
      </c>
      <c r="C35" s="61">
        <f t="shared" si="0"/>
        <v>0.00134318334452653</v>
      </c>
      <c r="F35" s="58" t="s">
        <v>154</v>
      </c>
      <c r="G35" s="59" t="s">
        <v>155</v>
      </c>
      <c r="H35" s="60">
        <v>6</v>
      </c>
      <c r="I35" s="61">
        <f>H35/S12</f>
        <v>0.375</v>
      </c>
    </row>
    <row r="36" ht="18.5" customHeight="1" spans="1:9">
      <c r="A36" s="58" t="s">
        <v>156</v>
      </c>
      <c r="B36" s="59">
        <v>2</v>
      </c>
      <c r="C36" s="61">
        <f t="shared" si="0"/>
        <v>0.00134318334452653</v>
      </c>
      <c r="F36" s="58" t="s">
        <v>157</v>
      </c>
      <c r="G36" s="59" t="s">
        <v>158</v>
      </c>
      <c r="H36" s="60">
        <f>B141</f>
        <v>1</v>
      </c>
      <c r="I36" s="61">
        <f>H36/S12</f>
        <v>0.0625</v>
      </c>
    </row>
    <row r="37" ht="18.5" customHeight="1" spans="1:9">
      <c r="A37" s="58" t="s">
        <v>159</v>
      </c>
      <c r="B37" s="59">
        <v>1</v>
      </c>
      <c r="C37" s="61">
        <f t="shared" si="0"/>
        <v>0.000671591672263264</v>
      </c>
      <c r="F37" s="58" t="s">
        <v>160</v>
      </c>
      <c r="G37" s="59" t="s">
        <v>161</v>
      </c>
      <c r="H37" s="60">
        <f>B142+B143</f>
        <v>7</v>
      </c>
      <c r="I37" s="61">
        <f>H37/S13</f>
        <v>0.241379310344828</v>
      </c>
    </row>
    <row r="38" ht="18.5" customHeight="1" spans="1:9">
      <c r="A38" s="58" t="s">
        <v>57</v>
      </c>
      <c r="B38" s="59">
        <v>28</v>
      </c>
      <c r="C38" s="61">
        <f t="shared" si="0"/>
        <v>0.0188045668233714</v>
      </c>
      <c r="F38" s="58" t="s">
        <v>162</v>
      </c>
      <c r="G38" s="59" t="s">
        <v>163</v>
      </c>
      <c r="H38" s="60">
        <v>5</v>
      </c>
      <c r="I38" s="61">
        <f>H38/S13</f>
        <v>0.172413793103448</v>
      </c>
    </row>
    <row r="39" ht="18.5" customHeight="1" spans="1:9">
      <c r="A39" s="58" t="s">
        <v>164</v>
      </c>
      <c r="B39" s="59">
        <v>1</v>
      </c>
      <c r="C39" s="61">
        <f t="shared" si="0"/>
        <v>0.000671591672263264</v>
      </c>
      <c r="F39" s="58" t="s">
        <v>165</v>
      </c>
      <c r="G39" s="59" t="s">
        <v>166</v>
      </c>
      <c r="H39" s="60">
        <v>5</v>
      </c>
      <c r="I39" s="61">
        <f>H39/S13</f>
        <v>0.172413793103448</v>
      </c>
    </row>
    <row r="40" ht="18.5" customHeight="1" spans="1:9">
      <c r="A40" s="58" t="s">
        <v>167</v>
      </c>
      <c r="B40" s="59">
        <v>11</v>
      </c>
      <c r="C40" s="61">
        <f t="shared" si="0"/>
        <v>0.0073875083948959</v>
      </c>
      <c r="F40" s="62" t="s">
        <v>168</v>
      </c>
      <c r="G40" s="63" t="s">
        <v>169</v>
      </c>
      <c r="H40" s="64">
        <v>12</v>
      </c>
      <c r="I40" s="65">
        <f>H40/S13</f>
        <v>0.413793103448276</v>
      </c>
    </row>
    <row r="41" ht="18.5" customHeight="1" spans="1:3">
      <c r="A41" s="58" t="s">
        <v>170</v>
      </c>
      <c r="B41" s="59">
        <v>1</v>
      </c>
      <c r="C41" s="61">
        <f t="shared" si="0"/>
        <v>0.000671591672263264</v>
      </c>
    </row>
    <row r="42" ht="18.5" customHeight="1" spans="1:3">
      <c r="A42" s="58" t="s">
        <v>171</v>
      </c>
      <c r="B42" s="59">
        <v>4</v>
      </c>
      <c r="C42" s="61">
        <f t="shared" si="0"/>
        <v>0.00268636668905306</v>
      </c>
    </row>
    <row r="43" ht="18.5" customHeight="1" spans="1:3">
      <c r="A43" s="58" t="s">
        <v>172</v>
      </c>
      <c r="B43" s="59">
        <v>1</v>
      </c>
      <c r="C43" s="61">
        <f t="shared" si="0"/>
        <v>0.000671591672263264</v>
      </c>
    </row>
    <row r="44" ht="18.5" customHeight="1" spans="1:3">
      <c r="A44" s="58" t="s">
        <v>173</v>
      </c>
      <c r="B44" s="59">
        <v>14</v>
      </c>
      <c r="C44" s="61">
        <f t="shared" si="0"/>
        <v>0.0094022834116857</v>
      </c>
    </row>
    <row r="45" ht="18.5" customHeight="1" spans="1:3">
      <c r="A45" s="58" t="s">
        <v>174</v>
      </c>
      <c r="B45" s="59">
        <v>2</v>
      </c>
      <c r="C45" s="61">
        <f t="shared" si="0"/>
        <v>0.00134318334452653</v>
      </c>
    </row>
    <row r="46" ht="18.5" customHeight="1" spans="1:3">
      <c r="A46" s="58" t="s">
        <v>175</v>
      </c>
      <c r="B46" s="59">
        <v>4</v>
      </c>
      <c r="C46" s="61">
        <f t="shared" si="0"/>
        <v>0.00268636668905306</v>
      </c>
    </row>
    <row r="47" ht="18.5" customHeight="1" spans="1:3">
      <c r="A47" s="58" t="s">
        <v>176</v>
      </c>
      <c r="B47" s="59">
        <v>2</v>
      </c>
      <c r="C47" s="61">
        <f t="shared" si="0"/>
        <v>0.00134318334452653</v>
      </c>
    </row>
    <row r="48" ht="18.5" customHeight="1" spans="1:3">
      <c r="A48" s="58" t="s">
        <v>177</v>
      </c>
      <c r="B48" s="59">
        <v>1</v>
      </c>
      <c r="C48" s="61">
        <f t="shared" si="0"/>
        <v>0.000671591672263264</v>
      </c>
    </row>
    <row r="49" ht="18.5" customHeight="1" spans="1:3">
      <c r="A49" s="58" t="s">
        <v>62</v>
      </c>
      <c r="B49" s="59">
        <v>48</v>
      </c>
      <c r="C49" s="61">
        <f t="shared" si="0"/>
        <v>0.0322364002686367</v>
      </c>
    </row>
    <row r="50" ht="18.5" customHeight="1" spans="1:3">
      <c r="A50" s="58" t="s">
        <v>178</v>
      </c>
      <c r="B50" s="59">
        <v>3</v>
      </c>
      <c r="C50" s="61">
        <f t="shared" si="0"/>
        <v>0.00201477501678979</v>
      </c>
    </row>
    <row r="51" ht="18.5" customHeight="1" spans="1:3">
      <c r="A51" s="58" t="s">
        <v>179</v>
      </c>
      <c r="B51" s="59">
        <v>38</v>
      </c>
      <c r="C51" s="61">
        <f t="shared" si="0"/>
        <v>0.025520483546004</v>
      </c>
    </row>
    <row r="52" ht="18.5" customHeight="1" spans="1:3">
      <c r="A52" s="58" t="s">
        <v>180</v>
      </c>
      <c r="B52" s="59">
        <v>1</v>
      </c>
      <c r="C52" s="61">
        <f t="shared" si="0"/>
        <v>0.000671591672263264</v>
      </c>
    </row>
    <row r="53" ht="18.5" customHeight="1" spans="1:3">
      <c r="A53" s="58" t="s">
        <v>181</v>
      </c>
      <c r="B53" s="59">
        <v>12</v>
      </c>
      <c r="C53" s="61">
        <f t="shared" si="0"/>
        <v>0.00805910006715917</v>
      </c>
    </row>
    <row r="54" ht="18.5" customHeight="1" spans="1:3">
      <c r="A54" s="58" t="s">
        <v>182</v>
      </c>
      <c r="B54" s="59">
        <v>2</v>
      </c>
      <c r="C54" s="61">
        <f t="shared" si="0"/>
        <v>0.00134318334452653</v>
      </c>
    </row>
    <row r="55" ht="18.5" customHeight="1" spans="1:3">
      <c r="A55" s="58" t="s">
        <v>183</v>
      </c>
      <c r="B55" s="59">
        <v>3</v>
      </c>
      <c r="C55" s="61">
        <f t="shared" si="0"/>
        <v>0.00201477501678979</v>
      </c>
    </row>
    <row r="56" ht="18.5" customHeight="1" spans="1:3">
      <c r="A56" s="58" t="s">
        <v>184</v>
      </c>
      <c r="B56" s="59">
        <v>1</v>
      </c>
      <c r="C56" s="61">
        <f t="shared" si="0"/>
        <v>0.000671591672263264</v>
      </c>
    </row>
    <row r="57" ht="18.5" customHeight="1" spans="1:3">
      <c r="A57" s="58" t="s">
        <v>185</v>
      </c>
      <c r="B57" s="59">
        <v>12</v>
      </c>
      <c r="C57" s="61">
        <f t="shared" si="0"/>
        <v>0.00805910006715917</v>
      </c>
    </row>
    <row r="58" ht="18.5" customHeight="1" spans="1:3">
      <c r="A58" s="58" t="s">
        <v>186</v>
      </c>
      <c r="B58" s="59">
        <v>1</v>
      </c>
      <c r="C58" s="61">
        <f t="shared" si="0"/>
        <v>0.000671591672263264</v>
      </c>
    </row>
    <row r="59" ht="18.5" customHeight="1" spans="1:3">
      <c r="A59" s="58" t="s">
        <v>187</v>
      </c>
      <c r="B59" s="59">
        <v>5</v>
      </c>
      <c r="C59" s="61">
        <f t="shared" si="0"/>
        <v>0.00335795836131632</v>
      </c>
    </row>
    <row r="60" ht="18.5" customHeight="1" spans="1:3">
      <c r="A60" s="58" t="s">
        <v>188</v>
      </c>
      <c r="B60" s="59">
        <v>9</v>
      </c>
      <c r="C60" s="61">
        <f t="shared" si="0"/>
        <v>0.00604432505036938</v>
      </c>
    </row>
    <row r="61" ht="18.5" customHeight="1" spans="1:3">
      <c r="A61" s="58" t="s">
        <v>189</v>
      </c>
      <c r="B61" s="59">
        <v>3</v>
      </c>
      <c r="C61" s="61">
        <f t="shared" si="0"/>
        <v>0.00201477501678979</v>
      </c>
    </row>
    <row r="62" ht="18.5" customHeight="1" spans="1:3">
      <c r="A62" s="58" t="s">
        <v>190</v>
      </c>
      <c r="B62" s="59">
        <v>1</v>
      </c>
      <c r="C62" s="61">
        <f t="shared" si="0"/>
        <v>0.000671591672263264</v>
      </c>
    </row>
    <row r="63" ht="18.5" customHeight="1" spans="1:3">
      <c r="A63" s="58" t="s">
        <v>191</v>
      </c>
      <c r="B63" s="59">
        <v>3</v>
      </c>
      <c r="C63" s="61">
        <f t="shared" si="0"/>
        <v>0.00201477501678979</v>
      </c>
    </row>
    <row r="64" ht="18.5" customHeight="1" spans="1:3">
      <c r="A64" s="58" t="s">
        <v>66</v>
      </c>
      <c r="B64" s="59">
        <v>37</v>
      </c>
      <c r="C64" s="61">
        <f t="shared" si="0"/>
        <v>0.0248488918737408</v>
      </c>
    </row>
    <row r="65" ht="18.5" customHeight="1" spans="1:3">
      <c r="A65" s="58" t="s">
        <v>192</v>
      </c>
      <c r="B65" s="59">
        <v>4</v>
      </c>
      <c r="C65" s="61">
        <f t="shared" si="0"/>
        <v>0.00268636668905306</v>
      </c>
    </row>
    <row r="66" ht="18.5" customHeight="1" spans="1:3">
      <c r="A66" s="58" t="s">
        <v>193</v>
      </c>
      <c r="B66" s="59">
        <v>2</v>
      </c>
      <c r="C66" s="61">
        <f t="shared" ref="C66:C129" si="1">B66/1489</f>
        <v>0.00134318334452653</v>
      </c>
    </row>
    <row r="67" ht="18.5" customHeight="1" spans="1:3">
      <c r="A67" s="58" t="s">
        <v>44</v>
      </c>
      <c r="B67" s="59">
        <v>1</v>
      </c>
      <c r="C67" s="61">
        <f t="shared" si="1"/>
        <v>0.000671591672263264</v>
      </c>
    </row>
    <row r="68" ht="18.5" customHeight="1" spans="1:3">
      <c r="A68" s="58" t="s">
        <v>71</v>
      </c>
      <c r="B68" s="59">
        <v>25</v>
      </c>
      <c r="C68" s="61">
        <f t="shared" si="1"/>
        <v>0.0167897918065816</v>
      </c>
    </row>
    <row r="69" ht="18.5" customHeight="1" spans="1:3">
      <c r="A69" s="58" t="s">
        <v>194</v>
      </c>
      <c r="B69" s="59">
        <v>2</v>
      </c>
      <c r="C69" s="61">
        <f t="shared" si="1"/>
        <v>0.00134318334452653</v>
      </c>
    </row>
    <row r="70" ht="18.5" customHeight="1" spans="1:3">
      <c r="A70" s="58" t="s">
        <v>195</v>
      </c>
      <c r="B70" s="59">
        <v>2</v>
      </c>
      <c r="C70" s="61">
        <f t="shared" si="1"/>
        <v>0.00134318334452653</v>
      </c>
    </row>
    <row r="71" ht="18.5" customHeight="1" spans="1:3">
      <c r="A71" s="58" t="s">
        <v>196</v>
      </c>
      <c r="B71" s="59">
        <v>1</v>
      </c>
      <c r="C71" s="61">
        <f t="shared" si="1"/>
        <v>0.000671591672263264</v>
      </c>
    </row>
    <row r="72" ht="18.5" customHeight="1" spans="1:3">
      <c r="A72" s="58" t="s">
        <v>76</v>
      </c>
      <c r="B72" s="59">
        <v>53</v>
      </c>
      <c r="C72" s="61">
        <f t="shared" si="1"/>
        <v>0.035594358629953</v>
      </c>
    </row>
    <row r="73" ht="18.5" customHeight="1" spans="1:3">
      <c r="A73" s="58" t="s">
        <v>197</v>
      </c>
      <c r="B73" s="59">
        <v>2</v>
      </c>
      <c r="C73" s="61">
        <f t="shared" si="1"/>
        <v>0.00134318334452653</v>
      </c>
    </row>
    <row r="74" ht="18.5" customHeight="1" spans="1:3">
      <c r="A74" s="58" t="s">
        <v>198</v>
      </c>
      <c r="B74" s="59">
        <v>32</v>
      </c>
      <c r="C74" s="61">
        <f t="shared" si="1"/>
        <v>0.0214909335124244</v>
      </c>
    </row>
    <row r="75" ht="18.5" customHeight="1" spans="1:3">
      <c r="A75" s="58" t="s">
        <v>199</v>
      </c>
      <c r="B75" s="59">
        <v>8</v>
      </c>
      <c r="C75" s="61">
        <f t="shared" si="1"/>
        <v>0.00537273337810611</v>
      </c>
    </row>
    <row r="76" ht="18.5" customHeight="1" spans="1:3">
      <c r="A76" s="58" t="s">
        <v>200</v>
      </c>
      <c r="B76" s="59">
        <v>8</v>
      </c>
      <c r="C76" s="61">
        <f t="shared" si="1"/>
        <v>0.00537273337810611</v>
      </c>
    </row>
    <row r="77" ht="18.5" customHeight="1" spans="1:3">
      <c r="A77" s="58" t="s">
        <v>201</v>
      </c>
      <c r="B77" s="59">
        <v>5</v>
      </c>
      <c r="C77" s="61">
        <f t="shared" si="1"/>
        <v>0.00335795836131632</v>
      </c>
    </row>
    <row r="78" ht="18.5" customHeight="1" spans="1:3">
      <c r="A78" s="58" t="s">
        <v>202</v>
      </c>
      <c r="B78" s="59">
        <v>1</v>
      </c>
      <c r="C78" s="61">
        <f t="shared" si="1"/>
        <v>0.000671591672263264</v>
      </c>
    </row>
    <row r="79" ht="18.5" customHeight="1" spans="1:3">
      <c r="A79" s="58" t="s">
        <v>203</v>
      </c>
      <c r="B79" s="59">
        <v>2</v>
      </c>
      <c r="C79" s="61">
        <f t="shared" si="1"/>
        <v>0.00134318334452653</v>
      </c>
    </row>
    <row r="80" ht="18.5" customHeight="1" spans="1:3">
      <c r="A80" s="58" t="s">
        <v>204</v>
      </c>
      <c r="B80" s="59">
        <v>1</v>
      </c>
      <c r="C80" s="61">
        <f t="shared" si="1"/>
        <v>0.000671591672263264</v>
      </c>
    </row>
    <row r="81" ht="18.5" customHeight="1" spans="1:3">
      <c r="A81" s="58" t="s">
        <v>205</v>
      </c>
      <c r="B81" s="59">
        <v>18</v>
      </c>
      <c r="C81" s="61">
        <f t="shared" si="1"/>
        <v>0.0120886501007388</v>
      </c>
    </row>
    <row r="82" ht="18.5" customHeight="1" spans="1:3">
      <c r="A82" s="58" t="s">
        <v>206</v>
      </c>
      <c r="B82" s="59">
        <v>2</v>
      </c>
      <c r="C82" s="61">
        <f t="shared" si="1"/>
        <v>0.00134318334452653</v>
      </c>
    </row>
    <row r="83" ht="18.5" customHeight="1" spans="1:3">
      <c r="A83" s="58" t="s">
        <v>207</v>
      </c>
      <c r="B83" s="59">
        <v>3</v>
      </c>
      <c r="C83" s="61">
        <f t="shared" si="1"/>
        <v>0.00201477501678979</v>
      </c>
    </row>
    <row r="84" ht="18.5" customHeight="1" spans="1:3">
      <c r="A84" s="58" t="s">
        <v>208</v>
      </c>
      <c r="B84" s="59">
        <v>2</v>
      </c>
      <c r="C84" s="61">
        <f t="shared" si="1"/>
        <v>0.00134318334452653</v>
      </c>
    </row>
    <row r="85" ht="18.5" customHeight="1" spans="1:3">
      <c r="A85" s="58" t="s">
        <v>209</v>
      </c>
      <c r="B85" s="59">
        <v>1</v>
      </c>
      <c r="C85" s="61">
        <f t="shared" si="1"/>
        <v>0.000671591672263264</v>
      </c>
    </row>
    <row r="86" ht="18.5" customHeight="1" spans="1:3">
      <c r="A86" s="58" t="s">
        <v>81</v>
      </c>
      <c r="B86" s="59">
        <v>2</v>
      </c>
      <c r="C86" s="61">
        <f t="shared" si="1"/>
        <v>0.00134318334452653</v>
      </c>
    </row>
    <row r="87" ht="18.5" customHeight="1" spans="1:3">
      <c r="A87" s="58" t="s">
        <v>85</v>
      </c>
      <c r="B87" s="59">
        <v>5</v>
      </c>
      <c r="C87" s="61">
        <f t="shared" si="1"/>
        <v>0.00335795836131632</v>
      </c>
    </row>
    <row r="88" ht="18.5" customHeight="1" spans="1:3">
      <c r="A88" s="58" t="s">
        <v>90</v>
      </c>
      <c r="B88" s="59">
        <v>6</v>
      </c>
      <c r="C88" s="61">
        <f t="shared" si="1"/>
        <v>0.00402955003357958</v>
      </c>
    </row>
    <row r="89" ht="18.5" customHeight="1" spans="1:3">
      <c r="A89" s="58" t="s">
        <v>210</v>
      </c>
      <c r="B89" s="59">
        <v>1</v>
      </c>
      <c r="C89" s="61">
        <f t="shared" si="1"/>
        <v>0.000671591672263264</v>
      </c>
    </row>
    <row r="90" ht="18.5" customHeight="1" spans="1:3">
      <c r="A90" s="58" t="s">
        <v>211</v>
      </c>
      <c r="B90" s="59">
        <v>1</v>
      </c>
      <c r="C90" s="61">
        <f t="shared" si="1"/>
        <v>0.000671591672263264</v>
      </c>
    </row>
    <row r="91" ht="18.5" customHeight="1" spans="1:3">
      <c r="A91" s="58" t="s">
        <v>99</v>
      </c>
      <c r="B91" s="59">
        <v>2</v>
      </c>
      <c r="C91" s="61">
        <f t="shared" si="1"/>
        <v>0.00134318334452653</v>
      </c>
    </row>
    <row r="92" ht="18.5" customHeight="1" spans="1:3">
      <c r="A92" s="58" t="s">
        <v>102</v>
      </c>
      <c r="B92" s="59">
        <v>3</v>
      </c>
      <c r="C92" s="61">
        <f t="shared" si="1"/>
        <v>0.00201477501678979</v>
      </c>
    </row>
    <row r="93" ht="18.5" customHeight="1" spans="1:3">
      <c r="A93" s="58" t="s">
        <v>105</v>
      </c>
      <c r="B93" s="59">
        <v>14</v>
      </c>
      <c r="C93" s="61">
        <f t="shared" si="1"/>
        <v>0.0094022834116857</v>
      </c>
    </row>
    <row r="94" ht="18.5" customHeight="1" spans="1:3">
      <c r="A94" s="58" t="s">
        <v>108</v>
      </c>
      <c r="B94" s="59">
        <v>5</v>
      </c>
      <c r="C94" s="61">
        <f t="shared" si="1"/>
        <v>0.00335795836131632</v>
      </c>
    </row>
    <row r="95" ht="18.5" customHeight="1" spans="1:3">
      <c r="A95" s="58" t="s">
        <v>212</v>
      </c>
      <c r="B95" s="59">
        <v>1</v>
      </c>
      <c r="C95" s="61">
        <f t="shared" si="1"/>
        <v>0.000671591672263264</v>
      </c>
    </row>
    <row r="96" ht="18.5" customHeight="1" spans="1:3">
      <c r="A96" s="58" t="s">
        <v>111</v>
      </c>
      <c r="B96" s="59">
        <v>7</v>
      </c>
      <c r="C96" s="61">
        <f t="shared" si="1"/>
        <v>0.00470114170584285</v>
      </c>
    </row>
    <row r="97" ht="18.5" customHeight="1" spans="1:3">
      <c r="A97" s="58" t="s">
        <v>117</v>
      </c>
      <c r="B97" s="59">
        <v>19</v>
      </c>
      <c r="C97" s="61">
        <f t="shared" si="1"/>
        <v>0.012760241773002</v>
      </c>
    </row>
    <row r="98" ht="18.5" customHeight="1" spans="1:3">
      <c r="A98" s="58" t="s">
        <v>213</v>
      </c>
      <c r="B98" s="59">
        <v>1</v>
      </c>
      <c r="C98" s="61">
        <f t="shared" si="1"/>
        <v>0.000671591672263264</v>
      </c>
    </row>
    <row r="99" ht="18.5" customHeight="1" spans="1:3">
      <c r="A99" s="58" t="s">
        <v>120</v>
      </c>
      <c r="B99" s="59">
        <v>4</v>
      </c>
      <c r="C99" s="61">
        <f t="shared" si="1"/>
        <v>0.00268636668905306</v>
      </c>
    </row>
    <row r="100" ht="18.5" customHeight="1" spans="1:3">
      <c r="A100" s="58" t="s">
        <v>123</v>
      </c>
      <c r="B100" s="59">
        <v>3</v>
      </c>
      <c r="C100" s="61">
        <f t="shared" si="1"/>
        <v>0.00201477501678979</v>
      </c>
    </row>
    <row r="101" ht="18.5" customHeight="1" spans="1:3">
      <c r="A101" s="58" t="s">
        <v>126</v>
      </c>
      <c r="B101" s="59">
        <v>57</v>
      </c>
      <c r="C101" s="61">
        <f t="shared" si="1"/>
        <v>0.038280725319006</v>
      </c>
    </row>
    <row r="102" ht="18.5" customHeight="1" spans="1:3">
      <c r="A102" s="58" t="s">
        <v>214</v>
      </c>
      <c r="B102" s="59">
        <v>1</v>
      </c>
      <c r="C102" s="61">
        <f t="shared" si="1"/>
        <v>0.000671591672263264</v>
      </c>
    </row>
    <row r="103" ht="18.5" customHeight="1" spans="1:3">
      <c r="A103" s="58" t="s">
        <v>215</v>
      </c>
      <c r="B103" s="59">
        <v>2</v>
      </c>
      <c r="C103" s="61">
        <f t="shared" si="1"/>
        <v>0.00134318334452653</v>
      </c>
    </row>
    <row r="104" ht="18.5" customHeight="1" spans="1:3">
      <c r="A104" s="58" t="s">
        <v>216</v>
      </c>
      <c r="B104" s="59">
        <v>1</v>
      </c>
      <c r="C104" s="61">
        <f t="shared" si="1"/>
        <v>0.000671591672263264</v>
      </c>
    </row>
    <row r="105" ht="18.5" customHeight="1" spans="1:3">
      <c r="A105" s="58" t="s">
        <v>217</v>
      </c>
      <c r="B105" s="59">
        <v>1</v>
      </c>
      <c r="C105" s="61">
        <f t="shared" si="1"/>
        <v>0.000671591672263264</v>
      </c>
    </row>
    <row r="106" ht="18.5" customHeight="1" spans="1:3">
      <c r="A106" s="58" t="s">
        <v>129</v>
      </c>
      <c r="B106" s="59">
        <v>58</v>
      </c>
      <c r="C106" s="61">
        <f t="shared" si="1"/>
        <v>0.0389523169912693</v>
      </c>
    </row>
    <row r="107" ht="18.5" customHeight="1" spans="1:3">
      <c r="A107" s="58" t="s">
        <v>218</v>
      </c>
      <c r="B107" s="59">
        <v>2</v>
      </c>
      <c r="C107" s="61">
        <f t="shared" si="1"/>
        <v>0.00134318334452653</v>
      </c>
    </row>
    <row r="108" ht="18.5" customHeight="1" spans="1:3">
      <c r="A108" s="58" t="s">
        <v>219</v>
      </c>
      <c r="B108" s="59">
        <v>1</v>
      </c>
      <c r="C108" s="61">
        <f t="shared" si="1"/>
        <v>0.000671591672263264</v>
      </c>
    </row>
    <row r="109" ht="18.5" customHeight="1" spans="1:3">
      <c r="A109" s="58" t="s">
        <v>220</v>
      </c>
      <c r="B109" s="59">
        <v>1</v>
      </c>
      <c r="C109" s="61">
        <f t="shared" si="1"/>
        <v>0.000671591672263264</v>
      </c>
    </row>
    <row r="110" ht="18.5" customHeight="1" spans="1:3">
      <c r="A110" s="58" t="s">
        <v>221</v>
      </c>
      <c r="B110" s="59">
        <v>1</v>
      </c>
      <c r="C110" s="61">
        <f t="shared" si="1"/>
        <v>0.000671591672263264</v>
      </c>
    </row>
    <row r="111" ht="18.5" customHeight="1" spans="1:3">
      <c r="A111" s="58" t="s">
        <v>222</v>
      </c>
      <c r="B111" s="59">
        <v>2</v>
      </c>
      <c r="C111" s="61">
        <f t="shared" si="1"/>
        <v>0.00134318334452653</v>
      </c>
    </row>
    <row r="112" ht="18.5" customHeight="1" spans="1:3">
      <c r="A112" s="58" t="s">
        <v>223</v>
      </c>
      <c r="B112" s="59">
        <v>1</v>
      </c>
      <c r="C112" s="61">
        <f t="shared" si="1"/>
        <v>0.000671591672263264</v>
      </c>
    </row>
    <row r="113" ht="18.5" customHeight="1" spans="1:3">
      <c r="A113" s="58" t="s">
        <v>132</v>
      </c>
      <c r="B113" s="59">
        <v>35</v>
      </c>
      <c r="C113" s="61">
        <f t="shared" si="1"/>
        <v>0.0235057085292142</v>
      </c>
    </row>
    <row r="114" ht="18.5" customHeight="1" spans="1:3">
      <c r="A114" s="58" t="s">
        <v>224</v>
      </c>
      <c r="B114" s="59">
        <v>1</v>
      </c>
      <c r="C114" s="61">
        <f t="shared" si="1"/>
        <v>0.000671591672263264</v>
      </c>
    </row>
    <row r="115" ht="18.5" customHeight="1" spans="1:3">
      <c r="A115" s="58" t="s">
        <v>225</v>
      </c>
      <c r="B115" s="59">
        <v>2</v>
      </c>
      <c r="C115" s="61">
        <f t="shared" si="1"/>
        <v>0.00134318334452653</v>
      </c>
    </row>
    <row r="116" ht="18.5" customHeight="1" spans="1:3">
      <c r="A116" s="58" t="s">
        <v>135</v>
      </c>
      <c r="B116" s="59">
        <v>11</v>
      </c>
      <c r="C116" s="61">
        <f t="shared" si="1"/>
        <v>0.0073875083948959</v>
      </c>
    </row>
    <row r="117" ht="18.5" customHeight="1" spans="1:3">
      <c r="A117" s="58" t="s">
        <v>138</v>
      </c>
      <c r="B117" s="59">
        <v>10</v>
      </c>
      <c r="C117" s="61">
        <f t="shared" si="1"/>
        <v>0.00671591672263264</v>
      </c>
    </row>
    <row r="118" ht="18.5" customHeight="1" spans="1:3">
      <c r="A118" s="58" t="s">
        <v>226</v>
      </c>
      <c r="B118" s="59">
        <v>1</v>
      </c>
      <c r="C118" s="61">
        <f t="shared" si="1"/>
        <v>0.000671591672263264</v>
      </c>
    </row>
    <row r="119" ht="18.5" customHeight="1" spans="1:3">
      <c r="A119" s="58" t="s">
        <v>141</v>
      </c>
      <c r="B119" s="59">
        <v>42</v>
      </c>
      <c r="C119" s="61">
        <f t="shared" si="1"/>
        <v>0.0282068502350571</v>
      </c>
    </row>
    <row r="120" ht="18.5" customHeight="1" spans="1:3">
      <c r="A120" s="58" t="s">
        <v>227</v>
      </c>
      <c r="B120" s="59">
        <v>1</v>
      </c>
      <c r="C120" s="61">
        <f t="shared" si="1"/>
        <v>0.000671591672263264</v>
      </c>
    </row>
    <row r="121" ht="18.5" customHeight="1" spans="1:3">
      <c r="A121" s="58" t="s">
        <v>228</v>
      </c>
      <c r="B121" s="59">
        <v>1</v>
      </c>
      <c r="C121" s="61">
        <f t="shared" si="1"/>
        <v>0.000671591672263264</v>
      </c>
    </row>
    <row r="122" ht="18.5" customHeight="1" spans="1:3">
      <c r="A122" s="58" t="s">
        <v>229</v>
      </c>
      <c r="B122" s="59">
        <v>1</v>
      </c>
      <c r="C122" s="61">
        <f t="shared" si="1"/>
        <v>0.000671591672263264</v>
      </c>
    </row>
    <row r="123" ht="18.5" customHeight="1" spans="1:3">
      <c r="A123" s="58" t="s">
        <v>144</v>
      </c>
      <c r="B123" s="59">
        <v>10</v>
      </c>
      <c r="C123" s="61">
        <f t="shared" si="1"/>
        <v>0.00671591672263264</v>
      </c>
    </row>
    <row r="124" ht="18.5" customHeight="1" spans="1:3">
      <c r="A124" s="58" t="s">
        <v>230</v>
      </c>
      <c r="B124" s="59">
        <v>1</v>
      </c>
      <c r="C124" s="61">
        <f t="shared" si="1"/>
        <v>0.000671591672263264</v>
      </c>
    </row>
    <row r="125" ht="18.5" customHeight="1" spans="1:3">
      <c r="A125" s="58" t="s">
        <v>64</v>
      </c>
      <c r="B125" s="59">
        <v>36</v>
      </c>
      <c r="C125" s="61">
        <f t="shared" si="1"/>
        <v>0.0241773002014775</v>
      </c>
    </row>
    <row r="126" ht="18.5" customHeight="1" spans="1:3">
      <c r="A126" s="58" t="s">
        <v>231</v>
      </c>
      <c r="B126" s="59">
        <v>3</v>
      </c>
      <c r="C126" s="61">
        <f t="shared" si="1"/>
        <v>0.00201477501678979</v>
      </c>
    </row>
    <row r="127" ht="18.5" customHeight="1" spans="1:3">
      <c r="A127" s="58" t="s">
        <v>146</v>
      </c>
      <c r="B127" s="59">
        <v>48</v>
      </c>
      <c r="C127" s="61">
        <f t="shared" si="1"/>
        <v>0.0322364002686367</v>
      </c>
    </row>
    <row r="128" ht="18.5" customHeight="1" spans="1:3">
      <c r="A128" s="58" t="s">
        <v>232</v>
      </c>
      <c r="B128" s="59">
        <v>7</v>
      </c>
      <c r="C128" s="61">
        <f t="shared" si="1"/>
        <v>0.00470114170584285</v>
      </c>
    </row>
    <row r="129" ht="18.5" customHeight="1" spans="1:3">
      <c r="A129" s="58" t="s">
        <v>149</v>
      </c>
      <c r="B129" s="59">
        <v>41</v>
      </c>
      <c r="C129" s="61">
        <f t="shared" si="1"/>
        <v>0.0275352585627938</v>
      </c>
    </row>
    <row r="130" ht="18.5" customHeight="1" spans="1:3">
      <c r="A130" s="58" t="s">
        <v>233</v>
      </c>
      <c r="B130" s="59">
        <v>2</v>
      </c>
      <c r="C130" s="61">
        <f t="shared" ref="C130:C153" si="2">B130/1489</f>
        <v>0.00134318334452653</v>
      </c>
    </row>
    <row r="131" ht="18.5" customHeight="1" spans="1:3">
      <c r="A131" s="58" t="s">
        <v>73</v>
      </c>
      <c r="B131" s="59">
        <v>7</v>
      </c>
      <c r="C131" s="61">
        <f t="shared" si="2"/>
        <v>0.00470114170584285</v>
      </c>
    </row>
    <row r="132" ht="18.5" customHeight="1" spans="1:3">
      <c r="A132" s="58" t="s">
        <v>234</v>
      </c>
      <c r="B132" s="59">
        <v>2</v>
      </c>
      <c r="C132" s="61">
        <f t="shared" si="2"/>
        <v>0.00134318334452653</v>
      </c>
    </row>
    <row r="133" ht="18.5" customHeight="1" spans="1:3">
      <c r="A133" s="58" t="s">
        <v>235</v>
      </c>
      <c r="B133" s="59">
        <v>1</v>
      </c>
      <c r="C133" s="61">
        <f t="shared" si="2"/>
        <v>0.000671591672263264</v>
      </c>
    </row>
    <row r="134" ht="18.5" customHeight="1" spans="1:3">
      <c r="A134" s="58" t="s">
        <v>236</v>
      </c>
      <c r="B134" s="59">
        <v>1</v>
      </c>
      <c r="C134" s="61">
        <f t="shared" si="2"/>
        <v>0.000671591672263264</v>
      </c>
    </row>
    <row r="135" ht="18.5" customHeight="1" spans="1:3">
      <c r="A135" s="58" t="s">
        <v>78</v>
      </c>
      <c r="B135" s="59">
        <v>3</v>
      </c>
      <c r="C135" s="61">
        <f t="shared" si="2"/>
        <v>0.00201477501678979</v>
      </c>
    </row>
    <row r="136" ht="18.5" customHeight="1" spans="1:3">
      <c r="A136" s="58" t="s">
        <v>152</v>
      </c>
      <c r="B136" s="59">
        <v>32</v>
      </c>
      <c r="C136" s="61">
        <f t="shared" si="2"/>
        <v>0.0214909335124244</v>
      </c>
    </row>
    <row r="137" ht="18.5" customHeight="1" spans="1:3">
      <c r="A137" s="58" t="s">
        <v>237</v>
      </c>
      <c r="B137" s="59">
        <v>6</v>
      </c>
      <c r="C137" s="61">
        <f t="shared" si="2"/>
        <v>0.00402955003357958</v>
      </c>
    </row>
    <row r="138" ht="18.5" customHeight="1" spans="1:3">
      <c r="A138" s="58" t="s">
        <v>238</v>
      </c>
      <c r="B138" s="59">
        <v>2</v>
      </c>
      <c r="C138" s="61">
        <f t="shared" si="2"/>
        <v>0.00134318334452653</v>
      </c>
    </row>
    <row r="139" ht="18.5" customHeight="1" spans="1:3">
      <c r="A139" s="58" t="s">
        <v>239</v>
      </c>
      <c r="B139" s="59">
        <v>1</v>
      </c>
      <c r="C139" s="61">
        <f t="shared" si="2"/>
        <v>0.000671591672263264</v>
      </c>
    </row>
    <row r="140" ht="18.5" customHeight="1" spans="1:3">
      <c r="A140" s="58" t="s">
        <v>155</v>
      </c>
      <c r="B140" s="59">
        <v>5</v>
      </c>
      <c r="C140" s="61">
        <f t="shared" si="2"/>
        <v>0.00335795836131632</v>
      </c>
    </row>
    <row r="141" ht="18.5" customHeight="1" spans="1:3">
      <c r="A141" s="58" t="s">
        <v>158</v>
      </c>
      <c r="B141" s="59">
        <v>1</v>
      </c>
      <c r="C141" s="61">
        <f t="shared" si="2"/>
        <v>0.000671591672263264</v>
      </c>
    </row>
    <row r="142" ht="18.5" customHeight="1" spans="1:3">
      <c r="A142" s="58" t="s">
        <v>161</v>
      </c>
      <c r="B142" s="59">
        <v>6</v>
      </c>
      <c r="C142" s="61">
        <f t="shared" si="2"/>
        <v>0.00402955003357958</v>
      </c>
    </row>
    <row r="143" ht="18.5" customHeight="1" spans="1:3">
      <c r="A143" s="58" t="s">
        <v>240</v>
      </c>
      <c r="B143" s="59">
        <v>1</v>
      </c>
      <c r="C143" s="61">
        <f t="shared" si="2"/>
        <v>0.000671591672263264</v>
      </c>
    </row>
    <row r="144" ht="18.5" customHeight="1" spans="1:3">
      <c r="A144" s="58" t="s">
        <v>163</v>
      </c>
      <c r="B144" s="59">
        <v>5</v>
      </c>
      <c r="C144" s="61">
        <f t="shared" si="2"/>
        <v>0.00335795836131632</v>
      </c>
    </row>
    <row r="145" ht="18.5" customHeight="1" spans="1:3">
      <c r="A145" s="58" t="s">
        <v>166</v>
      </c>
      <c r="B145" s="59">
        <v>5</v>
      </c>
      <c r="C145" s="61">
        <f t="shared" si="2"/>
        <v>0.00335795836131632</v>
      </c>
    </row>
    <row r="146" ht="18.5" customHeight="1" spans="1:3">
      <c r="A146" s="58" t="s">
        <v>169</v>
      </c>
      <c r="B146" s="59">
        <v>12</v>
      </c>
      <c r="C146" s="61">
        <f t="shared" si="2"/>
        <v>0.00805910006715917</v>
      </c>
    </row>
    <row r="147" ht="18.5" customHeight="1" spans="1:3">
      <c r="A147" s="58" t="s">
        <v>92</v>
      </c>
      <c r="B147" s="59">
        <v>39</v>
      </c>
      <c r="C147" s="61">
        <f t="shared" si="2"/>
        <v>0.0261920752182673</v>
      </c>
    </row>
    <row r="148" ht="18.5" customHeight="1" spans="1:3">
      <c r="A148" s="58" t="s">
        <v>241</v>
      </c>
      <c r="B148" s="59">
        <v>2</v>
      </c>
      <c r="C148" s="61">
        <f t="shared" si="2"/>
        <v>0.00134318334452653</v>
      </c>
    </row>
    <row r="149" ht="18.5" customHeight="1" spans="1:3">
      <c r="A149" s="58" t="s">
        <v>242</v>
      </c>
      <c r="B149" s="59">
        <v>1</v>
      </c>
      <c r="C149" s="61">
        <f t="shared" si="2"/>
        <v>0.000671591672263264</v>
      </c>
    </row>
    <row r="150" ht="18.5" customHeight="1" spans="1:3">
      <c r="A150" s="58" t="s">
        <v>243</v>
      </c>
      <c r="B150" s="59">
        <v>1</v>
      </c>
      <c r="C150" s="61">
        <f t="shared" si="2"/>
        <v>0.000671591672263264</v>
      </c>
    </row>
    <row r="151" ht="18.5" customHeight="1" spans="1:3">
      <c r="A151" s="58" t="s">
        <v>97</v>
      </c>
      <c r="B151" s="59">
        <v>9</v>
      </c>
      <c r="C151" s="61">
        <f t="shared" si="2"/>
        <v>0.00604432505036938</v>
      </c>
    </row>
    <row r="152" ht="18.5" customHeight="1" spans="1:3">
      <c r="A152" s="58" t="s">
        <v>244</v>
      </c>
      <c r="B152" s="59">
        <v>4</v>
      </c>
      <c r="C152" s="61">
        <f t="shared" si="2"/>
        <v>0.00268636668905306</v>
      </c>
    </row>
    <row r="153" ht="18.5" customHeight="1" spans="1:3">
      <c r="A153" s="62" t="s">
        <v>3</v>
      </c>
      <c r="B153" s="63">
        <v>1489</v>
      </c>
      <c r="C153" s="65">
        <f t="shared" si="2"/>
        <v>1</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0"/>
  <sheetViews>
    <sheetView topLeftCell="A3" workbookViewId="0">
      <selection activeCell="A3" sqref="$A1:$XFD1048576"/>
    </sheetView>
  </sheetViews>
  <sheetFormatPr defaultColWidth="8.66666666666667" defaultRowHeight="14" outlineLevelCol="7"/>
  <cols>
    <col min="1" max="1" width="28.675" customWidth="1"/>
    <col min="2" max="2" width="6.84166666666667" customWidth="1"/>
    <col min="3" max="3" width="9.34166666666667" customWidth="1"/>
    <col min="4" max="4" width="8.84166666666667" customWidth="1"/>
    <col min="6" max="6" width="25.8416666666667" customWidth="1"/>
    <col min="7" max="7" width="6.675" customWidth="1"/>
    <col min="8" max="8" width="9.34166666666667" customWidth="1"/>
  </cols>
  <sheetData>
    <row r="1" ht="18.5" customHeight="1" spans="1:8">
      <c r="A1" s="5" t="s">
        <v>23</v>
      </c>
      <c r="B1" s="23" t="s">
        <v>24</v>
      </c>
      <c r="C1" s="38" t="s">
        <v>8</v>
      </c>
      <c r="D1" s="53" t="s">
        <v>9</v>
      </c>
      <c r="F1" s="5" t="s">
        <v>26</v>
      </c>
      <c r="G1" s="23" t="s">
        <v>24</v>
      </c>
      <c r="H1" s="6" t="s">
        <v>8</v>
      </c>
    </row>
    <row r="2" ht="18.5" customHeight="1" spans="1:8">
      <c r="A2" s="54" t="s">
        <v>28</v>
      </c>
      <c r="B2" s="55" t="s">
        <v>27</v>
      </c>
      <c r="C2" s="56">
        <v>16</v>
      </c>
      <c r="D2" s="57">
        <f t="shared" ref="D2:D40" si="0">C2/1489</f>
        <v>0.0107454667562122</v>
      </c>
      <c r="F2" s="54" t="s">
        <v>30</v>
      </c>
      <c r="G2" s="55" t="s">
        <v>31</v>
      </c>
      <c r="H2" s="66">
        <v>445</v>
      </c>
    </row>
    <row r="3" ht="18.5" customHeight="1" spans="1:8">
      <c r="A3" s="58" t="s">
        <v>33</v>
      </c>
      <c r="B3" s="59" t="s">
        <v>34</v>
      </c>
      <c r="C3" s="60">
        <v>10</v>
      </c>
      <c r="D3" s="61">
        <f t="shared" si="0"/>
        <v>0.00671591672263264</v>
      </c>
      <c r="F3" s="58" t="s">
        <v>37</v>
      </c>
      <c r="G3" s="59" t="s">
        <v>38</v>
      </c>
      <c r="H3" s="67">
        <v>506</v>
      </c>
    </row>
    <row r="4" ht="18.5" customHeight="1" spans="1:8">
      <c r="A4" s="58" t="s">
        <v>40</v>
      </c>
      <c r="B4" s="59" t="s">
        <v>41</v>
      </c>
      <c r="C4" s="60">
        <v>86</v>
      </c>
      <c r="D4" s="61">
        <f t="shared" si="0"/>
        <v>0.0577568838146407</v>
      </c>
      <c r="F4" s="58" t="s">
        <v>43</v>
      </c>
      <c r="G4" s="59" t="s">
        <v>44</v>
      </c>
      <c r="H4" s="67">
        <v>212</v>
      </c>
    </row>
    <row r="5" ht="18.5" customHeight="1" spans="1:8">
      <c r="A5" s="58" t="s">
        <v>46</v>
      </c>
      <c r="B5" s="59" t="s">
        <v>47</v>
      </c>
      <c r="C5" s="60">
        <v>333</v>
      </c>
      <c r="D5" s="61">
        <f t="shared" si="0"/>
        <v>0.223640026863667</v>
      </c>
      <c r="F5" s="58" t="s">
        <v>49</v>
      </c>
      <c r="G5" s="59" t="s">
        <v>50</v>
      </c>
      <c r="H5" s="67">
        <v>95</v>
      </c>
    </row>
    <row r="6" ht="18.5" customHeight="1" spans="1:8">
      <c r="A6" s="58" t="s">
        <v>52</v>
      </c>
      <c r="B6" s="59" t="s">
        <v>53</v>
      </c>
      <c r="C6" s="60">
        <v>20</v>
      </c>
      <c r="D6" s="61">
        <f t="shared" si="0"/>
        <v>0.0134318334452653</v>
      </c>
      <c r="F6" s="58" t="s">
        <v>54</v>
      </c>
      <c r="G6" s="59" t="s">
        <v>55</v>
      </c>
      <c r="H6" s="67">
        <v>493</v>
      </c>
    </row>
    <row r="7" ht="18.5" customHeight="1" spans="1:8">
      <c r="A7" s="58" t="s">
        <v>56</v>
      </c>
      <c r="B7" s="59" t="s">
        <v>57</v>
      </c>
      <c r="C7" s="60">
        <v>69</v>
      </c>
      <c r="D7" s="61">
        <f t="shared" si="0"/>
        <v>0.0463398253861652</v>
      </c>
      <c r="F7" s="58" t="s">
        <v>58</v>
      </c>
      <c r="G7" s="59" t="s">
        <v>59</v>
      </c>
      <c r="H7" s="67">
        <v>249</v>
      </c>
    </row>
    <row r="8" ht="18.5" customHeight="1" spans="1:8">
      <c r="A8" s="58" t="s">
        <v>61</v>
      </c>
      <c r="B8" s="59" t="s">
        <v>62</v>
      </c>
      <c r="C8" s="60">
        <v>374</v>
      </c>
      <c r="D8" s="61">
        <f t="shared" si="0"/>
        <v>0.251175285426461</v>
      </c>
      <c r="F8" s="58" t="s">
        <v>63</v>
      </c>
      <c r="G8" s="59" t="s">
        <v>64</v>
      </c>
      <c r="H8" s="67">
        <v>39</v>
      </c>
    </row>
    <row r="9" ht="18.5" customHeight="1" spans="1:8">
      <c r="A9" s="58" t="s">
        <v>65</v>
      </c>
      <c r="B9" s="59" t="s">
        <v>66</v>
      </c>
      <c r="C9" s="60">
        <v>43</v>
      </c>
      <c r="D9" s="61">
        <f t="shared" si="0"/>
        <v>0.0288784419073203</v>
      </c>
      <c r="F9" s="58" t="s">
        <v>67</v>
      </c>
      <c r="G9" s="59" t="s">
        <v>68</v>
      </c>
      <c r="H9" s="67">
        <v>99</v>
      </c>
    </row>
    <row r="10" ht="18.5" customHeight="1" spans="1:8">
      <c r="A10" s="58" t="s">
        <v>70</v>
      </c>
      <c r="B10" s="59" t="s">
        <v>71</v>
      </c>
      <c r="C10" s="60">
        <v>74</v>
      </c>
      <c r="D10" s="61">
        <f t="shared" si="0"/>
        <v>0.0496977837474815</v>
      </c>
      <c r="F10" s="58" t="s">
        <v>72</v>
      </c>
      <c r="G10" s="59" t="s">
        <v>73</v>
      </c>
      <c r="H10" s="67">
        <v>11</v>
      </c>
    </row>
    <row r="11" ht="18.5" customHeight="1" spans="1:8">
      <c r="A11" s="58" t="s">
        <v>75</v>
      </c>
      <c r="B11" s="59" t="s">
        <v>76</v>
      </c>
      <c r="C11" s="60">
        <v>138</v>
      </c>
      <c r="D11" s="61">
        <f t="shared" si="0"/>
        <v>0.0926796507723304</v>
      </c>
      <c r="F11" s="58" t="s">
        <v>77</v>
      </c>
      <c r="G11" s="59" t="s">
        <v>78</v>
      </c>
      <c r="H11" s="67">
        <v>3</v>
      </c>
    </row>
    <row r="12" ht="18.5" customHeight="1" spans="1:8">
      <c r="A12" s="58" t="s">
        <v>80</v>
      </c>
      <c r="B12" s="59" t="s">
        <v>81</v>
      </c>
      <c r="C12" s="60">
        <v>85</v>
      </c>
      <c r="D12" s="61">
        <f t="shared" si="0"/>
        <v>0.0570852921423774</v>
      </c>
      <c r="F12" s="58" t="s">
        <v>70</v>
      </c>
      <c r="G12" s="59" t="s">
        <v>82</v>
      </c>
      <c r="H12" s="67">
        <v>16</v>
      </c>
    </row>
    <row r="13" ht="18.5" customHeight="1" spans="1:8">
      <c r="A13" s="58" t="s">
        <v>84</v>
      </c>
      <c r="B13" s="59" t="s">
        <v>85</v>
      </c>
      <c r="C13" s="60">
        <v>5</v>
      </c>
      <c r="D13" s="61">
        <f t="shared" si="0"/>
        <v>0.00335795836131632</v>
      </c>
      <c r="F13" s="58" t="s">
        <v>86</v>
      </c>
      <c r="G13" s="59" t="s">
        <v>87</v>
      </c>
      <c r="H13" s="67">
        <v>29</v>
      </c>
    </row>
    <row r="14" ht="18.5" customHeight="1" spans="1:8">
      <c r="A14" s="58" t="s">
        <v>89</v>
      </c>
      <c r="B14" s="59" t="s">
        <v>90</v>
      </c>
      <c r="C14" s="60">
        <v>3</v>
      </c>
      <c r="D14" s="61">
        <f t="shared" si="0"/>
        <v>0.00201477501678979</v>
      </c>
      <c r="F14" s="68" t="s">
        <v>91</v>
      </c>
      <c r="G14" s="69" t="s">
        <v>92</v>
      </c>
      <c r="H14" s="70">
        <v>43</v>
      </c>
    </row>
    <row r="15" ht="18.5" customHeight="1" spans="1:8">
      <c r="A15" s="58" t="s">
        <v>94</v>
      </c>
      <c r="B15" s="59" t="s">
        <v>95</v>
      </c>
      <c r="C15" s="60">
        <v>0</v>
      </c>
      <c r="D15" s="61">
        <f t="shared" si="0"/>
        <v>0</v>
      </c>
      <c r="F15" s="71" t="s">
        <v>96</v>
      </c>
      <c r="G15" s="72" t="s">
        <v>97</v>
      </c>
      <c r="H15" s="73">
        <v>13</v>
      </c>
    </row>
    <row r="16" ht="18.5" customHeight="1" spans="1:4">
      <c r="A16" s="58" t="s">
        <v>98</v>
      </c>
      <c r="B16" s="59" t="s">
        <v>99</v>
      </c>
      <c r="C16" s="60">
        <v>2</v>
      </c>
      <c r="D16" s="61">
        <f t="shared" si="0"/>
        <v>0.00134318334452653</v>
      </c>
    </row>
    <row r="17" ht="18.5" customHeight="1" spans="1:4">
      <c r="A17" s="58" t="s">
        <v>101</v>
      </c>
      <c r="B17" s="59" t="s">
        <v>102</v>
      </c>
      <c r="C17" s="60">
        <v>127</v>
      </c>
      <c r="D17" s="61">
        <f t="shared" si="0"/>
        <v>0.0852921423774345</v>
      </c>
    </row>
    <row r="18" ht="18.5" customHeight="1" spans="1:4">
      <c r="A18" s="58" t="s">
        <v>104</v>
      </c>
      <c r="B18" s="59" t="s">
        <v>105</v>
      </c>
      <c r="C18" s="60">
        <v>54</v>
      </c>
      <c r="D18" s="61">
        <f t="shared" si="0"/>
        <v>0.0362659503022163</v>
      </c>
    </row>
    <row r="19" ht="18.5" customHeight="1" spans="1:4">
      <c r="A19" s="58" t="s">
        <v>107</v>
      </c>
      <c r="B19" s="59" t="s">
        <v>108</v>
      </c>
      <c r="C19" s="60">
        <v>29</v>
      </c>
      <c r="D19" s="61">
        <f t="shared" si="0"/>
        <v>0.0194761584956347</v>
      </c>
    </row>
    <row r="20" ht="18.5" customHeight="1" spans="1:4">
      <c r="A20" s="58" t="s">
        <v>110</v>
      </c>
      <c r="B20" s="59" t="s">
        <v>111</v>
      </c>
      <c r="C20" s="60">
        <v>71</v>
      </c>
      <c r="D20" s="61">
        <f t="shared" si="0"/>
        <v>0.0476830087306917</v>
      </c>
    </row>
    <row r="21" ht="18.5" customHeight="1" spans="1:4">
      <c r="A21" s="58" t="s">
        <v>113</v>
      </c>
      <c r="B21" s="59" t="s">
        <v>114</v>
      </c>
      <c r="C21" s="60">
        <v>35</v>
      </c>
      <c r="D21" s="61">
        <f t="shared" si="0"/>
        <v>0.0235057085292142</v>
      </c>
    </row>
    <row r="22" ht="18.5" customHeight="1" spans="1:4">
      <c r="A22" s="58" t="s">
        <v>116</v>
      </c>
      <c r="B22" s="59" t="s">
        <v>117</v>
      </c>
      <c r="C22" s="60">
        <v>134</v>
      </c>
      <c r="D22" s="61">
        <f t="shared" si="0"/>
        <v>0.0899932840832774</v>
      </c>
    </row>
    <row r="23" ht="18.5" customHeight="1" spans="1:4">
      <c r="A23" s="58" t="s">
        <v>119</v>
      </c>
      <c r="B23" s="59" t="s">
        <v>120</v>
      </c>
      <c r="C23" s="60">
        <v>16</v>
      </c>
      <c r="D23" s="61">
        <f t="shared" si="0"/>
        <v>0.0107454667562122</v>
      </c>
    </row>
    <row r="24" ht="18.5" customHeight="1" spans="1:4">
      <c r="A24" s="58" t="s">
        <v>122</v>
      </c>
      <c r="B24" s="59" t="s">
        <v>123</v>
      </c>
      <c r="C24" s="60">
        <v>27</v>
      </c>
      <c r="D24" s="61">
        <f t="shared" si="0"/>
        <v>0.0181329751511081</v>
      </c>
    </row>
    <row r="25" ht="18.5" customHeight="1" spans="1:4">
      <c r="A25" s="58" t="s">
        <v>125</v>
      </c>
      <c r="B25" s="59" t="s">
        <v>126</v>
      </c>
      <c r="C25" s="60">
        <v>62</v>
      </c>
      <c r="D25" s="61">
        <f t="shared" si="0"/>
        <v>0.0416386836803224</v>
      </c>
    </row>
    <row r="26" ht="18.5" customHeight="1" spans="1:4">
      <c r="A26" s="58" t="s">
        <v>128</v>
      </c>
      <c r="B26" s="59" t="s">
        <v>129</v>
      </c>
      <c r="C26" s="60">
        <v>67</v>
      </c>
      <c r="D26" s="61">
        <f t="shared" si="0"/>
        <v>0.0449966420416387</v>
      </c>
    </row>
    <row r="27" ht="18.5" customHeight="1" spans="1:4">
      <c r="A27" s="58" t="s">
        <v>131</v>
      </c>
      <c r="B27" s="59" t="s">
        <v>132</v>
      </c>
      <c r="C27" s="60">
        <v>40</v>
      </c>
      <c r="D27" s="61">
        <f t="shared" si="0"/>
        <v>0.0268636668905306</v>
      </c>
    </row>
    <row r="28" ht="18.5" customHeight="1" spans="1:4">
      <c r="A28" s="58" t="s">
        <v>134</v>
      </c>
      <c r="B28" s="59" t="s">
        <v>135</v>
      </c>
      <c r="C28" s="60">
        <v>12</v>
      </c>
      <c r="D28" s="61">
        <f t="shared" si="0"/>
        <v>0.00805910006715917</v>
      </c>
    </row>
    <row r="29" ht="18.5" customHeight="1" spans="1:4">
      <c r="A29" s="58" t="s">
        <v>137</v>
      </c>
      <c r="B29" s="59" t="s">
        <v>138</v>
      </c>
      <c r="C29" s="60">
        <v>11</v>
      </c>
      <c r="D29" s="61">
        <f t="shared" si="0"/>
        <v>0.0073875083948959</v>
      </c>
    </row>
    <row r="30" ht="18.5" customHeight="1" spans="1:4">
      <c r="A30" s="58" t="s">
        <v>140</v>
      </c>
      <c r="B30" s="59" t="s">
        <v>141</v>
      </c>
      <c r="C30" s="60">
        <v>46</v>
      </c>
      <c r="D30" s="61">
        <f t="shared" si="0"/>
        <v>0.0308932169241101</v>
      </c>
    </row>
    <row r="31" ht="18.5" customHeight="1" spans="1:4">
      <c r="A31" s="74" t="s">
        <v>143</v>
      </c>
      <c r="B31" s="59" t="s">
        <v>144</v>
      </c>
      <c r="C31" s="60">
        <v>11</v>
      </c>
      <c r="D31" s="61">
        <f t="shared" si="0"/>
        <v>0.0073875083948959</v>
      </c>
    </row>
    <row r="32" ht="18.5" customHeight="1" spans="1:4">
      <c r="A32" s="58" t="s">
        <v>145</v>
      </c>
      <c r="B32" s="59" t="s">
        <v>146</v>
      </c>
      <c r="C32" s="60">
        <v>55</v>
      </c>
      <c r="D32" s="61">
        <f t="shared" si="0"/>
        <v>0.0369375419744795</v>
      </c>
    </row>
    <row r="33" ht="18.5" customHeight="1" spans="1:4">
      <c r="A33" s="58" t="s">
        <v>148</v>
      </c>
      <c r="B33" s="59" t="s">
        <v>149</v>
      </c>
      <c r="C33" s="60">
        <v>44</v>
      </c>
      <c r="D33" s="61">
        <f t="shared" si="0"/>
        <v>0.0295500335795836</v>
      </c>
    </row>
    <row r="34" ht="18.5" customHeight="1" spans="1:4">
      <c r="A34" s="58" t="s">
        <v>151</v>
      </c>
      <c r="B34" s="59" t="s">
        <v>152</v>
      </c>
      <c r="C34" s="60">
        <v>9</v>
      </c>
      <c r="D34" s="61">
        <f t="shared" si="0"/>
        <v>0.00604432505036938</v>
      </c>
    </row>
    <row r="35" ht="18.5" customHeight="1" spans="1:4">
      <c r="A35" s="58" t="s">
        <v>154</v>
      </c>
      <c r="B35" s="59" t="s">
        <v>155</v>
      </c>
      <c r="C35" s="60">
        <v>6</v>
      </c>
      <c r="D35" s="61">
        <f t="shared" si="0"/>
        <v>0.00402955003357958</v>
      </c>
    </row>
    <row r="36" ht="18.5" customHeight="1" spans="1:4">
      <c r="A36" s="58" t="s">
        <v>157</v>
      </c>
      <c r="B36" s="59" t="s">
        <v>158</v>
      </c>
      <c r="C36" s="60">
        <v>1</v>
      </c>
      <c r="D36" s="61">
        <f t="shared" si="0"/>
        <v>0.000671591672263264</v>
      </c>
    </row>
    <row r="37" ht="18.5" customHeight="1" spans="1:4">
      <c r="A37" s="58" t="s">
        <v>160</v>
      </c>
      <c r="B37" s="59" t="s">
        <v>161</v>
      </c>
      <c r="C37" s="60">
        <v>7</v>
      </c>
      <c r="D37" s="61">
        <f t="shared" si="0"/>
        <v>0.00470114170584285</v>
      </c>
    </row>
    <row r="38" ht="18.5" customHeight="1" spans="1:4">
      <c r="A38" s="58" t="s">
        <v>162</v>
      </c>
      <c r="B38" s="59" t="s">
        <v>163</v>
      </c>
      <c r="C38" s="60">
        <v>5</v>
      </c>
      <c r="D38" s="61">
        <f t="shared" si="0"/>
        <v>0.00335795836131632</v>
      </c>
    </row>
    <row r="39" ht="18.5" customHeight="1" spans="1:4">
      <c r="A39" s="58" t="s">
        <v>165</v>
      </c>
      <c r="B39" s="59" t="s">
        <v>166</v>
      </c>
      <c r="C39" s="60">
        <v>5</v>
      </c>
      <c r="D39" s="61">
        <f t="shared" si="0"/>
        <v>0.00335795836131632</v>
      </c>
    </row>
    <row r="40" ht="18.5" customHeight="1" spans="1:4">
      <c r="A40" s="62" t="s">
        <v>168</v>
      </c>
      <c r="B40" s="63" t="s">
        <v>169</v>
      </c>
      <c r="C40" s="64">
        <v>12</v>
      </c>
      <c r="D40" s="65">
        <f t="shared" si="0"/>
        <v>0.00805910006715917</v>
      </c>
    </row>
  </sheetData>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1"/>
  <sheetViews>
    <sheetView tabSelected="1" workbookViewId="0">
      <selection activeCell="A1" sqref="$A1:$XFD1048576"/>
    </sheetView>
  </sheetViews>
  <sheetFormatPr defaultColWidth="8.66666666666667" defaultRowHeight="14" outlineLevelCol="3"/>
  <cols>
    <col min="1" max="1" width="28.675" customWidth="1"/>
    <col min="2" max="2" width="6.84166666666667" customWidth="1"/>
    <col min="3" max="3" width="9.34166666666667" customWidth="1"/>
    <col min="4" max="4" width="8.84166666666667" customWidth="1"/>
  </cols>
  <sheetData>
    <row r="1" ht="18.5" customHeight="1" spans="1:4">
      <c r="A1" s="5" t="s">
        <v>23</v>
      </c>
      <c r="B1" s="23" t="s">
        <v>24</v>
      </c>
      <c r="C1" s="38" t="s">
        <v>8</v>
      </c>
      <c r="D1" s="53" t="s">
        <v>9</v>
      </c>
    </row>
    <row r="2" ht="18.5" customHeight="1" spans="1:4">
      <c r="A2" s="54" t="s">
        <v>28</v>
      </c>
      <c r="B2" s="55" t="s">
        <v>27</v>
      </c>
      <c r="C2" s="56">
        <v>16</v>
      </c>
      <c r="D2" s="57">
        <v>0.0359550561797753</v>
      </c>
    </row>
    <row r="3" ht="18.5" customHeight="1" spans="1:4">
      <c r="A3" s="58" t="s">
        <v>33</v>
      </c>
      <c r="B3" s="59" t="s">
        <v>34</v>
      </c>
      <c r="C3" s="60">
        <v>10</v>
      </c>
      <c r="D3" s="61">
        <v>0.0224719101123595</v>
      </c>
    </row>
    <row r="4" ht="18.5" customHeight="1" spans="1:4">
      <c r="A4" s="58" t="s">
        <v>40</v>
      </c>
      <c r="B4" s="59" t="s">
        <v>41</v>
      </c>
      <c r="C4" s="60">
        <v>86</v>
      </c>
      <c r="D4" s="61">
        <v>0.193258426966292</v>
      </c>
    </row>
    <row r="5" ht="18.5" customHeight="1" spans="1:4">
      <c r="A5" s="58" t="s">
        <v>46</v>
      </c>
      <c r="B5" s="59" t="s">
        <v>47</v>
      </c>
      <c r="C5" s="60">
        <v>333</v>
      </c>
      <c r="D5" s="61">
        <v>0.748314606741573</v>
      </c>
    </row>
    <row r="6" ht="18.5" customHeight="1" spans="1:4">
      <c r="A6" s="58" t="s">
        <v>52</v>
      </c>
      <c r="B6" s="59" t="s">
        <v>53</v>
      </c>
      <c r="C6" s="60">
        <v>20</v>
      </c>
      <c r="D6" s="61">
        <v>0.0395256916996047</v>
      </c>
    </row>
    <row r="7" ht="18.5" customHeight="1" spans="1:4">
      <c r="A7" s="58" t="s">
        <v>56</v>
      </c>
      <c r="B7" s="59" t="s">
        <v>57</v>
      </c>
      <c r="C7" s="60">
        <v>69</v>
      </c>
      <c r="D7" s="61">
        <v>0.136363636363636</v>
      </c>
    </row>
    <row r="8" ht="18.5" customHeight="1" spans="1:4">
      <c r="A8" s="58" t="s">
        <v>61</v>
      </c>
      <c r="B8" s="59" t="s">
        <v>62</v>
      </c>
      <c r="C8" s="60">
        <v>374</v>
      </c>
      <c r="D8" s="61">
        <v>0.739130434782609</v>
      </c>
    </row>
    <row r="9" ht="18.5" customHeight="1" spans="1:4">
      <c r="A9" s="58" t="s">
        <v>65</v>
      </c>
      <c r="B9" s="59" t="s">
        <v>66</v>
      </c>
      <c r="C9" s="60">
        <v>43</v>
      </c>
      <c r="D9" s="61">
        <v>0.0849802371541502</v>
      </c>
    </row>
    <row r="10" ht="18.5" customHeight="1" spans="1:4">
      <c r="A10" s="58" t="s">
        <v>70</v>
      </c>
      <c r="B10" s="59" t="s">
        <v>71</v>
      </c>
      <c r="C10" s="60">
        <v>74</v>
      </c>
      <c r="D10" s="61">
        <v>0.349056603773585</v>
      </c>
    </row>
    <row r="11" ht="18.5" customHeight="1" spans="1:4">
      <c r="A11" s="58" t="s">
        <v>75</v>
      </c>
      <c r="B11" s="59" t="s">
        <v>76</v>
      </c>
      <c r="C11" s="60">
        <v>138</v>
      </c>
      <c r="D11" s="61">
        <v>0.650943396226415</v>
      </c>
    </row>
    <row r="12" ht="18.5" customHeight="1" spans="1:4">
      <c r="A12" s="58" t="s">
        <v>80</v>
      </c>
      <c r="B12" s="59" t="s">
        <v>81</v>
      </c>
      <c r="C12" s="60">
        <v>85</v>
      </c>
      <c r="D12" s="61">
        <v>0.894736842105263</v>
      </c>
    </row>
    <row r="13" ht="18.5" customHeight="1" spans="1:4">
      <c r="A13" s="58" t="s">
        <v>84</v>
      </c>
      <c r="B13" s="59" t="s">
        <v>85</v>
      </c>
      <c r="C13" s="60">
        <v>5</v>
      </c>
      <c r="D13" s="61">
        <v>0.0526315789473684</v>
      </c>
    </row>
    <row r="14" ht="18.5" customHeight="1" spans="1:4">
      <c r="A14" s="58" t="s">
        <v>89</v>
      </c>
      <c r="B14" s="59" t="s">
        <v>90</v>
      </c>
      <c r="C14" s="60">
        <v>3</v>
      </c>
      <c r="D14" s="61">
        <v>0.0315789473684211</v>
      </c>
    </row>
    <row r="15" ht="18.5" customHeight="1" spans="1:4">
      <c r="A15" s="58" t="s">
        <v>94</v>
      </c>
      <c r="B15" s="59" t="s">
        <v>95</v>
      </c>
      <c r="C15" s="60">
        <v>0</v>
      </c>
      <c r="D15" s="61">
        <v>0</v>
      </c>
    </row>
    <row r="16" ht="18.5" customHeight="1" spans="1:4">
      <c r="A16" s="58" t="s">
        <v>98</v>
      </c>
      <c r="B16" s="59" t="s">
        <v>99</v>
      </c>
      <c r="C16" s="60">
        <v>2</v>
      </c>
      <c r="D16" s="61">
        <v>0.0210526315789474</v>
      </c>
    </row>
    <row r="17" ht="18.5" customHeight="1" spans="1:4">
      <c r="A17" s="58" t="s">
        <v>101</v>
      </c>
      <c r="B17" s="59" t="s">
        <v>102</v>
      </c>
      <c r="C17" s="60">
        <v>127</v>
      </c>
      <c r="D17" s="61">
        <v>0.257606490872211</v>
      </c>
    </row>
    <row r="18" ht="18.5" customHeight="1" spans="1:4">
      <c r="A18" s="58" t="s">
        <v>104</v>
      </c>
      <c r="B18" s="59" t="s">
        <v>105</v>
      </c>
      <c r="C18" s="60">
        <v>54</v>
      </c>
      <c r="D18" s="61">
        <v>0.109533468559838</v>
      </c>
    </row>
    <row r="19" ht="18.5" customHeight="1" spans="1:4">
      <c r="A19" s="58" t="s">
        <v>107</v>
      </c>
      <c r="B19" s="59" t="s">
        <v>108</v>
      </c>
      <c r="C19" s="60">
        <v>29</v>
      </c>
      <c r="D19" s="61">
        <v>0.0588235294117647</v>
      </c>
    </row>
    <row r="20" ht="18.5" customHeight="1" spans="1:4">
      <c r="A20" s="58" t="s">
        <v>110</v>
      </c>
      <c r="B20" s="59" t="s">
        <v>111</v>
      </c>
      <c r="C20" s="60">
        <v>71</v>
      </c>
      <c r="D20" s="61">
        <v>0.144016227180527</v>
      </c>
    </row>
    <row r="21" ht="18.5" customHeight="1" spans="1:4">
      <c r="A21" s="58" t="s">
        <v>113</v>
      </c>
      <c r="B21" s="59" t="s">
        <v>114</v>
      </c>
      <c r="C21" s="60">
        <v>35</v>
      </c>
      <c r="D21" s="61">
        <v>0.0709939148073022</v>
      </c>
    </row>
    <row r="22" ht="18.5" customHeight="1" spans="1:4">
      <c r="A22" s="58" t="s">
        <v>116</v>
      </c>
      <c r="B22" s="59" t="s">
        <v>117</v>
      </c>
      <c r="C22" s="60">
        <v>134</v>
      </c>
      <c r="D22" s="61">
        <v>0.271805273833671</v>
      </c>
    </row>
    <row r="23" ht="18.5" customHeight="1" spans="1:4">
      <c r="A23" s="58" t="s">
        <v>119</v>
      </c>
      <c r="B23" s="59" t="s">
        <v>120</v>
      </c>
      <c r="C23" s="60">
        <v>16</v>
      </c>
      <c r="D23" s="61">
        <v>0.0324543610547667</v>
      </c>
    </row>
    <row r="24" ht="18.5" customHeight="1" spans="1:4">
      <c r="A24" s="58" t="s">
        <v>122</v>
      </c>
      <c r="B24" s="59" t="s">
        <v>123</v>
      </c>
      <c r="C24" s="60">
        <v>27</v>
      </c>
      <c r="D24" s="61">
        <v>0.0547667342799189</v>
      </c>
    </row>
    <row r="25" ht="18.5" customHeight="1" spans="1:4">
      <c r="A25" s="58" t="s">
        <v>125</v>
      </c>
      <c r="B25" s="59" t="s">
        <v>126</v>
      </c>
      <c r="C25" s="60">
        <v>62</v>
      </c>
      <c r="D25" s="61">
        <v>0.248995983935743</v>
      </c>
    </row>
    <row r="26" ht="18.5" customHeight="1" spans="1:4">
      <c r="A26" s="58" t="s">
        <v>128</v>
      </c>
      <c r="B26" s="59" t="s">
        <v>129</v>
      </c>
      <c r="C26" s="60">
        <v>67</v>
      </c>
      <c r="D26" s="61">
        <v>0.269076305220884</v>
      </c>
    </row>
    <row r="27" ht="18.5" customHeight="1" spans="1:4">
      <c r="A27" s="58" t="s">
        <v>131</v>
      </c>
      <c r="B27" s="59" t="s">
        <v>132</v>
      </c>
      <c r="C27" s="60">
        <v>40</v>
      </c>
      <c r="D27" s="61">
        <v>0.160642570281124</v>
      </c>
    </row>
    <row r="28" ht="18.5" customHeight="1" spans="1:4">
      <c r="A28" s="58" t="s">
        <v>134</v>
      </c>
      <c r="B28" s="59" t="s">
        <v>135</v>
      </c>
      <c r="C28" s="60">
        <v>12</v>
      </c>
      <c r="D28" s="61">
        <v>0.0481927710843374</v>
      </c>
    </row>
    <row r="29" ht="18.5" customHeight="1" spans="1:4">
      <c r="A29" s="58" t="s">
        <v>137</v>
      </c>
      <c r="B29" s="59" t="s">
        <v>138</v>
      </c>
      <c r="C29" s="60">
        <v>11</v>
      </c>
      <c r="D29" s="61">
        <v>0.0441767068273092</v>
      </c>
    </row>
    <row r="30" ht="18.5" customHeight="1" spans="1:4">
      <c r="A30" s="58" t="s">
        <v>140</v>
      </c>
      <c r="B30" s="59" t="s">
        <v>141</v>
      </c>
      <c r="C30" s="60">
        <v>46</v>
      </c>
      <c r="D30" s="61">
        <v>0.184738955823293</v>
      </c>
    </row>
    <row r="31" ht="18.5" customHeight="1" spans="1:4">
      <c r="A31" s="58" t="s">
        <v>143</v>
      </c>
      <c r="B31" s="59" t="s">
        <v>144</v>
      </c>
      <c r="C31" s="60">
        <v>11</v>
      </c>
      <c r="D31" s="61">
        <v>0.0441767068273092</v>
      </c>
    </row>
    <row r="32" ht="18.5" customHeight="1" spans="1:4">
      <c r="A32" s="58" t="s">
        <v>145</v>
      </c>
      <c r="B32" s="59" t="s">
        <v>146</v>
      </c>
      <c r="C32" s="60">
        <v>55</v>
      </c>
      <c r="D32" s="61">
        <v>0.555555555555556</v>
      </c>
    </row>
    <row r="33" ht="18.5" customHeight="1" spans="1:4">
      <c r="A33" s="58" t="s">
        <v>148</v>
      </c>
      <c r="B33" s="59" t="s">
        <v>149</v>
      </c>
      <c r="C33" s="60">
        <v>44</v>
      </c>
      <c r="D33" s="61">
        <v>0.444444444444444</v>
      </c>
    </row>
    <row r="34" ht="18.5" customHeight="1" spans="1:4">
      <c r="A34" s="58" t="s">
        <v>151</v>
      </c>
      <c r="B34" s="59" t="s">
        <v>152</v>
      </c>
      <c r="C34" s="60">
        <v>9</v>
      </c>
      <c r="D34" s="61">
        <v>0.5625</v>
      </c>
    </row>
    <row r="35" ht="18.5" customHeight="1" spans="1:4">
      <c r="A35" s="58" t="s">
        <v>154</v>
      </c>
      <c r="B35" s="59" t="s">
        <v>155</v>
      </c>
      <c r="C35" s="60">
        <v>6</v>
      </c>
      <c r="D35" s="61">
        <v>0.375</v>
      </c>
    </row>
    <row r="36" ht="18.5" customHeight="1" spans="1:4">
      <c r="A36" s="58" t="s">
        <v>157</v>
      </c>
      <c r="B36" s="59" t="s">
        <v>158</v>
      </c>
      <c r="C36" s="60">
        <v>1</v>
      </c>
      <c r="D36" s="61">
        <v>0.0625</v>
      </c>
    </row>
    <row r="37" ht="18.5" customHeight="1" spans="1:4">
      <c r="A37" s="58" t="s">
        <v>160</v>
      </c>
      <c r="B37" s="59" t="s">
        <v>161</v>
      </c>
      <c r="C37" s="60">
        <v>7</v>
      </c>
      <c r="D37" s="61">
        <v>0.241379310344828</v>
      </c>
    </row>
    <row r="38" ht="18.5" customHeight="1" spans="1:4">
      <c r="A38" s="58" t="s">
        <v>162</v>
      </c>
      <c r="B38" s="59" t="s">
        <v>163</v>
      </c>
      <c r="C38" s="60">
        <v>5</v>
      </c>
      <c r="D38" s="61">
        <v>0.172413793103448</v>
      </c>
    </row>
    <row r="39" ht="18.5" customHeight="1" spans="1:4">
      <c r="A39" s="58" t="s">
        <v>165</v>
      </c>
      <c r="B39" s="59" t="s">
        <v>166</v>
      </c>
      <c r="C39" s="60">
        <v>5</v>
      </c>
      <c r="D39" s="61">
        <v>0.172413793103448</v>
      </c>
    </row>
    <row r="40" ht="18.5" customHeight="1" spans="1:4">
      <c r="A40" s="62" t="s">
        <v>168</v>
      </c>
      <c r="B40" s="63" t="s">
        <v>169</v>
      </c>
      <c r="C40" s="64">
        <v>12</v>
      </c>
      <c r="D40" s="65">
        <v>0.413793103448276</v>
      </c>
    </row>
    <row r="41" ht="18.5" customHeight="1"/>
  </sheetData>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63"/>
  <sheetViews>
    <sheetView topLeftCell="A48" workbookViewId="0">
      <selection activeCell="A1" sqref="$A1:$XFD1048576"/>
    </sheetView>
  </sheetViews>
  <sheetFormatPr defaultColWidth="8.66666666666667" defaultRowHeight="14"/>
  <cols>
    <col min="1" max="1" width="10.3416666666667" style="46" customWidth="1"/>
    <col min="2" max="2" width="18.5083333333333" style="1" customWidth="1"/>
    <col min="3" max="3" width="8.00833333333333" style="1" customWidth="1"/>
    <col min="4" max="4" width="7.34166666666667" style="1" customWidth="1"/>
    <col min="5" max="5" width="10.5083333333333" style="1" customWidth="1"/>
    <col min="6" max="6" width="13.175" style="1" customWidth="1"/>
    <col min="7" max="7" width="14.5083333333333" style="1" customWidth="1"/>
    <col min="8" max="8" width="17.675" style="1" customWidth="1"/>
    <col min="9" max="9" width="11.3416666666667" style="1" customWidth="1"/>
    <col min="10" max="10" width="18.175" style="1" customWidth="1"/>
    <col min="11" max="11" width="14.0083333333333" style="1" customWidth="1"/>
    <col min="12" max="12" width="13.5083333333333" style="1" customWidth="1"/>
    <col min="13" max="13" width="12.5833333333333" style="1" customWidth="1"/>
    <col min="14" max="14" width="12.3416666666667" style="1" customWidth="1"/>
    <col min="15" max="16384" width="8.66666666666667" style="1"/>
  </cols>
  <sheetData>
    <row r="1" s="1" customFormat="1" ht="35" customHeight="1" spans="1:15">
      <c r="A1" s="47" t="s">
        <v>0</v>
      </c>
      <c r="B1" s="48" t="s">
        <v>10</v>
      </c>
      <c r="C1" s="48" t="s">
        <v>22</v>
      </c>
      <c r="D1" s="48" t="s">
        <v>17</v>
      </c>
      <c r="E1" s="48" t="s">
        <v>21</v>
      </c>
      <c r="F1" s="48" t="s">
        <v>20</v>
      </c>
      <c r="G1" s="48" t="s">
        <v>11</v>
      </c>
      <c r="H1" s="48" t="s">
        <v>16</v>
      </c>
      <c r="I1" s="48" t="s">
        <v>14</v>
      </c>
      <c r="J1" s="48" t="s">
        <v>12</v>
      </c>
      <c r="K1" s="48" t="s">
        <v>15</v>
      </c>
      <c r="L1" s="48" t="s">
        <v>13</v>
      </c>
      <c r="M1" s="48" t="s">
        <v>18</v>
      </c>
      <c r="N1" s="48" t="s">
        <v>19</v>
      </c>
      <c r="O1" s="51"/>
    </row>
    <row r="2" s="1" customFormat="1" ht="18.5" customHeight="1" spans="1:15">
      <c r="A2" s="49">
        <v>2021</v>
      </c>
      <c r="B2" s="4">
        <v>8</v>
      </c>
      <c r="C2" s="4">
        <v>639</v>
      </c>
      <c r="D2" s="4"/>
      <c r="E2" s="4">
        <v>1</v>
      </c>
      <c r="F2" s="4">
        <v>354</v>
      </c>
      <c r="G2" s="4"/>
      <c r="H2" s="4">
        <v>17</v>
      </c>
      <c r="I2" s="4"/>
      <c r="J2" s="4"/>
      <c r="K2" s="4"/>
      <c r="L2" s="4"/>
      <c r="M2" s="4"/>
      <c r="N2" s="4">
        <v>296</v>
      </c>
      <c r="O2" s="52"/>
    </row>
    <row r="3" s="1" customFormat="1" ht="18.5" customHeight="1" spans="1:15">
      <c r="A3" s="49">
        <v>2022</v>
      </c>
      <c r="B3" s="4">
        <v>11</v>
      </c>
      <c r="C3" s="4">
        <v>1062</v>
      </c>
      <c r="D3" s="4"/>
      <c r="E3" s="4">
        <v>11</v>
      </c>
      <c r="F3" s="4">
        <v>320</v>
      </c>
      <c r="G3" s="4"/>
      <c r="H3" s="4">
        <v>49</v>
      </c>
      <c r="I3" s="4"/>
      <c r="J3" s="4"/>
      <c r="K3" s="4"/>
      <c r="L3" s="4"/>
      <c r="M3" s="4"/>
      <c r="N3" s="4">
        <v>333</v>
      </c>
      <c r="O3" s="52"/>
    </row>
    <row r="4" s="1" customFormat="1" ht="18.5" customHeight="1" spans="1:14">
      <c r="A4" s="50">
        <v>44927</v>
      </c>
      <c r="B4" s="4">
        <v>1</v>
      </c>
      <c r="C4" s="4">
        <v>456</v>
      </c>
      <c r="D4" s="4"/>
      <c r="E4" s="4">
        <v>100</v>
      </c>
      <c r="F4" s="4">
        <v>81</v>
      </c>
      <c r="G4" s="4"/>
      <c r="H4" s="4">
        <v>8</v>
      </c>
      <c r="I4" s="4"/>
      <c r="J4" s="4"/>
      <c r="K4" s="4"/>
      <c r="L4" s="4"/>
      <c r="M4" s="4"/>
      <c r="N4" s="4">
        <v>92</v>
      </c>
    </row>
    <row r="5" s="1" customFormat="1" ht="18.5" customHeight="1" spans="1:14">
      <c r="A5" s="50">
        <v>44958</v>
      </c>
      <c r="B5" s="4">
        <v>4</v>
      </c>
      <c r="C5" s="4">
        <v>379</v>
      </c>
      <c r="D5" s="4"/>
      <c r="E5" s="4">
        <v>251</v>
      </c>
      <c r="F5" s="4">
        <v>110</v>
      </c>
      <c r="G5" s="4"/>
      <c r="H5" s="4">
        <v>11</v>
      </c>
      <c r="I5" s="4"/>
      <c r="J5" s="4"/>
      <c r="K5" s="4"/>
      <c r="L5" s="4"/>
      <c r="M5" s="4"/>
      <c r="N5" s="4">
        <v>56</v>
      </c>
    </row>
    <row r="6" s="1" customFormat="1" ht="18.5" customHeight="1" spans="1:14">
      <c r="A6" s="50">
        <v>44986</v>
      </c>
      <c r="B6" s="4">
        <v>4</v>
      </c>
      <c r="C6" s="4">
        <v>899</v>
      </c>
      <c r="D6" s="4"/>
      <c r="E6" s="4">
        <v>591</v>
      </c>
      <c r="F6" s="4">
        <v>199</v>
      </c>
      <c r="G6" s="4"/>
      <c r="H6" s="4">
        <v>13</v>
      </c>
      <c r="I6" s="4"/>
      <c r="J6" s="4"/>
      <c r="K6" s="4"/>
      <c r="L6" s="4"/>
      <c r="M6" s="4">
        <v>3</v>
      </c>
      <c r="N6" s="4">
        <v>105</v>
      </c>
    </row>
    <row r="7" s="1" customFormat="1" ht="18.5" customHeight="1" spans="1:14">
      <c r="A7" s="50">
        <v>45017</v>
      </c>
      <c r="B7" s="4"/>
      <c r="C7" s="4">
        <v>639</v>
      </c>
      <c r="D7" s="4"/>
      <c r="E7" s="4">
        <v>434</v>
      </c>
      <c r="F7" s="4">
        <v>192</v>
      </c>
      <c r="G7" s="4"/>
      <c r="H7" s="4">
        <v>5</v>
      </c>
      <c r="I7" s="4"/>
      <c r="J7" s="4"/>
      <c r="K7" s="4"/>
      <c r="L7" s="4"/>
      <c r="M7" s="4">
        <v>228</v>
      </c>
      <c r="N7" s="4">
        <v>86</v>
      </c>
    </row>
    <row r="8" s="1" customFormat="1" ht="18.5" customHeight="1" spans="1:14">
      <c r="A8" s="50">
        <v>45047</v>
      </c>
      <c r="B8" s="4"/>
      <c r="C8" s="4">
        <v>585</v>
      </c>
      <c r="D8" s="4"/>
      <c r="E8" s="4">
        <v>469</v>
      </c>
      <c r="F8" s="4">
        <v>180</v>
      </c>
      <c r="G8" s="4"/>
      <c r="H8" s="4">
        <v>14</v>
      </c>
      <c r="I8" s="4"/>
      <c r="J8" s="4">
        <v>2</v>
      </c>
      <c r="K8" s="4"/>
      <c r="L8" s="4">
        <v>10</v>
      </c>
      <c r="M8" s="4">
        <v>371</v>
      </c>
      <c r="N8" s="4">
        <v>109</v>
      </c>
    </row>
    <row r="9" s="1" customFormat="1" ht="18.5" customHeight="1" spans="1:14">
      <c r="A9" s="50">
        <v>45078</v>
      </c>
      <c r="B9" s="4"/>
      <c r="C9" s="4">
        <v>555</v>
      </c>
      <c r="D9" s="4"/>
      <c r="E9" s="4">
        <v>173</v>
      </c>
      <c r="F9" s="4">
        <v>147</v>
      </c>
      <c r="G9" s="4"/>
      <c r="H9" s="4">
        <v>11</v>
      </c>
      <c r="I9" s="4"/>
      <c r="J9" s="4">
        <v>2</v>
      </c>
      <c r="K9" s="4"/>
      <c r="L9" s="4">
        <v>19</v>
      </c>
      <c r="M9" s="4">
        <v>184</v>
      </c>
      <c r="N9" s="4">
        <v>88</v>
      </c>
    </row>
    <row r="10" s="1" customFormat="1" ht="18.5" customHeight="1" spans="1:14">
      <c r="A10" s="50">
        <v>45108</v>
      </c>
      <c r="B10" s="4">
        <v>1</v>
      </c>
      <c r="C10" s="4">
        <v>482</v>
      </c>
      <c r="D10" s="4">
        <v>5</v>
      </c>
      <c r="E10" s="4">
        <v>233</v>
      </c>
      <c r="F10" s="4">
        <v>130</v>
      </c>
      <c r="G10" s="4">
        <v>7</v>
      </c>
      <c r="H10" s="4">
        <v>6</v>
      </c>
      <c r="I10" s="4">
        <v>7</v>
      </c>
      <c r="J10" s="4">
        <v>3</v>
      </c>
      <c r="K10" s="4"/>
      <c r="L10" s="4">
        <v>5</v>
      </c>
      <c r="M10" s="4">
        <v>129</v>
      </c>
      <c r="N10" s="4">
        <v>81</v>
      </c>
    </row>
    <row r="11" s="1" customFormat="1" ht="18.5" customHeight="1" spans="1:14">
      <c r="A11" s="50">
        <v>45139</v>
      </c>
      <c r="B11" s="4">
        <v>1</v>
      </c>
      <c r="C11" s="4">
        <v>484</v>
      </c>
      <c r="D11" s="4">
        <v>3</v>
      </c>
      <c r="E11" s="4">
        <v>173</v>
      </c>
      <c r="F11" s="4">
        <v>101</v>
      </c>
      <c r="G11" s="4">
        <v>3</v>
      </c>
      <c r="H11" s="4">
        <v>12</v>
      </c>
      <c r="I11" s="4">
        <v>10</v>
      </c>
      <c r="J11" s="4">
        <v>1</v>
      </c>
      <c r="K11" s="4"/>
      <c r="L11" s="4">
        <v>8</v>
      </c>
      <c r="M11" s="4">
        <v>81</v>
      </c>
      <c r="N11" s="4">
        <v>87</v>
      </c>
    </row>
    <row r="12" s="1" customFormat="1" ht="18.5" customHeight="1" spans="1:14">
      <c r="A12" s="50">
        <v>45170</v>
      </c>
      <c r="B12" s="4"/>
      <c r="C12" s="4">
        <v>578</v>
      </c>
      <c r="D12" s="4">
        <v>6</v>
      </c>
      <c r="E12" s="4">
        <v>185</v>
      </c>
      <c r="F12" s="4">
        <v>116</v>
      </c>
      <c r="G12" s="4">
        <v>3</v>
      </c>
      <c r="H12" s="4">
        <v>6</v>
      </c>
      <c r="I12" s="4">
        <v>15</v>
      </c>
      <c r="J12" s="4">
        <v>6</v>
      </c>
      <c r="K12" s="4"/>
      <c r="L12" s="4">
        <v>2</v>
      </c>
      <c r="M12" s="4">
        <v>46</v>
      </c>
      <c r="N12" s="4">
        <v>66</v>
      </c>
    </row>
    <row r="13" s="1" customFormat="1" ht="18.5" customHeight="1" spans="1:14">
      <c r="A13" s="50">
        <v>45200</v>
      </c>
      <c r="B13" s="4"/>
      <c r="C13" s="4">
        <v>568</v>
      </c>
      <c r="D13" s="4">
        <v>17</v>
      </c>
      <c r="E13" s="4">
        <v>257</v>
      </c>
      <c r="F13" s="4">
        <v>101</v>
      </c>
      <c r="G13" s="4">
        <v>2</v>
      </c>
      <c r="H13" s="4">
        <v>12</v>
      </c>
      <c r="I13" s="4">
        <v>13</v>
      </c>
      <c r="J13" s="4">
        <v>3</v>
      </c>
      <c r="K13" s="4"/>
      <c r="L13" s="4">
        <v>2</v>
      </c>
      <c r="M13" s="4">
        <v>53</v>
      </c>
      <c r="N13" s="4">
        <v>112</v>
      </c>
    </row>
    <row r="14" s="1" customFormat="1" ht="18.5" customHeight="1" spans="1:14">
      <c r="A14" s="50">
        <v>45231</v>
      </c>
      <c r="B14" s="4">
        <v>3</v>
      </c>
      <c r="C14" s="4">
        <v>1475</v>
      </c>
      <c r="D14" s="4">
        <v>105</v>
      </c>
      <c r="E14" s="4">
        <v>612</v>
      </c>
      <c r="F14" s="4">
        <v>276</v>
      </c>
      <c r="G14" s="4">
        <v>4</v>
      </c>
      <c r="H14" s="4">
        <v>68</v>
      </c>
      <c r="I14" s="4">
        <v>79</v>
      </c>
      <c r="J14" s="4">
        <v>12</v>
      </c>
      <c r="K14" s="4">
        <v>3</v>
      </c>
      <c r="L14" s="4">
        <v>7</v>
      </c>
      <c r="M14" s="4">
        <v>338</v>
      </c>
      <c r="N14" s="4">
        <v>149</v>
      </c>
    </row>
    <row r="15" s="1" customFormat="1" ht="18.5" customHeight="1" spans="1:14">
      <c r="A15" s="50">
        <v>45261</v>
      </c>
      <c r="B15" s="4"/>
      <c r="C15" s="4">
        <v>841</v>
      </c>
      <c r="D15" s="4">
        <v>92</v>
      </c>
      <c r="E15" s="4">
        <v>232</v>
      </c>
      <c r="F15" s="4">
        <v>165</v>
      </c>
      <c r="G15" s="4">
        <v>8</v>
      </c>
      <c r="H15" s="4">
        <v>22</v>
      </c>
      <c r="I15" s="4">
        <v>48</v>
      </c>
      <c r="J15" s="4">
        <v>11</v>
      </c>
      <c r="K15" s="4">
        <v>120</v>
      </c>
      <c r="L15" s="4">
        <v>2</v>
      </c>
      <c r="M15" s="4">
        <v>122</v>
      </c>
      <c r="N15" s="4">
        <v>113</v>
      </c>
    </row>
    <row r="16" s="1" customFormat="1" ht="18.5" customHeight="1" spans="1:14">
      <c r="A16" s="50">
        <v>45292</v>
      </c>
      <c r="B16" s="4"/>
      <c r="C16" s="4">
        <v>408</v>
      </c>
      <c r="D16" s="4">
        <v>41</v>
      </c>
      <c r="E16" s="4">
        <v>146</v>
      </c>
      <c r="F16" s="4">
        <v>81</v>
      </c>
      <c r="G16" s="4">
        <v>6</v>
      </c>
      <c r="H16" s="4">
        <v>4</v>
      </c>
      <c r="I16" s="4">
        <v>19</v>
      </c>
      <c r="J16" s="4">
        <v>6</v>
      </c>
      <c r="K16" s="4">
        <v>125</v>
      </c>
      <c r="L16" s="4">
        <v>6</v>
      </c>
      <c r="M16" s="4">
        <v>83</v>
      </c>
      <c r="N16" s="4">
        <v>54</v>
      </c>
    </row>
    <row r="17" s="1" customFormat="1" spans="1:1">
      <c r="A17" s="46"/>
    </row>
    <row r="18" s="1" customFormat="1" spans="1:1">
      <c r="A18" s="46"/>
    </row>
    <row r="19" s="1" customFormat="1" spans="1:1">
      <c r="A19" s="46"/>
    </row>
    <row r="20" s="1" customFormat="1" spans="1:1">
      <c r="A20" s="46"/>
    </row>
    <row r="21" s="1" customFormat="1" spans="1:1">
      <c r="A21" s="46"/>
    </row>
    <row r="22" s="1" customFormat="1" spans="1:1">
      <c r="A22" s="46"/>
    </row>
    <row r="23" s="1" customFormat="1" spans="1:1">
      <c r="A23" s="46"/>
    </row>
    <row r="24" s="1" customFormat="1" spans="1:1">
      <c r="A24" s="46"/>
    </row>
    <row r="25" s="1" customFormat="1" spans="1:1">
      <c r="A25" s="46"/>
    </row>
    <row r="26" s="1" customFormat="1" spans="1:1">
      <c r="A26" s="46"/>
    </row>
    <row r="27" s="1" customFormat="1" spans="1:1">
      <c r="A27" s="46"/>
    </row>
    <row r="28" s="1" customFormat="1" spans="1:1">
      <c r="A28" s="46"/>
    </row>
    <row r="29" s="1" customFormat="1" spans="1:1">
      <c r="A29" s="46"/>
    </row>
    <row r="30" s="1" customFormat="1" spans="1:1">
      <c r="A30" s="46"/>
    </row>
    <row r="31" s="1" customFormat="1" spans="1:1">
      <c r="A31" s="46"/>
    </row>
    <row r="32" s="1" customFormat="1" spans="1:1">
      <c r="A32" s="46"/>
    </row>
    <row r="33" s="1" customFormat="1" spans="1:1">
      <c r="A33" s="46"/>
    </row>
    <row r="34" s="1" customFormat="1" spans="1:1">
      <c r="A34" s="46"/>
    </row>
    <row r="35" s="1" customFormat="1" spans="1:1">
      <c r="A35" s="46"/>
    </row>
    <row r="36" s="1" customFormat="1" spans="1:1">
      <c r="A36" s="46"/>
    </row>
    <row r="37" s="1" customFormat="1" spans="1:1">
      <c r="A37" s="46"/>
    </row>
    <row r="38" s="1" customFormat="1" spans="1:1">
      <c r="A38" s="46"/>
    </row>
    <row r="39" s="1" customFormat="1" spans="1:1">
      <c r="A39" s="46"/>
    </row>
    <row r="40" s="1" customFormat="1" spans="1:1">
      <c r="A40" s="46"/>
    </row>
    <row r="41" s="1" customFormat="1" spans="1:1">
      <c r="A41" s="46"/>
    </row>
    <row r="42" s="1" customFormat="1" spans="1:1">
      <c r="A42" s="46"/>
    </row>
    <row r="43" s="1" customFormat="1" spans="1:1">
      <c r="A43" s="46"/>
    </row>
    <row r="44" s="1" customFormat="1" spans="1:1">
      <c r="A44" s="46"/>
    </row>
    <row r="45" s="1" customFormat="1" spans="1:1">
      <c r="A45" s="46"/>
    </row>
    <row r="46" s="1" customFormat="1" spans="1:1">
      <c r="A46" s="46"/>
    </row>
    <row r="47" s="1" customFormat="1" spans="1:1">
      <c r="A47" s="46"/>
    </row>
    <row r="48" s="1" customFormat="1" ht="35" customHeight="1" spans="1:14">
      <c r="A48" s="47" t="s">
        <v>0</v>
      </c>
      <c r="B48" s="48" t="s">
        <v>10</v>
      </c>
      <c r="C48" s="48" t="s">
        <v>22</v>
      </c>
      <c r="D48" s="48" t="s">
        <v>17</v>
      </c>
      <c r="E48" s="48" t="s">
        <v>21</v>
      </c>
      <c r="F48" s="48" t="s">
        <v>20</v>
      </c>
      <c r="G48" s="48" t="s">
        <v>11</v>
      </c>
      <c r="H48" s="48" t="s">
        <v>16</v>
      </c>
      <c r="I48" s="48" t="s">
        <v>14</v>
      </c>
      <c r="J48" s="48" t="s">
        <v>12</v>
      </c>
      <c r="K48" s="48" t="s">
        <v>15</v>
      </c>
      <c r="L48" s="48" t="s">
        <v>13</v>
      </c>
      <c r="M48" s="48" t="s">
        <v>18</v>
      </c>
      <c r="N48" s="48" t="s">
        <v>19</v>
      </c>
    </row>
    <row r="49" s="1" customFormat="1" ht="18.5" customHeight="1" spans="1:14">
      <c r="A49" s="49">
        <v>2021</v>
      </c>
      <c r="B49" s="4">
        <v>8</v>
      </c>
      <c r="C49" s="4">
        <v>639</v>
      </c>
      <c r="D49" s="4">
        <v>0</v>
      </c>
      <c r="E49" s="4">
        <v>1</v>
      </c>
      <c r="F49" s="4">
        <v>354</v>
      </c>
      <c r="G49" s="4">
        <v>0</v>
      </c>
      <c r="H49" s="4">
        <v>17</v>
      </c>
      <c r="I49" s="4">
        <v>0</v>
      </c>
      <c r="J49" s="4">
        <v>0</v>
      </c>
      <c r="K49" s="4">
        <v>0</v>
      </c>
      <c r="L49" s="4">
        <v>0</v>
      </c>
      <c r="M49" s="4">
        <v>0</v>
      </c>
      <c r="N49" s="4">
        <v>296</v>
      </c>
    </row>
    <row r="50" s="1" customFormat="1" ht="18.5" customHeight="1" spans="1:14">
      <c r="A50" s="49">
        <v>2022</v>
      </c>
      <c r="B50" s="4">
        <f>B2+B3</f>
        <v>19</v>
      </c>
      <c r="C50" s="4">
        <f t="shared" ref="C50:N50" si="0">C49+C3</f>
        <v>1701</v>
      </c>
      <c r="D50" s="4">
        <f t="shared" si="0"/>
        <v>0</v>
      </c>
      <c r="E50" s="4">
        <f t="shared" si="0"/>
        <v>12</v>
      </c>
      <c r="F50" s="4">
        <f t="shared" si="0"/>
        <v>674</v>
      </c>
      <c r="G50" s="4">
        <f t="shared" si="0"/>
        <v>0</v>
      </c>
      <c r="H50" s="4">
        <f t="shared" si="0"/>
        <v>66</v>
      </c>
      <c r="I50" s="4">
        <f t="shared" si="0"/>
        <v>0</v>
      </c>
      <c r="J50" s="4">
        <f t="shared" si="0"/>
        <v>0</v>
      </c>
      <c r="K50" s="4">
        <f t="shared" si="0"/>
        <v>0</v>
      </c>
      <c r="L50" s="4">
        <f t="shared" si="0"/>
        <v>0</v>
      </c>
      <c r="M50" s="4">
        <f t="shared" si="0"/>
        <v>0</v>
      </c>
      <c r="N50" s="4">
        <f t="shared" si="0"/>
        <v>629</v>
      </c>
    </row>
    <row r="51" s="1" customFormat="1" ht="18.5" customHeight="1" spans="1:14">
      <c r="A51" s="50">
        <v>44927</v>
      </c>
      <c r="B51" s="4">
        <f t="shared" ref="B51:N51" si="1">B50+B4</f>
        <v>20</v>
      </c>
      <c r="C51" s="4">
        <f t="shared" si="1"/>
        <v>2157</v>
      </c>
      <c r="D51" s="4">
        <f t="shared" si="1"/>
        <v>0</v>
      </c>
      <c r="E51" s="4">
        <f t="shared" si="1"/>
        <v>112</v>
      </c>
      <c r="F51" s="4">
        <f t="shared" si="1"/>
        <v>755</v>
      </c>
      <c r="G51" s="4">
        <f t="shared" si="1"/>
        <v>0</v>
      </c>
      <c r="H51" s="4">
        <f t="shared" si="1"/>
        <v>74</v>
      </c>
      <c r="I51" s="4">
        <f t="shared" si="1"/>
        <v>0</v>
      </c>
      <c r="J51" s="4">
        <f t="shared" si="1"/>
        <v>0</v>
      </c>
      <c r="K51" s="4">
        <f t="shared" si="1"/>
        <v>0</v>
      </c>
      <c r="L51" s="4">
        <f t="shared" si="1"/>
        <v>0</v>
      </c>
      <c r="M51" s="4">
        <f t="shared" si="1"/>
        <v>0</v>
      </c>
      <c r="N51" s="4">
        <f t="shared" si="1"/>
        <v>721</v>
      </c>
    </row>
    <row r="52" s="1" customFormat="1" ht="18.5" customHeight="1" spans="1:14">
      <c r="A52" s="50">
        <v>44958</v>
      </c>
      <c r="B52" s="4">
        <f t="shared" ref="B52:N52" si="2">B51+B5</f>
        <v>24</v>
      </c>
      <c r="C52" s="4">
        <f t="shared" si="2"/>
        <v>2536</v>
      </c>
      <c r="D52" s="4">
        <f t="shared" si="2"/>
        <v>0</v>
      </c>
      <c r="E52" s="4">
        <f t="shared" si="2"/>
        <v>363</v>
      </c>
      <c r="F52" s="4">
        <f t="shared" si="2"/>
        <v>865</v>
      </c>
      <c r="G52" s="4">
        <f t="shared" si="2"/>
        <v>0</v>
      </c>
      <c r="H52" s="4">
        <f t="shared" si="2"/>
        <v>85</v>
      </c>
      <c r="I52" s="4">
        <f t="shared" si="2"/>
        <v>0</v>
      </c>
      <c r="J52" s="4">
        <f t="shared" si="2"/>
        <v>0</v>
      </c>
      <c r="K52" s="4">
        <f t="shared" si="2"/>
        <v>0</v>
      </c>
      <c r="L52" s="4">
        <f t="shared" si="2"/>
        <v>0</v>
      </c>
      <c r="M52" s="4">
        <f t="shared" si="2"/>
        <v>0</v>
      </c>
      <c r="N52" s="4">
        <f t="shared" si="2"/>
        <v>777</v>
      </c>
    </row>
    <row r="53" s="1" customFormat="1" ht="18.5" customHeight="1" spans="1:14">
      <c r="A53" s="50">
        <v>44986</v>
      </c>
      <c r="B53" s="4">
        <f t="shared" ref="B53:N53" si="3">B52+B6</f>
        <v>28</v>
      </c>
      <c r="C53" s="4">
        <f t="shared" si="3"/>
        <v>3435</v>
      </c>
      <c r="D53" s="4">
        <f t="shared" si="3"/>
        <v>0</v>
      </c>
      <c r="E53" s="4">
        <f t="shared" si="3"/>
        <v>954</v>
      </c>
      <c r="F53" s="4">
        <f t="shared" si="3"/>
        <v>1064</v>
      </c>
      <c r="G53" s="4">
        <f t="shared" si="3"/>
        <v>0</v>
      </c>
      <c r="H53" s="4">
        <f t="shared" si="3"/>
        <v>98</v>
      </c>
      <c r="I53" s="4">
        <f t="shared" si="3"/>
        <v>0</v>
      </c>
      <c r="J53" s="4">
        <f t="shared" si="3"/>
        <v>0</v>
      </c>
      <c r="K53" s="4">
        <f t="shared" si="3"/>
        <v>0</v>
      </c>
      <c r="L53" s="4">
        <f t="shared" si="3"/>
        <v>0</v>
      </c>
      <c r="M53" s="4">
        <f t="shared" si="3"/>
        <v>3</v>
      </c>
      <c r="N53" s="4">
        <f t="shared" si="3"/>
        <v>882</v>
      </c>
    </row>
    <row r="54" s="1" customFormat="1" ht="18.5" customHeight="1" spans="1:14">
      <c r="A54" s="50">
        <v>45017</v>
      </c>
      <c r="B54" s="4">
        <f t="shared" ref="B54:N54" si="4">B53+B7</f>
        <v>28</v>
      </c>
      <c r="C54" s="4">
        <f t="shared" si="4"/>
        <v>4074</v>
      </c>
      <c r="D54" s="4">
        <f t="shared" si="4"/>
        <v>0</v>
      </c>
      <c r="E54" s="4">
        <f t="shared" si="4"/>
        <v>1388</v>
      </c>
      <c r="F54" s="4">
        <f t="shared" si="4"/>
        <v>1256</v>
      </c>
      <c r="G54" s="4">
        <f t="shared" si="4"/>
        <v>0</v>
      </c>
      <c r="H54" s="4">
        <f t="shared" si="4"/>
        <v>103</v>
      </c>
      <c r="I54" s="4">
        <f t="shared" si="4"/>
        <v>0</v>
      </c>
      <c r="J54" s="4">
        <f t="shared" si="4"/>
        <v>0</v>
      </c>
      <c r="K54" s="4">
        <f t="shared" si="4"/>
        <v>0</v>
      </c>
      <c r="L54" s="4">
        <f t="shared" si="4"/>
        <v>0</v>
      </c>
      <c r="M54" s="4">
        <f t="shared" si="4"/>
        <v>231</v>
      </c>
      <c r="N54" s="4">
        <f t="shared" si="4"/>
        <v>968</v>
      </c>
    </row>
    <row r="55" s="1" customFormat="1" ht="18.5" customHeight="1" spans="1:14">
      <c r="A55" s="50">
        <v>45047</v>
      </c>
      <c r="B55" s="4">
        <f t="shared" ref="B55:N55" si="5">B54+B8</f>
        <v>28</v>
      </c>
      <c r="C55" s="4">
        <f t="shared" si="5"/>
        <v>4659</v>
      </c>
      <c r="D55" s="4">
        <f t="shared" si="5"/>
        <v>0</v>
      </c>
      <c r="E55" s="4">
        <f t="shared" si="5"/>
        <v>1857</v>
      </c>
      <c r="F55" s="4">
        <f t="shared" si="5"/>
        <v>1436</v>
      </c>
      <c r="G55" s="4">
        <f t="shared" si="5"/>
        <v>0</v>
      </c>
      <c r="H55" s="4">
        <f t="shared" si="5"/>
        <v>117</v>
      </c>
      <c r="I55" s="4">
        <f t="shared" si="5"/>
        <v>0</v>
      </c>
      <c r="J55" s="4">
        <f t="shared" si="5"/>
        <v>2</v>
      </c>
      <c r="K55" s="4">
        <f t="shared" si="5"/>
        <v>0</v>
      </c>
      <c r="L55" s="4">
        <f t="shared" si="5"/>
        <v>10</v>
      </c>
      <c r="M55" s="4">
        <f t="shared" si="5"/>
        <v>602</v>
      </c>
      <c r="N55" s="4">
        <f t="shared" si="5"/>
        <v>1077</v>
      </c>
    </row>
    <row r="56" s="1" customFormat="1" ht="18.5" customHeight="1" spans="1:14">
      <c r="A56" s="50">
        <v>45078</v>
      </c>
      <c r="B56" s="4">
        <f t="shared" ref="B56:N56" si="6">B55+B9</f>
        <v>28</v>
      </c>
      <c r="C56" s="4">
        <f t="shared" si="6"/>
        <v>5214</v>
      </c>
      <c r="D56" s="4">
        <f t="shared" si="6"/>
        <v>0</v>
      </c>
      <c r="E56" s="4">
        <f t="shared" si="6"/>
        <v>2030</v>
      </c>
      <c r="F56" s="4">
        <f t="shared" si="6"/>
        <v>1583</v>
      </c>
      <c r="G56" s="4">
        <f t="shared" si="6"/>
        <v>0</v>
      </c>
      <c r="H56" s="4">
        <f t="shared" si="6"/>
        <v>128</v>
      </c>
      <c r="I56" s="4">
        <f t="shared" si="6"/>
        <v>0</v>
      </c>
      <c r="J56" s="4">
        <f t="shared" si="6"/>
        <v>4</v>
      </c>
      <c r="K56" s="4">
        <f t="shared" si="6"/>
        <v>0</v>
      </c>
      <c r="L56" s="4">
        <f t="shared" si="6"/>
        <v>29</v>
      </c>
      <c r="M56" s="4">
        <f t="shared" si="6"/>
        <v>786</v>
      </c>
      <c r="N56" s="4">
        <f t="shared" si="6"/>
        <v>1165</v>
      </c>
    </row>
    <row r="57" s="1" customFormat="1" ht="18.5" customHeight="1" spans="1:14">
      <c r="A57" s="50">
        <v>45108</v>
      </c>
      <c r="B57" s="4">
        <f t="shared" ref="B57:N57" si="7">B56+B10</f>
        <v>29</v>
      </c>
      <c r="C57" s="4">
        <f t="shared" si="7"/>
        <v>5696</v>
      </c>
      <c r="D57" s="4">
        <f t="shared" si="7"/>
        <v>5</v>
      </c>
      <c r="E57" s="4">
        <f t="shared" si="7"/>
        <v>2263</v>
      </c>
      <c r="F57" s="4">
        <f t="shared" si="7"/>
        <v>1713</v>
      </c>
      <c r="G57" s="4">
        <f t="shared" si="7"/>
        <v>7</v>
      </c>
      <c r="H57" s="4">
        <f t="shared" si="7"/>
        <v>134</v>
      </c>
      <c r="I57" s="4">
        <f t="shared" si="7"/>
        <v>7</v>
      </c>
      <c r="J57" s="4">
        <f t="shared" si="7"/>
        <v>7</v>
      </c>
      <c r="K57" s="4">
        <f t="shared" si="7"/>
        <v>0</v>
      </c>
      <c r="L57" s="4">
        <f t="shared" si="7"/>
        <v>34</v>
      </c>
      <c r="M57" s="4">
        <f t="shared" si="7"/>
        <v>915</v>
      </c>
      <c r="N57" s="4">
        <f t="shared" si="7"/>
        <v>1246</v>
      </c>
    </row>
    <row r="58" s="1" customFormat="1" ht="18.5" customHeight="1" spans="1:14">
      <c r="A58" s="50">
        <v>45139</v>
      </c>
      <c r="B58" s="4">
        <f t="shared" ref="B58:N58" si="8">B57+B11</f>
        <v>30</v>
      </c>
      <c r="C58" s="4">
        <f t="shared" si="8"/>
        <v>6180</v>
      </c>
      <c r="D58" s="4">
        <f t="shared" si="8"/>
        <v>8</v>
      </c>
      <c r="E58" s="4">
        <f t="shared" si="8"/>
        <v>2436</v>
      </c>
      <c r="F58" s="4">
        <f t="shared" si="8"/>
        <v>1814</v>
      </c>
      <c r="G58" s="4">
        <f t="shared" si="8"/>
        <v>10</v>
      </c>
      <c r="H58" s="4">
        <f t="shared" si="8"/>
        <v>146</v>
      </c>
      <c r="I58" s="4">
        <f t="shared" si="8"/>
        <v>17</v>
      </c>
      <c r="J58" s="4">
        <f t="shared" si="8"/>
        <v>8</v>
      </c>
      <c r="K58" s="4">
        <f t="shared" si="8"/>
        <v>0</v>
      </c>
      <c r="L58" s="4">
        <f t="shared" si="8"/>
        <v>42</v>
      </c>
      <c r="M58" s="4">
        <f t="shared" si="8"/>
        <v>996</v>
      </c>
      <c r="N58" s="4">
        <f t="shared" si="8"/>
        <v>1333</v>
      </c>
    </row>
    <row r="59" s="1" customFormat="1" ht="18.5" customHeight="1" spans="1:14">
      <c r="A59" s="50">
        <v>45170</v>
      </c>
      <c r="B59" s="4">
        <f t="shared" ref="B59:N59" si="9">B58+B12</f>
        <v>30</v>
      </c>
      <c r="C59" s="4">
        <f t="shared" si="9"/>
        <v>6758</v>
      </c>
      <c r="D59" s="4">
        <f t="shared" si="9"/>
        <v>14</v>
      </c>
      <c r="E59" s="4">
        <f t="shared" si="9"/>
        <v>2621</v>
      </c>
      <c r="F59" s="4">
        <f t="shared" si="9"/>
        <v>1930</v>
      </c>
      <c r="G59" s="4">
        <f t="shared" si="9"/>
        <v>13</v>
      </c>
      <c r="H59" s="4">
        <f t="shared" si="9"/>
        <v>152</v>
      </c>
      <c r="I59" s="4">
        <f t="shared" si="9"/>
        <v>32</v>
      </c>
      <c r="J59" s="4">
        <f t="shared" si="9"/>
        <v>14</v>
      </c>
      <c r="K59" s="4">
        <f t="shared" si="9"/>
        <v>0</v>
      </c>
      <c r="L59" s="4">
        <f t="shared" si="9"/>
        <v>44</v>
      </c>
      <c r="M59" s="4">
        <f t="shared" si="9"/>
        <v>1042</v>
      </c>
      <c r="N59" s="4">
        <f t="shared" si="9"/>
        <v>1399</v>
      </c>
    </row>
    <row r="60" s="1" customFormat="1" ht="18.5" customHeight="1" spans="1:14">
      <c r="A60" s="50">
        <v>45200</v>
      </c>
      <c r="B60" s="4">
        <f t="shared" ref="B60:N60" si="10">B59+B13</f>
        <v>30</v>
      </c>
      <c r="C60" s="4">
        <f t="shared" si="10"/>
        <v>7326</v>
      </c>
      <c r="D60" s="4">
        <f t="shared" si="10"/>
        <v>31</v>
      </c>
      <c r="E60" s="4">
        <f t="shared" si="10"/>
        <v>2878</v>
      </c>
      <c r="F60" s="4">
        <f t="shared" si="10"/>
        <v>2031</v>
      </c>
      <c r="G60" s="4">
        <f t="shared" si="10"/>
        <v>15</v>
      </c>
      <c r="H60" s="4">
        <f t="shared" si="10"/>
        <v>164</v>
      </c>
      <c r="I60" s="4">
        <f t="shared" si="10"/>
        <v>45</v>
      </c>
      <c r="J60" s="4">
        <f t="shared" si="10"/>
        <v>17</v>
      </c>
      <c r="K60" s="4">
        <f t="shared" si="10"/>
        <v>0</v>
      </c>
      <c r="L60" s="4">
        <f t="shared" si="10"/>
        <v>46</v>
      </c>
      <c r="M60" s="4">
        <f t="shared" si="10"/>
        <v>1095</v>
      </c>
      <c r="N60" s="4">
        <f t="shared" si="10"/>
        <v>1511</v>
      </c>
    </row>
    <row r="61" s="1" customFormat="1" ht="18.5" customHeight="1" spans="1:14">
      <c r="A61" s="50">
        <v>45231</v>
      </c>
      <c r="B61" s="4">
        <f t="shared" ref="B61:N61" si="11">B60+B14</f>
        <v>33</v>
      </c>
      <c r="C61" s="4">
        <f t="shared" si="11"/>
        <v>8801</v>
      </c>
      <c r="D61" s="4">
        <f t="shared" si="11"/>
        <v>136</v>
      </c>
      <c r="E61" s="4">
        <f t="shared" si="11"/>
        <v>3490</v>
      </c>
      <c r="F61" s="4">
        <f t="shared" si="11"/>
        <v>2307</v>
      </c>
      <c r="G61" s="4">
        <f t="shared" si="11"/>
        <v>19</v>
      </c>
      <c r="H61" s="4">
        <f t="shared" si="11"/>
        <v>232</v>
      </c>
      <c r="I61" s="4">
        <f t="shared" si="11"/>
        <v>124</v>
      </c>
      <c r="J61" s="4">
        <f t="shared" si="11"/>
        <v>29</v>
      </c>
      <c r="K61" s="4">
        <f t="shared" si="11"/>
        <v>3</v>
      </c>
      <c r="L61" s="4">
        <f t="shared" si="11"/>
        <v>53</v>
      </c>
      <c r="M61" s="4">
        <f t="shared" si="11"/>
        <v>1433</v>
      </c>
      <c r="N61" s="4">
        <f t="shared" si="11"/>
        <v>1660</v>
      </c>
    </row>
    <row r="62" s="1" customFormat="1" ht="18.5" customHeight="1" spans="1:14">
      <c r="A62" s="50">
        <v>45261</v>
      </c>
      <c r="B62" s="4">
        <f t="shared" ref="B62:N62" si="12">B61+B15</f>
        <v>33</v>
      </c>
      <c r="C62" s="4">
        <f t="shared" si="12"/>
        <v>9642</v>
      </c>
      <c r="D62" s="4">
        <f t="shared" si="12"/>
        <v>228</v>
      </c>
      <c r="E62" s="4">
        <f t="shared" si="12"/>
        <v>3722</v>
      </c>
      <c r="F62" s="4">
        <f t="shared" si="12"/>
        <v>2472</v>
      </c>
      <c r="G62" s="4">
        <f t="shared" si="12"/>
        <v>27</v>
      </c>
      <c r="H62" s="4">
        <f t="shared" si="12"/>
        <v>254</v>
      </c>
      <c r="I62" s="4">
        <f t="shared" si="12"/>
        <v>172</v>
      </c>
      <c r="J62" s="4">
        <f t="shared" si="12"/>
        <v>40</v>
      </c>
      <c r="K62" s="4">
        <f t="shared" si="12"/>
        <v>123</v>
      </c>
      <c r="L62" s="4">
        <f t="shared" si="12"/>
        <v>55</v>
      </c>
      <c r="M62" s="4">
        <f t="shared" si="12"/>
        <v>1555</v>
      </c>
      <c r="N62" s="4">
        <f t="shared" si="12"/>
        <v>1773</v>
      </c>
    </row>
    <row r="63" s="1" customFormat="1" ht="18.5" customHeight="1" spans="1:14">
      <c r="A63" s="50">
        <v>45292</v>
      </c>
      <c r="B63" s="4">
        <f t="shared" ref="B63:N63" si="13">B62+B16</f>
        <v>33</v>
      </c>
      <c r="C63" s="4">
        <f t="shared" si="13"/>
        <v>10050</v>
      </c>
      <c r="D63" s="4">
        <f t="shared" si="13"/>
        <v>269</v>
      </c>
      <c r="E63" s="4">
        <f t="shared" si="13"/>
        <v>3868</v>
      </c>
      <c r="F63" s="4">
        <f t="shared" si="13"/>
        <v>2553</v>
      </c>
      <c r="G63" s="4">
        <f t="shared" si="13"/>
        <v>33</v>
      </c>
      <c r="H63" s="4">
        <f t="shared" si="13"/>
        <v>258</v>
      </c>
      <c r="I63" s="4">
        <f t="shared" si="13"/>
        <v>191</v>
      </c>
      <c r="J63" s="4">
        <f t="shared" si="13"/>
        <v>46</v>
      </c>
      <c r="K63" s="4">
        <f t="shared" si="13"/>
        <v>248</v>
      </c>
      <c r="L63" s="4">
        <f t="shared" si="13"/>
        <v>61</v>
      </c>
      <c r="M63" s="4">
        <f t="shared" si="13"/>
        <v>1638</v>
      </c>
      <c r="N63" s="4">
        <f t="shared" si="13"/>
        <v>1827</v>
      </c>
    </row>
  </sheetData>
  <pageMargins left="0.75" right="0.75" top="1" bottom="1" header="0.5" footer="0.5"/>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801"/>
  <sheetViews>
    <sheetView workbookViewId="0">
      <selection activeCell="A1" sqref="$A1:$XFD1048576"/>
    </sheetView>
  </sheetViews>
  <sheetFormatPr defaultColWidth="9" defaultRowHeight="15"/>
  <cols>
    <col min="1" max="1" width="10.3416666666667" style="35" customWidth="1"/>
    <col min="2" max="2" width="11.8416666666667" style="35" customWidth="1"/>
    <col min="3" max="3" width="8.50833333333333" style="35" customWidth="1"/>
    <col min="4" max="4" width="3.59166666666667" style="35" customWidth="1"/>
    <col min="5" max="5" width="10.3416666666667" style="35" customWidth="1"/>
    <col min="6" max="6" width="11.8416666666667" style="35" customWidth="1"/>
    <col min="7" max="8" width="8.50833333333333" style="35" customWidth="1"/>
    <col min="9" max="9" width="10.3416666666667" style="35" customWidth="1"/>
    <col min="10" max="10" width="11.8416666666667" style="35" customWidth="1"/>
    <col min="11" max="12" width="8.50833333333333" style="35" customWidth="1"/>
    <col min="13" max="13" width="10.3416666666667" style="35" customWidth="1"/>
    <col min="14" max="14" width="11.8416666666667" style="35" customWidth="1"/>
    <col min="15" max="16" width="8.50833333333333" style="35" customWidth="1"/>
    <col min="17" max="17" width="10.3416666666667" style="35" customWidth="1"/>
    <col min="18" max="18" width="11.0083333333333" style="35" customWidth="1"/>
    <col min="19" max="20" width="8.50833333333333" style="35" customWidth="1"/>
    <col min="21" max="16384" width="9" style="35"/>
  </cols>
  <sheetData>
    <row r="1" s="35" customFormat="1" ht="35" customHeight="1" spans="1:4">
      <c r="A1" s="5" t="s">
        <v>0</v>
      </c>
      <c r="B1" s="23" t="s">
        <v>245</v>
      </c>
      <c r="C1" s="23" t="s">
        <v>246</v>
      </c>
      <c r="D1" s="6" t="s">
        <v>247</v>
      </c>
    </row>
    <row r="2" s="35" customFormat="1" ht="18.5" customHeight="1" spans="1:4">
      <c r="A2" s="7">
        <v>2021</v>
      </c>
      <c r="B2" s="24" t="e">
        <f>COUNTIF([2]Sheet1!D$1:D$65536,2021)</f>
        <v>#VALUE!</v>
      </c>
      <c r="C2" s="24">
        <f>COUNT(H10:H210)</f>
        <v>201</v>
      </c>
      <c r="D2" s="8" t="e">
        <f>B2-C2</f>
        <v>#VALUE!</v>
      </c>
    </row>
    <row r="3" s="35" customFormat="1" ht="18.5" customHeight="1" spans="1:4">
      <c r="A3" s="9">
        <v>2022</v>
      </c>
      <c r="B3" s="25" t="e">
        <f>COUNTIF([2]Sheet1!D$1:D$65536,2022)</f>
        <v>#VALUE!</v>
      </c>
      <c r="C3" s="25">
        <f>COUNT(L10:L431)</f>
        <v>422</v>
      </c>
      <c r="D3" s="10" t="e">
        <f>B3-C3</f>
        <v>#VALUE!</v>
      </c>
    </row>
    <row r="4" s="35" customFormat="1" ht="18.5" customHeight="1" spans="1:4">
      <c r="A4" s="9">
        <v>2023</v>
      </c>
      <c r="B4" s="25" t="e">
        <f>COUNTIF([2]Sheet1!D$1:D$65536,2023)</f>
        <v>#VALUE!</v>
      </c>
      <c r="C4" s="25">
        <f>COUNT(P10:P3801)</f>
        <v>3792</v>
      </c>
      <c r="D4" s="10" t="e">
        <f>B4-C4</f>
        <v>#VALUE!</v>
      </c>
    </row>
    <row r="5" s="35" customFormat="1" ht="18.5" customHeight="1" spans="1:4">
      <c r="A5" s="11">
        <v>2024</v>
      </c>
      <c r="B5" s="26" t="e">
        <f>COUNTIF([2]Sheet1!D$1:D$65536,2024)</f>
        <v>#VALUE!</v>
      </c>
      <c r="C5" s="26">
        <f>COUNT(T10:T229)</f>
        <v>220</v>
      </c>
      <c r="D5" s="12" t="e">
        <f>B5-C5</f>
        <v>#VALUE!</v>
      </c>
    </row>
    <row r="6" s="35" customFormat="1" ht="15.75"/>
    <row r="7" s="35" customFormat="1" ht="18.5" customHeight="1" spans="1:20">
      <c r="A7" s="5" t="s">
        <v>0</v>
      </c>
      <c r="B7" s="23" t="s">
        <v>248</v>
      </c>
      <c r="C7" s="23"/>
      <c r="D7" s="23"/>
      <c r="E7" s="23"/>
      <c r="F7" s="23"/>
      <c r="G7" s="23"/>
      <c r="H7" s="23"/>
      <c r="I7" s="23" t="s">
        <v>0</v>
      </c>
      <c r="J7" s="23" t="s">
        <v>248</v>
      </c>
      <c r="K7" s="23"/>
      <c r="L7" s="23"/>
      <c r="M7" s="23" t="s">
        <v>0</v>
      </c>
      <c r="N7" s="23" t="s">
        <v>248</v>
      </c>
      <c r="O7" s="23"/>
      <c r="P7" s="23"/>
      <c r="Q7" s="23" t="s">
        <v>0</v>
      </c>
      <c r="R7" s="23" t="s">
        <v>248</v>
      </c>
      <c r="S7" s="23"/>
      <c r="T7" s="6"/>
    </row>
    <row r="8" s="35" customFormat="1" ht="18.5" customHeight="1" spans="1:20">
      <c r="A8" s="36">
        <v>2021</v>
      </c>
      <c r="B8" s="37">
        <f>0</f>
        <v>0</v>
      </c>
      <c r="C8" s="37"/>
      <c r="D8" s="37"/>
      <c r="E8" s="37"/>
      <c r="F8" s="37"/>
      <c r="G8" s="37"/>
      <c r="H8" s="37"/>
      <c r="I8" s="37">
        <v>2022</v>
      </c>
      <c r="J8" s="37">
        <f>0</f>
        <v>0</v>
      </c>
      <c r="K8" s="37"/>
      <c r="L8" s="37"/>
      <c r="M8" s="37">
        <v>2023</v>
      </c>
      <c r="N8" s="37">
        <f>0</f>
        <v>0</v>
      </c>
      <c r="O8" s="37"/>
      <c r="P8" s="37"/>
      <c r="Q8" s="37">
        <v>2024</v>
      </c>
      <c r="R8" s="37">
        <f>0</f>
        <v>0</v>
      </c>
      <c r="S8" s="37"/>
      <c r="T8" s="43"/>
    </row>
    <row r="9" s="35" customFormat="1" ht="18.5" customHeight="1" spans="1:20">
      <c r="A9" s="14" t="s">
        <v>0</v>
      </c>
      <c r="B9" s="23" t="s">
        <v>249</v>
      </c>
      <c r="C9" s="23" t="s">
        <v>248</v>
      </c>
      <c r="D9" s="23"/>
      <c r="E9" s="38" t="s">
        <v>0</v>
      </c>
      <c r="F9" s="23" t="s">
        <v>249</v>
      </c>
      <c r="G9" s="23" t="s">
        <v>250</v>
      </c>
      <c r="H9" s="23" t="s">
        <v>248</v>
      </c>
      <c r="I9" s="38" t="s">
        <v>0</v>
      </c>
      <c r="J9" s="23" t="s">
        <v>249</v>
      </c>
      <c r="K9" s="23" t="s">
        <v>250</v>
      </c>
      <c r="L9" s="23" t="s">
        <v>248</v>
      </c>
      <c r="M9" s="38" t="s">
        <v>0</v>
      </c>
      <c r="N9" s="23" t="s">
        <v>249</v>
      </c>
      <c r="O9" s="23" t="s">
        <v>250</v>
      </c>
      <c r="P9" s="23" t="s">
        <v>248</v>
      </c>
      <c r="Q9" s="38" t="s">
        <v>0</v>
      </c>
      <c r="R9" s="23" t="s">
        <v>249</v>
      </c>
      <c r="S9" s="23" t="s">
        <v>250</v>
      </c>
      <c r="T9" s="6" t="s">
        <v>248</v>
      </c>
    </row>
    <row r="10" s="35" customFormat="1" ht="18.5" customHeight="1" spans="1:20">
      <c r="A10" s="15" t="s">
        <v>251</v>
      </c>
      <c r="B10" s="39">
        <v>45285</v>
      </c>
      <c r="C10" s="24">
        <v>55</v>
      </c>
      <c r="D10" s="24"/>
      <c r="E10" s="40" t="s">
        <v>251</v>
      </c>
      <c r="F10" s="39">
        <v>44489</v>
      </c>
      <c r="G10" s="24">
        <v>580</v>
      </c>
      <c r="H10" s="24">
        <v>0</v>
      </c>
      <c r="I10" s="40" t="s">
        <v>252</v>
      </c>
      <c r="J10" s="39">
        <v>44909</v>
      </c>
      <c r="K10" s="24">
        <v>4356</v>
      </c>
      <c r="L10" s="24">
        <v>0</v>
      </c>
      <c r="M10" s="40" t="s">
        <v>253</v>
      </c>
      <c r="N10" s="39">
        <v>44987</v>
      </c>
      <c r="O10" s="24">
        <v>2197</v>
      </c>
      <c r="P10" s="24">
        <v>0</v>
      </c>
      <c r="Q10" s="40" t="s">
        <v>254</v>
      </c>
      <c r="R10" s="39">
        <v>45306</v>
      </c>
      <c r="S10" s="24">
        <v>243</v>
      </c>
      <c r="T10" s="8">
        <v>0</v>
      </c>
    </row>
    <row r="11" s="35" customFormat="1" ht="18.5" customHeight="1" spans="1:20">
      <c r="A11" s="16" t="s">
        <v>251</v>
      </c>
      <c r="B11" s="41">
        <v>45257</v>
      </c>
      <c r="C11" s="25">
        <v>33</v>
      </c>
      <c r="D11" s="25"/>
      <c r="E11" s="42" t="s">
        <v>251</v>
      </c>
      <c r="F11" s="41">
        <v>44498</v>
      </c>
      <c r="G11" s="25">
        <v>992</v>
      </c>
      <c r="H11" s="25">
        <v>0</v>
      </c>
      <c r="I11" s="42" t="s">
        <v>252</v>
      </c>
      <c r="J11" s="41">
        <v>44908</v>
      </c>
      <c r="K11" s="25">
        <v>1967</v>
      </c>
      <c r="L11" s="25">
        <v>0</v>
      </c>
      <c r="M11" s="42" t="s">
        <v>253</v>
      </c>
      <c r="N11" s="41">
        <v>45091</v>
      </c>
      <c r="O11" s="25">
        <v>745</v>
      </c>
      <c r="P11" s="25">
        <v>0</v>
      </c>
      <c r="Q11" s="42" t="s">
        <v>254</v>
      </c>
      <c r="R11" s="41">
        <v>45298</v>
      </c>
      <c r="S11" s="25">
        <v>214</v>
      </c>
      <c r="T11" s="10">
        <v>0</v>
      </c>
    </row>
    <row r="12" s="35" customFormat="1" ht="18.5" customHeight="1" spans="1:20">
      <c r="A12" s="16" t="s">
        <v>251</v>
      </c>
      <c r="B12" s="41">
        <v>44484</v>
      </c>
      <c r="C12" s="25">
        <v>25</v>
      </c>
      <c r="D12" s="25"/>
      <c r="E12" s="42" t="s">
        <v>251</v>
      </c>
      <c r="F12" s="41">
        <v>44432</v>
      </c>
      <c r="G12" s="25">
        <v>292</v>
      </c>
      <c r="H12" s="25">
        <v>0</v>
      </c>
      <c r="I12" s="42" t="s">
        <v>252</v>
      </c>
      <c r="J12" s="41">
        <v>44849</v>
      </c>
      <c r="K12" s="25">
        <v>1285</v>
      </c>
      <c r="L12" s="25">
        <v>0</v>
      </c>
      <c r="M12" s="42" t="s">
        <v>253</v>
      </c>
      <c r="N12" s="41">
        <v>45239</v>
      </c>
      <c r="O12" s="25">
        <v>434</v>
      </c>
      <c r="P12" s="25">
        <v>0</v>
      </c>
      <c r="Q12" s="42" t="s">
        <v>254</v>
      </c>
      <c r="R12" s="41">
        <v>45307</v>
      </c>
      <c r="S12" s="25">
        <v>140</v>
      </c>
      <c r="T12" s="10">
        <v>0</v>
      </c>
    </row>
    <row r="13" s="35" customFormat="1" ht="18.5" customHeight="1" spans="1:20">
      <c r="A13" s="16" t="s">
        <v>251</v>
      </c>
      <c r="B13" s="41">
        <v>45163</v>
      </c>
      <c r="C13" s="25">
        <v>1</v>
      </c>
      <c r="D13" s="25"/>
      <c r="E13" s="42" t="s">
        <v>251</v>
      </c>
      <c r="F13" s="41">
        <v>44453</v>
      </c>
      <c r="G13" s="25">
        <v>309</v>
      </c>
      <c r="H13" s="25">
        <v>0</v>
      </c>
      <c r="I13" s="42" t="s">
        <v>252</v>
      </c>
      <c r="J13" s="41">
        <v>44721</v>
      </c>
      <c r="K13" s="25">
        <v>861</v>
      </c>
      <c r="L13" s="25">
        <v>0</v>
      </c>
      <c r="M13" s="42" t="s">
        <v>253</v>
      </c>
      <c r="N13" s="41">
        <v>44995</v>
      </c>
      <c r="O13" s="25">
        <v>2368</v>
      </c>
      <c r="P13" s="25">
        <v>0</v>
      </c>
      <c r="Q13" s="42" t="s">
        <v>254</v>
      </c>
      <c r="R13" s="41">
        <v>45307</v>
      </c>
      <c r="S13" s="25">
        <v>126</v>
      </c>
      <c r="T13" s="10">
        <v>0</v>
      </c>
    </row>
    <row r="14" s="35" customFormat="1" ht="18.5" customHeight="1" spans="1:20">
      <c r="A14" s="16" t="s">
        <v>251</v>
      </c>
      <c r="B14" s="41">
        <v>44972</v>
      </c>
      <c r="C14" s="25">
        <v>4</v>
      </c>
      <c r="D14" s="25"/>
      <c r="E14" s="42" t="s">
        <v>251</v>
      </c>
      <c r="F14" s="41">
        <v>44350</v>
      </c>
      <c r="G14" s="25">
        <v>464</v>
      </c>
      <c r="H14" s="25">
        <v>0</v>
      </c>
      <c r="I14" s="42" t="s">
        <v>252</v>
      </c>
      <c r="J14" s="41">
        <v>44825</v>
      </c>
      <c r="K14" s="25">
        <v>798</v>
      </c>
      <c r="L14" s="25">
        <v>0</v>
      </c>
      <c r="M14" s="42" t="s">
        <v>253</v>
      </c>
      <c r="N14" s="41">
        <v>44942</v>
      </c>
      <c r="O14" s="25">
        <v>1811</v>
      </c>
      <c r="P14" s="25">
        <v>0</v>
      </c>
      <c r="Q14" s="42" t="s">
        <v>254</v>
      </c>
      <c r="R14" s="41">
        <v>45301</v>
      </c>
      <c r="S14" s="25">
        <v>96</v>
      </c>
      <c r="T14" s="10">
        <v>0</v>
      </c>
    </row>
    <row r="15" s="35" customFormat="1" ht="18.5" customHeight="1" spans="1:20">
      <c r="A15" s="16" t="s">
        <v>251</v>
      </c>
      <c r="B15" s="41">
        <v>44340</v>
      </c>
      <c r="C15" s="25">
        <v>1</v>
      </c>
      <c r="D15" s="25"/>
      <c r="E15" s="42" t="s">
        <v>251</v>
      </c>
      <c r="F15" s="41">
        <v>44532</v>
      </c>
      <c r="G15" s="25">
        <v>794</v>
      </c>
      <c r="H15" s="25">
        <v>0</v>
      </c>
      <c r="I15" s="42" t="s">
        <v>252</v>
      </c>
      <c r="J15" s="41">
        <v>44852</v>
      </c>
      <c r="K15" s="25">
        <v>790</v>
      </c>
      <c r="L15" s="25">
        <v>0</v>
      </c>
      <c r="M15" s="42" t="s">
        <v>253</v>
      </c>
      <c r="N15" s="41">
        <v>45033</v>
      </c>
      <c r="O15" s="25">
        <v>1786</v>
      </c>
      <c r="P15" s="25">
        <v>0</v>
      </c>
      <c r="Q15" s="42" t="s">
        <v>254</v>
      </c>
      <c r="R15" s="41">
        <v>45307</v>
      </c>
      <c r="S15" s="25">
        <v>63</v>
      </c>
      <c r="T15" s="10">
        <v>0</v>
      </c>
    </row>
    <row r="16" s="35" customFormat="1" ht="18.5" customHeight="1" spans="1:20">
      <c r="A16" s="16" t="s">
        <v>251</v>
      </c>
      <c r="B16" s="41">
        <v>45294</v>
      </c>
      <c r="C16" s="25">
        <v>8</v>
      </c>
      <c r="D16" s="25"/>
      <c r="E16" s="42" t="s">
        <v>251</v>
      </c>
      <c r="F16" s="41">
        <v>44439</v>
      </c>
      <c r="G16" s="25">
        <v>424</v>
      </c>
      <c r="H16" s="25">
        <v>0</v>
      </c>
      <c r="I16" s="42" t="s">
        <v>252</v>
      </c>
      <c r="J16" s="41">
        <v>44670</v>
      </c>
      <c r="K16" s="25">
        <v>612</v>
      </c>
      <c r="L16" s="25">
        <v>0</v>
      </c>
      <c r="M16" s="42" t="s">
        <v>253</v>
      </c>
      <c r="N16" s="41">
        <v>44964</v>
      </c>
      <c r="O16" s="25">
        <v>919</v>
      </c>
      <c r="P16" s="25">
        <v>0</v>
      </c>
      <c r="Q16" s="42" t="s">
        <v>254</v>
      </c>
      <c r="R16" s="41">
        <v>45301</v>
      </c>
      <c r="S16" s="25">
        <v>281</v>
      </c>
      <c r="T16" s="10">
        <v>0</v>
      </c>
    </row>
    <row r="17" s="35" customFormat="1" ht="18.5" customHeight="1" spans="1:20">
      <c r="A17" s="16" t="s">
        <v>251</v>
      </c>
      <c r="B17" s="41">
        <v>45294</v>
      </c>
      <c r="C17" s="25">
        <v>5</v>
      </c>
      <c r="D17" s="25"/>
      <c r="E17" s="42" t="s">
        <v>251</v>
      </c>
      <c r="F17" s="41">
        <v>44434</v>
      </c>
      <c r="G17" s="25">
        <v>335</v>
      </c>
      <c r="H17" s="25">
        <v>0</v>
      </c>
      <c r="I17" s="42" t="s">
        <v>252</v>
      </c>
      <c r="J17" s="41">
        <v>44668</v>
      </c>
      <c r="K17" s="25">
        <v>500</v>
      </c>
      <c r="L17" s="25">
        <v>0</v>
      </c>
      <c r="M17" s="42" t="s">
        <v>253</v>
      </c>
      <c r="N17" s="41">
        <v>45001</v>
      </c>
      <c r="O17" s="25">
        <v>2620</v>
      </c>
      <c r="P17" s="25">
        <v>0</v>
      </c>
      <c r="Q17" s="42" t="s">
        <v>254</v>
      </c>
      <c r="R17" s="41">
        <v>45307</v>
      </c>
      <c r="S17" s="25">
        <v>232</v>
      </c>
      <c r="T17" s="10">
        <v>0</v>
      </c>
    </row>
    <row r="18" s="35" customFormat="1" ht="18.5" customHeight="1" spans="1:20">
      <c r="A18" s="16" t="s">
        <v>251</v>
      </c>
      <c r="B18" s="41">
        <v>45020</v>
      </c>
      <c r="C18" s="25">
        <v>877</v>
      </c>
      <c r="D18" s="25"/>
      <c r="E18" s="42" t="s">
        <v>251</v>
      </c>
      <c r="F18" s="41">
        <v>44443</v>
      </c>
      <c r="G18" s="25">
        <v>393</v>
      </c>
      <c r="H18" s="25">
        <v>0</v>
      </c>
      <c r="I18" s="42" t="s">
        <v>252</v>
      </c>
      <c r="J18" s="41">
        <v>44795</v>
      </c>
      <c r="K18" s="25">
        <v>2068</v>
      </c>
      <c r="L18" s="25">
        <v>0</v>
      </c>
      <c r="M18" s="42" t="s">
        <v>253</v>
      </c>
      <c r="N18" s="41">
        <v>45164</v>
      </c>
      <c r="O18" s="25">
        <v>1340</v>
      </c>
      <c r="P18" s="25">
        <v>0</v>
      </c>
      <c r="Q18" s="42" t="s">
        <v>254</v>
      </c>
      <c r="R18" s="41">
        <v>45299</v>
      </c>
      <c r="S18" s="25">
        <v>222</v>
      </c>
      <c r="T18" s="10">
        <v>0</v>
      </c>
    </row>
    <row r="19" s="35" customFormat="1" ht="18.5" customHeight="1" spans="1:20">
      <c r="A19" s="16" t="s">
        <v>251</v>
      </c>
      <c r="B19" s="41">
        <v>45026</v>
      </c>
      <c r="C19" s="25">
        <v>6</v>
      </c>
      <c r="D19" s="25"/>
      <c r="E19" s="42" t="s">
        <v>251</v>
      </c>
      <c r="F19" s="41">
        <v>44474</v>
      </c>
      <c r="G19" s="25">
        <v>492</v>
      </c>
      <c r="H19" s="25">
        <v>0</v>
      </c>
      <c r="I19" s="42" t="s">
        <v>252</v>
      </c>
      <c r="J19" s="41">
        <v>44880</v>
      </c>
      <c r="K19" s="25">
        <v>274</v>
      </c>
      <c r="L19" s="25">
        <v>0</v>
      </c>
      <c r="M19" s="42" t="s">
        <v>253</v>
      </c>
      <c r="N19" s="41">
        <v>45245</v>
      </c>
      <c r="O19" s="25">
        <v>412</v>
      </c>
      <c r="P19" s="25">
        <v>0</v>
      </c>
      <c r="Q19" s="42" t="s">
        <v>254</v>
      </c>
      <c r="R19" s="41">
        <v>45294</v>
      </c>
      <c r="S19" s="25">
        <v>186</v>
      </c>
      <c r="T19" s="10">
        <v>0</v>
      </c>
    </row>
    <row r="20" s="35" customFormat="1" ht="18.5" customHeight="1" spans="1:20">
      <c r="A20" s="16" t="s">
        <v>251</v>
      </c>
      <c r="B20" s="41">
        <v>45272</v>
      </c>
      <c r="C20" s="25">
        <v>19</v>
      </c>
      <c r="D20" s="25"/>
      <c r="E20" s="42" t="s">
        <v>251</v>
      </c>
      <c r="F20" s="41">
        <v>44373</v>
      </c>
      <c r="G20" s="25">
        <v>276</v>
      </c>
      <c r="H20" s="25">
        <v>0</v>
      </c>
      <c r="I20" s="42" t="s">
        <v>252</v>
      </c>
      <c r="J20" s="41">
        <v>44792</v>
      </c>
      <c r="K20" s="25">
        <v>1040</v>
      </c>
      <c r="L20" s="25">
        <v>0</v>
      </c>
      <c r="M20" s="42" t="s">
        <v>253</v>
      </c>
      <c r="N20" s="41">
        <v>45236</v>
      </c>
      <c r="O20" s="25">
        <v>338</v>
      </c>
      <c r="P20" s="25">
        <v>0</v>
      </c>
      <c r="Q20" s="42" t="s">
        <v>254</v>
      </c>
      <c r="R20" s="41">
        <v>45300</v>
      </c>
      <c r="S20" s="25">
        <v>186</v>
      </c>
      <c r="T20" s="10">
        <v>0</v>
      </c>
    </row>
    <row r="21" s="35" customFormat="1" ht="18.5" customHeight="1" spans="1:20">
      <c r="A21" s="16" t="s">
        <v>251</v>
      </c>
      <c r="B21" s="41">
        <v>45020</v>
      </c>
      <c r="C21" s="25">
        <v>2</v>
      </c>
      <c r="D21" s="25"/>
      <c r="E21" s="42" t="s">
        <v>251</v>
      </c>
      <c r="F21" s="41">
        <v>44436</v>
      </c>
      <c r="G21" s="25">
        <v>601</v>
      </c>
      <c r="H21" s="25">
        <v>0</v>
      </c>
      <c r="I21" s="42" t="s">
        <v>252</v>
      </c>
      <c r="J21" s="41">
        <v>44851</v>
      </c>
      <c r="K21" s="25">
        <v>700</v>
      </c>
      <c r="L21" s="25">
        <v>0</v>
      </c>
      <c r="M21" s="42" t="s">
        <v>253</v>
      </c>
      <c r="N21" s="41">
        <v>45236</v>
      </c>
      <c r="O21" s="25">
        <v>1628</v>
      </c>
      <c r="P21" s="25">
        <v>0</v>
      </c>
      <c r="Q21" s="42" t="s">
        <v>254</v>
      </c>
      <c r="R21" s="41">
        <v>45302</v>
      </c>
      <c r="S21" s="25">
        <v>178</v>
      </c>
      <c r="T21" s="10">
        <v>0</v>
      </c>
    </row>
    <row r="22" s="35" customFormat="1" ht="18.5" customHeight="1" spans="1:20">
      <c r="A22" s="16" t="s">
        <v>251</v>
      </c>
      <c r="B22" s="41">
        <v>44991</v>
      </c>
      <c r="C22" s="25">
        <v>19</v>
      </c>
      <c r="D22" s="25"/>
      <c r="E22" s="42" t="s">
        <v>251</v>
      </c>
      <c r="F22" s="41">
        <v>44441</v>
      </c>
      <c r="G22" s="25">
        <v>558</v>
      </c>
      <c r="H22" s="25">
        <v>0</v>
      </c>
      <c r="I22" s="42" t="s">
        <v>252</v>
      </c>
      <c r="J22" s="41">
        <v>44915</v>
      </c>
      <c r="K22" s="25">
        <v>679</v>
      </c>
      <c r="L22" s="25">
        <v>0</v>
      </c>
      <c r="M22" s="42" t="s">
        <v>253</v>
      </c>
      <c r="N22" s="41">
        <v>44968</v>
      </c>
      <c r="O22" s="25">
        <v>775</v>
      </c>
      <c r="P22" s="25">
        <v>0</v>
      </c>
      <c r="Q22" s="42" t="s">
        <v>254</v>
      </c>
      <c r="R22" s="41">
        <v>45305</v>
      </c>
      <c r="S22" s="25">
        <v>170</v>
      </c>
      <c r="T22" s="10">
        <v>0</v>
      </c>
    </row>
    <row r="23" s="35" customFormat="1" ht="18.5" customHeight="1" spans="1:20">
      <c r="A23" s="16" t="s">
        <v>251</v>
      </c>
      <c r="B23" s="41">
        <v>44444</v>
      </c>
      <c r="C23" s="25">
        <v>19</v>
      </c>
      <c r="D23" s="25"/>
      <c r="E23" s="42" t="s">
        <v>251</v>
      </c>
      <c r="F23" s="41">
        <v>44555</v>
      </c>
      <c r="G23" s="25">
        <v>550</v>
      </c>
      <c r="H23" s="25">
        <v>0</v>
      </c>
      <c r="I23" s="42" t="s">
        <v>252</v>
      </c>
      <c r="J23" s="41">
        <v>44895</v>
      </c>
      <c r="K23" s="25">
        <v>605</v>
      </c>
      <c r="L23" s="25">
        <v>0</v>
      </c>
      <c r="M23" s="42" t="s">
        <v>253</v>
      </c>
      <c r="N23" s="41">
        <v>44987</v>
      </c>
      <c r="O23" s="25">
        <v>363</v>
      </c>
      <c r="P23" s="25">
        <v>0</v>
      </c>
      <c r="Q23" s="42" t="s">
        <v>254</v>
      </c>
      <c r="R23" s="41">
        <v>45302</v>
      </c>
      <c r="S23" s="25">
        <v>159</v>
      </c>
      <c r="T23" s="10">
        <v>0</v>
      </c>
    </row>
    <row r="24" s="35" customFormat="1" ht="18.5" customHeight="1" spans="1:20">
      <c r="A24" s="16" t="s">
        <v>251</v>
      </c>
      <c r="B24" s="41">
        <v>44429</v>
      </c>
      <c r="C24" s="25">
        <v>39</v>
      </c>
      <c r="D24" s="25"/>
      <c r="E24" s="42" t="s">
        <v>251</v>
      </c>
      <c r="F24" s="41">
        <v>44436</v>
      </c>
      <c r="G24" s="25">
        <v>282</v>
      </c>
      <c r="H24" s="25">
        <v>0</v>
      </c>
      <c r="I24" s="42" t="s">
        <v>252</v>
      </c>
      <c r="J24" s="41">
        <v>44872</v>
      </c>
      <c r="K24" s="25">
        <v>2316</v>
      </c>
      <c r="L24" s="25">
        <v>0</v>
      </c>
      <c r="M24" s="42" t="s">
        <v>253</v>
      </c>
      <c r="N24" s="41">
        <v>45279</v>
      </c>
      <c r="O24" s="25">
        <v>575</v>
      </c>
      <c r="P24" s="25">
        <v>0</v>
      </c>
      <c r="Q24" s="42" t="s">
        <v>254</v>
      </c>
      <c r="R24" s="41">
        <v>45299</v>
      </c>
      <c r="S24" s="25">
        <v>153</v>
      </c>
      <c r="T24" s="10">
        <v>0</v>
      </c>
    </row>
    <row r="25" s="35" customFormat="1" ht="18.5" customHeight="1" spans="1:20">
      <c r="A25" s="16" t="s">
        <v>251</v>
      </c>
      <c r="B25" s="41">
        <v>45294</v>
      </c>
      <c r="C25" s="25">
        <v>25</v>
      </c>
      <c r="D25" s="25"/>
      <c r="E25" s="42" t="s">
        <v>251</v>
      </c>
      <c r="F25" s="41">
        <v>44422</v>
      </c>
      <c r="G25" s="25">
        <v>264</v>
      </c>
      <c r="H25" s="25">
        <v>0</v>
      </c>
      <c r="I25" s="42" t="s">
        <v>252</v>
      </c>
      <c r="J25" s="41">
        <v>44894</v>
      </c>
      <c r="K25" s="25">
        <v>402</v>
      </c>
      <c r="L25" s="25">
        <v>0</v>
      </c>
      <c r="M25" s="42" t="s">
        <v>253</v>
      </c>
      <c r="N25" s="41">
        <v>44986</v>
      </c>
      <c r="O25" s="25">
        <v>903</v>
      </c>
      <c r="P25" s="25">
        <v>0</v>
      </c>
      <c r="Q25" s="42" t="s">
        <v>254</v>
      </c>
      <c r="R25" s="41">
        <v>45300</v>
      </c>
      <c r="S25" s="25">
        <v>149</v>
      </c>
      <c r="T25" s="10">
        <v>0</v>
      </c>
    </row>
    <row r="26" s="35" customFormat="1" ht="18.5" customHeight="1" spans="1:20">
      <c r="A26" s="16" t="s">
        <v>251</v>
      </c>
      <c r="B26" s="41">
        <v>44440</v>
      </c>
      <c r="C26" s="25">
        <v>10</v>
      </c>
      <c r="D26" s="25"/>
      <c r="E26" s="42" t="s">
        <v>251</v>
      </c>
      <c r="F26" s="41">
        <v>44344</v>
      </c>
      <c r="G26" s="25">
        <v>263</v>
      </c>
      <c r="H26" s="25">
        <v>0</v>
      </c>
      <c r="I26" s="42" t="s">
        <v>252</v>
      </c>
      <c r="J26" s="41">
        <v>44825</v>
      </c>
      <c r="K26" s="25">
        <v>402</v>
      </c>
      <c r="L26" s="25">
        <v>0</v>
      </c>
      <c r="M26" s="42" t="s">
        <v>253</v>
      </c>
      <c r="N26" s="41">
        <v>45259</v>
      </c>
      <c r="O26" s="25">
        <v>504</v>
      </c>
      <c r="P26" s="25">
        <v>0</v>
      </c>
      <c r="Q26" s="42" t="s">
        <v>254</v>
      </c>
      <c r="R26" s="41">
        <v>45301</v>
      </c>
      <c r="S26" s="25">
        <v>140</v>
      </c>
      <c r="T26" s="10">
        <v>0</v>
      </c>
    </row>
    <row r="27" s="35" customFormat="1" ht="18.5" customHeight="1" spans="1:20">
      <c r="A27" s="16" t="s">
        <v>251</v>
      </c>
      <c r="B27" s="41">
        <v>44475</v>
      </c>
      <c r="C27" s="25">
        <v>26</v>
      </c>
      <c r="D27" s="25"/>
      <c r="E27" s="42" t="s">
        <v>251</v>
      </c>
      <c r="F27" s="41">
        <v>44520</v>
      </c>
      <c r="G27" s="25">
        <v>215</v>
      </c>
      <c r="H27" s="25">
        <v>0</v>
      </c>
      <c r="I27" s="42" t="s">
        <v>252</v>
      </c>
      <c r="J27" s="41">
        <v>44739</v>
      </c>
      <c r="K27" s="25">
        <v>348</v>
      </c>
      <c r="L27" s="25">
        <v>0</v>
      </c>
      <c r="M27" s="42" t="s">
        <v>253</v>
      </c>
      <c r="N27" s="41">
        <v>45240</v>
      </c>
      <c r="O27" s="25">
        <v>483</v>
      </c>
      <c r="P27" s="25">
        <v>0</v>
      </c>
      <c r="Q27" s="42" t="s">
        <v>254</v>
      </c>
      <c r="R27" s="41">
        <v>45311</v>
      </c>
      <c r="S27" s="25">
        <v>33</v>
      </c>
      <c r="T27" s="10">
        <v>0</v>
      </c>
    </row>
    <row r="28" s="35" customFormat="1" ht="18.5" customHeight="1" spans="1:20">
      <c r="A28" s="16" t="s">
        <v>251</v>
      </c>
      <c r="B28" s="41">
        <v>44447</v>
      </c>
      <c r="C28" s="25">
        <v>39</v>
      </c>
      <c r="D28" s="25"/>
      <c r="E28" s="42" t="s">
        <v>251</v>
      </c>
      <c r="F28" s="41">
        <v>44481</v>
      </c>
      <c r="G28" s="25">
        <v>379</v>
      </c>
      <c r="H28" s="25">
        <v>0</v>
      </c>
      <c r="I28" s="42" t="s">
        <v>252</v>
      </c>
      <c r="J28" s="41">
        <v>44740</v>
      </c>
      <c r="K28" s="25">
        <v>297</v>
      </c>
      <c r="L28" s="25">
        <v>0</v>
      </c>
      <c r="M28" s="42" t="s">
        <v>253</v>
      </c>
      <c r="N28" s="41">
        <v>45132</v>
      </c>
      <c r="O28" s="25">
        <v>467</v>
      </c>
      <c r="P28" s="25">
        <v>0</v>
      </c>
      <c r="Q28" s="42" t="s">
        <v>254</v>
      </c>
      <c r="R28" s="41">
        <v>45302</v>
      </c>
      <c r="S28" s="25">
        <v>132</v>
      </c>
      <c r="T28" s="10">
        <v>0</v>
      </c>
    </row>
    <row r="29" s="35" customFormat="1" ht="18.5" customHeight="1" spans="1:20">
      <c r="A29" s="16" t="s">
        <v>251</v>
      </c>
      <c r="B29" s="41">
        <v>44433</v>
      </c>
      <c r="C29" s="25">
        <v>10</v>
      </c>
      <c r="D29" s="25"/>
      <c r="E29" s="42" t="s">
        <v>251</v>
      </c>
      <c r="F29" s="41">
        <v>44432</v>
      </c>
      <c r="G29" s="25">
        <v>280</v>
      </c>
      <c r="H29" s="25">
        <v>0</v>
      </c>
      <c r="I29" s="42" t="s">
        <v>252</v>
      </c>
      <c r="J29" s="41">
        <v>44904</v>
      </c>
      <c r="K29" s="25">
        <v>293</v>
      </c>
      <c r="L29" s="25">
        <v>0</v>
      </c>
      <c r="M29" s="42" t="s">
        <v>253</v>
      </c>
      <c r="N29" s="41">
        <v>45065</v>
      </c>
      <c r="O29" s="25">
        <v>824</v>
      </c>
      <c r="P29" s="25">
        <v>0</v>
      </c>
      <c r="Q29" s="42" t="s">
        <v>254</v>
      </c>
      <c r="R29" s="41">
        <v>45299</v>
      </c>
      <c r="S29" s="25">
        <v>129</v>
      </c>
      <c r="T29" s="10">
        <v>0</v>
      </c>
    </row>
    <row r="30" s="35" customFormat="1" ht="18.5" customHeight="1" spans="1:20">
      <c r="A30" s="16" t="s">
        <v>251</v>
      </c>
      <c r="B30" s="41">
        <v>45273</v>
      </c>
      <c r="C30" s="25">
        <v>17</v>
      </c>
      <c r="D30" s="25"/>
      <c r="E30" s="42" t="s">
        <v>251</v>
      </c>
      <c r="F30" s="41">
        <v>44559</v>
      </c>
      <c r="G30" s="25">
        <v>278</v>
      </c>
      <c r="H30" s="25">
        <v>0</v>
      </c>
      <c r="I30" s="42" t="s">
        <v>252</v>
      </c>
      <c r="J30" s="41">
        <v>44705</v>
      </c>
      <c r="K30" s="25">
        <v>292</v>
      </c>
      <c r="L30" s="25">
        <v>0</v>
      </c>
      <c r="M30" s="42" t="s">
        <v>253</v>
      </c>
      <c r="N30" s="41">
        <v>45010</v>
      </c>
      <c r="O30" s="25">
        <v>446</v>
      </c>
      <c r="P30" s="25">
        <v>0</v>
      </c>
      <c r="Q30" s="42" t="s">
        <v>254</v>
      </c>
      <c r="R30" s="41">
        <v>45307</v>
      </c>
      <c r="S30" s="25">
        <v>128</v>
      </c>
      <c r="T30" s="10">
        <v>0</v>
      </c>
    </row>
    <row r="31" s="35" customFormat="1" ht="18.5" customHeight="1" spans="1:20">
      <c r="A31" s="16" t="s">
        <v>251</v>
      </c>
      <c r="B31" s="41">
        <v>44430</v>
      </c>
      <c r="C31" s="25">
        <v>15</v>
      </c>
      <c r="D31" s="25"/>
      <c r="E31" s="42" t="s">
        <v>251</v>
      </c>
      <c r="F31" s="41">
        <v>44381</v>
      </c>
      <c r="G31" s="25">
        <v>233</v>
      </c>
      <c r="H31" s="25">
        <v>0</v>
      </c>
      <c r="I31" s="42" t="s">
        <v>252</v>
      </c>
      <c r="J31" s="41">
        <v>44663</v>
      </c>
      <c r="K31" s="25">
        <v>292</v>
      </c>
      <c r="L31" s="25">
        <v>0</v>
      </c>
      <c r="M31" s="42" t="s">
        <v>253</v>
      </c>
      <c r="N31" s="41">
        <v>45241</v>
      </c>
      <c r="O31" s="25">
        <v>726</v>
      </c>
      <c r="P31" s="25">
        <v>0</v>
      </c>
      <c r="Q31" s="42" t="s">
        <v>254</v>
      </c>
      <c r="R31" s="41">
        <v>45299</v>
      </c>
      <c r="S31" s="25">
        <v>127</v>
      </c>
      <c r="T31" s="10">
        <v>0</v>
      </c>
    </row>
    <row r="32" s="35" customFormat="1" ht="18.5" customHeight="1" spans="1:20">
      <c r="A32" s="16" t="s">
        <v>251</v>
      </c>
      <c r="B32" s="41">
        <v>44471</v>
      </c>
      <c r="C32" s="25">
        <v>12</v>
      </c>
      <c r="D32" s="25"/>
      <c r="E32" s="42" t="s">
        <v>251</v>
      </c>
      <c r="F32" s="41">
        <v>44432</v>
      </c>
      <c r="G32" s="25">
        <v>3902</v>
      </c>
      <c r="H32" s="25">
        <v>0</v>
      </c>
      <c r="I32" s="42" t="s">
        <v>252</v>
      </c>
      <c r="J32" s="41">
        <v>44749</v>
      </c>
      <c r="K32" s="25">
        <v>287</v>
      </c>
      <c r="L32" s="25">
        <v>0</v>
      </c>
      <c r="M32" s="42" t="s">
        <v>253</v>
      </c>
      <c r="N32" s="41">
        <v>45118</v>
      </c>
      <c r="O32" s="25">
        <v>683</v>
      </c>
      <c r="P32" s="25">
        <v>0</v>
      </c>
      <c r="Q32" s="42" t="s">
        <v>254</v>
      </c>
      <c r="R32" s="41">
        <v>45300</v>
      </c>
      <c r="S32" s="25">
        <v>126</v>
      </c>
      <c r="T32" s="10">
        <v>0</v>
      </c>
    </row>
    <row r="33" s="35" customFormat="1" ht="18.5" customHeight="1" spans="1:20">
      <c r="A33" s="16" t="s">
        <v>251</v>
      </c>
      <c r="B33" s="41">
        <v>44439</v>
      </c>
      <c r="C33" s="25">
        <v>10</v>
      </c>
      <c r="D33" s="25"/>
      <c r="E33" s="42" t="s">
        <v>251</v>
      </c>
      <c r="F33" s="41">
        <v>44446</v>
      </c>
      <c r="G33" s="25">
        <v>565</v>
      </c>
      <c r="H33" s="25">
        <v>0</v>
      </c>
      <c r="I33" s="42" t="s">
        <v>252</v>
      </c>
      <c r="J33" s="41">
        <v>44674</v>
      </c>
      <c r="K33" s="25">
        <v>286</v>
      </c>
      <c r="L33" s="25">
        <v>0</v>
      </c>
      <c r="M33" s="42" t="s">
        <v>253</v>
      </c>
      <c r="N33" s="41">
        <v>45095</v>
      </c>
      <c r="O33" s="25">
        <v>517</v>
      </c>
      <c r="P33" s="25">
        <v>0</v>
      </c>
      <c r="Q33" s="42" t="s">
        <v>254</v>
      </c>
      <c r="R33" s="41">
        <v>45302</v>
      </c>
      <c r="S33" s="25">
        <v>125</v>
      </c>
      <c r="T33" s="10">
        <v>0</v>
      </c>
    </row>
    <row r="34" s="35" customFormat="1" ht="18.5" customHeight="1" spans="1:20">
      <c r="A34" s="16" t="s">
        <v>251</v>
      </c>
      <c r="B34" s="41">
        <v>45281</v>
      </c>
      <c r="C34" s="25">
        <v>16</v>
      </c>
      <c r="D34" s="25"/>
      <c r="E34" s="42" t="s">
        <v>251</v>
      </c>
      <c r="F34" s="41">
        <v>44365</v>
      </c>
      <c r="G34" s="25">
        <v>463</v>
      </c>
      <c r="H34" s="25">
        <v>0</v>
      </c>
      <c r="I34" s="42" t="s">
        <v>252</v>
      </c>
      <c r="J34" s="41">
        <v>44685</v>
      </c>
      <c r="K34" s="25">
        <v>281</v>
      </c>
      <c r="L34" s="25">
        <v>0</v>
      </c>
      <c r="M34" s="42" t="s">
        <v>253</v>
      </c>
      <c r="N34" s="41">
        <v>45237</v>
      </c>
      <c r="O34" s="25">
        <v>288</v>
      </c>
      <c r="P34" s="25">
        <v>0</v>
      </c>
      <c r="Q34" s="42" t="s">
        <v>254</v>
      </c>
      <c r="R34" s="41">
        <v>45301</v>
      </c>
      <c r="S34" s="25">
        <v>124</v>
      </c>
      <c r="T34" s="10">
        <v>0</v>
      </c>
    </row>
    <row r="35" s="35" customFormat="1" ht="18.5" customHeight="1" spans="1:20">
      <c r="A35" s="16" t="s">
        <v>251</v>
      </c>
      <c r="B35" s="41">
        <v>45295</v>
      </c>
      <c r="C35" s="25">
        <v>47</v>
      </c>
      <c r="D35" s="25"/>
      <c r="E35" s="42" t="s">
        <v>251</v>
      </c>
      <c r="F35" s="41">
        <v>44447</v>
      </c>
      <c r="G35" s="25">
        <v>326</v>
      </c>
      <c r="H35" s="25">
        <v>0</v>
      </c>
      <c r="I35" s="42" t="s">
        <v>252</v>
      </c>
      <c r="J35" s="41">
        <v>44773</v>
      </c>
      <c r="K35" s="25">
        <v>1504</v>
      </c>
      <c r="L35" s="25">
        <v>0</v>
      </c>
      <c r="M35" s="42" t="s">
        <v>253</v>
      </c>
      <c r="N35" s="41">
        <v>44951</v>
      </c>
      <c r="O35" s="25">
        <v>502</v>
      </c>
      <c r="P35" s="25">
        <v>0</v>
      </c>
      <c r="Q35" s="42" t="s">
        <v>254</v>
      </c>
      <c r="R35" s="41">
        <v>45300</v>
      </c>
      <c r="S35" s="25">
        <v>125</v>
      </c>
      <c r="T35" s="10">
        <v>0</v>
      </c>
    </row>
    <row r="36" s="35" customFormat="1" ht="18.5" customHeight="1" spans="1:20">
      <c r="A36" s="16" t="s">
        <v>251</v>
      </c>
      <c r="B36" s="41">
        <v>44523</v>
      </c>
      <c r="C36" s="25">
        <v>29</v>
      </c>
      <c r="D36" s="25"/>
      <c r="E36" s="42" t="s">
        <v>251</v>
      </c>
      <c r="F36" s="41">
        <v>44379</v>
      </c>
      <c r="G36" s="25">
        <v>228</v>
      </c>
      <c r="H36" s="25">
        <v>0</v>
      </c>
      <c r="I36" s="42" t="s">
        <v>252</v>
      </c>
      <c r="J36" s="41">
        <v>44593</v>
      </c>
      <c r="K36" s="25">
        <v>258</v>
      </c>
      <c r="L36" s="25">
        <v>0</v>
      </c>
      <c r="M36" s="42" t="s">
        <v>253</v>
      </c>
      <c r="N36" s="41">
        <v>45152</v>
      </c>
      <c r="O36" s="25">
        <v>2700</v>
      </c>
      <c r="P36" s="25">
        <v>0</v>
      </c>
      <c r="Q36" s="42" t="s">
        <v>254</v>
      </c>
      <c r="R36" s="41">
        <v>45306</v>
      </c>
      <c r="S36" s="25">
        <v>122</v>
      </c>
      <c r="T36" s="10">
        <v>0</v>
      </c>
    </row>
    <row r="37" s="35" customFormat="1" ht="18.5" customHeight="1" spans="1:20">
      <c r="A37" s="16" t="s">
        <v>251</v>
      </c>
      <c r="B37" s="41">
        <v>44512</v>
      </c>
      <c r="C37" s="25">
        <v>11</v>
      </c>
      <c r="D37" s="25"/>
      <c r="E37" s="42" t="s">
        <v>251</v>
      </c>
      <c r="F37" s="41">
        <v>44380</v>
      </c>
      <c r="G37" s="25">
        <v>222</v>
      </c>
      <c r="H37" s="25">
        <v>0</v>
      </c>
      <c r="I37" s="42" t="s">
        <v>252</v>
      </c>
      <c r="J37" s="41">
        <v>44813</v>
      </c>
      <c r="K37" s="25">
        <v>254</v>
      </c>
      <c r="L37" s="25">
        <v>0</v>
      </c>
      <c r="M37" s="42" t="s">
        <v>253</v>
      </c>
      <c r="N37" s="41">
        <v>45078</v>
      </c>
      <c r="O37" s="25">
        <v>2674</v>
      </c>
      <c r="P37" s="25">
        <v>0</v>
      </c>
      <c r="Q37" s="42" t="s">
        <v>254</v>
      </c>
      <c r="R37" s="41">
        <v>45307</v>
      </c>
      <c r="S37" s="25">
        <v>123</v>
      </c>
      <c r="T37" s="10">
        <v>0</v>
      </c>
    </row>
    <row r="38" s="35" customFormat="1" ht="18.5" customHeight="1" spans="1:20">
      <c r="A38" s="16" t="s">
        <v>251</v>
      </c>
      <c r="B38" s="41">
        <v>44574</v>
      </c>
      <c r="C38" s="25">
        <v>6</v>
      </c>
      <c r="D38" s="25"/>
      <c r="E38" s="42" t="s">
        <v>251</v>
      </c>
      <c r="F38" s="41">
        <v>44444</v>
      </c>
      <c r="G38" s="25">
        <v>220</v>
      </c>
      <c r="H38" s="25">
        <v>0</v>
      </c>
      <c r="I38" s="42" t="s">
        <v>252</v>
      </c>
      <c r="J38" s="41">
        <v>44912</v>
      </c>
      <c r="K38" s="25">
        <v>991</v>
      </c>
      <c r="L38" s="25">
        <v>0</v>
      </c>
      <c r="M38" s="42" t="s">
        <v>253</v>
      </c>
      <c r="N38" s="41">
        <v>44986</v>
      </c>
      <c r="O38" s="25">
        <v>459</v>
      </c>
      <c r="P38" s="25">
        <v>0</v>
      </c>
      <c r="Q38" s="42" t="s">
        <v>254</v>
      </c>
      <c r="R38" s="41">
        <v>45301</v>
      </c>
      <c r="S38" s="25">
        <v>118</v>
      </c>
      <c r="T38" s="10">
        <v>0</v>
      </c>
    </row>
    <row r="39" s="35" customFormat="1" ht="18.5" customHeight="1" spans="1:20">
      <c r="A39" s="16" t="s">
        <v>251</v>
      </c>
      <c r="B39" s="41">
        <v>45132</v>
      </c>
      <c r="C39" s="25">
        <v>10</v>
      </c>
      <c r="D39" s="25"/>
      <c r="E39" s="42" t="s">
        <v>251</v>
      </c>
      <c r="F39" s="41">
        <v>44442</v>
      </c>
      <c r="G39" s="25">
        <v>1227</v>
      </c>
      <c r="H39" s="25">
        <v>0</v>
      </c>
      <c r="I39" s="42" t="s">
        <v>252</v>
      </c>
      <c r="J39" s="41">
        <v>44922</v>
      </c>
      <c r="K39" s="25">
        <v>967</v>
      </c>
      <c r="L39" s="25">
        <v>0</v>
      </c>
      <c r="M39" s="42" t="s">
        <v>253</v>
      </c>
      <c r="N39" s="41">
        <v>45279</v>
      </c>
      <c r="O39" s="25">
        <v>395</v>
      </c>
      <c r="P39" s="25">
        <v>0</v>
      </c>
      <c r="Q39" s="42" t="s">
        <v>254</v>
      </c>
      <c r="R39" s="41">
        <v>45301</v>
      </c>
      <c r="S39" s="25">
        <v>116</v>
      </c>
      <c r="T39" s="10">
        <v>0</v>
      </c>
    </row>
    <row r="40" s="35" customFormat="1" ht="18.5" customHeight="1" spans="1:20">
      <c r="A40" s="16" t="s">
        <v>251</v>
      </c>
      <c r="B40" s="41">
        <v>45185</v>
      </c>
      <c r="C40" s="25">
        <v>13</v>
      </c>
      <c r="D40" s="25"/>
      <c r="E40" s="42" t="s">
        <v>251</v>
      </c>
      <c r="F40" s="41">
        <v>44435</v>
      </c>
      <c r="G40" s="25">
        <v>190</v>
      </c>
      <c r="H40" s="25">
        <v>0</v>
      </c>
      <c r="I40" s="42" t="s">
        <v>252</v>
      </c>
      <c r="J40" s="41">
        <v>44789</v>
      </c>
      <c r="K40" s="25">
        <v>786</v>
      </c>
      <c r="L40" s="25">
        <v>0</v>
      </c>
      <c r="M40" s="42" t="s">
        <v>253</v>
      </c>
      <c r="N40" s="41">
        <v>45036</v>
      </c>
      <c r="O40" s="25">
        <v>387</v>
      </c>
      <c r="P40" s="25">
        <v>0</v>
      </c>
      <c r="Q40" s="42" t="s">
        <v>254</v>
      </c>
      <c r="R40" s="41">
        <v>45306</v>
      </c>
      <c r="S40" s="25">
        <v>113</v>
      </c>
      <c r="T40" s="10">
        <v>0</v>
      </c>
    </row>
    <row r="41" s="35" customFormat="1" ht="18.5" customHeight="1" spans="1:20">
      <c r="A41" s="16" t="s">
        <v>251</v>
      </c>
      <c r="B41" s="41">
        <v>44489</v>
      </c>
      <c r="C41" s="25">
        <v>16</v>
      </c>
      <c r="D41" s="25"/>
      <c r="E41" s="42" t="s">
        <v>251</v>
      </c>
      <c r="F41" s="41">
        <v>44435</v>
      </c>
      <c r="G41" s="25">
        <v>323</v>
      </c>
      <c r="H41" s="25">
        <v>0</v>
      </c>
      <c r="I41" s="42" t="s">
        <v>252</v>
      </c>
      <c r="J41" s="41">
        <v>44905</v>
      </c>
      <c r="K41" s="25">
        <v>715</v>
      </c>
      <c r="L41" s="25">
        <v>0</v>
      </c>
      <c r="M41" s="42" t="s">
        <v>253</v>
      </c>
      <c r="N41" s="41">
        <v>44990</v>
      </c>
      <c r="O41" s="25">
        <v>345</v>
      </c>
      <c r="P41" s="25">
        <v>0</v>
      </c>
      <c r="Q41" s="42" t="s">
        <v>254</v>
      </c>
      <c r="R41" s="41">
        <v>45304</v>
      </c>
      <c r="S41" s="25">
        <v>111</v>
      </c>
      <c r="T41" s="10">
        <v>0</v>
      </c>
    </row>
    <row r="42" s="35" customFormat="1" ht="18.5" customHeight="1" spans="1:20">
      <c r="A42" s="16" t="s">
        <v>251</v>
      </c>
      <c r="B42" s="41">
        <v>44459</v>
      </c>
      <c r="C42" s="25">
        <v>10</v>
      </c>
      <c r="D42" s="25"/>
      <c r="E42" s="42" t="s">
        <v>251</v>
      </c>
      <c r="F42" s="41">
        <v>44488</v>
      </c>
      <c r="G42" s="25">
        <v>266</v>
      </c>
      <c r="H42" s="25">
        <v>0</v>
      </c>
      <c r="I42" s="42" t="s">
        <v>252</v>
      </c>
      <c r="J42" s="41">
        <v>44755</v>
      </c>
      <c r="K42" s="25">
        <v>699</v>
      </c>
      <c r="L42" s="25">
        <v>0</v>
      </c>
      <c r="M42" s="42" t="s">
        <v>253</v>
      </c>
      <c r="N42" s="41">
        <v>44962</v>
      </c>
      <c r="O42" s="25">
        <v>322</v>
      </c>
      <c r="P42" s="25">
        <v>0</v>
      </c>
      <c r="Q42" s="42" t="s">
        <v>254</v>
      </c>
      <c r="R42" s="41">
        <v>45304</v>
      </c>
      <c r="S42" s="25">
        <v>108</v>
      </c>
      <c r="T42" s="10">
        <v>0</v>
      </c>
    </row>
    <row r="43" s="35" customFormat="1" ht="18.5" customHeight="1" spans="1:20">
      <c r="A43" s="16" t="s">
        <v>251</v>
      </c>
      <c r="B43" s="41">
        <v>44540</v>
      </c>
      <c r="C43" s="25">
        <v>9</v>
      </c>
      <c r="D43" s="25"/>
      <c r="E43" s="42" t="s">
        <v>251</v>
      </c>
      <c r="F43" s="41">
        <v>44426</v>
      </c>
      <c r="G43" s="25">
        <v>265</v>
      </c>
      <c r="H43" s="25">
        <v>0</v>
      </c>
      <c r="I43" s="42" t="s">
        <v>252</v>
      </c>
      <c r="J43" s="41">
        <v>44837</v>
      </c>
      <c r="K43" s="25">
        <v>651</v>
      </c>
      <c r="L43" s="25">
        <v>0</v>
      </c>
      <c r="M43" s="42" t="s">
        <v>253</v>
      </c>
      <c r="N43" s="41">
        <v>45274</v>
      </c>
      <c r="O43" s="25">
        <v>276</v>
      </c>
      <c r="P43" s="25">
        <v>0</v>
      </c>
      <c r="Q43" s="42" t="s">
        <v>254</v>
      </c>
      <c r="R43" s="41">
        <v>45292</v>
      </c>
      <c r="S43" s="25">
        <v>106</v>
      </c>
      <c r="T43" s="10">
        <v>0</v>
      </c>
    </row>
    <row r="44" s="35" customFormat="1" ht="18.5" customHeight="1" spans="1:20">
      <c r="A44" s="16" t="s">
        <v>251</v>
      </c>
      <c r="B44" s="41">
        <v>45273</v>
      </c>
      <c r="C44" s="25">
        <v>23</v>
      </c>
      <c r="D44" s="25"/>
      <c r="E44" s="42" t="s">
        <v>251</v>
      </c>
      <c r="F44" s="41">
        <v>44420</v>
      </c>
      <c r="G44" s="25">
        <v>681</v>
      </c>
      <c r="H44" s="25">
        <v>0</v>
      </c>
      <c r="I44" s="42" t="s">
        <v>252</v>
      </c>
      <c r="J44" s="41">
        <v>44907</v>
      </c>
      <c r="K44" s="25">
        <v>630</v>
      </c>
      <c r="L44" s="25">
        <v>0</v>
      </c>
      <c r="M44" s="42" t="s">
        <v>253</v>
      </c>
      <c r="N44" s="41">
        <v>45036</v>
      </c>
      <c r="O44" s="25">
        <v>256</v>
      </c>
      <c r="P44" s="25">
        <v>0</v>
      </c>
      <c r="Q44" s="42" t="s">
        <v>254</v>
      </c>
      <c r="R44" s="41">
        <v>45304</v>
      </c>
      <c r="S44" s="25">
        <v>103</v>
      </c>
      <c r="T44" s="10">
        <v>0</v>
      </c>
    </row>
    <row r="45" s="35" customFormat="1" ht="18.5" customHeight="1" spans="1:20">
      <c r="A45" s="16" t="s">
        <v>251</v>
      </c>
      <c r="B45" s="41">
        <v>45273</v>
      </c>
      <c r="C45" s="25">
        <v>43</v>
      </c>
      <c r="D45" s="25"/>
      <c r="E45" s="42" t="s">
        <v>251</v>
      </c>
      <c r="F45" s="41">
        <v>44407</v>
      </c>
      <c r="G45" s="25">
        <v>639</v>
      </c>
      <c r="H45" s="25">
        <v>0</v>
      </c>
      <c r="I45" s="42" t="s">
        <v>252</v>
      </c>
      <c r="J45" s="41">
        <v>44788</v>
      </c>
      <c r="K45" s="25">
        <v>612</v>
      </c>
      <c r="L45" s="25">
        <v>0</v>
      </c>
      <c r="M45" s="42" t="s">
        <v>253</v>
      </c>
      <c r="N45" s="41">
        <v>45244</v>
      </c>
      <c r="O45" s="25">
        <v>234</v>
      </c>
      <c r="P45" s="25">
        <v>0</v>
      </c>
      <c r="Q45" s="42" t="s">
        <v>254</v>
      </c>
      <c r="R45" s="41">
        <v>45294</v>
      </c>
      <c r="S45" s="25">
        <v>103</v>
      </c>
      <c r="T45" s="10">
        <v>0</v>
      </c>
    </row>
    <row r="46" s="35" customFormat="1" ht="18.5" customHeight="1" spans="1:20">
      <c r="A46" s="16" t="s">
        <v>251</v>
      </c>
      <c r="B46" s="41">
        <v>44392</v>
      </c>
      <c r="C46" s="25">
        <v>14</v>
      </c>
      <c r="D46" s="25"/>
      <c r="E46" s="42" t="s">
        <v>251</v>
      </c>
      <c r="F46" s="41">
        <v>44484</v>
      </c>
      <c r="G46" s="25">
        <v>633</v>
      </c>
      <c r="H46" s="25">
        <v>0</v>
      </c>
      <c r="I46" s="42" t="s">
        <v>252</v>
      </c>
      <c r="J46" s="41">
        <v>44908</v>
      </c>
      <c r="K46" s="25">
        <v>597</v>
      </c>
      <c r="L46" s="25">
        <v>0</v>
      </c>
      <c r="M46" s="42" t="s">
        <v>253</v>
      </c>
      <c r="N46" s="41">
        <v>45053</v>
      </c>
      <c r="O46" s="25">
        <v>1227</v>
      </c>
      <c r="P46" s="25">
        <v>0</v>
      </c>
      <c r="Q46" s="42" t="s">
        <v>254</v>
      </c>
      <c r="R46" s="41">
        <v>45307</v>
      </c>
      <c r="S46" s="25">
        <v>100</v>
      </c>
      <c r="T46" s="10">
        <v>0</v>
      </c>
    </row>
    <row r="47" s="35" customFormat="1" ht="18.5" customHeight="1" spans="1:20">
      <c r="A47" s="16" t="s">
        <v>251</v>
      </c>
      <c r="B47" s="41">
        <v>45275</v>
      </c>
      <c r="C47" s="25">
        <v>15</v>
      </c>
      <c r="D47" s="25"/>
      <c r="E47" s="42" t="s">
        <v>251</v>
      </c>
      <c r="F47" s="41">
        <v>44409</v>
      </c>
      <c r="G47" s="25">
        <v>196</v>
      </c>
      <c r="H47" s="25">
        <v>0</v>
      </c>
      <c r="I47" s="42" t="s">
        <v>252</v>
      </c>
      <c r="J47" s="41">
        <v>44922</v>
      </c>
      <c r="K47" s="25">
        <v>2935</v>
      </c>
      <c r="L47" s="25">
        <v>0</v>
      </c>
      <c r="M47" s="42" t="s">
        <v>253</v>
      </c>
      <c r="N47" s="41">
        <v>45273</v>
      </c>
      <c r="O47" s="25">
        <v>6297</v>
      </c>
      <c r="P47" s="25">
        <v>0</v>
      </c>
      <c r="Q47" s="42" t="s">
        <v>254</v>
      </c>
      <c r="R47" s="41">
        <v>45307</v>
      </c>
      <c r="S47" s="25">
        <v>95</v>
      </c>
      <c r="T47" s="10">
        <v>0</v>
      </c>
    </row>
    <row r="48" s="35" customFormat="1" ht="18.5" customHeight="1" spans="1:20">
      <c r="A48" s="16" t="s">
        <v>251</v>
      </c>
      <c r="B48" s="41">
        <v>45273</v>
      </c>
      <c r="C48" s="25">
        <v>20</v>
      </c>
      <c r="D48" s="25"/>
      <c r="E48" s="42" t="s">
        <v>251</v>
      </c>
      <c r="F48" s="41">
        <v>44489</v>
      </c>
      <c r="G48" s="25">
        <v>321</v>
      </c>
      <c r="H48" s="25">
        <v>0</v>
      </c>
      <c r="I48" s="42" t="s">
        <v>252</v>
      </c>
      <c r="J48" s="41">
        <v>44923</v>
      </c>
      <c r="K48" s="25">
        <v>512</v>
      </c>
      <c r="L48" s="25">
        <v>0</v>
      </c>
      <c r="M48" s="42" t="s">
        <v>253</v>
      </c>
      <c r="N48" s="41">
        <v>45239</v>
      </c>
      <c r="O48" s="25">
        <v>197</v>
      </c>
      <c r="P48" s="25">
        <v>0</v>
      </c>
      <c r="Q48" s="42" t="s">
        <v>254</v>
      </c>
      <c r="R48" s="41">
        <v>45308</v>
      </c>
      <c r="S48" s="25">
        <v>93</v>
      </c>
      <c r="T48" s="10">
        <v>0</v>
      </c>
    </row>
    <row r="49" s="35" customFormat="1" ht="18.5" customHeight="1" spans="1:20">
      <c r="A49" s="16" t="s">
        <v>251</v>
      </c>
      <c r="B49" s="41">
        <v>44425</v>
      </c>
      <c r="C49" s="25">
        <v>38</v>
      </c>
      <c r="D49" s="25"/>
      <c r="E49" s="42" t="s">
        <v>251</v>
      </c>
      <c r="F49" s="41">
        <v>44424</v>
      </c>
      <c r="G49" s="25">
        <v>175</v>
      </c>
      <c r="H49" s="25">
        <v>0</v>
      </c>
      <c r="I49" s="42" t="s">
        <v>252</v>
      </c>
      <c r="J49" s="41">
        <v>44824</v>
      </c>
      <c r="K49" s="25">
        <v>481</v>
      </c>
      <c r="L49" s="25">
        <v>0</v>
      </c>
      <c r="M49" s="42" t="s">
        <v>253</v>
      </c>
      <c r="N49" s="41">
        <v>45236</v>
      </c>
      <c r="O49" s="25">
        <v>190</v>
      </c>
      <c r="P49" s="25">
        <v>0</v>
      </c>
      <c r="Q49" s="42" t="s">
        <v>254</v>
      </c>
      <c r="R49" s="41">
        <v>45305</v>
      </c>
      <c r="S49" s="25">
        <v>91</v>
      </c>
      <c r="T49" s="10">
        <v>0</v>
      </c>
    </row>
    <row r="50" s="35" customFormat="1" ht="18.5" customHeight="1" spans="1:20">
      <c r="A50" s="16" t="s">
        <v>251</v>
      </c>
      <c r="B50" s="41">
        <v>45276</v>
      </c>
      <c r="C50" s="25">
        <v>13</v>
      </c>
      <c r="D50" s="25"/>
      <c r="E50" s="42" t="s">
        <v>251</v>
      </c>
      <c r="F50" s="41">
        <v>44441</v>
      </c>
      <c r="G50" s="25">
        <v>529</v>
      </c>
      <c r="H50" s="25">
        <v>0</v>
      </c>
      <c r="I50" s="42" t="s">
        <v>252</v>
      </c>
      <c r="J50" s="41">
        <v>44896</v>
      </c>
      <c r="K50" s="25">
        <v>479</v>
      </c>
      <c r="L50" s="25">
        <v>0</v>
      </c>
      <c r="M50" s="42" t="s">
        <v>253</v>
      </c>
      <c r="N50" s="41">
        <v>45277</v>
      </c>
      <c r="O50" s="25">
        <v>1009</v>
      </c>
      <c r="P50" s="25">
        <v>0</v>
      </c>
      <c r="Q50" s="42" t="s">
        <v>254</v>
      </c>
      <c r="R50" s="41">
        <v>45306</v>
      </c>
      <c r="S50" s="25">
        <v>93</v>
      </c>
      <c r="T50" s="10">
        <v>0</v>
      </c>
    </row>
    <row r="51" s="35" customFormat="1" ht="18.5" customHeight="1" spans="1:20">
      <c r="A51" s="16" t="s">
        <v>251</v>
      </c>
      <c r="B51" s="41">
        <v>45282</v>
      </c>
      <c r="C51" s="25">
        <v>22</v>
      </c>
      <c r="D51" s="25"/>
      <c r="E51" s="42" t="s">
        <v>251</v>
      </c>
      <c r="F51" s="41">
        <v>44438</v>
      </c>
      <c r="G51" s="25">
        <v>385</v>
      </c>
      <c r="H51" s="25">
        <v>0</v>
      </c>
      <c r="I51" s="42" t="s">
        <v>252</v>
      </c>
      <c r="J51" s="41">
        <v>44700</v>
      </c>
      <c r="K51" s="25">
        <v>461</v>
      </c>
      <c r="L51" s="25">
        <v>0</v>
      </c>
      <c r="M51" s="42" t="s">
        <v>253</v>
      </c>
      <c r="N51" s="41">
        <v>44999</v>
      </c>
      <c r="O51" s="25">
        <v>941</v>
      </c>
      <c r="P51" s="25">
        <v>0</v>
      </c>
      <c r="Q51" s="42" t="s">
        <v>254</v>
      </c>
      <c r="R51" s="41">
        <v>45305</v>
      </c>
      <c r="S51" s="25">
        <v>91</v>
      </c>
      <c r="T51" s="10">
        <v>0</v>
      </c>
    </row>
    <row r="52" s="35" customFormat="1" ht="18.5" customHeight="1" spans="1:20">
      <c r="A52" s="16" t="s">
        <v>251</v>
      </c>
      <c r="B52" s="41">
        <v>45285</v>
      </c>
      <c r="C52" s="25">
        <v>14</v>
      </c>
      <c r="D52" s="25"/>
      <c r="E52" s="42" t="s">
        <v>251</v>
      </c>
      <c r="F52" s="41">
        <v>44444</v>
      </c>
      <c r="G52" s="25">
        <v>351</v>
      </c>
      <c r="H52" s="25">
        <v>0</v>
      </c>
      <c r="I52" s="42" t="s">
        <v>252</v>
      </c>
      <c r="J52" s="41">
        <v>44922</v>
      </c>
      <c r="K52" s="25">
        <v>456</v>
      </c>
      <c r="L52" s="25">
        <v>0</v>
      </c>
      <c r="M52" s="42" t="s">
        <v>253</v>
      </c>
      <c r="N52" s="41">
        <v>45241</v>
      </c>
      <c r="O52" s="25">
        <v>163</v>
      </c>
      <c r="P52" s="25">
        <v>0</v>
      </c>
      <c r="Q52" s="42" t="s">
        <v>254</v>
      </c>
      <c r="R52" s="41">
        <v>45305</v>
      </c>
      <c r="S52" s="25">
        <v>89</v>
      </c>
      <c r="T52" s="10">
        <v>0</v>
      </c>
    </row>
    <row r="53" s="35" customFormat="1" ht="18.5" customHeight="1" spans="1:20">
      <c r="A53" s="16" t="s">
        <v>251</v>
      </c>
      <c r="B53" s="41">
        <v>45294</v>
      </c>
      <c r="C53" s="25">
        <v>27</v>
      </c>
      <c r="D53" s="25"/>
      <c r="E53" s="42" t="s">
        <v>251</v>
      </c>
      <c r="F53" s="41">
        <v>44451</v>
      </c>
      <c r="G53" s="25">
        <v>319</v>
      </c>
      <c r="H53" s="25">
        <v>0</v>
      </c>
      <c r="I53" s="42" t="s">
        <v>252</v>
      </c>
      <c r="J53" s="41">
        <v>44762</v>
      </c>
      <c r="K53" s="25">
        <v>405</v>
      </c>
      <c r="L53" s="25">
        <v>0</v>
      </c>
      <c r="M53" s="42" t="s">
        <v>253</v>
      </c>
      <c r="N53" s="41">
        <v>45258</v>
      </c>
      <c r="O53" s="25">
        <v>800</v>
      </c>
      <c r="P53" s="25">
        <v>0</v>
      </c>
      <c r="Q53" s="42" t="s">
        <v>254</v>
      </c>
      <c r="R53" s="41">
        <v>45300</v>
      </c>
      <c r="S53" s="25">
        <v>88</v>
      </c>
      <c r="T53" s="10">
        <v>0</v>
      </c>
    </row>
    <row r="54" s="35" customFormat="1" ht="18.5" customHeight="1" spans="1:20">
      <c r="A54" s="16" t="s">
        <v>251</v>
      </c>
      <c r="B54" s="41">
        <v>45279</v>
      </c>
      <c r="C54" s="25">
        <v>17</v>
      </c>
      <c r="D54" s="25"/>
      <c r="E54" s="42" t="s">
        <v>251</v>
      </c>
      <c r="F54" s="41">
        <v>44450</v>
      </c>
      <c r="G54" s="25">
        <v>315</v>
      </c>
      <c r="H54" s="25">
        <v>0</v>
      </c>
      <c r="I54" s="42" t="s">
        <v>252</v>
      </c>
      <c r="J54" s="41">
        <v>44894</v>
      </c>
      <c r="K54" s="25">
        <v>403</v>
      </c>
      <c r="L54" s="25">
        <v>0</v>
      </c>
      <c r="M54" s="42" t="s">
        <v>253</v>
      </c>
      <c r="N54" s="41">
        <v>45260</v>
      </c>
      <c r="O54" s="25">
        <v>132</v>
      </c>
      <c r="P54" s="25">
        <v>0</v>
      </c>
      <c r="Q54" s="42" t="s">
        <v>254</v>
      </c>
      <c r="R54" s="41">
        <v>45292</v>
      </c>
      <c r="S54" s="25">
        <v>86</v>
      </c>
      <c r="T54" s="10">
        <v>0</v>
      </c>
    </row>
    <row r="55" s="35" customFormat="1" ht="18.5" customHeight="1" spans="1:20">
      <c r="A55" s="16" t="s">
        <v>251</v>
      </c>
      <c r="B55" s="41">
        <v>45274</v>
      </c>
      <c r="C55" s="25">
        <v>3</v>
      </c>
      <c r="D55" s="25"/>
      <c r="E55" s="42" t="s">
        <v>251</v>
      </c>
      <c r="F55" s="41">
        <v>44474</v>
      </c>
      <c r="G55" s="25">
        <v>275</v>
      </c>
      <c r="H55" s="25">
        <v>0</v>
      </c>
      <c r="I55" s="42" t="s">
        <v>252</v>
      </c>
      <c r="J55" s="41">
        <v>44839</v>
      </c>
      <c r="K55" s="25">
        <v>403</v>
      </c>
      <c r="L55" s="25">
        <v>0</v>
      </c>
      <c r="M55" s="42" t="s">
        <v>253</v>
      </c>
      <c r="N55" s="41">
        <v>45141</v>
      </c>
      <c r="O55" s="25">
        <v>718</v>
      </c>
      <c r="P55" s="25">
        <v>0</v>
      </c>
      <c r="Q55" s="42" t="s">
        <v>254</v>
      </c>
      <c r="R55" s="41">
        <v>45307</v>
      </c>
      <c r="S55" s="25">
        <v>86</v>
      </c>
      <c r="T55" s="10">
        <v>0</v>
      </c>
    </row>
    <row r="56" s="35" customFormat="1" ht="18.5" customHeight="1" spans="1:20">
      <c r="A56" s="16" t="s">
        <v>251</v>
      </c>
      <c r="B56" s="41">
        <v>44451</v>
      </c>
      <c r="C56" s="25">
        <v>19</v>
      </c>
      <c r="D56" s="25"/>
      <c r="E56" s="42" t="s">
        <v>251</v>
      </c>
      <c r="F56" s="41">
        <v>44348</v>
      </c>
      <c r="G56" s="25">
        <v>275</v>
      </c>
      <c r="H56" s="25">
        <v>0</v>
      </c>
      <c r="I56" s="42" t="s">
        <v>252</v>
      </c>
      <c r="J56" s="41">
        <v>44606</v>
      </c>
      <c r="K56" s="25">
        <v>398</v>
      </c>
      <c r="L56" s="25">
        <v>0</v>
      </c>
      <c r="M56" s="42" t="s">
        <v>253</v>
      </c>
      <c r="N56" s="41">
        <v>44985</v>
      </c>
      <c r="O56" s="25">
        <v>704</v>
      </c>
      <c r="P56" s="25">
        <v>0</v>
      </c>
      <c r="Q56" s="42" t="s">
        <v>254</v>
      </c>
      <c r="R56" s="41">
        <v>45310</v>
      </c>
      <c r="S56" s="25">
        <v>82</v>
      </c>
      <c r="T56" s="10">
        <v>0</v>
      </c>
    </row>
    <row r="57" s="35" customFormat="1" ht="18.5" customHeight="1" spans="1:20">
      <c r="A57" s="16" t="s">
        <v>251</v>
      </c>
      <c r="B57" s="41">
        <v>44642</v>
      </c>
      <c r="C57" s="25">
        <v>13</v>
      </c>
      <c r="D57" s="25"/>
      <c r="E57" s="42" t="s">
        <v>251</v>
      </c>
      <c r="F57" s="41">
        <v>44467</v>
      </c>
      <c r="G57" s="25">
        <v>273</v>
      </c>
      <c r="H57" s="25">
        <v>0</v>
      </c>
      <c r="I57" s="42" t="s">
        <v>252</v>
      </c>
      <c r="J57" s="41">
        <v>44911</v>
      </c>
      <c r="K57" s="25">
        <v>360</v>
      </c>
      <c r="L57" s="25">
        <v>0</v>
      </c>
      <c r="M57" s="42" t="s">
        <v>253</v>
      </c>
      <c r="N57" s="41">
        <v>44961</v>
      </c>
      <c r="O57" s="25">
        <v>638</v>
      </c>
      <c r="P57" s="25">
        <v>0</v>
      </c>
      <c r="Q57" s="42" t="s">
        <v>254</v>
      </c>
      <c r="R57" s="41">
        <v>45303</v>
      </c>
      <c r="S57" s="25">
        <v>81</v>
      </c>
      <c r="T57" s="10">
        <v>0</v>
      </c>
    </row>
    <row r="58" s="35" customFormat="1" ht="18.5" customHeight="1" spans="1:20">
      <c r="A58" s="16" t="s">
        <v>251</v>
      </c>
      <c r="B58" s="41">
        <v>45272</v>
      </c>
      <c r="C58" s="25">
        <v>17</v>
      </c>
      <c r="D58" s="25"/>
      <c r="E58" s="42" t="s">
        <v>251</v>
      </c>
      <c r="F58" s="41">
        <v>44558</v>
      </c>
      <c r="G58" s="25">
        <v>271</v>
      </c>
      <c r="H58" s="25">
        <v>0</v>
      </c>
      <c r="I58" s="42" t="s">
        <v>252</v>
      </c>
      <c r="J58" s="41">
        <v>44770</v>
      </c>
      <c r="K58" s="25">
        <v>337</v>
      </c>
      <c r="L58" s="25">
        <v>0</v>
      </c>
      <c r="M58" s="42" t="s">
        <v>253</v>
      </c>
      <c r="N58" s="41">
        <v>45000</v>
      </c>
      <c r="O58" s="25">
        <v>3286</v>
      </c>
      <c r="P58" s="25">
        <v>0</v>
      </c>
      <c r="Q58" s="42" t="s">
        <v>254</v>
      </c>
      <c r="R58" s="41">
        <v>45300</v>
      </c>
      <c r="S58" s="25">
        <v>80</v>
      </c>
      <c r="T58" s="10">
        <v>0</v>
      </c>
    </row>
    <row r="59" s="35" customFormat="1" ht="18.5" customHeight="1" spans="1:20">
      <c r="A59" s="16" t="s">
        <v>251</v>
      </c>
      <c r="B59" s="41">
        <v>45295</v>
      </c>
      <c r="C59" s="25">
        <v>16</v>
      </c>
      <c r="D59" s="25"/>
      <c r="E59" s="42" t="s">
        <v>251</v>
      </c>
      <c r="F59" s="41">
        <v>44377</v>
      </c>
      <c r="G59" s="25">
        <v>268</v>
      </c>
      <c r="H59" s="25">
        <v>0</v>
      </c>
      <c r="I59" s="42" t="s">
        <v>252</v>
      </c>
      <c r="J59" s="41">
        <v>44691</v>
      </c>
      <c r="K59" s="25">
        <v>336</v>
      </c>
      <c r="L59" s="25">
        <v>0</v>
      </c>
      <c r="M59" s="42" t="s">
        <v>253</v>
      </c>
      <c r="N59" s="41">
        <v>45239</v>
      </c>
      <c r="O59" s="25">
        <v>580</v>
      </c>
      <c r="P59" s="25">
        <v>0</v>
      </c>
      <c r="Q59" s="42" t="s">
        <v>254</v>
      </c>
      <c r="R59" s="41">
        <v>45309</v>
      </c>
      <c r="S59" s="25">
        <v>80</v>
      </c>
      <c r="T59" s="10">
        <v>0</v>
      </c>
    </row>
    <row r="60" s="35" customFormat="1" ht="18.5" customHeight="1" spans="1:20">
      <c r="A60" s="16" t="s">
        <v>251</v>
      </c>
      <c r="B60" s="41">
        <v>45295</v>
      </c>
      <c r="C60" s="25">
        <v>25</v>
      </c>
      <c r="D60" s="25"/>
      <c r="E60" s="42" t="s">
        <v>251</v>
      </c>
      <c r="F60" s="41">
        <v>44395</v>
      </c>
      <c r="G60" s="25">
        <v>248</v>
      </c>
      <c r="H60" s="25">
        <v>0</v>
      </c>
      <c r="I60" s="42" t="s">
        <v>252</v>
      </c>
      <c r="J60" s="41">
        <v>44700</v>
      </c>
      <c r="K60" s="25">
        <v>333</v>
      </c>
      <c r="L60" s="25">
        <v>0</v>
      </c>
      <c r="M60" s="42" t="s">
        <v>253</v>
      </c>
      <c r="N60" s="41">
        <v>45061</v>
      </c>
      <c r="O60" s="25">
        <v>554</v>
      </c>
      <c r="P60" s="25">
        <v>0</v>
      </c>
      <c r="Q60" s="42" t="s">
        <v>254</v>
      </c>
      <c r="R60" s="41">
        <v>45308</v>
      </c>
      <c r="S60" s="25">
        <v>80</v>
      </c>
      <c r="T60" s="10">
        <v>0</v>
      </c>
    </row>
    <row r="61" s="35" customFormat="1" ht="18.5" customHeight="1" spans="1:20">
      <c r="A61" s="16" t="s">
        <v>251</v>
      </c>
      <c r="B61" s="41">
        <v>44991</v>
      </c>
      <c r="C61" s="25">
        <v>11</v>
      </c>
      <c r="D61" s="25"/>
      <c r="E61" s="42" t="s">
        <v>251</v>
      </c>
      <c r="F61" s="41">
        <v>44434</v>
      </c>
      <c r="G61" s="25">
        <v>241</v>
      </c>
      <c r="H61" s="25">
        <v>0</v>
      </c>
      <c r="I61" s="42" t="s">
        <v>252</v>
      </c>
      <c r="J61" s="41">
        <v>44781</v>
      </c>
      <c r="K61" s="25">
        <v>328</v>
      </c>
      <c r="L61" s="25">
        <v>0</v>
      </c>
      <c r="M61" s="42" t="s">
        <v>253</v>
      </c>
      <c r="N61" s="41">
        <v>45083</v>
      </c>
      <c r="O61" s="25">
        <v>549</v>
      </c>
      <c r="P61" s="25">
        <v>0</v>
      </c>
      <c r="Q61" s="42" t="s">
        <v>254</v>
      </c>
      <c r="R61" s="41">
        <v>45303</v>
      </c>
      <c r="S61" s="25">
        <v>81</v>
      </c>
      <c r="T61" s="10">
        <v>0</v>
      </c>
    </row>
    <row r="62" s="35" customFormat="1" ht="18.5" customHeight="1" spans="1:20">
      <c r="A62" s="16" t="s">
        <v>251</v>
      </c>
      <c r="B62" s="41">
        <v>44447</v>
      </c>
      <c r="C62" s="25">
        <v>9</v>
      </c>
      <c r="D62" s="25"/>
      <c r="E62" s="42" t="s">
        <v>251</v>
      </c>
      <c r="F62" s="41">
        <v>44401</v>
      </c>
      <c r="G62" s="25">
        <v>240</v>
      </c>
      <c r="H62" s="25">
        <v>0</v>
      </c>
      <c r="I62" s="42" t="s">
        <v>252</v>
      </c>
      <c r="J62" s="41">
        <v>44796</v>
      </c>
      <c r="K62" s="25">
        <v>323</v>
      </c>
      <c r="L62" s="25">
        <v>0</v>
      </c>
      <c r="M62" s="42" t="s">
        <v>253</v>
      </c>
      <c r="N62" s="41">
        <v>45035</v>
      </c>
      <c r="O62" s="25">
        <v>546</v>
      </c>
      <c r="P62" s="25">
        <v>0</v>
      </c>
      <c r="Q62" s="42" t="s">
        <v>254</v>
      </c>
      <c r="R62" s="41">
        <v>45307</v>
      </c>
      <c r="S62" s="25">
        <v>78</v>
      </c>
      <c r="T62" s="10">
        <v>0</v>
      </c>
    </row>
    <row r="63" s="35" customFormat="1" ht="18.5" customHeight="1" spans="1:20">
      <c r="A63" s="16" t="s">
        <v>251</v>
      </c>
      <c r="B63" s="41">
        <v>45231</v>
      </c>
      <c r="C63" s="25">
        <v>9</v>
      </c>
      <c r="D63" s="25"/>
      <c r="E63" s="42" t="s">
        <v>251</v>
      </c>
      <c r="F63" s="41">
        <v>44413</v>
      </c>
      <c r="G63" s="25">
        <v>224</v>
      </c>
      <c r="H63" s="25">
        <v>0</v>
      </c>
      <c r="I63" s="42" t="s">
        <v>252</v>
      </c>
      <c r="J63" s="41">
        <v>44854</v>
      </c>
      <c r="K63" s="25">
        <v>314</v>
      </c>
      <c r="L63" s="25">
        <v>0</v>
      </c>
      <c r="M63" s="42" t="s">
        <v>253</v>
      </c>
      <c r="N63" s="41">
        <v>45255</v>
      </c>
      <c r="O63" s="25">
        <v>500</v>
      </c>
      <c r="P63" s="25">
        <v>0</v>
      </c>
      <c r="Q63" s="42" t="s">
        <v>254</v>
      </c>
      <c r="R63" s="41">
        <v>45306</v>
      </c>
      <c r="S63" s="25">
        <v>76</v>
      </c>
      <c r="T63" s="10">
        <v>0</v>
      </c>
    </row>
    <row r="64" s="35" customFormat="1" ht="18.5" customHeight="1" spans="1:20">
      <c r="A64" s="16" t="s">
        <v>251</v>
      </c>
      <c r="B64" s="41">
        <v>44446</v>
      </c>
      <c r="C64" s="25">
        <v>10</v>
      </c>
      <c r="D64" s="25"/>
      <c r="E64" s="42" t="s">
        <v>251</v>
      </c>
      <c r="F64" s="41">
        <v>44481</v>
      </c>
      <c r="G64" s="25">
        <v>218</v>
      </c>
      <c r="H64" s="25">
        <v>0</v>
      </c>
      <c r="I64" s="42" t="s">
        <v>252</v>
      </c>
      <c r="J64" s="41">
        <v>44610</v>
      </c>
      <c r="K64" s="25">
        <v>308</v>
      </c>
      <c r="L64" s="25">
        <v>0</v>
      </c>
      <c r="M64" s="42" t="s">
        <v>253</v>
      </c>
      <c r="N64" s="41">
        <v>45238</v>
      </c>
      <c r="O64" s="25">
        <v>486</v>
      </c>
      <c r="P64" s="25">
        <v>0</v>
      </c>
      <c r="Q64" s="42" t="s">
        <v>254</v>
      </c>
      <c r="R64" s="41">
        <v>45307</v>
      </c>
      <c r="S64" s="25">
        <v>73</v>
      </c>
      <c r="T64" s="10">
        <v>0</v>
      </c>
    </row>
    <row r="65" s="35" customFormat="1" ht="18.5" customHeight="1" spans="1:20">
      <c r="A65" s="16" t="s">
        <v>251</v>
      </c>
      <c r="B65" s="41">
        <v>45278</v>
      </c>
      <c r="C65" s="25">
        <v>13</v>
      </c>
      <c r="D65" s="25"/>
      <c r="E65" s="42" t="s">
        <v>251</v>
      </c>
      <c r="F65" s="41">
        <v>44559</v>
      </c>
      <c r="G65" s="25">
        <v>216</v>
      </c>
      <c r="H65" s="25">
        <v>0</v>
      </c>
      <c r="I65" s="42" t="s">
        <v>252</v>
      </c>
      <c r="J65" s="41">
        <v>44571</v>
      </c>
      <c r="K65" s="25">
        <v>1716</v>
      </c>
      <c r="L65" s="25">
        <v>0</v>
      </c>
      <c r="M65" s="42" t="s">
        <v>253</v>
      </c>
      <c r="N65" s="41">
        <v>45000</v>
      </c>
      <c r="O65" s="25">
        <v>481</v>
      </c>
      <c r="P65" s="25">
        <v>0</v>
      </c>
      <c r="Q65" s="42" t="s">
        <v>254</v>
      </c>
      <c r="R65" s="41">
        <v>45302</v>
      </c>
      <c r="S65" s="25">
        <v>72</v>
      </c>
      <c r="T65" s="10">
        <v>0</v>
      </c>
    </row>
    <row r="66" s="35" customFormat="1" ht="18.5" customHeight="1" spans="1:20">
      <c r="A66" s="16" t="s">
        <v>251</v>
      </c>
      <c r="B66" s="41">
        <v>44490</v>
      </c>
      <c r="C66" s="25">
        <v>15</v>
      </c>
      <c r="D66" s="25"/>
      <c r="E66" s="42" t="s">
        <v>251</v>
      </c>
      <c r="F66" s="41">
        <v>44329</v>
      </c>
      <c r="G66" s="25">
        <v>214</v>
      </c>
      <c r="H66" s="25">
        <v>0</v>
      </c>
      <c r="I66" s="42" t="s">
        <v>252</v>
      </c>
      <c r="J66" s="41">
        <v>44750</v>
      </c>
      <c r="K66" s="25">
        <v>1680</v>
      </c>
      <c r="L66" s="25">
        <v>0</v>
      </c>
      <c r="M66" s="42" t="s">
        <v>253</v>
      </c>
      <c r="N66" s="41">
        <v>45237</v>
      </c>
      <c r="O66" s="25">
        <v>452</v>
      </c>
      <c r="P66" s="25">
        <v>0</v>
      </c>
      <c r="Q66" s="42" t="s">
        <v>254</v>
      </c>
      <c r="R66" s="41">
        <v>45309</v>
      </c>
      <c r="S66" s="25">
        <v>73</v>
      </c>
      <c r="T66" s="10">
        <v>0</v>
      </c>
    </row>
    <row r="67" s="35" customFormat="1" ht="18.5" customHeight="1" spans="1:20">
      <c r="A67" s="16" t="s">
        <v>251</v>
      </c>
      <c r="B67" s="41">
        <v>45306</v>
      </c>
      <c r="C67" s="25">
        <v>34</v>
      </c>
      <c r="D67" s="25"/>
      <c r="E67" s="42" t="s">
        <v>251</v>
      </c>
      <c r="F67" s="41">
        <v>44497</v>
      </c>
      <c r="G67" s="25">
        <v>378</v>
      </c>
      <c r="H67" s="25">
        <v>0</v>
      </c>
      <c r="I67" s="42" t="s">
        <v>252</v>
      </c>
      <c r="J67" s="41">
        <v>44834</v>
      </c>
      <c r="K67" s="25">
        <v>294</v>
      </c>
      <c r="L67" s="25">
        <v>0</v>
      </c>
      <c r="M67" s="42" t="s">
        <v>253</v>
      </c>
      <c r="N67" s="41">
        <v>44970</v>
      </c>
      <c r="O67" s="25">
        <v>449</v>
      </c>
      <c r="P67" s="25">
        <v>0</v>
      </c>
      <c r="Q67" s="42" t="s">
        <v>254</v>
      </c>
      <c r="R67" s="41">
        <v>45307</v>
      </c>
      <c r="S67" s="25">
        <v>71</v>
      </c>
      <c r="T67" s="10">
        <v>0</v>
      </c>
    </row>
    <row r="68" s="35" customFormat="1" ht="18.5" customHeight="1" spans="1:20">
      <c r="A68" s="16" t="s">
        <v>251</v>
      </c>
      <c r="B68" s="41">
        <v>45275</v>
      </c>
      <c r="C68" s="25">
        <v>11</v>
      </c>
      <c r="D68" s="25"/>
      <c r="E68" s="42" t="s">
        <v>251</v>
      </c>
      <c r="F68" s="41">
        <v>44441</v>
      </c>
      <c r="G68" s="25">
        <v>204</v>
      </c>
      <c r="H68" s="25">
        <v>0</v>
      </c>
      <c r="I68" s="42" t="s">
        <v>252</v>
      </c>
      <c r="J68" s="41">
        <v>44598</v>
      </c>
      <c r="K68" s="25">
        <v>288</v>
      </c>
      <c r="L68" s="25">
        <v>0</v>
      </c>
      <c r="M68" s="42" t="s">
        <v>253</v>
      </c>
      <c r="N68" s="41">
        <v>45241</v>
      </c>
      <c r="O68" s="25">
        <v>443</v>
      </c>
      <c r="P68" s="25">
        <v>0</v>
      </c>
      <c r="Q68" s="42" t="s">
        <v>254</v>
      </c>
      <c r="R68" s="41">
        <v>45309</v>
      </c>
      <c r="S68" s="25">
        <v>72</v>
      </c>
      <c r="T68" s="10">
        <v>0</v>
      </c>
    </row>
    <row r="69" s="35" customFormat="1" ht="18.5" customHeight="1" spans="1:20">
      <c r="A69" s="16" t="s">
        <v>251</v>
      </c>
      <c r="B69" s="41">
        <v>44574</v>
      </c>
      <c r="C69" s="25">
        <v>14</v>
      </c>
      <c r="D69" s="25"/>
      <c r="E69" s="42" t="s">
        <v>251</v>
      </c>
      <c r="F69" s="41">
        <v>44553</v>
      </c>
      <c r="G69" s="25">
        <v>991</v>
      </c>
      <c r="H69" s="25">
        <v>0</v>
      </c>
      <c r="I69" s="42" t="s">
        <v>252</v>
      </c>
      <c r="J69" s="41">
        <v>44757</v>
      </c>
      <c r="K69" s="25">
        <v>284</v>
      </c>
      <c r="L69" s="25">
        <v>0</v>
      </c>
      <c r="M69" s="42" t="s">
        <v>253</v>
      </c>
      <c r="N69" s="41">
        <v>44927</v>
      </c>
      <c r="O69" s="25">
        <v>431</v>
      </c>
      <c r="P69" s="25">
        <v>0</v>
      </c>
      <c r="Q69" s="42" t="s">
        <v>254</v>
      </c>
      <c r="R69" s="41">
        <v>45308</v>
      </c>
      <c r="S69" s="25">
        <v>71</v>
      </c>
      <c r="T69" s="10">
        <v>0</v>
      </c>
    </row>
    <row r="70" s="35" customFormat="1" ht="18.5" customHeight="1" spans="1:20">
      <c r="A70" s="16" t="s">
        <v>251</v>
      </c>
      <c r="B70" s="41">
        <v>44368</v>
      </c>
      <c r="C70" s="25">
        <v>13</v>
      </c>
      <c r="D70" s="25"/>
      <c r="E70" s="42" t="s">
        <v>251</v>
      </c>
      <c r="F70" s="41">
        <v>44494</v>
      </c>
      <c r="G70" s="25">
        <v>174</v>
      </c>
      <c r="H70" s="25">
        <v>0</v>
      </c>
      <c r="I70" s="42" t="s">
        <v>252</v>
      </c>
      <c r="J70" s="41">
        <v>44854</v>
      </c>
      <c r="K70" s="25">
        <v>261</v>
      </c>
      <c r="L70" s="25">
        <v>0</v>
      </c>
      <c r="M70" s="42" t="s">
        <v>253</v>
      </c>
      <c r="N70" s="41">
        <v>45016</v>
      </c>
      <c r="O70" s="25">
        <v>428</v>
      </c>
      <c r="P70" s="25">
        <v>0</v>
      </c>
      <c r="Q70" s="42" t="s">
        <v>254</v>
      </c>
      <c r="R70" s="41">
        <v>45302</v>
      </c>
      <c r="S70" s="25">
        <v>70</v>
      </c>
      <c r="T70" s="10">
        <v>0</v>
      </c>
    </row>
    <row r="71" s="35" customFormat="1" ht="18.5" customHeight="1" spans="1:20">
      <c r="A71" s="16" t="s">
        <v>251</v>
      </c>
      <c r="B71" s="41">
        <v>45115</v>
      </c>
      <c r="C71" s="25">
        <v>18</v>
      </c>
      <c r="D71" s="25"/>
      <c r="E71" s="42" t="s">
        <v>251</v>
      </c>
      <c r="F71" s="41">
        <v>44435</v>
      </c>
      <c r="G71" s="25">
        <v>260</v>
      </c>
      <c r="H71" s="25">
        <v>0</v>
      </c>
      <c r="I71" s="42" t="s">
        <v>252</v>
      </c>
      <c r="J71" s="41">
        <v>44629</v>
      </c>
      <c r="K71" s="25">
        <v>254</v>
      </c>
      <c r="L71" s="25">
        <v>0</v>
      </c>
      <c r="M71" s="42" t="s">
        <v>253</v>
      </c>
      <c r="N71" s="41">
        <v>45082</v>
      </c>
      <c r="O71" s="25">
        <v>409</v>
      </c>
      <c r="P71" s="25">
        <v>0</v>
      </c>
      <c r="Q71" s="42" t="s">
        <v>254</v>
      </c>
      <c r="R71" s="41">
        <v>45309</v>
      </c>
      <c r="S71" s="25">
        <v>69</v>
      </c>
      <c r="T71" s="10">
        <v>0</v>
      </c>
    </row>
    <row r="72" s="35" customFormat="1" ht="18.5" customHeight="1" spans="1:20">
      <c r="A72" s="16" t="s">
        <v>251</v>
      </c>
      <c r="B72" s="41">
        <v>45280</v>
      </c>
      <c r="C72" s="25">
        <v>14</v>
      </c>
      <c r="D72" s="25"/>
      <c r="E72" s="42" t="s">
        <v>251</v>
      </c>
      <c r="F72" s="41">
        <v>44449</v>
      </c>
      <c r="G72" s="25">
        <v>469</v>
      </c>
      <c r="H72" s="25">
        <v>0</v>
      </c>
      <c r="I72" s="42" t="s">
        <v>252</v>
      </c>
      <c r="J72" s="41">
        <v>44579</v>
      </c>
      <c r="K72" s="25">
        <v>254</v>
      </c>
      <c r="L72" s="25">
        <v>0</v>
      </c>
      <c r="M72" s="42" t="s">
        <v>253</v>
      </c>
      <c r="N72" s="41">
        <v>45166</v>
      </c>
      <c r="O72" s="25">
        <v>401</v>
      </c>
      <c r="P72" s="25">
        <v>0</v>
      </c>
      <c r="Q72" s="42" t="s">
        <v>254</v>
      </c>
      <c r="R72" s="41">
        <v>45309</v>
      </c>
      <c r="S72" s="25">
        <v>68</v>
      </c>
      <c r="T72" s="10">
        <v>0</v>
      </c>
    </row>
    <row r="73" s="35" customFormat="1" ht="18.5" customHeight="1" spans="1:20">
      <c r="A73" s="16" t="s">
        <v>251</v>
      </c>
      <c r="B73" s="41">
        <v>44420</v>
      </c>
      <c r="C73" s="25">
        <v>9</v>
      </c>
      <c r="D73" s="25"/>
      <c r="E73" s="42" t="s">
        <v>251</v>
      </c>
      <c r="F73" s="41">
        <v>44478</v>
      </c>
      <c r="G73" s="25">
        <v>397</v>
      </c>
      <c r="H73" s="25">
        <v>0</v>
      </c>
      <c r="I73" s="42" t="s">
        <v>252</v>
      </c>
      <c r="J73" s="41">
        <v>44885</v>
      </c>
      <c r="K73" s="25">
        <v>252</v>
      </c>
      <c r="L73" s="25">
        <v>0</v>
      </c>
      <c r="M73" s="42" t="s">
        <v>253</v>
      </c>
      <c r="N73" s="41">
        <v>44999</v>
      </c>
      <c r="O73" s="25">
        <v>395</v>
      </c>
      <c r="P73" s="25">
        <v>0</v>
      </c>
      <c r="Q73" s="42" t="s">
        <v>254</v>
      </c>
      <c r="R73" s="41">
        <v>45307</v>
      </c>
      <c r="S73" s="25">
        <v>68</v>
      </c>
      <c r="T73" s="10">
        <v>0</v>
      </c>
    </row>
    <row r="74" s="35" customFormat="1" ht="18.5" customHeight="1" spans="1:20">
      <c r="A74" s="16" t="s">
        <v>251</v>
      </c>
      <c r="B74" s="41">
        <v>44442</v>
      </c>
      <c r="C74" s="25">
        <v>10</v>
      </c>
      <c r="D74" s="25"/>
      <c r="E74" s="42" t="s">
        <v>251</v>
      </c>
      <c r="F74" s="41">
        <v>44446</v>
      </c>
      <c r="G74" s="25">
        <v>366</v>
      </c>
      <c r="H74" s="25">
        <v>0</v>
      </c>
      <c r="I74" s="42" t="s">
        <v>252</v>
      </c>
      <c r="J74" s="41">
        <v>44753</v>
      </c>
      <c r="K74" s="25">
        <v>245</v>
      </c>
      <c r="L74" s="25">
        <v>0</v>
      </c>
      <c r="M74" s="42" t="s">
        <v>253</v>
      </c>
      <c r="N74" s="41">
        <v>44946</v>
      </c>
      <c r="O74" s="25">
        <v>370</v>
      </c>
      <c r="P74" s="25">
        <v>0</v>
      </c>
      <c r="Q74" s="42" t="s">
        <v>254</v>
      </c>
      <c r="R74" s="41">
        <v>45307</v>
      </c>
      <c r="S74" s="25">
        <v>68</v>
      </c>
      <c r="T74" s="10">
        <v>0</v>
      </c>
    </row>
    <row r="75" s="35" customFormat="1" ht="18.5" customHeight="1" spans="1:20">
      <c r="A75" s="16" t="s">
        <v>251</v>
      </c>
      <c r="B75" s="41">
        <v>45294</v>
      </c>
      <c r="C75" s="25">
        <v>16</v>
      </c>
      <c r="D75" s="25"/>
      <c r="E75" s="42" t="s">
        <v>251</v>
      </c>
      <c r="F75" s="41">
        <v>44555</v>
      </c>
      <c r="G75" s="25">
        <v>346</v>
      </c>
      <c r="H75" s="25">
        <v>0</v>
      </c>
      <c r="I75" s="42" t="s">
        <v>252</v>
      </c>
      <c r="J75" s="41">
        <v>44852</v>
      </c>
      <c r="K75" s="25">
        <v>236</v>
      </c>
      <c r="L75" s="25">
        <v>0</v>
      </c>
      <c r="M75" s="42" t="s">
        <v>253</v>
      </c>
      <c r="N75" s="41">
        <v>45050</v>
      </c>
      <c r="O75" s="25">
        <v>2034</v>
      </c>
      <c r="P75" s="25">
        <v>0</v>
      </c>
      <c r="Q75" s="42" t="s">
        <v>254</v>
      </c>
      <c r="R75" s="41">
        <v>45308</v>
      </c>
      <c r="S75" s="25">
        <v>69</v>
      </c>
      <c r="T75" s="10">
        <v>0</v>
      </c>
    </row>
    <row r="76" s="35" customFormat="1" ht="18.5" customHeight="1" spans="1:20">
      <c r="A76" s="16" t="s">
        <v>251</v>
      </c>
      <c r="B76" s="41">
        <v>45275</v>
      </c>
      <c r="C76" s="25">
        <v>9</v>
      </c>
      <c r="D76" s="25"/>
      <c r="E76" s="42" t="s">
        <v>251</v>
      </c>
      <c r="F76" s="41">
        <v>44441</v>
      </c>
      <c r="G76" s="25">
        <v>340</v>
      </c>
      <c r="H76" s="25">
        <v>0</v>
      </c>
      <c r="I76" s="42" t="s">
        <v>252</v>
      </c>
      <c r="J76" s="41">
        <v>44834</v>
      </c>
      <c r="K76" s="25">
        <v>235</v>
      </c>
      <c r="L76" s="25">
        <v>0</v>
      </c>
      <c r="M76" s="42" t="s">
        <v>253</v>
      </c>
      <c r="N76" s="41">
        <v>45020</v>
      </c>
      <c r="O76" s="25">
        <v>359</v>
      </c>
      <c r="P76" s="25">
        <v>0</v>
      </c>
      <c r="Q76" s="42" t="s">
        <v>254</v>
      </c>
      <c r="R76" s="41">
        <v>45310</v>
      </c>
      <c r="S76" s="25">
        <v>67</v>
      </c>
      <c r="T76" s="10">
        <v>0</v>
      </c>
    </row>
    <row r="77" s="35" customFormat="1" ht="18.5" customHeight="1" spans="1:20">
      <c r="A77" s="16" t="s">
        <v>251</v>
      </c>
      <c r="B77" s="41">
        <v>44827</v>
      </c>
      <c r="C77" s="25">
        <v>15</v>
      </c>
      <c r="D77" s="25"/>
      <c r="E77" s="42" t="s">
        <v>251</v>
      </c>
      <c r="F77" s="41">
        <v>44545</v>
      </c>
      <c r="G77" s="25">
        <v>332</v>
      </c>
      <c r="H77" s="25">
        <v>0</v>
      </c>
      <c r="I77" s="42" t="s">
        <v>252</v>
      </c>
      <c r="J77" s="41">
        <v>44792</v>
      </c>
      <c r="K77" s="25">
        <v>224</v>
      </c>
      <c r="L77" s="25">
        <v>0</v>
      </c>
      <c r="M77" s="42" t="s">
        <v>253</v>
      </c>
      <c r="N77" s="41">
        <v>44931</v>
      </c>
      <c r="O77" s="25">
        <v>1915</v>
      </c>
      <c r="P77" s="25">
        <v>0</v>
      </c>
      <c r="Q77" s="42" t="s">
        <v>254</v>
      </c>
      <c r="R77" s="41">
        <v>45303</v>
      </c>
      <c r="S77" s="25">
        <v>65</v>
      </c>
      <c r="T77" s="10">
        <v>0</v>
      </c>
    </row>
    <row r="78" s="35" customFormat="1" ht="18.5" customHeight="1" spans="1:20">
      <c r="A78" s="16" t="s">
        <v>251</v>
      </c>
      <c r="B78" s="41">
        <v>45294</v>
      </c>
      <c r="C78" s="25">
        <v>24</v>
      </c>
      <c r="D78" s="25"/>
      <c r="E78" s="42" t="s">
        <v>251</v>
      </c>
      <c r="F78" s="41">
        <v>44464</v>
      </c>
      <c r="G78" s="25">
        <v>314</v>
      </c>
      <c r="H78" s="25">
        <v>0</v>
      </c>
      <c r="I78" s="42" t="s">
        <v>252</v>
      </c>
      <c r="J78" s="41">
        <v>44683</v>
      </c>
      <c r="K78" s="25">
        <v>221</v>
      </c>
      <c r="L78" s="25">
        <v>0</v>
      </c>
      <c r="M78" s="42" t="s">
        <v>253</v>
      </c>
      <c r="N78" s="41">
        <v>45240</v>
      </c>
      <c r="O78" s="25">
        <v>328</v>
      </c>
      <c r="P78" s="25">
        <v>0</v>
      </c>
      <c r="Q78" s="42" t="s">
        <v>254</v>
      </c>
      <c r="R78" s="41">
        <v>45305</v>
      </c>
      <c r="S78" s="25">
        <v>61</v>
      </c>
      <c r="T78" s="10">
        <v>0</v>
      </c>
    </row>
    <row r="79" s="35" customFormat="1" ht="18.5" customHeight="1" spans="1:20">
      <c r="A79" s="16" t="s">
        <v>251</v>
      </c>
      <c r="B79" s="41">
        <v>44442</v>
      </c>
      <c r="C79" s="25">
        <v>9</v>
      </c>
      <c r="D79" s="25"/>
      <c r="E79" s="42" t="s">
        <v>251</v>
      </c>
      <c r="F79" s="41">
        <v>44452</v>
      </c>
      <c r="G79" s="25">
        <v>305</v>
      </c>
      <c r="H79" s="25">
        <v>0</v>
      </c>
      <c r="I79" s="42" t="s">
        <v>252</v>
      </c>
      <c r="J79" s="41">
        <v>44914</v>
      </c>
      <c r="K79" s="25">
        <v>216</v>
      </c>
      <c r="L79" s="25">
        <v>0</v>
      </c>
      <c r="M79" s="42" t="s">
        <v>253</v>
      </c>
      <c r="N79" s="41">
        <v>44947</v>
      </c>
      <c r="O79" s="25">
        <v>315</v>
      </c>
      <c r="P79" s="25">
        <v>0</v>
      </c>
      <c r="Q79" s="42" t="s">
        <v>254</v>
      </c>
      <c r="R79" s="41">
        <v>45309</v>
      </c>
      <c r="S79" s="25">
        <v>60</v>
      </c>
      <c r="T79" s="10">
        <v>0</v>
      </c>
    </row>
    <row r="80" s="35" customFormat="1" ht="18.5" customHeight="1" spans="1:20">
      <c r="A80" s="16" t="s">
        <v>251</v>
      </c>
      <c r="B80" s="41">
        <v>45130</v>
      </c>
      <c r="C80" s="25">
        <v>10</v>
      </c>
      <c r="D80" s="25"/>
      <c r="E80" s="42" t="s">
        <v>251</v>
      </c>
      <c r="F80" s="41">
        <v>44478</v>
      </c>
      <c r="G80" s="25">
        <v>288</v>
      </c>
      <c r="H80" s="25">
        <v>0</v>
      </c>
      <c r="I80" s="42" t="s">
        <v>252</v>
      </c>
      <c r="J80" s="41">
        <v>44924</v>
      </c>
      <c r="K80" s="25">
        <v>213</v>
      </c>
      <c r="L80" s="25">
        <v>0</v>
      </c>
      <c r="M80" s="42" t="s">
        <v>253</v>
      </c>
      <c r="N80" s="41">
        <v>45007</v>
      </c>
      <c r="O80" s="25">
        <v>1685</v>
      </c>
      <c r="P80" s="25">
        <v>0</v>
      </c>
      <c r="Q80" s="42" t="s">
        <v>254</v>
      </c>
      <c r="R80" s="41">
        <v>45310</v>
      </c>
      <c r="S80" s="25">
        <v>63</v>
      </c>
      <c r="T80" s="10">
        <v>0</v>
      </c>
    </row>
    <row r="81" s="35" customFormat="1" ht="18.5" customHeight="1" spans="1:20">
      <c r="A81" s="16" t="s">
        <v>251</v>
      </c>
      <c r="B81" s="41">
        <v>44960</v>
      </c>
      <c r="C81" s="25">
        <v>10</v>
      </c>
      <c r="D81" s="25"/>
      <c r="E81" s="42" t="s">
        <v>251</v>
      </c>
      <c r="F81" s="41">
        <v>44529</v>
      </c>
      <c r="G81" s="25">
        <v>275</v>
      </c>
      <c r="H81" s="25">
        <v>0</v>
      </c>
      <c r="I81" s="42" t="s">
        <v>252</v>
      </c>
      <c r="J81" s="41">
        <v>44663</v>
      </c>
      <c r="K81" s="25">
        <v>209</v>
      </c>
      <c r="L81" s="25">
        <v>0</v>
      </c>
      <c r="M81" s="42" t="s">
        <v>253</v>
      </c>
      <c r="N81" s="41">
        <v>45038</v>
      </c>
      <c r="O81" s="25">
        <v>273</v>
      </c>
      <c r="P81" s="25">
        <v>0</v>
      </c>
      <c r="Q81" s="42" t="s">
        <v>254</v>
      </c>
      <c r="R81" s="41">
        <v>45308</v>
      </c>
      <c r="S81" s="25">
        <v>55</v>
      </c>
      <c r="T81" s="10">
        <v>0</v>
      </c>
    </row>
    <row r="82" s="35" customFormat="1" ht="18.5" customHeight="1" spans="1:20">
      <c r="A82" s="16" t="s">
        <v>251</v>
      </c>
      <c r="B82" s="41">
        <v>45294</v>
      </c>
      <c r="C82" s="25">
        <v>19</v>
      </c>
      <c r="D82" s="25"/>
      <c r="E82" s="42" t="s">
        <v>251</v>
      </c>
      <c r="F82" s="41">
        <v>44517</v>
      </c>
      <c r="G82" s="25">
        <v>262</v>
      </c>
      <c r="H82" s="25">
        <v>0</v>
      </c>
      <c r="I82" s="42" t="s">
        <v>252</v>
      </c>
      <c r="J82" s="41">
        <v>44815</v>
      </c>
      <c r="K82" s="25">
        <v>203</v>
      </c>
      <c r="L82" s="25">
        <v>0</v>
      </c>
      <c r="M82" s="42" t="s">
        <v>253</v>
      </c>
      <c r="N82" s="41">
        <v>44939</v>
      </c>
      <c r="O82" s="25">
        <v>263</v>
      </c>
      <c r="P82" s="25">
        <v>0</v>
      </c>
      <c r="Q82" s="42" t="s">
        <v>254</v>
      </c>
      <c r="R82" s="41">
        <v>45310</v>
      </c>
      <c r="S82" s="25">
        <v>57</v>
      </c>
      <c r="T82" s="10">
        <v>0</v>
      </c>
    </row>
    <row r="83" s="35" customFormat="1" ht="18.5" customHeight="1" spans="1:20">
      <c r="A83" s="16" t="s">
        <v>251</v>
      </c>
      <c r="B83" s="41">
        <v>45294</v>
      </c>
      <c r="C83" s="25">
        <v>10</v>
      </c>
      <c r="D83" s="25"/>
      <c r="E83" s="42" t="s">
        <v>251</v>
      </c>
      <c r="F83" s="41">
        <v>44473</v>
      </c>
      <c r="G83" s="25">
        <v>257</v>
      </c>
      <c r="H83" s="25">
        <v>0</v>
      </c>
      <c r="I83" s="42" t="s">
        <v>252</v>
      </c>
      <c r="J83" s="41">
        <v>44795</v>
      </c>
      <c r="K83" s="25">
        <v>1131</v>
      </c>
      <c r="L83" s="25">
        <v>0</v>
      </c>
      <c r="M83" s="42" t="s">
        <v>253</v>
      </c>
      <c r="N83" s="41">
        <v>45230</v>
      </c>
      <c r="O83" s="25">
        <v>1462</v>
      </c>
      <c r="P83" s="25">
        <v>0</v>
      </c>
      <c r="Q83" s="42" t="s">
        <v>254</v>
      </c>
      <c r="R83" s="41">
        <v>45310</v>
      </c>
      <c r="S83" s="25">
        <v>54</v>
      </c>
      <c r="T83" s="10">
        <v>0</v>
      </c>
    </row>
    <row r="84" s="35" customFormat="1" ht="18.5" customHeight="1" spans="1:20">
      <c r="A84" s="16" t="s">
        <v>251</v>
      </c>
      <c r="B84" s="41">
        <v>44906</v>
      </c>
      <c r="C84" s="25">
        <v>18</v>
      </c>
      <c r="D84" s="25"/>
      <c r="E84" s="42" t="s">
        <v>251</v>
      </c>
      <c r="F84" s="41">
        <v>44468</v>
      </c>
      <c r="G84" s="25">
        <v>253</v>
      </c>
      <c r="H84" s="25">
        <v>0</v>
      </c>
      <c r="I84" s="42" t="s">
        <v>252</v>
      </c>
      <c r="J84" s="41">
        <v>44582</v>
      </c>
      <c r="K84" s="25">
        <v>197</v>
      </c>
      <c r="L84" s="25">
        <v>0</v>
      </c>
      <c r="M84" s="42" t="s">
        <v>253</v>
      </c>
      <c r="N84" s="41">
        <v>45036</v>
      </c>
      <c r="O84" s="25">
        <v>1363</v>
      </c>
      <c r="P84" s="25">
        <v>0</v>
      </c>
      <c r="Q84" s="42" t="s">
        <v>254</v>
      </c>
      <c r="R84" s="41">
        <v>45309</v>
      </c>
      <c r="S84" s="25">
        <v>53</v>
      </c>
      <c r="T84" s="10">
        <v>0</v>
      </c>
    </row>
    <row r="85" s="35" customFormat="1" ht="18.5" customHeight="1" spans="1:20">
      <c r="A85" s="16" t="s">
        <v>251</v>
      </c>
      <c r="B85" s="41">
        <v>44398</v>
      </c>
      <c r="C85" s="25">
        <v>10</v>
      </c>
      <c r="D85" s="25"/>
      <c r="E85" s="42" t="s">
        <v>251</v>
      </c>
      <c r="F85" s="41">
        <v>44461</v>
      </c>
      <c r="G85" s="25">
        <v>250</v>
      </c>
      <c r="H85" s="25">
        <v>0</v>
      </c>
      <c r="I85" s="42" t="s">
        <v>252</v>
      </c>
      <c r="J85" s="41">
        <v>44606</v>
      </c>
      <c r="K85" s="25">
        <v>194</v>
      </c>
      <c r="L85" s="25">
        <v>0</v>
      </c>
      <c r="M85" s="42" t="s">
        <v>253</v>
      </c>
      <c r="N85" s="41">
        <v>45060</v>
      </c>
      <c r="O85" s="25">
        <v>1356</v>
      </c>
      <c r="P85" s="25">
        <v>0</v>
      </c>
      <c r="Q85" s="42" t="s">
        <v>254</v>
      </c>
      <c r="R85" s="41">
        <v>45309</v>
      </c>
      <c r="S85" s="25">
        <v>53</v>
      </c>
      <c r="T85" s="10">
        <v>0</v>
      </c>
    </row>
    <row r="86" s="35" customFormat="1" ht="18.5" customHeight="1" spans="1:20">
      <c r="A86" s="16" t="s">
        <v>251</v>
      </c>
      <c r="B86" s="41">
        <v>45129</v>
      </c>
      <c r="C86" s="25">
        <v>14</v>
      </c>
      <c r="D86" s="25"/>
      <c r="E86" s="42" t="s">
        <v>251</v>
      </c>
      <c r="F86" s="41">
        <v>44453</v>
      </c>
      <c r="G86" s="25">
        <v>249</v>
      </c>
      <c r="H86" s="25">
        <v>0</v>
      </c>
      <c r="I86" s="42" t="s">
        <v>252</v>
      </c>
      <c r="J86" s="41">
        <v>44916</v>
      </c>
      <c r="K86" s="25">
        <v>192</v>
      </c>
      <c r="L86" s="25">
        <v>0</v>
      </c>
      <c r="M86" s="42" t="s">
        <v>253</v>
      </c>
      <c r="N86" s="41">
        <v>44966</v>
      </c>
      <c r="O86" s="25">
        <v>1343</v>
      </c>
      <c r="P86" s="25">
        <v>0</v>
      </c>
      <c r="Q86" s="42" t="s">
        <v>254</v>
      </c>
      <c r="R86" s="41">
        <v>45310</v>
      </c>
      <c r="S86" s="25">
        <v>55</v>
      </c>
      <c r="T86" s="10">
        <v>0</v>
      </c>
    </row>
    <row r="87" s="35" customFormat="1" ht="18.5" customHeight="1" spans="1:20">
      <c r="A87" s="16" t="s">
        <v>251</v>
      </c>
      <c r="B87" s="41">
        <v>45128</v>
      </c>
      <c r="C87" s="25">
        <v>9</v>
      </c>
      <c r="D87" s="25"/>
      <c r="E87" s="42" t="s">
        <v>251</v>
      </c>
      <c r="F87" s="41">
        <v>44452</v>
      </c>
      <c r="G87" s="25">
        <v>247</v>
      </c>
      <c r="H87" s="25">
        <v>0</v>
      </c>
      <c r="I87" s="42" t="s">
        <v>252</v>
      </c>
      <c r="J87" s="41">
        <v>44727</v>
      </c>
      <c r="K87" s="25">
        <v>1076</v>
      </c>
      <c r="L87" s="25">
        <v>0</v>
      </c>
      <c r="M87" s="42" t="s">
        <v>253</v>
      </c>
      <c r="N87" s="41">
        <v>45241</v>
      </c>
      <c r="O87" s="25">
        <v>201</v>
      </c>
      <c r="P87" s="25">
        <v>0</v>
      </c>
      <c r="Q87" s="42" t="s">
        <v>254</v>
      </c>
      <c r="R87" s="41">
        <v>45308</v>
      </c>
      <c r="S87" s="25">
        <v>52</v>
      </c>
      <c r="T87" s="10">
        <v>0</v>
      </c>
    </row>
    <row r="88" s="35" customFormat="1" ht="18.5" customHeight="1" spans="1:20">
      <c r="A88" s="16" t="s">
        <v>251</v>
      </c>
      <c r="B88" s="41">
        <v>44978</v>
      </c>
      <c r="C88" s="25">
        <v>15</v>
      </c>
      <c r="D88" s="25"/>
      <c r="E88" s="42" t="s">
        <v>251</v>
      </c>
      <c r="F88" s="41">
        <v>44468</v>
      </c>
      <c r="G88" s="25">
        <v>245</v>
      </c>
      <c r="H88" s="25">
        <v>0</v>
      </c>
      <c r="I88" s="42" t="s">
        <v>252</v>
      </c>
      <c r="J88" s="41">
        <v>44922</v>
      </c>
      <c r="K88" s="25">
        <v>187</v>
      </c>
      <c r="L88" s="25">
        <v>0</v>
      </c>
      <c r="M88" s="42" t="s">
        <v>253</v>
      </c>
      <c r="N88" s="41">
        <v>45096</v>
      </c>
      <c r="O88" s="25">
        <v>1088</v>
      </c>
      <c r="P88" s="25">
        <v>0</v>
      </c>
      <c r="Q88" s="42" t="s">
        <v>254</v>
      </c>
      <c r="R88" s="41">
        <v>45308</v>
      </c>
      <c r="S88" s="25">
        <v>53</v>
      </c>
      <c r="T88" s="10">
        <v>0</v>
      </c>
    </row>
    <row r="89" s="35" customFormat="1" ht="18.5" customHeight="1" spans="1:20">
      <c r="A89" s="16" t="s">
        <v>251</v>
      </c>
      <c r="B89" s="41">
        <v>44505</v>
      </c>
      <c r="C89" s="25">
        <v>2</v>
      </c>
      <c r="D89" s="25"/>
      <c r="E89" s="42" t="s">
        <v>251</v>
      </c>
      <c r="F89" s="41">
        <v>44556</v>
      </c>
      <c r="G89" s="25">
        <v>235</v>
      </c>
      <c r="H89" s="25">
        <v>0</v>
      </c>
      <c r="I89" s="42" t="s">
        <v>252</v>
      </c>
      <c r="J89" s="41">
        <v>44925</v>
      </c>
      <c r="K89" s="25">
        <v>174</v>
      </c>
      <c r="L89" s="25">
        <v>0</v>
      </c>
      <c r="M89" s="42" t="s">
        <v>253</v>
      </c>
      <c r="N89" s="41">
        <v>44993</v>
      </c>
      <c r="O89" s="25">
        <v>1086</v>
      </c>
      <c r="P89" s="25">
        <v>0</v>
      </c>
      <c r="Q89" s="42" t="s">
        <v>254</v>
      </c>
      <c r="R89" s="41">
        <v>45307</v>
      </c>
      <c r="S89" s="25">
        <v>52</v>
      </c>
      <c r="T89" s="10">
        <v>0</v>
      </c>
    </row>
    <row r="90" s="35" customFormat="1" ht="18.5" customHeight="1" spans="1:20">
      <c r="A90" s="16" t="s">
        <v>251</v>
      </c>
      <c r="B90" s="41">
        <v>45294</v>
      </c>
      <c r="C90" s="25">
        <v>9</v>
      </c>
      <c r="D90" s="25"/>
      <c r="E90" s="42" t="s">
        <v>251</v>
      </c>
      <c r="F90" s="41">
        <v>44445</v>
      </c>
      <c r="G90" s="25">
        <v>219</v>
      </c>
      <c r="H90" s="25">
        <v>0</v>
      </c>
      <c r="I90" s="42" t="s">
        <v>252</v>
      </c>
      <c r="J90" s="41">
        <v>44924</v>
      </c>
      <c r="K90" s="25">
        <v>975</v>
      </c>
      <c r="L90" s="25">
        <v>0</v>
      </c>
      <c r="M90" s="42" t="s">
        <v>253</v>
      </c>
      <c r="N90" s="41">
        <v>45049</v>
      </c>
      <c r="O90" s="25">
        <v>966</v>
      </c>
      <c r="P90" s="25">
        <v>0</v>
      </c>
      <c r="Q90" s="42" t="s">
        <v>254</v>
      </c>
      <c r="R90" s="41">
        <v>45310</v>
      </c>
      <c r="S90" s="25">
        <v>50</v>
      </c>
      <c r="T90" s="10">
        <v>0</v>
      </c>
    </row>
    <row r="91" s="35" customFormat="1" ht="18.5" customHeight="1" spans="1:20">
      <c r="A91" s="16" t="s">
        <v>251</v>
      </c>
      <c r="B91" s="41">
        <v>45279</v>
      </c>
      <c r="C91" s="25">
        <v>9</v>
      </c>
      <c r="D91" s="25"/>
      <c r="E91" s="42" t="s">
        <v>251</v>
      </c>
      <c r="F91" s="41">
        <v>44407</v>
      </c>
      <c r="G91" s="25">
        <v>217</v>
      </c>
      <c r="H91" s="25">
        <v>0</v>
      </c>
      <c r="I91" s="42" t="s">
        <v>252</v>
      </c>
      <c r="J91" s="41">
        <v>44756</v>
      </c>
      <c r="K91" s="25">
        <v>173</v>
      </c>
      <c r="L91" s="25">
        <v>0</v>
      </c>
      <c r="M91" s="42" t="s">
        <v>253</v>
      </c>
      <c r="N91" s="41">
        <v>45065</v>
      </c>
      <c r="O91" s="25">
        <v>916</v>
      </c>
      <c r="P91" s="25">
        <v>0</v>
      </c>
      <c r="Q91" s="42" t="s">
        <v>254</v>
      </c>
      <c r="R91" s="41">
        <v>45310</v>
      </c>
      <c r="S91" s="25">
        <v>51</v>
      </c>
      <c r="T91" s="10">
        <v>0</v>
      </c>
    </row>
    <row r="92" s="35" customFormat="1" ht="18.5" customHeight="1" spans="1:20">
      <c r="A92" s="16" t="s">
        <v>251</v>
      </c>
      <c r="B92" s="41">
        <v>45295</v>
      </c>
      <c r="C92" s="25">
        <v>13</v>
      </c>
      <c r="D92" s="25"/>
      <c r="E92" s="42" t="s">
        <v>251</v>
      </c>
      <c r="F92" s="41">
        <v>44446</v>
      </c>
      <c r="G92" s="25">
        <v>215</v>
      </c>
      <c r="H92" s="25">
        <v>0</v>
      </c>
      <c r="I92" s="42" t="s">
        <v>252</v>
      </c>
      <c r="J92" s="41">
        <v>44842</v>
      </c>
      <c r="K92" s="25">
        <v>919</v>
      </c>
      <c r="L92" s="25">
        <v>0</v>
      </c>
      <c r="M92" s="42" t="s">
        <v>253</v>
      </c>
      <c r="N92" s="41">
        <v>45152</v>
      </c>
      <c r="O92" s="25">
        <v>5090</v>
      </c>
      <c r="P92" s="25">
        <v>0</v>
      </c>
      <c r="Q92" s="42" t="s">
        <v>254</v>
      </c>
      <c r="R92" s="41">
        <v>45310</v>
      </c>
      <c r="S92" s="25">
        <v>46</v>
      </c>
      <c r="T92" s="10">
        <v>0</v>
      </c>
    </row>
    <row r="93" s="35" customFormat="1" ht="18.5" customHeight="1" spans="1:20">
      <c r="A93" s="16" t="s">
        <v>251</v>
      </c>
      <c r="B93" s="41">
        <v>44443</v>
      </c>
      <c r="C93" s="25">
        <v>14</v>
      </c>
      <c r="D93" s="25"/>
      <c r="E93" s="42" t="s">
        <v>251</v>
      </c>
      <c r="F93" s="41">
        <v>44433</v>
      </c>
      <c r="G93" s="25">
        <v>213</v>
      </c>
      <c r="H93" s="25">
        <v>0</v>
      </c>
      <c r="I93" s="42" t="s">
        <v>252</v>
      </c>
      <c r="J93" s="41">
        <v>44856</v>
      </c>
      <c r="K93" s="25">
        <v>862</v>
      </c>
      <c r="L93" s="25">
        <v>0</v>
      </c>
      <c r="M93" s="42" t="s">
        <v>253</v>
      </c>
      <c r="N93" s="41">
        <v>45036</v>
      </c>
      <c r="O93" s="25">
        <v>839</v>
      </c>
      <c r="P93" s="25">
        <v>0</v>
      </c>
      <c r="Q93" s="42" t="s">
        <v>254</v>
      </c>
      <c r="R93" s="41">
        <v>45307</v>
      </c>
      <c r="S93" s="25">
        <v>44</v>
      </c>
      <c r="T93" s="10">
        <v>0</v>
      </c>
    </row>
    <row r="94" s="35" customFormat="1" ht="18.5" customHeight="1" spans="1:20">
      <c r="A94" s="16" t="s">
        <v>251</v>
      </c>
      <c r="B94" s="41">
        <v>44585</v>
      </c>
      <c r="C94" s="25">
        <v>10</v>
      </c>
      <c r="D94" s="25"/>
      <c r="E94" s="42" t="s">
        <v>251</v>
      </c>
      <c r="F94" s="41">
        <v>44419</v>
      </c>
      <c r="G94" s="25">
        <v>209</v>
      </c>
      <c r="H94" s="25">
        <v>0</v>
      </c>
      <c r="I94" s="42" t="s">
        <v>252</v>
      </c>
      <c r="J94" s="41">
        <v>44871</v>
      </c>
      <c r="K94" s="25">
        <v>750</v>
      </c>
      <c r="L94" s="25">
        <v>0</v>
      </c>
      <c r="M94" s="42" t="s">
        <v>253</v>
      </c>
      <c r="N94" s="41">
        <v>45104</v>
      </c>
      <c r="O94" s="25">
        <v>770</v>
      </c>
      <c r="P94" s="25">
        <v>0</v>
      </c>
      <c r="Q94" s="42" t="s">
        <v>254</v>
      </c>
      <c r="R94" s="41">
        <v>45310</v>
      </c>
      <c r="S94" s="25">
        <v>48</v>
      </c>
      <c r="T94" s="10">
        <v>0</v>
      </c>
    </row>
    <row r="95" s="35" customFormat="1" ht="18.5" customHeight="1" spans="1:20">
      <c r="A95" s="16" t="s">
        <v>251</v>
      </c>
      <c r="B95" s="41">
        <v>45294</v>
      </c>
      <c r="C95" s="25">
        <v>15</v>
      </c>
      <c r="D95" s="25"/>
      <c r="E95" s="42" t="s">
        <v>251</v>
      </c>
      <c r="F95" s="41">
        <v>44455</v>
      </c>
      <c r="G95" s="25">
        <v>204</v>
      </c>
      <c r="H95" s="25">
        <v>0</v>
      </c>
      <c r="I95" s="42" t="s">
        <v>252</v>
      </c>
      <c r="J95" s="41">
        <v>44719</v>
      </c>
      <c r="K95" s="25">
        <v>719</v>
      </c>
      <c r="L95" s="25">
        <v>0</v>
      </c>
      <c r="M95" s="42" t="s">
        <v>253</v>
      </c>
      <c r="N95" s="41">
        <v>45245</v>
      </c>
      <c r="O95" s="25">
        <v>134</v>
      </c>
      <c r="P95" s="25">
        <v>0</v>
      </c>
      <c r="Q95" s="42" t="s">
        <v>254</v>
      </c>
      <c r="R95" s="41">
        <v>45310</v>
      </c>
      <c r="S95" s="25">
        <v>41</v>
      </c>
      <c r="T95" s="10">
        <v>0</v>
      </c>
    </row>
    <row r="96" s="35" customFormat="1" ht="18.5" customHeight="1" spans="1:20">
      <c r="A96" s="16" t="s">
        <v>251</v>
      </c>
      <c r="B96" s="41">
        <v>44923</v>
      </c>
      <c r="C96" s="25">
        <v>11</v>
      </c>
      <c r="D96" s="25"/>
      <c r="E96" s="42" t="s">
        <v>251</v>
      </c>
      <c r="F96" s="41">
        <v>44380</v>
      </c>
      <c r="G96" s="25">
        <v>180</v>
      </c>
      <c r="H96" s="25">
        <v>0</v>
      </c>
      <c r="I96" s="42" t="s">
        <v>252</v>
      </c>
      <c r="J96" s="41">
        <v>44719</v>
      </c>
      <c r="K96" s="25">
        <v>700</v>
      </c>
      <c r="L96" s="25">
        <v>0</v>
      </c>
      <c r="M96" s="42" t="s">
        <v>253</v>
      </c>
      <c r="N96" s="41">
        <v>45042</v>
      </c>
      <c r="O96" s="25">
        <v>732</v>
      </c>
      <c r="P96" s="25">
        <v>0</v>
      </c>
      <c r="Q96" s="42" t="s">
        <v>254</v>
      </c>
      <c r="R96" s="41">
        <v>45307</v>
      </c>
      <c r="S96" s="25">
        <v>170</v>
      </c>
      <c r="T96" s="10">
        <v>0</v>
      </c>
    </row>
    <row r="97" s="35" customFormat="1" ht="18.5" customHeight="1" spans="1:20">
      <c r="A97" s="16" t="s">
        <v>251</v>
      </c>
      <c r="B97" s="41">
        <v>44392</v>
      </c>
      <c r="C97" s="25">
        <v>11</v>
      </c>
      <c r="D97" s="25"/>
      <c r="E97" s="42" t="s">
        <v>251</v>
      </c>
      <c r="F97" s="41">
        <v>44448</v>
      </c>
      <c r="G97" s="25">
        <v>179</v>
      </c>
      <c r="H97" s="25">
        <v>0</v>
      </c>
      <c r="I97" s="42" t="s">
        <v>252</v>
      </c>
      <c r="J97" s="41">
        <v>44777</v>
      </c>
      <c r="K97" s="25">
        <v>692</v>
      </c>
      <c r="L97" s="25">
        <v>0</v>
      </c>
      <c r="M97" s="42" t="s">
        <v>253</v>
      </c>
      <c r="N97" s="41">
        <v>45265</v>
      </c>
      <c r="O97" s="25">
        <v>723</v>
      </c>
      <c r="P97" s="25">
        <v>0</v>
      </c>
      <c r="Q97" s="42" t="s">
        <v>254</v>
      </c>
      <c r="R97" s="41">
        <v>45309</v>
      </c>
      <c r="S97" s="25">
        <v>92</v>
      </c>
      <c r="T97" s="10">
        <v>0</v>
      </c>
    </row>
    <row r="98" s="35" customFormat="1" ht="18.5" customHeight="1" spans="1:20">
      <c r="A98" s="16" t="s">
        <v>251</v>
      </c>
      <c r="B98" s="41">
        <v>44354</v>
      </c>
      <c r="C98" s="25">
        <v>10</v>
      </c>
      <c r="D98" s="25"/>
      <c r="E98" s="42" t="s">
        <v>251</v>
      </c>
      <c r="F98" s="41">
        <v>44532</v>
      </c>
      <c r="G98" s="25">
        <v>178</v>
      </c>
      <c r="H98" s="25">
        <v>0</v>
      </c>
      <c r="I98" s="42" t="s">
        <v>252</v>
      </c>
      <c r="J98" s="41">
        <v>44865</v>
      </c>
      <c r="K98" s="25">
        <v>684</v>
      </c>
      <c r="L98" s="25">
        <v>0</v>
      </c>
      <c r="M98" s="42" t="s">
        <v>253</v>
      </c>
      <c r="N98" s="41">
        <v>45097</v>
      </c>
      <c r="O98" s="25">
        <v>706</v>
      </c>
      <c r="P98" s="25">
        <v>0</v>
      </c>
      <c r="Q98" s="42" t="s">
        <v>254</v>
      </c>
      <c r="R98" s="41">
        <v>45304</v>
      </c>
      <c r="S98" s="25">
        <v>200</v>
      </c>
      <c r="T98" s="10">
        <v>0</v>
      </c>
    </row>
    <row r="99" s="35" customFormat="1" ht="18.5" customHeight="1" spans="1:20">
      <c r="A99" s="16" t="s">
        <v>251</v>
      </c>
      <c r="B99" s="41">
        <v>45277</v>
      </c>
      <c r="C99" s="25">
        <v>13</v>
      </c>
      <c r="D99" s="25"/>
      <c r="E99" s="42" t="s">
        <v>251</v>
      </c>
      <c r="F99" s="41">
        <v>44499</v>
      </c>
      <c r="G99" s="25">
        <v>167</v>
      </c>
      <c r="H99" s="25">
        <v>0</v>
      </c>
      <c r="I99" s="42" t="s">
        <v>252</v>
      </c>
      <c r="J99" s="41">
        <v>44922</v>
      </c>
      <c r="K99" s="25">
        <v>651</v>
      </c>
      <c r="L99" s="25">
        <v>0</v>
      </c>
      <c r="M99" s="42" t="s">
        <v>253</v>
      </c>
      <c r="N99" s="41">
        <v>45289</v>
      </c>
      <c r="O99" s="25">
        <v>121</v>
      </c>
      <c r="P99" s="25">
        <v>0</v>
      </c>
      <c r="Q99" s="42" t="s">
        <v>254</v>
      </c>
      <c r="R99" s="41">
        <v>45299</v>
      </c>
      <c r="S99" s="25">
        <v>126</v>
      </c>
      <c r="T99" s="10">
        <v>0</v>
      </c>
    </row>
    <row r="100" s="35" customFormat="1" ht="18.5" customHeight="1" spans="1:20">
      <c r="A100" s="16" t="s">
        <v>251</v>
      </c>
      <c r="B100" s="41">
        <v>45129</v>
      </c>
      <c r="C100" s="25">
        <v>9</v>
      </c>
      <c r="D100" s="25"/>
      <c r="E100" s="42" t="s">
        <v>251</v>
      </c>
      <c r="F100" s="41">
        <v>44432</v>
      </c>
      <c r="G100" s="25">
        <v>167</v>
      </c>
      <c r="H100" s="25">
        <v>0</v>
      </c>
      <c r="I100" s="42" t="s">
        <v>252</v>
      </c>
      <c r="J100" s="41">
        <v>44911</v>
      </c>
      <c r="K100" s="25">
        <v>619</v>
      </c>
      <c r="L100" s="25">
        <v>0</v>
      </c>
      <c r="M100" s="42" t="s">
        <v>253</v>
      </c>
      <c r="N100" s="41">
        <v>44973</v>
      </c>
      <c r="O100" s="25">
        <v>675</v>
      </c>
      <c r="P100" s="25">
        <v>0</v>
      </c>
      <c r="Q100" s="42" t="s">
        <v>254</v>
      </c>
      <c r="R100" s="41">
        <v>45306</v>
      </c>
      <c r="S100" s="25">
        <v>93</v>
      </c>
      <c r="T100" s="10">
        <v>0</v>
      </c>
    </row>
    <row r="101" s="35" customFormat="1" ht="18.5" customHeight="1" spans="1:20">
      <c r="A101" s="16" t="s">
        <v>251</v>
      </c>
      <c r="B101" s="41">
        <v>45129</v>
      </c>
      <c r="C101" s="25">
        <v>9</v>
      </c>
      <c r="D101" s="25"/>
      <c r="E101" s="42" t="s">
        <v>251</v>
      </c>
      <c r="F101" s="41">
        <v>44521</v>
      </c>
      <c r="G101" s="25">
        <v>2685</v>
      </c>
      <c r="H101" s="25">
        <v>0</v>
      </c>
      <c r="I101" s="42" t="s">
        <v>252</v>
      </c>
      <c r="J101" s="41">
        <v>44909</v>
      </c>
      <c r="K101" s="25">
        <v>617</v>
      </c>
      <c r="L101" s="25">
        <v>0</v>
      </c>
      <c r="M101" s="42" t="s">
        <v>253</v>
      </c>
      <c r="N101" s="41">
        <v>45238</v>
      </c>
      <c r="O101" s="25">
        <v>658</v>
      </c>
      <c r="P101" s="25">
        <v>0</v>
      </c>
      <c r="Q101" s="42" t="s">
        <v>254</v>
      </c>
      <c r="R101" s="41">
        <v>45307</v>
      </c>
      <c r="S101" s="25">
        <v>84</v>
      </c>
      <c r="T101" s="10">
        <v>0</v>
      </c>
    </row>
    <row r="102" s="35" customFormat="1" ht="18.5" customHeight="1" spans="1:20">
      <c r="A102" s="16" t="s">
        <v>251</v>
      </c>
      <c r="B102" s="41">
        <v>45285</v>
      </c>
      <c r="C102" s="25">
        <v>4</v>
      </c>
      <c r="D102" s="25"/>
      <c r="E102" s="42" t="s">
        <v>251</v>
      </c>
      <c r="F102" s="41">
        <v>44543</v>
      </c>
      <c r="G102" s="25">
        <v>453</v>
      </c>
      <c r="H102" s="25">
        <v>0</v>
      </c>
      <c r="I102" s="42" t="s">
        <v>252</v>
      </c>
      <c r="J102" s="41">
        <v>44916</v>
      </c>
      <c r="K102" s="25">
        <v>595</v>
      </c>
      <c r="L102" s="25">
        <v>0</v>
      </c>
      <c r="M102" s="42" t="s">
        <v>253</v>
      </c>
      <c r="N102" s="41">
        <v>44975</v>
      </c>
      <c r="O102" s="25">
        <v>627</v>
      </c>
      <c r="P102" s="25">
        <v>0</v>
      </c>
      <c r="Q102" s="42" t="s">
        <v>254</v>
      </c>
      <c r="R102" s="41">
        <v>45299</v>
      </c>
      <c r="S102" s="25">
        <v>73</v>
      </c>
      <c r="T102" s="10">
        <v>0</v>
      </c>
    </row>
    <row r="103" s="35" customFormat="1" ht="18.5" customHeight="1" spans="1:20">
      <c r="A103" s="16" t="s">
        <v>251</v>
      </c>
      <c r="B103" s="41">
        <v>44424</v>
      </c>
      <c r="C103" s="25">
        <v>4</v>
      </c>
      <c r="D103" s="25"/>
      <c r="E103" s="42" t="s">
        <v>251</v>
      </c>
      <c r="F103" s="41">
        <v>44517</v>
      </c>
      <c r="G103" s="25">
        <v>588</v>
      </c>
      <c r="H103" s="25">
        <v>0</v>
      </c>
      <c r="I103" s="42" t="s">
        <v>252</v>
      </c>
      <c r="J103" s="41">
        <v>44853</v>
      </c>
      <c r="K103" s="25">
        <v>588</v>
      </c>
      <c r="L103" s="25">
        <v>0</v>
      </c>
      <c r="M103" s="42" t="s">
        <v>253</v>
      </c>
      <c r="N103" s="41">
        <v>44965</v>
      </c>
      <c r="O103" s="25">
        <v>614</v>
      </c>
      <c r="P103" s="25">
        <v>0</v>
      </c>
      <c r="Q103" s="42" t="s">
        <v>254</v>
      </c>
      <c r="R103" s="41">
        <v>45305</v>
      </c>
      <c r="S103" s="25">
        <v>71</v>
      </c>
      <c r="T103" s="10">
        <v>0</v>
      </c>
    </row>
    <row r="104" s="35" customFormat="1" ht="18.5" customHeight="1" spans="1:20">
      <c r="A104" s="16" t="s">
        <v>251</v>
      </c>
      <c r="B104" s="41">
        <v>44458</v>
      </c>
      <c r="C104" s="25">
        <v>6</v>
      </c>
      <c r="D104" s="25"/>
      <c r="E104" s="42" t="s">
        <v>251</v>
      </c>
      <c r="F104" s="41">
        <v>44329</v>
      </c>
      <c r="G104" s="25">
        <v>928</v>
      </c>
      <c r="H104" s="25">
        <v>0</v>
      </c>
      <c r="I104" s="42" t="s">
        <v>252</v>
      </c>
      <c r="J104" s="41">
        <v>44705</v>
      </c>
      <c r="K104" s="25">
        <v>586</v>
      </c>
      <c r="L104" s="25">
        <v>0</v>
      </c>
      <c r="M104" s="42" t="s">
        <v>253</v>
      </c>
      <c r="N104" s="41">
        <v>45047</v>
      </c>
      <c r="O104" s="25">
        <v>609</v>
      </c>
      <c r="P104" s="25">
        <v>0</v>
      </c>
      <c r="Q104" s="42" t="s">
        <v>254</v>
      </c>
      <c r="R104" s="41">
        <v>45307</v>
      </c>
      <c r="S104" s="25">
        <v>61</v>
      </c>
      <c r="T104" s="10">
        <v>0</v>
      </c>
    </row>
    <row r="105" s="35" customFormat="1" ht="18.5" customHeight="1" spans="1:20">
      <c r="A105" s="16" t="s">
        <v>251</v>
      </c>
      <c r="B105" s="41">
        <v>44489</v>
      </c>
      <c r="C105" s="25">
        <v>0</v>
      </c>
      <c r="D105" s="25"/>
      <c r="E105" s="42" t="s">
        <v>251</v>
      </c>
      <c r="F105" s="41">
        <v>44415</v>
      </c>
      <c r="G105" s="25">
        <v>289</v>
      </c>
      <c r="H105" s="25">
        <v>0</v>
      </c>
      <c r="I105" s="42" t="s">
        <v>252</v>
      </c>
      <c r="J105" s="41">
        <v>44872</v>
      </c>
      <c r="K105" s="25">
        <v>548</v>
      </c>
      <c r="L105" s="25">
        <v>0</v>
      </c>
      <c r="M105" s="42" t="s">
        <v>253</v>
      </c>
      <c r="N105" s="41">
        <v>45001</v>
      </c>
      <c r="O105" s="25">
        <v>588</v>
      </c>
      <c r="P105" s="25">
        <v>0</v>
      </c>
      <c r="Q105" s="42" t="s">
        <v>254</v>
      </c>
      <c r="R105" s="41">
        <v>45309</v>
      </c>
      <c r="S105" s="25">
        <v>57</v>
      </c>
      <c r="T105" s="10">
        <v>0</v>
      </c>
    </row>
    <row r="106" s="35" customFormat="1" ht="18.5" customHeight="1" spans="1:20">
      <c r="A106" s="16" t="s">
        <v>251</v>
      </c>
      <c r="B106" s="41">
        <v>44484</v>
      </c>
      <c r="C106" s="25">
        <v>2</v>
      </c>
      <c r="D106" s="25"/>
      <c r="E106" s="42" t="s">
        <v>251</v>
      </c>
      <c r="F106" s="41">
        <v>44456</v>
      </c>
      <c r="G106" s="25">
        <v>267</v>
      </c>
      <c r="H106" s="25">
        <v>0</v>
      </c>
      <c r="I106" s="42" t="s">
        <v>252</v>
      </c>
      <c r="J106" s="41">
        <v>44835</v>
      </c>
      <c r="K106" s="25">
        <v>549</v>
      </c>
      <c r="L106" s="25">
        <v>0</v>
      </c>
      <c r="M106" s="42" t="s">
        <v>253</v>
      </c>
      <c r="N106" s="41">
        <v>44966</v>
      </c>
      <c r="O106" s="25">
        <v>579</v>
      </c>
      <c r="P106" s="25">
        <v>0</v>
      </c>
      <c r="Q106" s="42" t="s">
        <v>254</v>
      </c>
      <c r="R106" s="41">
        <v>45309</v>
      </c>
      <c r="S106" s="25">
        <v>53</v>
      </c>
      <c r="T106" s="10">
        <v>0</v>
      </c>
    </row>
    <row r="107" s="35" customFormat="1" ht="18.5" customHeight="1" spans="1:20">
      <c r="A107" s="16" t="s">
        <v>251</v>
      </c>
      <c r="B107" s="41">
        <v>45294</v>
      </c>
      <c r="C107" s="25">
        <v>3</v>
      </c>
      <c r="D107" s="25"/>
      <c r="E107" s="42" t="s">
        <v>251</v>
      </c>
      <c r="F107" s="41">
        <v>44357</v>
      </c>
      <c r="G107" s="25">
        <v>229</v>
      </c>
      <c r="H107" s="25">
        <v>0</v>
      </c>
      <c r="I107" s="42" t="s">
        <v>252</v>
      </c>
      <c r="J107" s="41">
        <v>44910</v>
      </c>
      <c r="K107" s="25">
        <v>534</v>
      </c>
      <c r="L107" s="25">
        <v>0</v>
      </c>
      <c r="M107" s="42" t="s">
        <v>253</v>
      </c>
      <c r="N107" s="41">
        <v>44942</v>
      </c>
      <c r="O107" s="25">
        <v>550</v>
      </c>
      <c r="P107" s="25">
        <v>0</v>
      </c>
      <c r="Q107" s="42" t="s">
        <v>254</v>
      </c>
      <c r="R107" s="41">
        <v>45310</v>
      </c>
      <c r="S107" s="25">
        <v>39</v>
      </c>
      <c r="T107" s="10">
        <v>0</v>
      </c>
    </row>
    <row r="108" s="35" customFormat="1" ht="18.5" customHeight="1" spans="1:20">
      <c r="A108" s="16" t="s">
        <v>251</v>
      </c>
      <c r="B108" s="41">
        <v>45279</v>
      </c>
      <c r="C108" s="25">
        <v>6</v>
      </c>
      <c r="D108" s="25"/>
      <c r="E108" s="42" t="s">
        <v>251</v>
      </c>
      <c r="F108" s="41">
        <v>44400</v>
      </c>
      <c r="G108" s="25">
        <v>402</v>
      </c>
      <c r="H108" s="25">
        <v>0</v>
      </c>
      <c r="I108" s="42" t="s">
        <v>252</v>
      </c>
      <c r="J108" s="41">
        <v>44732</v>
      </c>
      <c r="K108" s="25">
        <v>533</v>
      </c>
      <c r="L108" s="25">
        <v>0</v>
      </c>
      <c r="M108" s="42" t="s">
        <v>253</v>
      </c>
      <c r="N108" s="41">
        <v>45045</v>
      </c>
      <c r="O108" s="25">
        <v>3058</v>
      </c>
      <c r="P108" s="25">
        <v>0</v>
      </c>
      <c r="Q108" s="42" t="s">
        <v>254</v>
      </c>
      <c r="R108" s="41">
        <v>45311</v>
      </c>
      <c r="S108" s="25">
        <v>45</v>
      </c>
      <c r="T108" s="10">
        <v>0</v>
      </c>
    </row>
    <row r="109" s="35" customFormat="1" ht="18.5" customHeight="1" spans="1:20">
      <c r="A109" s="16" t="s">
        <v>251</v>
      </c>
      <c r="B109" s="41">
        <v>44434</v>
      </c>
      <c r="C109" s="25">
        <v>2</v>
      </c>
      <c r="D109" s="25"/>
      <c r="E109" s="42" t="s">
        <v>251</v>
      </c>
      <c r="F109" s="41">
        <v>44549</v>
      </c>
      <c r="G109" s="25">
        <v>363</v>
      </c>
      <c r="H109" s="25">
        <v>0</v>
      </c>
      <c r="I109" s="42" t="s">
        <v>252</v>
      </c>
      <c r="J109" s="41">
        <v>44790</v>
      </c>
      <c r="K109" s="25">
        <v>515</v>
      </c>
      <c r="L109" s="25">
        <v>0</v>
      </c>
      <c r="M109" s="42" t="s">
        <v>253</v>
      </c>
      <c r="N109" s="41">
        <v>44993</v>
      </c>
      <c r="O109" s="25">
        <v>507</v>
      </c>
      <c r="P109" s="25">
        <v>0</v>
      </c>
      <c r="Q109" s="42" t="s">
        <v>254</v>
      </c>
      <c r="R109" s="41">
        <v>45301</v>
      </c>
      <c r="S109" s="25">
        <v>808</v>
      </c>
      <c r="T109" s="10">
        <v>0</v>
      </c>
    </row>
    <row r="110" s="35" customFormat="1" ht="18.5" customHeight="1" spans="1:20">
      <c r="A110" s="16" t="s">
        <v>251</v>
      </c>
      <c r="B110" s="41">
        <v>44442</v>
      </c>
      <c r="C110" s="25">
        <v>4</v>
      </c>
      <c r="D110" s="25"/>
      <c r="E110" s="42" t="s">
        <v>251</v>
      </c>
      <c r="F110" s="41">
        <v>44339</v>
      </c>
      <c r="G110" s="25">
        <v>252</v>
      </c>
      <c r="H110" s="25">
        <v>0</v>
      </c>
      <c r="I110" s="42" t="s">
        <v>252</v>
      </c>
      <c r="J110" s="41">
        <v>44919</v>
      </c>
      <c r="K110" s="25">
        <v>504</v>
      </c>
      <c r="L110" s="25">
        <v>0</v>
      </c>
      <c r="M110" s="42" t="s">
        <v>253</v>
      </c>
      <c r="N110" s="41">
        <v>45253</v>
      </c>
      <c r="O110" s="25">
        <v>505</v>
      </c>
      <c r="P110" s="25">
        <v>0</v>
      </c>
      <c r="Q110" s="42" t="s">
        <v>254</v>
      </c>
      <c r="R110" s="41">
        <v>45303</v>
      </c>
      <c r="S110" s="25">
        <v>216</v>
      </c>
      <c r="T110" s="10">
        <v>0</v>
      </c>
    </row>
    <row r="111" s="35" customFormat="1" ht="18.5" customHeight="1" spans="1:20">
      <c r="A111" s="16" t="s">
        <v>251</v>
      </c>
      <c r="B111" s="41">
        <v>44498</v>
      </c>
      <c r="C111" s="25">
        <v>0</v>
      </c>
      <c r="D111" s="25"/>
      <c r="E111" s="42" t="s">
        <v>251</v>
      </c>
      <c r="F111" s="41">
        <v>44330</v>
      </c>
      <c r="G111" s="25">
        <v>363</v>
      </c>
      <c r="H111" s="25">
        <v>0</v>
      </c>
      <c r="I111" s="42" t="s">
        <v>252</v>
      </c>
      <c r="J111" s="41">
        <v>44906</v>
      </c>
      <c r="K111" s="25">
        <v>505</v>
      </c>
      <c r="L111" s="25">
        <v>0</v>
      </c>
      <c r="M111" s="42" t="s">
        <v>253</v>
      </c>
      <c r="N111" s="41">
        <v>45056</v>
      </c>
      <c r="O111" s="25">
        <v>495</v>
      </c>
      <c r="P111" s="25">
        <v>0</v>
      </c>
      <c r="Q111" s="42" t="s">
        <v>254</v>
      </c>
      <c r="R111" s="41">
        <v>45294</v>
      </c>
      <c r="S111" s="25">
        <v>161</v>
      </c>
      <c r="T111" s="10">
        <v>0</v>
      </c>
    </row>
    <row r="112" s="35" customFormat="1" ht="18.5" customHeight="1" spans="1:20">
      <c r="A112" s="16" t="s">
        <v>251</v>
      </c>
      <c r="B112" s="41">
        <v>44432</v>
      </c>
      <c r="C112" s="25">
        <v>0</v>
      </c>
      <c r="D112" s="25"/>
      <c r="E112" s="42" t="s">
        <v>251</v>
      </c>
      <c r="F112" s="41">
        <v>44333</v>
      </c>
      <c r="G112" s="25">
        <v>337</v>
      </c>
      <c r="H112" s="25">
        <v>0</v>
      </c>
      <c r="I112" s="42" t="s">
        <v>252</v>
      </c>
      <c r="J112" s="41">
        <v>44812</v>
      </c>
      <c r="K112" s="25">
        <v>495</v>
      </c>
      <c r="L112" s="25">
        <v>0</v>
      </c>
      <c r="M112" s="42" t="s">
        <v>253</v>
      </c>
      <c r="N112" s="41">
        <v>45064</v>
      </c>
      <c r="O112" s="25">
        <v>493</v>
      </c>
      <c r="P112" s="25">
        <v>0</v>
      </c>
      <c r="Q112" s="42" t="s">
        <v>254</v>
      </c>
      <c r="R112" s="41">
        <v>45301</v>
      </c>
      <c r="S112" s="25">
        <v>137</v>
      </c>
      <c r="T112" s="10">
        <v>0</v>
      </c>
    </row>
    <row r="113" s="35" customFormat="1" ht="18.5" customHeight="1" spans="1:20">
      <c r="A113" s="16" t="s">
        <v>251</v>
      </c>
      <c r="B113" s="41">
        <v>45294</v>
      </c>
      <c r="C113" s="25">
        <v>4</v>
      </c>
      <c r="D113" s="25"/>
      <c r="E113" s="42" t="s">
        <v>251</v>
      </c>
      <c r="F113" s="41">
        <v>44415</v>
      </c>
      <c r="G113" s="25">
        <v>312</v>
      </c>
      <c r="H113" s="25">
        <v>0</v>
      </c>
      <c r="I113" s="42" t="s">
        <v>252</v>
      </c>
      <c r="J113" s="41">
        <v>44854</v>
      </c>
      <c r="K113" s="25">
        <v>492</v>
      </c>
      <c r="L113" s="25">
        <v>0</v>
      </c>
      <c r="M113" s="42" t="s">
        <v>253</v>
      </c>
      <c r="N113" s="41">
        <v>45040</v>
      </c>
      <c r="O113" s="25">
        <v>483</v>
      </c>
      <c r="P113" s="25">
        <v>0</v>
      </c>
      <c r="Q113" s="42" t="s">
        <v>254</v>
      </c>
      <c r="R113" s="41">
        <v>45300</v>
      </c>
      <c r="S113" s="25">
        <v>97</v>
      </c>
      <c r="T113" s="10">
        <v>0</v>
      </c>
    </row>
    <row r="114" s="35" customFormat="1" ht="18.5" customHeight="1" spans="1:20">
      <c r="A114" s="16" t="s">
        <v>251</v>
      </c>
      <c r="B114" s="41">
        <v>44437</v>
      </c>
      <c r="C114" s="25">
        <v>2</v>
      </c>
      <c r="D114" s="25"/>
      <c r="E114" s="42" t="s">
        <v>251</v>
      </c>
      <c r="F114" s="41">
        <v>44425</v>
      </c>
      <c r="G114" s="25">
        <v>301</v>
      </c>
      <c r="H114" s="25">
        <v>0</v>
      </c>
      <c r="I114" s="42" t="s">
        <v>252</v>
      </c>
      <c r="J114" s="41">
        <v>44666</v>
      </c>
      <c r="K114" s="25">
        <v>488</v>
      </c>
      <c r="L114" s="25">
        <v>0</v>
      </c>
      <c r="M114" s="42" t="s">
        <v>253</v>
      </c>
      <c r="N114" s="41">
        <v>45039</v>
      </c>
      <c r="O114" s="25">
        <v>482</v>
      </c>
      <c r="P114" s="25">
        <v>0</v>
      </c>
      <c r="Q114" s="42" t="s">
        <v>254</v>
      </c>
      <c r="R114" s="41">
        <v>45305</v>
      </c>
      <c r="S114" s="25">
        <v>84</v>
      </c>
      <c r="T114" s="10">
        <v>0</v>
      </c>
    </row>
    <row r="115" s="35" customFormat="1" ht="18.5" customHeight="1" spans="1:20">
      <c r="A115" s="16" t="s">
        <v>251</v>
      </c>
      <c r="B115" s="41">
        <v>44453</v>
      </c>
      <c r="C115" s="25">
        <v>0</v>
      </c>
      <c r="D115" s="25"/>
      <c r="E115" s="42" t="s">
        <v>251</v>
      </c>
      <c r="F115" s="41">
        <v>44411</v>
      </c>
      <c r="G115" s="25">
        <v>270</v>
      </c>
      <c r="H115" s="25">
        <v>0</v>
      </c>
      <c r="I115" s="42" t="s">
        <v>252</v>
      </c>
      <c r="J115" s="41">
        <v>44903</v>
      </c>
      <c r="K115" s="25">
        <v>485</v>
      </c>
      <c r="L115" s="25">
        <v>0</v>
      </c>
      <c r="M115" s="42" t="s">
        <v>253</v>
      </c>
      <c r="N115" s="41">
        <v>45022</v>
      </c>
      <c r="O115" s="25">
        <v>480</v>
      </c>
      <c r="P115" s="25">
        <v>0</v>
      </c>
      <c r="Q115" s="42" t="s">
        <v>254</v>
      </c>
      <c r="R115" s="41">
        <v>45299</v>
      </c>
      <c r="S115" s="25">
        <v>359</v>
      </c>
      <c r="T115" s="10">
        <v>0</v>
      </c>
    </row>
    <row r="116" s="35" customFormat="1" ht="18.5" customHeight="1" spans="1:20">
      <c r="A116" s="16" t="s">
        <v>251</v>
      </c>
      <c r="B116" s="41">
        <v>45189</v>
      </c>
      <c r="C116" s="25">
        <v>7</v>
      </c>
      <c r="D116" s="25"/>
      <c r="E116" s="42" t="s">
        <v>251</v>
      </c>
      <c r="F116" s="41">
        <v>44438</v>
      </c>
      <c r="G116" s="25">
        <v>269</v>
      </c>
      <c r="H116" s="25">
        <v>0</v>
      </c>
      <c r="I116" s="42" t="s">
        <v>252</v>
      </c>
      <c r="J116" s="41">
        <v>44788</v>
      </c>
      <c r="K116" s="25">
        <v>478</v>
      </c>
      <c r="L116" s="25">
        <v>0</v>
      </c>
      <c r="M116" s="42" t="s">
        <v>253</v>
      </c>
      <c r="N116" s="41">
        <v>45038</v>
      </c>
      <c r="O116" s="25">
        <v>477</v>
      </c>
      <c r="P116" s="25">
        <v>0</v>
      </c>
      <c r="Q116" s="42" t="s">
        <v>254</v>
      </c>
      <c r="R116" s="41">
        <v>45301</v>
      </c>
      <c r="S116" s="25">
        <v>294</v>
      </c>
      <c r="T116" s="10">
        <v>0</v>
      </c>
    </row>
    <row r="117" s="35" customFormat="1" ht="18.5" customHeight="1" spans="1:20">
      <c r="A117" s="16" t="s">
        <v>251</v>
      </c>
      <c r="B117" s="41">
        <v>44999</v>
      </c>
      <c r="C117" s="25">
        <v>6</v>
      </c>
      <c r="D117" s="25"/>
      <c r="E117" s="42" t="s">
        <v>251</v>
      </c>
      <c r="F117" s="41">
        <v>44449</v>
      </c>
      <c r="G117" s="25">
        <v>222</v>
      </c>
      <c r="H117" s="25">
        <v>0</v>
      </c>
      <c r="I117" s="42" t="s">
        <v>252</v>
      </c>
      <c r="J117" s="41">
        <v>44667</v>
      </c>
      <c r="K117" s="25">
        <v>477</v>
      </c>
      <c r="L117" s="25">
        <v>0</v>
      </c>
      <c r="M117" s="42" t="s">
        <v>253</v>
      </c>
      <c r="N117" s="41">
        <v>45237</v>
      </c>
      <c r="O117" s="25">
        <v>476</v>
      </c>
      <c r="P117" s="25">
        <v>0</v>
      </c>
      <c r="Q117" s="42" t="s">
        <v>254</v>
      </c>
      <c r="R117" s="41">
        <v>45306</v>
      </c>
      <c r="S117" s="25">
        <v>131</v>
      </c>
      <c r="T117" s="10">
        <v>0</v>
      </c>
    </row>
    <row r="118" s="35" customFormat="1" ht="18.5" customHeight="1" spans="1:20">
      <c r="A118" s="16" t="s">
        <v>251</v>
      </c>
      <c r="B118" s="41">
        <v>44425</v>
      </c>
      <c r="C118" s="25">
        <v>1</v>
      </c>
      <c r="D118" s="25"/>
      <c r="E118" s="42" t="s">
        <v>251</v>
      </c>
      <c r="F118" s="41">
        <v>44511</v>
      </c>
      <c r="G118" s="25">
        <v>216</v>
      </c>
      <c r="H118" s="25">
        <v>0</v>
      </c>
      <c r="I118" s="42" t="s">
        <v>252</v>
      </c>
      <c r="J118" s="41">
        <v>44889</v>
      </c>
      <c r="K118" s="25">
        <v>465</v>
      </c>
      <c r="L118" s="25">
        <v>0</v>
      </c>
      <c r="M118" s="42" t="s">
        <v>253</v>
      </c>
      <c r="N118" s="41">
        <v>45023</v>
      </c>
      <c r="O118" s="25">
        <v>474</v>
      </c>
      <c r="P118" s="25">
        <v>0</v>
      </c>
      <c r="Q118" s="42" t="s">
        <v>254</v>
      </c>
      <c r="R118" s="41">
        <v>45306</v>
      </c>
      <c r="S118" s="25">
        <v>104</v>
      </c>
      <c r="T118" s="10">
        <v>0</v>
      </c>
    </row>
    <row r="119" s="35" customFormat="1" ht="18.5" customHeight="1" spans="1:20">
      <c r="A119" s="16" t="s">
        <v>251</v>
      </c>
      <c r="B119" s="41">
        <v>44350</v>
      </c>
      <c r="C119" s="25">
        <v>0</v>
      </c>
      <c r="D119" s="25"/>
      <c r="E119" s="42" t="s">
        <v>251</v>
      </c>
      <c r="F119" s="41">
        <v>44479</v>
      </c>
      <c r="G119" s="25">
        <v>349</v>
      </c>
      <c r="H119" s="25">
        <v>0</v>
      </c>
      <c r="I119" s="42" t="s">
        <v>252</v>
      </c>
      <c r="J119" s="41">
        <v>44749</v>
      </c>
      <c r="K119" s="25">
        <v>461</v>
      </c>
      <c r="L119" s="25">
        <v>0</v>
      </c>
      <c r="M119" s="42" t="s">
        <v>253</v>
      </c>
      <c r="N119" s="41">
        <v>45040</v>
      </c>
      <c r="O119" s="25">
        <v>468</v>
      </c>
      <c r="P119" s="25">
        <v>0</v>
      </c>
      <c r="Q119" s="42" t="s">
        <v>254</v>
      </c>
      <c r="R119" s="41">
        <v>45305</v>
      </c>
      <c r="S119" s="25">
        <v>100</v>
      </c>
      <c r="T119" s="10">
        <v>0</v>
      </c>
    </row>
    <row r="120" s="35" customFormat="1" ht="18.5" customHeight="1" spans="1:20">
      <c r="A120" s="16" t="s">
        <v>251</v>
      </c>
      <c r="B120" s="41">
        <v>44358</v>
      </c>
      <c r="C120" s="25">
        <v>1</v>
      </c>
      <c r="D120" s="25"/>
      <c r="E120" s="42" t="s">
        <v>251</v>
      </c>
      <c r="F120" s="41">
        <v>44489</v>
      </c>
      <c r="G120" s="25">
        <v>443</v>
      </c>
      <c r="H120" s="25">
        <v>0</v>
      </c>
      <c r="I120" s="42" t="s">
        <v>252</v>
      </c>
      <c r="J120" s="41">
        <v>44898</v>
      </c>
      <c r="K120" s="25">
        <v>459</v>
      </c>
      <c r="L120" s="25">
        <v>0</v>
      </c>
      <c r="M120" s="42" t="s">
        <v>253</v>
      </c>
      <c r="N120" s="41">
        <v>45238</v>
      </c>
      <c r="O120" s="25">
        <v>464</v>
      </c>
      <c r="P120" s="25">
        <v>0</v>
      </c>
      <c r="Q120" s="42" t="s">
        <v>254</v>
      </c>
      <c r="R120" s="41">
        <v>45292</v>
      </c>
      <c r="S120" s="25">
        <v>93</v>
      </c>
      <c r="T120" s="10">
        <v>0</v>
      </c>
    </row>
    <row r="121" s="35" customFormat="1" ht="18.5" customHeight="1" spans="1:20">
      <c r="A121" s="16" t="s">
        <v>251</v>
      </c>
      <c r="B121" s="41">
        <v>44340</v>
      </c>
      <c r="C121" s="25">
        <v>2</v>
      </c>
      <c r="D121" s="25"/>
      <c r="E121" s="42" t="s">
        <v>251</v>
      </c>
      <c r="F121" s="41">
        <v>44353</v>
      </c>
      <c r="G121" s="25">
        <v>377</v>
      </c>
      <c r="H121" s="25">
        <v>0</v>
      </c>
      <c r="I121" s="42" t="s">
        <v>252</v>
      </c>
      <c r="J121" s="41">
        <v>44898</v>
      </c>
      <c r="K121" s="25">
        <v>456</v>
      </c>
      <c r="L121" s="25">
        <v>0</v>
      </c>
      <c r="M121" s="42" t="s">
        <v>253</v>
      </c>
      <c r="N121" s="41">
        <v>44932</v>
      </c>
      <c r="O121" s="25">
        <v>454</v>
      </c>
      <c r="P121" s="25">
        <v>0</v>
      </c>
      <c r="Q121" s="42" t="s">
        <v>254</v>
      </c>
      <c r="R121" s="41">
        <v>45304</v>
      </c>
      <c r="S121" s="25">
        <v>92</v>
      </c>
      <c r="T121" s="10">
        <v>0</v>
      </c>
    </row>
    <row r="122" s="35" customFormat="1" ht="18.5" customHeight="1" spans="1:20">
      <c r="A122" s="16" t="s">
        <v>251</v>
      </c>
      <c r="B122" s="41">
        <v>44427</v>
      </c>
      <c r="C122" s="25">
        <v>3</v>
      </c>
      <c r="D122" s="25"/>
      <c r="E122" s="42" t="s">
        <v>251</v>
      </c>
      <c r="F122" s="41">
        <v>44505</v>
      </c>
      <c r="G122" s="25">
        <v>209</v>
      </c>
      <c r="H122" s="25">
        <v>0</v>
      </c>
      <c r="I122" s="42" t="s">
        <v>252</v>
      </c>
      <c r="J122" s="41">
        <v>44668</v>
      </c>
      <c r="K122" s="25">
        <v>454</v>
      </c>
      <c r="L122" s="25">
        <v>0</v>
      </c>
      <c r="M122" s="42" t="s">
        <v>253</v>
      </c>
      <c r="N122" s="41">
        <v>45048</v>
      </c>
      <c r="O122" s="25">
        <v>452</v>
      </c>
      <c r="P122" s="25">
        <v>0</v>
      </c>
      <c r="Q122" s="42" t="s">
        <v>254</v>
      </c>
      <c r="R122" s="41">
        <v>45292</v>
      </c>
      <c r="S122" s="25">
        <v>81</v>
      </c>
      <c r="T122" s="10">
        <v>0</v>
      </c>
    </row>
    <row r="123" s="35" customFormat="1" ht="18.5" customHeight="1" spans="1:20">
      <c r="A123" s="16" t="s">
        <v>251</v>
      </c>
      <c r="B123" s="41">
        <v>44518</v>
      </c>
      <c r="C123" s="25">
        <v>6</v>
      </c>
      <c r="D123" s="25"/>
      <c r="E123" s="42" t="s">
        <v>251</v>
      </c>
      <c r="F123" s="41">
        <v>44489</v>
      </c>
      <c r="G123" s="25">
        <v>290</v>
      </c>
      <c r="H123" s="25">
        <v>0</v>
      </c>
      <c r="I123" s="42" t="s">
        <v>252</v>
      </c>
      <c r="J123" s="41">
        <v>44845</v>
      </c>
      <c r="K123" s="25">
        <v>449</v>
      </c>
      <c r="L123" s="25">
        <v>0</v>
      </c>
      <c r="M123" s="42" t="s">
        <v>253</v>
      </c>
      <c r="N123" s="41">
        <v>45242</v>
      </c>
      <c r="O123" s="25">
        <v>449</v>
      </c>
      <c r="P123" s="25">
        <v>0</v>
      </c>
      <c r="Q123" s="42" t="s">
        <v>254</v>
      </c>
      <c r="R123" s="41">
        <v>45309</v>
      </c>
      <c r="S123" s="25">
        <v>82</v>
      </c>
      <c r="T123" s="10">
        <v>0</v>
      </c>
    </row>
    <row r="124" s="35" customFormat="1" ht="18.5" customHeight="1" spans="1:20">
      <c r="A124" s="16" t="s">
        <v>251</v>
      </c>
      <c r="B124" s="41">
        <v>44475</v>
      </c>
      <c r="C124" s="25">
        <v>5</v>
      </c>
      <c r="D124" s="25"/>
      <c r="E124" s="42" t="s">
        <v>251</v>
      </c>
      <c r="F124" s="41">
        <v>44560</v>
      </c>
      <c r="G124" s="25">
        <v>286</v>
      </c>
      <c r="H124" s="25">
        <v>0</v>
      </c>
      <c r="I124" s="42" t="s">
        <v>252</v>
      </c>
      <c r="J124" s="41">
        <v>44910</v>
      </c>
      <c r="K124" s="25">
        <v>447</v>
      </c>
      <c r="L124" s="25">
        <v>0</v>
      </c>
      <c r="M124" s="42" t="s">
        <v>253</v>
      </c>
      <c r="N124" s="41">
        <v>45019</v>
      </c>
      <c r="O124" s="25">
        <v>449</v>
      </c>
      <c r="P124" s="25">
        <v>0</v>
      </c>
      <c r="Q124" s="42" t="s">
        <v>254</v>
      </c>
      <c r="R124" s="41">
        <v>45306</v>
      </c>
      <c r="S124" s="25">
        <v>77</v>
      </c>
      <c r="T124" s="10">
        <v>0</v>
      </c>
    </row>
    <row r="125" s="35" customFormat="1" ht="18.5" customHeight="1" spans="1:20">
      <c r="A125" s="16" t="s">
        <v>251</v>
      </c>
      <c r="B125" s="41">
        <v>45026</v>
      </c>
      <c r="C125" s="25">
        <v>2</v>
      </c>
      <c r="D125" s="25"/>
      <c r="E125" s="42" t="s">
        <v>251</v>
      </c>
      <c r="F125" s="41">
        <v>44350</v>
      </c>
      <c r="G125" s="25">
        <v>253</v>
      </c>
      <c r="H125" s="25">
        <v>0</v>
      </c>
      <c r="I125" s="42" t="s">
        <v>252</v>
      </c>
      <c r="J125" s="41">
        <v>44659</v>
      </c>
      <c r="K125" s="25">
        <v>447</v>
      </c>
      <c r="L125" s="25">
        <v>0</v>
      </c>
      <c r="M125" s="42" t="s">
        <v>253</v>
      </c>
      <c r="N125" s="41">
        <v>45078</v>
      </c>
      <c r="O125" s="25">
        <v>440</v>
      </c>
      <c r="P125" s="25">
        <v>0</v>
      </c>
      <c r="Q125" s="42" t="s">
        <v>254</v>
      </c>
      <c r="R125" s="41">
        <v>45307</v>
      </c>
      <c r="S125" s="25">
        <v>71</v>
      </c>
      <c r="T125" s="10">
        <v>0</v>
      </c>
    </row>
    <row r="126" s="35" customFormat="1" ht="18.5" customHeight="1" spans="1:20">
      <c r="A126" s="16" t="s">
        <v>251</v>
      </c>
      <c r="B126" s="41">
        <v>44451</v>
      </c>
      <c r="C126" s="25">
        <v>2</v>
      </c>
      <c r="D126" s="25"/>
      <c r="E126" s="42" t="s">
        <v>251</v>
      </c>
      <c r="F126" s="41">
        <v>44533</v>
      </c>
      <c r="G126" s="25">
        <v>245</v>
      </c>
      <c r="H126" s="25">
        <v>0</v>
      </c>
      <c r="I126" s="42" t="s">
        <v>252</v>
      </c>
      <c r="J126" s="41">
        <v>44865</v>
      </c>
      <c r="K126" s="25">
        <v>446</v>
      </c>
      <c r="L126" s="25">
        <v>0</v>
      </c>
      <c r="M126" s="42" t="s">
        <v>253</v>
      </c>
      <c r="N126" s="41">
        <v>45045</v>
      </c>
      <c r="O126" s="25">
        <v>2470</v>
      </c>
      <c r="P126" s="25">
        <v>0</v>
      </c>
      <c r="Q126" s="42" t="s">
        <v>254</v>
      </c>
      <c r="R126" s="41">
        <v>45302</v>
      </c>
      <c r="S126" s="25">
        <v>70</v>
      </c>
      <c r="T126" s="10">
        <v>0</v>
      </c>
    </row>
    <row r="127" s="35" customFormat="1" ht="18.5" customHeight="1" spans="1:20">
      <c r="A127" s="16" t="s">
        <v>251</v>
      </c>
      <c r="B127" s="41">
        <v>44384</v>
      </c>
      <c r="C127" s="25">
        <v>2</v>
      </c>
      <c r="D127" s="25"/>
      <c r="E127" s="42" t="s">
        <v>251</v>
      </c>
      <c r="F127" s="41">
        <v>44531</v>
      </c>
      <c r="G127" s="25">
        <v>230</v>
      </c>
      <c r="H127" s="25">
        <v>0</v>
      </c>
      <c r="I127" s="42" t="s">
        <v>252</v>
      </c>
      <c r="J127" s="41">
        <v>44905</v>
      </c>
      <c r="K127" s="25">
        <v>443</v>
      </c>
      <c r="L127" s="25">
        <v>0</v>
      </c>
      <c r="M127" s="42" t="s">
        <v>253</v>
      </c>
      <c r="N127" s="41">
        <v>45216</v>
      </c>
      <c r="O127" s="25">
        <v>429</v>
      </c>
      <c r="P127" s="25">
        <v>0</v>
      </c>
      <c r="Q127" s="42" t="s">
        <v>254</v>
      </c>
      <c r="R127" s="41">
        <v>45303</v>
      </c>
      <c r="S127" s="25">
        <v>61</v>
      </c>
      <c r="T127" s="10">
        <v>0</v>
      </c>
    </row>
    <row r="128" s="35" customFormat="1" ht="18.5" customHeight="1" spans="1:20">
      <c r="A128" s="16" t="s">
        <v>251</v>
      </c>
      <c r="B128" s="41">
        <v>44532</v>
      </c>
      <c r="C128" s="25">
        <v>0</v>
      </c>
      <c r="D128" s="25"/>
      <c r="E128" s="42" t="s">
        <v>251</v>
      </c>
      <c r="F128" s="41">
        <v>44370</v>
      </c>
      <c r="G128" s="25">
        <v>230</v>
      </c>
      <c r="H128" s="25">
        <v>0</v>
      </c>
      <c r="I128" s="42" t="s">
        <v>252</v>
      </c>
      <c r="J128" s="41">
        <v>44922</v>
      </c>
      <c r="K128" s="25">
        <v>442</v>
      </c>
      <c r="L128" s="25">
        <v>0</v>
      </c>
      <c r="M128" s="42" t="s">
        <v>253</v>
      </c>
      <c r="N128" s="41">
        <v>45199</v>
      </c>
      <c r="O128" s="25">
        <v>420</v>
      </c>
      <c r="P128" s="25">
        <v>0</v>
      </c>
      <c r="Q128" s="42" t="s">
        <v>254</v>
      </c>
      <c r="R128" s="41">
        <v>45309</v>
      </c>
      <c r="S128" s="25">
        <v>57</v>
      </c>
      <c r="T128" s="10">
        <v>0</v>
      </c>
    </row>
    <row r="129" s="35" customFormat="1" ht="18.5" customHeight="1" spans="1:20">
      <c r="A129" s="16" t="s">
        <v>251</v>
      </c>
      <c r="B129" s="41">
        <v>45272</v>
      </c>
      <c r="C129" s="25">
        <v>6</v>
      </c>
      <c r="D129" s="25"/>
      <c r="E129" s="42" t="s">
        <v>251</v>
      </c>
      <c r="F129" s="41">
        <v>44343</v>
      </c>
      <c r="G129" s="25">
        <v>221</v>
      </c>
      <c r="H129" s="25">
        <v>0</v>
      </c>
      <c r="I129" s="42" t="s">
        <v>252</v>
      </c>
      <c r="J129" s="41">
        <v>44922</v>
      </c>
      <c r="K129" s="25">
        <v>405</v>
      </c>
      <c r="L129" s="25">
        <v>0</v>
      </c>
      <c r="M129" s="42" t="s">
        <v>253</v>
      </c>
      <c r="N129" s="41">
        <v>45027</v>
      </c>
      <c r="O129" s="25">
        <v>415</v>
      </c>
      <c r="P129" s="25">
        <v>0</v>
      </c>
      <c r="Q129" s="42" t="s">
        <v>254</v>
      </c>
      <c r="R129" s="41">
        <v>45306</v>
      </c>
      <c r="S129" s="25">
        <v>52</v>
      </c>
      <c r="T129" s="10">
        <v>0</v>
      </c>
    </row>
    <row r="130" s="35" customFormat="1" ht="18.5" customHeight="1" spans="1:20">
      <c r="A130" s="16" t="s">
        <v>251</v>
      </c>
      <c r="B130" s="41">
        <v>45128</v>
      </c>
      <c r="C130" s="25">
        <v>7</v>
      </c>
      <c r="D130" s="25"/>
      <c r="E130" s="42" t="s">
        <v>251</v>
      </c>
      <c r="F130" s="41">
        <v>44492</v>
      </c>
      <c r="G130" s="25">
        <v>218</v>
      </c>
      <c r="H130" s="25">
        <v>0</v>
      </c>
      <c r="I130" s="42" t="s">
        <v>252</v>
      </c>
      <c r="J130" s="41">
        <v>44847</v>
      </c>
      <c r="K130" s="25">
        <v>394</v>
      </c>
      <c r="L130" s="25">
        <v>0</v>
      </c>
      <c r="M130" s="42" t="s">
        <v>253</v>
      </c>
      <c r="N130" s="41">
        <v>44966</v>
      </c>
      <c r="O130" s="25">
        <v>415</v>
      </c>
      <c r="P130" s="25">
        <v>0</v>
      </c>
      <c r="Q130" s="42" t="s">
        <v>254</v>
      </c>
      <c r="R130" s="41">
        <v>45306</v>
      </c>
      <c r="S130" s="25">
        <v>110</v>
      </c>
      <c r="T130" s="10">
        <v>0</v>
      </c>
    </row>
    <row r="131" s="35" customFormat="1" ht="18.5" customHeight="1" spans="1:20">
      <c r="A131" s="16" t="s">
        <v>251</v>
      </c>
      <c r="B131" s="41">
        <v>44439</v>
      </c>
      <c r="C131" s="25">
        <v>0</v>
      </c>
      <c r="D131" s="25"/>
      <c r="E131" s="42" t="s">
        <v>251</v>
      </c>
      <c r="F131" s="41">
        <v>44560</v>
      </c>
      <c r="G131" s="25">
        <v>204</v>
      </c>
      <c r="H131" s="25">
        <v>0</v>
      </c>
      <c r="I131" s="42" t="s">
        <v>252</v>
      </c>
      <c r="J131" s="41">
        <v>44686</v>
      </c>
      <c r="K131" s="25">
        <v>390</v>
      </c>
      <c r="L131" s="25">
        <v>0</v>
      </c>
      <c r="M131" s="42" t="s">
        <v>253</v>
      </c>
      <c r="N131" s="41">
        <v>45045</v>
      </c>
      <c r="O131" s="25">
        <v>413</v>
      </c>
      <c r="P131" s="25">
        <v>0</v>
      </c>
      <c r="Q131" s="42" t="s">
        <v>254</v>
      </c>
      <c r="R131" s="41">
        <v>45306</v>
      </c>
      <c r="S131" s="25">
        <v>136</v>
      </c>
      <c r="T131" s="10">
        <v>0</v>
      </c>
    </row>
    <row r="132" s="35" customFormat="1" ht="18.5" customHeight="1" spans="1:20">
      <c r="A132" s="16" t="s">
        <v>251</v>
      </c>
      <c r="B132" s="41">
        <v>45288</v>
      </c>
      <c r="C132" s="25">
        <v>7</v>
      </c>
      <c r="D132" s="25"/>
      <c r="E132" s="42" t="s">
        <v>251</v>
      </c>
      <c r="F132" s="41">
        <v>44473</v>
      </c>
      <c r="G132" s="25">
        <v>360</v>
      </c>
      <c r="H132" s="25">
        <v>0</v>
      </c>
      <c r="I132" s="42" t="s">
        <v>252</v>
      </c>
      <c r="J132" s="41">
        <v>44679</v>
      </c>
      <c r="K132" s="25">
        <v>390</v>
      </c>
      <c r="L132" s="25">
        <v>0</v>
      </c>
      <c r="M132" s="42" t="s">
        <v>253</v>
      </c>
      <c r="N132" s="41">
        <v>45278</v>
      </c>
      <c r="O132" s="25">
        <v>409</v>
      </c>
      <c r="P132" s="25">
        <v>0</v>
      </c>
      <c r="Q132" s="42" t="s">
        <v>254</v>
      </c>
      <c r="R132" s="41">
        <v>45310</v>
      </c>
      <c r="S132" s="25">
        <v>55</v>
      </c>
      <c r="T132" s="10">
        <v>0</v>
      </c>
    </row>
    <row r="133" s="35" customFormat="1" ht="18.5" customHeight="1" spans="1:20">
      <c r="A133" s="16" t="s">
        <v>251</v>
      </c>
      <c r="B133" s="41">
        <v>44434</v>
      </c>
      <c r="C133" s="25">
        <v>0</v>
      </c>
      <c r="D133" s="25"/>
      <c r="E133" s="42" t="s">
        <v>251</v>
      </c>
      <c r="F133" s="41">
        <v>44341</v>
      </c>
      <c r="G133" s="25">
        <v>199</v>
      </c>
      <c r="H133" s="25">
        <v>0</v>
      </c>
      <c r="I133" s="42" t="s">
        <v>252</v>
      </c>
      <c r="J133" s="41">
        <v>44883</v>
      </c>
      <c r="K133" s="25">
        <v>387</v>
      </c>
      <c r="L133" s="25">
        <v>0</v>
      </c>
      <c r="M133" s="42" t="s">
        <v>253</v>
      </c>
      <c r="N133" s="41">
        <v>45061</v>
      </c>
      <c r="O133" s="25">
        <v>398</v>
      </c>
      <c r="P133" s="25">
        <v>0</v>
      </c>
      <c r="Q133" s="42" t="s">
        <v>254</v>
      </c>
      <c r="R133" s="41">
        <v>45297</v>
      </c>
      <c r="S133" s="25">
        <v>100</v>
      </c>
      <c r="T133" s="10">
        <v>0</v>
      </c>
    </row>
    <row r="134" s="35" customFormat="1" ht="18.5" customHeight="1" spans="1:20">
      <c r="A134" s="16" t="s">
        <v>251</v>
      </c>
      <c r="B134" s="41">
        <v>44495</v>
      </c>
      <c r="C134" s="25">
        <v>6</v>
      </c>
      <c r="D134" s="25"/>
      <c r="E134" s="42" t="s">
        <v>251</v>
      </c>
      <c r="F134" s="41">
        <v>44440</v>
      </c>
      <c r="G134" s="25">
        <v>193</v>
      </c>
      <c r="H134" s="25">
        <v>0</v>
      </c>
      <c r="I134" s="42" t="s">
        <v>252</v>
      </c>
      <c r="J134" s="41">
        <v>44848</v>
      </c>
      <c r="K134" s="25">
        <v>385</v>
      </c>
      <c r="L134" s="25">
        <v>0</v>
      </c>
      <c r="M134" s="42" t="s">
        <v>253</v>
      </c>
      <c r="N134" s="41">
        <v>45243</v>
      </c>
      <c r="O134" s="25">
        <v>391</v>
      </c>
      <c r="P134" s="25">
        <v>0</v>
      </c>
      <c r="Q134" s="42" t="s">
        <v>254</v>
      </c>
      <c r="R134" s="41">
        <v>45300</v>
      </c>
      <c r="S134" s="25">
        <v>94</v>
      </c>
      <c r="T134" s="10">
        <v>0</v>
      </c>
    </row>
    <row r="135" s="35" customFormat="1" ht="18.5" customHeight="1" spans="1:20">
      <c r="A135" s="16" t="s">
        <v>251</v>
      </c>
      <c r="B135" s="41">
        <v>44610</v>
      </c>
      <c r="C135" s="25">
        <v>1</v>
      </c>
      <c r="D135" s="25"/>
      <c r="E135" s="42" t="s">
        <v>251</v>
      </c>
      <c r="F135" s="41">
        <v>44540</v>
      </c>
      <c r="G135" s="25">
        <v>307</v>
      </c>
      <c r="H135" s="25">
        <v>0</v>
      </c>
      <c r="I135" s="42" t="s">
        <v>252</v>
      </c>
      <c r="J135" s="41">
        <v>44761</v>
      </c>
      <c r="K135" s="25">
        <v>383</v>
      </c>
      <c r="L135" s="25">
        <v>0</v>
      </c>
      <c r="M135" s="42" t="s">
        <v>253</v>
      </c>
      <c r="N135" s="41">
        <v>45248</v>
      </c>
      <c r="O135" s="25">
        <v>382</v>
      </c>
      <c r="P135" s="25">
        <v>0</v>
      </c>
      <c r="Q135" s="42" t="s">
        <v>254</v>
      </c>
      <c r="R135" s="41">
        <v>45300</v>
      </c>
      <c r="S135" s="25">
        <v>89</v>
      </c>
      <c r="T135" s="10">
        <v>0</v>
      </c>
    </row>
    <row r="136" s="35" customFormat="1" ht="18.5" customHeight="1" spans="1:20">
      <c r="A136" s="16" t="s">
        <v>251</v>
      </c>
      <c r="B136" s="41">
        <v>44485</v>
      </c>
      <c r="C136" s="25">
        <v>2</v>
      </c>
      <c r="D136" s="25"/>
      <c r="E136" s="42" t="s">
        <v>251</v>
      </c>
      <c r="F136" s="41">
        <v>44500</v>
      </c>
      <c r="G136" s="25">
        <v>850</v>
      </c>
      <c r="H136" s="25">
        <v>0</v>
      </c>
      <c r="I136" s="42" t="s">
        <v>252</v>
      </c>
      <c r="J136" s="41">
        <v>44830</v>
      </c>
      <c r="K136" s="25">
        <v>380</v>
      </c>
      <c r="L136" s="25">
        <v>0</v>
      </c>
      <c r="M136" s="42" t="s">
        <v>253</v>
      </c>
      <c r="N136" s="41">
        <v>45003</v>
      </c>
      <c r="O136" s="25">
        <v>380</v>
      </c>
      <c r="P136" s="25">
        <v>0</v>
      </c>
      <c r="Q136" s="42" t="s">
        <v>254</v>
      </c>
      <c r="R136" s="41">
        <v>45306</v>
      </c>
      <c r="S136" s="25">
        <v>84</v>
      </c>
      <c r="T136" s="10">
        <v>0</v>
      </c>
    </row>
    <row r="137" s="35" customFormat="1" ht="18.5" customHeight="1" spans="1:20">
      <c r="A137" s="16" t="s">
        <v>251</v>
      </c>
      <c r="B137" s="41">
        <v>44967</v>
      </c>
      <c r="C137" s="25">
        <v>7</v>
      </c>
      <c r="D137" s="25"/>
      <c r="E137" s="42" t="s">
        <v>251</v>
      </c>
      <c r="F137" s="41">
        <v>44469</v>
      </c>
      <c r="G137" s="25">
        <v>209</v>
      </c>
      <c r="H137" s="25">
        <v>0</v>
      </c>
      <c r="I137" s="42" t="s">
        <v>252</v>
      </c>
      <c r="J137" s="41">
        <v>44866</v>
      </c>
      <c r="K137" s="25">
        <v>374</v>
      </c>
      <c r="L137" s="25">
        <v>0</v>
      </c>
      <c r="M137" s="42" t="s">
        <v>253</v>
      </c>
      <c r="N137" s="41">
        <v>45236</v>
      </c>
      <c r="O137" s="25">
        <v>377</v>
      </c>
      <c r="P137" s="25">
        <v>0</v>
      </c>
      <c r="Q137" s="42" t="s">
        <v>254</v>
      </c>
      <c r="R137" s="41">
        <v>45302</v>
      </c>
      <c r="S137" s="25">
        <v>83</v>
      </c>
      <c r="T137" s="10">
        <v>0</v>
      </c>
    </row>
    <row r="138" s="35" customFormat="1" ht="18.5" customHeight="1" spans="1:20">
      <c r="A138" s="16" t="s">
        <v>251</v>
      </c>
      <c r="B138" s="41">
        <v>44443</v>
      </c>
      <c r="C138" s="25">
        <v>0</v>
      </c>
      <c r="D138" s="25"/>
      <c r="E138" s="42" t="s">
        <v>251</v>
      </c>
      <c r="F138" s="41">
        <v>44473</v>
      </c>
      <c r="G138" s="25">
        <v>175</v>
      </c>
      <c r="H138" s="25">
        <v>0</v>
      </c>
      <c r="I138" s="42" t="s">
        <v>252</v>
      </c>
      <c r="J138" s="41">
        <v>44904</v>
      </c>
      <c r="K138" s="25">
        <v>373</v>
      </c>
      <c r="L138" s="25">
        <v>0</v>
      </c>
      <c r="M138" s="42" t="s">
        <v>253</v>
      </c>
      <c r="N138" s="41">
        <v>45073</v>
      </c>
      <c r="O138" s="25">
        <v>373</v>
      </c>
      <c r="P138" s="25">
        <v>0</v>
      </c>
      <c r="Q138" s="42" t="s">
        <v>254</v>
      </c>
      <c r="R138" s="41">
        <v>45310</v>
      </c>
      <c r="S138" s="25">
        <v>90</v>
      </c>
      <c r="T138" s="10">
        <v>0</v>
      </c>
    </row>
    <row r="139" s="35" customFormat="1" ht="18.5" customHeight="1" spans="1:20">
      <c r="A139" s="16" t="s">
        <v>251</v>
      </c>
      <c r="B139" s="41">
        <v>45277</v>
      </c>
      <c r="C139" s="25">
        <v>5</v>
      </c>
      <c r="D139" s="25"/>
      <c r="E139" s="42" t="s">
        <v>251</v>
      </c>
      <c r="F139" s="41">
        <v>44484</v>
      </c>
      <c r="G139" s="25">
        <v>280</v>
      </c>
      <c r="H139" s="25">
        <v>0</v>
      </c>
      <c r="I139" s="42" t="s">
        <v>252</v>
      </c>
      <c r="J139" s="41">
        <v>44786</v>
      </c>
      <c r="K139" s="25">
        <v>373</v>
      </c>
      <c r="L139" s="25">
        <v>0</v>
      </c>
      <c r="M139" s="42" t="s">
        <v>253</v>
      </c>
      <c r="N139" s="41">
        <v>44963</v>
      </c>
      <c r="O139" s="25">
        <v>367</v>
      </c>
      <c r="P139" s="25">
        <v>0</v>
      </c>
      <c r="Q139" s="42" t="s">
        <v>254</v>
      </c>
      <c r="R139" s="41">
        <v>45302</v>
      </c>
      <c r="S139" s="25">
        <v>221</v>
      </c>
      <c r="T139" s="10">
        <v>0</v>
      </c>
    </row>
    <row r="140" s="35" customFormat="1" ht="18.5" customHeight="1" spans="1:20">
      <c r="A140" s="16" t="s">
        <v>251</v>
      </c>
      <c r="B140" s="41">
        <v>44474</v>
      </c>
      <c r="C140" s="25">
        <v>0</v>
      </c>
      <c r="D140" s="25"/>
      <c r="E140" s="42" t="s">
        <v>251</v>
      </c>
      <c r="F140" s="41">
        <v>44425</v>
      </c>
      <c r="G140" s="25">
        <v>270</v>
      </c>
      <c r="H140" s="25">
        <v>0</v>
      </c>
      <c r="I140" s="42" t="s">
        <v>252</v>
      </c>
      <c r="J140" s="41">
        <v>44784</v>
      </c>
      <c r="K140" s="25">
        <v>370</v>
      </c>
      <c r="L140" s="25">
        <v>0</v>
      </c>
      <c r="M140" s="42" t="s">
        <v>253</v>
      </c>
      <c r="N140" s="41">
        <v>45021</v>
      </c>
      <c r="O140" s="25">
        <v>365</v>
      </c>
      <c r="P140" s="25">
        <v>0</v>
      </c>
      <c r="Q140" s="42" t="s">
        <v>254</v>
      </c>
      <c r="R140" s="41">
        <v>45296</v>
      </c>
      <c r="S140" s="25">
        <v>184</v>
      </c>
      <c r="T140" s="10">
        <v>0</v>
      </c>
    </row>
    <row r="141" s="35" customFormat="1" ht="18.5" customHeight="1" spans="1:20">
      <c r="A141" s="16" t="s">
        <v>251</v>
      </c>
      <c r="B141" s="41">
        <v>44373</v>
      </c>
      <c r="C141" s="25">
        <v>0</v>
      </c>
      <c r="D141" s="25"/>
      <c r="E141" s="42" t="s">
        <v>251</v>
      </c>
      <c r="F141" s="41">
        <v>44510</v>
      </c>
      <c r="G141" s="25">
        <v>259</v>
      </c>
      <c r="H141" s="25">
        <v>0</v>
      </c>
      <c r="I141" s="42" t="s">
        <v>252</v>
      </c>
      <c r="J141" s="41">
        <v>44594</v>
      </c>
      <c r="K141" s="25">
        <v>369</v>
      </c>
      <c r="L141" s="25">
        <v>0</v>
      </c>
      <c r="M141" s="42" t="s">
        <v>253</v>
      </c>
      <c r="N141" s="41">
        <v>45237</v>
      </c>
      <c r="O141" s="25">
        <v>361</v>
      </c>
      <c r="P141" s="25">
        <v>0</v>
      </c>
      <c r="Q141" s="42" t="s">
        <v>254</v>
      </c>
      <c r="R141" s="41">
        <v>45302</v>
      </c>
      <c r="S141" s="25">
        <v>386</v>
      </c>
      <c r="T141" s="10">
        <v>0</v>
      </c>
    </row>
    <row r="142" s="35" customFormat="1" ht="18.5" customHeight="1" spans="1:20">
      <c r="A142" s="16" t="s">
        <v>251</v>
      </c>
      <c r="B142" s="41">
        <v>44519</v>
      </c>
      <c r="C142" s="25">
        <v>1</v>
      </c>
      <c r="D142" s="25"/>
      <c r="E142" s="42" t="s">
        <v>251</v>
      </c>
      <c r="F142" s="41">
        <v>44386</v>
      </c>
      <c r="G142" s="25">
        <v>251</v>
      </c>
      <c r="H142" s="25">
        <v>0</v>
      </c>
      <c r="I142" s="42" t="s">
        <v>252</v>
      </c>
      <c r="J142" s="41">
        <v>44652</v>
      </c>
      <c r="K142" s="25">
        <v>366</v>
      </c>
      <c r="L142" s="25">
        <v>0</v>
      </c>
      <c r="M142" s="42" t="s">
        <v>253</v>
      </c>
      <c r="N142" s="41">
        <v>45056</v>
      </c>
      <c r="O142" s="25">
        <v>355</v>
      </c>
      <c r="P142" s="25">
        <v>0</v>
      </c>
      <c r="Q142" s="42" t="s">
        <v>254</v>
      </c>
      <c r="R142" s="41">
        <v>45299</v>
      </c>
      <c r="S142" s="25">
        <v>176</v>
      </c>
      <c r="T142" s="10">
        <v>0</v>
      </c>
    </row>
    <row r="143" s="35" customFormat="1" ht="18.5" customHeight="1" spans="1:20">
      <c r="A143" s="16" t="s">
        <v>251</v>
      </c>
      <c r="B143" s="41">
        <v>45283</v>
      </c>
      <c r="C143" s="25">
        <v>2</v>
      </c>
      <c r="D143" s="25"/>
      <c r="E143" s="42" t="s">
        <v>251</v>
      </c>
      <c r="F143" s="41">
        <v>44351</v>
      </c>
      <c r="G143" s="25">
        <v>243</v>
      </c>
      <c r="H143" s="25">
        <v>0</v>
      </c>
      <c r="I143" s="42" t="s">
        <v>252</v>
      </c>
      <c r="J143" s="41">
        <v>44686</v>
      </c>
      <c r="K143" s="25">
        <v>365</v>
      </c>
      <c r="L143" s="25">
        <v>0</v>
      </c>
      <c r="M143" s="42" t="s">
        <v>253</v>
      </c>
      <c r="N143" s="41">
        <v>44949</v>
      </c>
      <c r="O143" s="25">
        <v>355</v>
      </c>
      <c r="P143" s="25">
        <v>0</v>
      </c>
      <c r="Q143" s="42" t="s">
        <v>254</v>
      </c>
      <c r="R143" s="41">
        <v>45298</v>
      </c>
      <c r="S143" s="25">
        <v>174</v>
      </c>
      <c r="T143" s="10">
        <v>0</v>
      </c>
    </row>
    <row r="144" s="35" customFormat="1" ht="18.5" customHeight="1" spans="1:20">
      <c r="A144" s="16" t="s">
        <v>251</v>
      </c>
      <c r="B144" s="41">
        <v>45294</v>
      </c>
      <c r="C144" s="25">
        <v>4</v>
      </c>
      <c r="D144" s="25"/>
      <c r="E144" s="42" t="s">
        <v>251</v>
      </c>
      <c r="F144" s="41">
        <v>44535</v>
      </c>
      <c r="G144" s="25">
        <v>242</v>
      </c>
      <c r="H144" s="25">
        <v>0</v>
      </c>
      <c r="I144" s="42" t="s">
        <v>252</v>
      </c>
      <c r="J144" s="41">
        <v>44855</v>
      </c>
      <c r="K144" s="25">
        <v>364</v>
      </c>
      <c r="L144" s="25">
        <v>0</v>
      </c>
      <c r="M144" s="42" t="s">
        <v>253</v>
      </c>
      <c r="N144" s="41">
        <v>45005</v>
      </c>
      <c r="O144" s="25">
        <v>353</v>
      </c>
      <c r="P144" s="25">
        <v>0</v>
      </c>
      <c r="Q144" s="42" t="s">
        <v>254</v>
      </c>
      <c r="R144" s="41">
        <v>45306</v>
      </c>
      <c r="S144" s="25">
        <v>135</v>
      </c>
      <c r="T144" s="10">
        <v>0</v>
      </c>
    </row>
    <row r="145" s="35" customFormat="1" ht="18.5" customHeight="1" spans="1:20">
      <c r="A145" s="16" t="s">
        <v>251</v>
      </c>
      <c r="B145" s="41">
        <v>44442</v>
      </c>
      <c r="C145" s="25">
        <v>2</v>
      </c>
      <c r="D145" s="25"/>
      <c r="E145" s="42" t="s">
        <v>251</v>
      </c>
      <c r="F145" s="41">
        <v>44335</v>
      </c>
      <c r="G145" s="25">
        <v>233</v>
      </c>
      <c r="H145" s="25">
        <v>0</v>
      </c>
      <c r="I145" s="42" t="s">
        <v>252</v>
      </c>
      <c r="J145" s="41">
        <v>44736</v>
      </c>
      <c r="K145" s="25">
        <v>358</v>
      </c>
      <c r="L145" s="25">
        <v>0</v>
      </c>
      <c r="M145" s="42" t="s">
        <v>253</v>
      </c>
      <c r="N145" s="41">
        <v>45142</v>
      </c>
      <c r="O145" s="25">
        <v>350</v>
      </c>
      <c r="P145" s="25">
        <v>0</v>
      </c>
      <c r="Q145" s="42" t="s">
        <v>254</v>
      </c>
      <c r="R145" s="41">
        <v>45303</v>
      </c>
      <c r="S145" s="25">
        <v>89</v>
      </c>
      <c r="T145" s="10">
        <v>0</v>
      </c>
    </row>
    <row r="146" s="35" customFormat="1" ht="18.5" customHeight="1" spans="1:20">
      <c r="A146" s="16" t="s">
        <v>251</v>
      </c>
      <c r="B146" s="41">
        <v>44921</v>
      </c>
      <c r="C146" s="25">
        <v>3</v>
      </c>
      <c r="D146" s="25"/>
      <c r="E146" s="42" t="s">
        <v>251</v>
      </c>
      <c r="F146" s="41">
        <v>44462</v>
      </c>
      <c r="G146" s="25">
        <v>228</v>
      </c>
      <c r="H146" s="25">
        <v>0</v>
      </c>
      <c r="I146" s="42" t="s">
        <v>252</v>
      </c>
      <c r="J146" s="41">
        <v>44911</v>
      </c>
      <c r="K146" s="25">
        <v>354</v>
      </c>
      <c r="L146" s="25">
        <v>0</v>
      </c>
      <c r="M146" s="42" t="s">
        <v>253</v>
      </c>
      <c r="N146" s="41">
        <v>44964</v>
      </c>
      <c r="O146" s="25">
        <v>350</v>
      </c>
      <c r="P146" s="25">
        <v>0</v>
      </c>
      <c r="Q146" s="42" t="s">
        <v>254</v>
      </c>
      <c r="R146" s="41">
        <v>45303</v>
      </c>
      <c r="S146" s="25">
        <v>207</v>
      </c>
      <c r="T146" s="10">
        <v>0</v>
      </c>
    </row>
    <row r="147" s="35" customFormat="1" ht="18.5" customHeight="1" spans="1:20">
      <c r="A147" s="16" t="s">
        <v>251</v>
      </c>
      <c r="B147" s="41">
        <v>44466</v>
      </c>
      <c r="C147" s="25">
        <v>2</v>
      </c>
      <c r="D147" s="25"/>
      <c r="E147" s="42" t="s">
        <v>251</v>
      </c>
      <c r="F147" s="41">
        <v>44346</v>
      </c>
      <c r="G147" s="25">
        <v>226</v>
      </c>
      <c r="H147" s="25">
        <v>0</v>
      </c>
      <c r="I147" s="42" t="s">
        <v>252</v>
      </c>
      <c r="J147" s="41">
        <v>44745</v>
      </c>
      <c r="K147" s="25">
        <v>354</v>
      </c>
      <c r="L147" s="25">
        <v>0</v>
      </c>
      <c r="M147" s="42" t="s">
        <v>253</v>
      </c>
      <c r="N147" s="41">
        <v>45254</v>
      </c>
      <c r="O147" s="25">
        <v>343</v>
      </c>
      <c r="P147" s="25">
        <v>0</v>
      </c>
      <c r="Q147" s="42" t="s">
        <v>254</v>
      </c>
      <c r="R147" s="41">
        <v>45302</v>
      </c>
      <c r="S147" s="25">
        <v>188</v>
      </c>
      <c r="T147" s="10">
        <v>0</v>
      </c>
    </row>
    <row r="148" s="35" customFormat="1" ht="18.5" customHeight="1" spans="1:20">
      <c r="A148" s="16" t="s">
        <v>251</v>
      </c>
      <c r="B148" s="41">
        <v>44753</v>
      </c>
      <c r="C148" s="25">
        <v>4</v>
      </c>
      <c r="D148" s="25"/>
      <c r="E148" s="42" t="s">
        <v>251</v>
      </c>
      <c r="F148" s="41">
        <v>44452</v>
      </c>
      <c r="G148" s="25">
        <v>204</v>
      </c>
      <c r="H148" s="25">
        <v>0</v>
      </c>
      <c r="I148" s="42" t="s">
        <v>252</v>
      </c>
      <c r="J148" s="41">
        <v>44864</v>
      </c>
      <c r="K148" s="25">
        <v>348</v>
      </c>
      <c r="L148" s="25">
        <v>0</v>
      </c>
      <c r="M148" s="42" t="s">
        <v>253</v>
      </c>
      <c r="N148" s="41">
        <v>45238</v>
      </c>
      <c r="O148" s="25">
        <v>343</v>
      </c>
      <c r="P148" s="25">
        <v>0</v>
      </c>
      <c r="Q148" s="42" t="s">
        <v>254</v>
      </c>
      <c r="R148" s="41">
        <v>45302</v>
      </c>
      <c r="S148" s="25">
        <v>148</v>
      </c>
      <c r="T148" s="10">
        <v>0</v>
      </c>
    </row>
    <row r="149" s="35" customFormat="1" ht="18.5" customHeight="1" spans="1:20">
      <c r="A149" s="16" t="s">
        <v>251</v>
      </c>
      <c r="B149" s="41">
        <v>44436</v>
      </c>
      <c r="C149" s="25">
        <v>0</v>
      </c>
      <c r="D149" s="25"/>
      <c r="E149" s="42" t="s">
        <v>251</v>
      </c>
      <c r="F149" s="41">
        <v>44350</v>
      </c>
      <c r="G149" s="25">
        <v>197</v>
      </c>
      <c r="H149" s="25">
        <v>0</v>
      </c>
      <c r="I149" s="42" t="s">
        <v>252</v>
      </c>
      <c r="J149" s="41">
        <v>44720</v>
      </c>
      <c r="K149" s="25">
        <v>344</v>
      </c>
      <c r="L149" s="25">
        <v>0</v>
      </c>
      <c r="M149" s="42" t="s">
        <v>253</v>
      </c>
      <c r="N149" s="41">
        <v>45252</v>
      </c>
      <c r="O149" s="25">
        <v>339</v>
      </c>
      <c r="P149" s="25">
        <v>0</v>
      </c>
      <c r="Q149" s="42" t="s">
        <v>254</v>
      </c>
      <c r="R149" s="41">
        <v>45308</v>
      </c>
      <c r="S149" s="25">
        <v>143</v>
      </c>
      <c r="T149" s="10">
        <v>0</v>
      </c>
    </row>
    <row r="150" s="35" customFormat="1" ht="18.5" customHeight="1" spans="1:20">
      <c r="A150" s="16" t="s">
        <v>251</v>
      </c>
      <c r="B150" s="41">
        <v>44405</v>
      </c>
      <c r="C150" s="25">
        <v>3</v>
      </c>
      <c r="D150" s="25"/>
      <c r="E150" s="42" t="s">
        <v>251</v>
      </c>
      <c r="F150" s="41">
        <v>44553</v>
      </c>
      <c r="G150" s="25">
        <v>186</v>
      </c>
      <c r="H150" s="25">
        <v>0</v>
      </c>
      <c r="I150" s="42" t="s">
        <v>252</v>
      </c>
      <c r="J150" s="41">
        <v>44916</v>
      </c>
      <c r="K150" s="25">
        <v>341</v>
      </c>
      <c r="L150" s="25">
        <v>0</v>
      </c>
      <c r="M150" s="42" t="s">
        <v>253</v>
      </c>
      <c r="N150" s="41">
        <v>45001</v>
      </c>
      <c r="O150" s="25">
        <v>338</v>
      </c>
      <c r="P150" s="25">
        <v>0</v>
      </c>
      <c r="Q150" s="42" t="s">
        <v>254</v>
      </c>
      <c r="R150" s="41">
        <v>45296</v>
      </c>
      <c r="S150" s="25">
        <v>136</v>
      </c>
      <c r="T150" s="10">
        <v>0</v>
      </c>
    </row>
    <row r="151" s="35" customFormat="1" ht="18.5" customHeight="1" spans="1:20">
      <c r="A151" s="16" t="s">
        <v>251</v>
      </c>
      <c r="B151" s="41">
        <v>44441</v>
      </c>
      <c r="C151" s="25">
        <v>0</v>
      </c>
      <c r="D151" s="25"/>
      <c r="E151" s="42" t="s">
        <v>251</v>
      </c>
      <c r="F151" s="41">
        <v>44335</v>
      </c>
      <c r="G151" s="25">
        <v>601</v>
      </c>
      <c r="H151" s="25">
        <v>0</v>
      </c>
      <c r="I151" s="42" t="s">
        <v>252</v>
      </c>
      <c r="J151" s="41">
        <v>44660</v>
      </c>
      <c r="K151" s="25">
        <v>339</v>
      </c>
      <c r="L151" s="25">
        <v>0</v>
      </c>
      <c r="M151" s="42" t="s">
        <v>253</v>
      </c>
      <c r="N151" s="41">
        <v>44966</v>
      </c>
      <c r="O151" s="25">
        <v>338</v>
      </c>
      <c r="P151" s="25">
        <v>0</v>
      </c>
      <c r="Q151" s="42" t="s">
        <v>254</v>
      </c>
      <c r="R151" s="41">
        <v>45300</v>
      </c>
      <c r="S151" s="25">
        <v>119</v>
      </c>
      <c r="T151" s="10">
        <v>0</v>
      </c>
    </row>
    <row r="152" s="35" customFormat="1" ht="18.5" customHeight="1" spans="1:20">
      <c r="A152" s="16" t="s">
        <v>251</v>
      </c>
      <c r="B152" s="41">
        <v>44421</v>
      </c>
      <c r="C152" s="25">
        <v>4</v>
      </c>
      <c r="D152" s="25"/>
      <c r="E152" s="42" t="s">
        <v>251</v>
      </c>
      <c r="F152" s="41">
        <v>44491</v>
      </c>
      <c r="G152" s="25">
        <v>538</v>
      </c>
      <c r="H152" s="25">
        <v>0</v>
      </c>
      <c r="I152" s="42" t="s">
        <v>252</v>
      </c>
      <c r="J152" s="41">
        <v>44657</v>
      </c>
      <c r="K152" s="25">
        <v>338</v>
      </c>
      <c r="L152" s="25">
        <v>0</v>
      </c>
      <c r="M152" s="42" t="s">
        <v>253</v>
      </c>
      <c r="N152" s="41">
        <v>44975</v>
      </c>
      <c r="O152" s="25">
        <v>336</v>
      </c>
      <c r="P152" s="25">
        <v>0</v>
      </c>
      <c r="Q152" s="42" t="s">
        <v>254</v>
      </c>
      <c r="R152" s="41">
        <v>45306</v>
      </c>
      <c r="S152" s="25">
        <v>118</v>
      </c>
      <c r="T152" s="10">
        <v>0</v>
      </c>
    </row>
    <row r="153" s="35" customFormat="1" ht="18.5" customHeight="1" spans="1:20">
      <c r="A153" s="16" t="s">
        <v>251</v>
      </c>
      <c r="B153" s="41">
        <v>44555</v>
      </c>
      <c r="C153" s="25">
        <v>0</v>
      </c>
      <c r="D153" s="25"/>
      <c r="E153" s="42" t="s">
        <v>251</v>
      </c>
      <c r="F153" s="41">
        <v>44491</v>
      </c>
      <c r="G153" s="25">
        <v>306</v>
      </c>
      <c r="H153" s="25">
        <v>0</v>
      </c>
      <c r="I153" s="42" t="s">
        <v>252</v>
      </c>
      <c r="J153" s="41">
        <v>44745</v>
      </c>
      <c r="K153" s="25">
        <v>337</v>
      </c>
      <c r="L153" s="25">
        <v>0</v>
      </c>
      <c r="M153" s="42" t="s">
        <v>253</v>
      </c>
      <c r="N153" s="41">
        <v>45044</v>
      </c>
      <c r="O153" s="25">
        <v>334</v>
      </c>
      <c r="P153" s="25">
        <v>0</v>
      </c>
      <c r="Q153" s="42" t="s">
        <v>254</v>
      </c>
      <c r="R153" s="41">
        <v>45301</v>
      </c>
      <c r="S153" s="25">
        <v>117</v>
      </c>
      <c r="T153" s="10">
        <v>0</v>
      </c>
    </row>
    <row r="154" s="35" customFormat="1" ht="18.5" customHeight="1" spans="1:20">
      <c r="A154" s="16" t="s">
        <v>251</v>
      </c>
      <c r="B154" s="41">
        <v>44947</v>
      </c>
      <c r="C154" s="25">
        <v>6</v>
      </c>
      <c r="D154" s="25"/>
      <c r="E154" s="42" t="s">
        <v>251</v>
      </c>
      <c r="F154" s="41">
        <v>44440</v>
      </c>
      <c r="G154" s="25">
        <v>278</v>
      </c>
      <c r="H154" s="25">
        <v>0</v>
      </c>
      <c r="I154" s="42" t="s">
        <v>252</v>
      </c>
      <c r="J154" s="41">
        <v>44809</v>
      </c>
      <c r="K154" s="25">
        <v>335</v>
      </c>
      <c r="L154" s="25">
        <v>0</v>
      </c>
      <c r="M154" s="42" t="s">
        <v>253</v>
      </c>
      <c r="N154" s="41">
        <v>45052</v>
      </c>
      <c r="O154" s="25">
        <v>334</v>
      </c>
      <c r="P154" s="25">
        <v>0</v>
      </c>
      <c r="Q154" s="42" t="s">
        <v>254</v>
      </c>
      <c r="R154" s="41">
        <v>45300</v>
      </c>
      <c r="S154" s="25">
        <v>107</v>
      </c>
      <c r="T154" s="10">
        <v>0</v>
      </c>
    </row>
    <row r="155" s="35" customFormat="1" ht="18.5" customHeight="1" spans="1:20">
      <c r="A155" s="16" t="s">
        <v>251</v>
      </c>
      <c r="B155" s="41">
        <v>44462</v>
      </c>
      <c r="C155" s="25">
        <v>5</v>
      </c>
      <c r="D155" s="25"/>
      <c r="E155" s="42" t="s">
        <v>251</v>
      </c>
      <c r="F155" s="41">
        <v>44540</v>
      </c>
      <c r="G155" s="25">
        <v>260</v>
      </c>
      <c r="H155" s="25">
        <v>0</v>
      </c>
      <c r="I155" s="42" t="s">
        <v>252</v>
      </c>
      <c r="J155" s="41">
        <v>44750</v>
      </c>
      <c r="K155" s="25">
        <v>329</v>
      </c>
      <c r="L155" s="25">
        <v>0</v>
      </c>
      <c r="M155" s="42" t="s">
        <v>253</v>
      </c>
      <c r="N155" s="41">
        <v>45256</v>
      </c>
      <c r="O155" s="25">
        <v>333</v>
      </c>
      <c r="P155" s="25">
        <v>0</v>
      </c>
      <c r="Q155" s="42" t="s">
        <v>254</v>
      </c>
      <c r="R155" s="41">
        <v>45307</v>
      </c>
      <c r="S155" s="25">
        <v>105</v>
      </c>
      <c r="T155" s="10">
        <v>0</v>
      </c>
    </row>
    <row r="156" s="35" customFormat="1" ht="18.5" customHeight="1" spans="1:20">
      <c r="A156" s="16" t="s">
        <v>251</v>
      </c>
      <c r="B156" s="41">
        <v>45294</v>
      </c>
      <c r="C156" s="25">
        <v>8</v>
      </c>
      <c r="D156" s="25"/>
      <c r="E156" s="42" t="s">
        <v>251</v>
      </c>
      <c r="F156" s="41">
        <v>44456</v>
      </c>
      <c r="G156" s="25">
        <v>257</v>
      </c>
      <c r="H156" s="25">
        <v>0</v>
      </c>
      <c r="I156" s="42" t="s">
        <v>252</v>
      </c>
      <c r="J156" s="41">
        <v>44926</v>
      </c>
      <c r="K156" s="25">
        <v>328</v>
      </c>
      <c r="L156" s="25">
        <v>0</v>
      </c>
      <c r="M156" s="42" t="s">
        <v>253</v>
      </c>
      <c r="N156" s="41">
        <v>45019</v>
      </c>
      <c r="O156" s="25">
        <v>330</v>
      </c>
      <c r="P156" s="25">
        <v>0</v>
      </c>
      <c r="Q156" s="42" t="s">
        <v>254</v>
      </c>
      <c r="R156" s="41">
        <v>45301</v>
      </c>
      <c r="S156" s="25">
        <v>85</v>
      </c>
      <c r="T156" s="10">
        <v>0</v>
      </c>
    </row>
    <row r="157" s="35" customFormat="1" ht="18.5" customHeight="1" spans="1:20">
      <c r="A157" s="16" t="s">
        <v>251</v>
      </c>
      <c r="B157" s="41">
        <v>44975</v>
      </c>
      <c r="C157" s="25">
        <v>5</v>
      </c>
      <c r="D157" s="25"/>
      <c r="E157" s="42" t="s">
        <v>251</v>
      </c>
      <c r="F157" s="41">
        <v>44321</v>
      </c>
      <c r="G157" s="25">
        <v>239</v>
      </c>
      <c r="H157" s="25">
        <v>0</v>
      </c>
      <c r="I157" s="42" t="s">
        <v>252</v>
      </c>
      <c r="J157" s="41">
        <v>44907</v>
      </c>
      <c r="K157" s="25">
        <v>327</v>
      </c>
      <c r="L157" s="25">
        <v>0</v>
      </c>
      <c r="M157" s="42" t="s">
        <v>253</v>
      </c>
      <c r="N157" s="41">
        <v>45008</v>
      </c>
      <c r="O157" s="25">
        <v>320</v>
      </c>
      <c r="P157" s="25">
        <v>0</v>
      </c>
      <c r="Q157" s="42" t="s">
        <v>254</v>
      </c>
      <c r="R157" s="41">
        <v>45303</v>
      </c>
      <c r="S157" s="25">
        <v>78</v>
      </c>
      <c r="T157" s="10">
        <v>0</v>
      </c>
    </row>
    <row r="158" s="35" customFormat="1" ht="18.5" customHeight="1" spans="1:20">
      <c r="A158" s="16" t="s">
        <v>251</v>
      </c>
      <c r="B158" s="41">
        <v>44436</v>
      </c>
      <c r="C158" s="25">
        <v>0</v>
      </c>
      <c r="D158" s="25"/>
      <c r="E158" s="42" t="s">
        <v>251</v>
      </c>
      <c r="F158" s="41">
        <v>44352</v>
      </c>
      <c r="G158" s="25">
        <v>237</v>
      </c>
      <c r="H158" s="25">
        <v>0</v>
      </c>
      <c r="I158" s="42" t="s">
        <v>252</v>
      </c>
      <c r="J158" s="41">
        <v>44670</v>
      </c>
      <c r="K158" s="25">
        <v>327</v>
      </c>
      <c r="L158" s="25">
        <v>0</v>
      </c>
      <c r="M158" s="42" t="s">
        <v>253</v>
      </c>
      <c r="N158" s="41">
        <v>45051</v>
      </c>
      <c r="O158" s="25">
        <v>319</v>
      </c>
      <c r="P158" s="25">
        <v>0</v>
      </c>
      <c r="Q158" s="42" t="s">
        <v>254</v>
      </c>
      <c r="R158" s="41">
        <v>45303</v>
      </c>
      <c r="S158" s="25">
        <v>73</v>
      </c>
      <c r="T158" s="10">
        <v>0</v>
      </c>
    </row>
    <row r="159" s="35" customFormat="1" ht="18.5" customHeight="1" spans="1:20">
      <c r="A159" s="16" t="s">
        <v>251</v>
      </c>
      <c r="B159" s="41">
        <v>44482</v>
      </c>
      <c r="C159" s="25">
        <v>1</v>
      </c>
      <c r="D159" s="25"/>
      <c r="E159" s="42" t="s">
        <v>251</v>
      </c>
      <c r="F159" s="41">
        <v>44325</v>
      </c>
      <c r="G159" s="25">
        <v>235</v>
      </c>
      <c r="H159" s="25">
        <v>0</v>
      </c>
      <c r="I159" s="42" t="s">
        <v>252</v>
      </c>
      <c r="J159" s="41">
        <v>44757</v>
      </c>
      <c r="K159" s="25">
        <v>325</v>
      </c>
      <c r="L159" s="25">
        <v>0</v>
      </c>
      <c r="M159" s="42" t="s">
        <v>253</v>
      </c>
      <c r="N159" s="41">
        <v>44988</v>
      </c>
      <c r="O159" s="25">
        <v>316</v>
      </c>
      <c r="P159" s="25">
        <v>0</v>
      </c>
      <c r="Q159" s="42" t="s">
        <v>254</v>
      </c>
      <c r="R159" s="41">
        <v>45307</v>
      </c>
      <c r="S159" s="25">
        <v>71</v>
      </c>
      <c r="T159" s="10">
        <v>0</v>
      </c>
    </row>
    <row r="160" s="35" customFormat="1" ht="18.5" customHeight="1" spans="1:20">
      <c r="A160" s="16" t="s">
        <v>251</v>
      </c>
      <c r="B160" s="41">
        <v>44435</v>
      </c>
      <c r="C160" s="25">
        <v>1</v>
      </c>
      <c r="D160" s="25"/>
      <c r="E160" s="42" t="s">
        <v>251</v>
      </c>
      <c r="F160" s="41">
        <v>44449</v>
      </c>
      <c r="G160" s="25">
        <v>227</v>
      </c>
      <c r="H160" s="25">
        <v>0</v>
      </c>
      <c r="I160" s="42" t="s">
        <v>252</v>
      </c>
      <c r="J160" s="41">
        <v>44845</v>
      </c>
      <c r="K160" s="25">
        <v>324</v>
      </c>
      <c r="L160" s="25">
        <v>0</v>
      </c>
      <c r="M160" s="42" t="s">
        <v>253</v>
      </c>
      <c r="N160" s="41">
        <v>45040</v>
      </c>
      <c r="O160" s="25">
        <v>314</v>
      </c>
      <c r="P160" s="25">
        <v>0</v>
      </c>
      <c r="Q160" s="42" t="s">
        <v>254</v>
      </c>
      <c r="R160" s="41">
        <v>45301</v>
      </c>
      <c r="S160" s="25">
        <v>71</v>
      </c>
      <c r="T160" s="10">
        <v>0</v>
      </c>
    </row>
    <row r="161" s="35" customFormat="1" ht="18.5" customHeight="1" spans="1:20">
      <c r="A161" s="16" t="s">
        <v>251</v>
      </c>
      <c r="B161" s="41">
        <v>45276</v>
      </c>
      <c r="C161" s="25">
        <v>7</v>
      </c>
      <c r="D161" s="25"/>
      <c r="E161" s="42" t="s">
        <v>251</v>
      </c>
      <c r="F161" s="41">
        <v>44452</v>
      </c>
      <c r="G161" s="25">
        <v>225</v>
      </c>
      <c r="H161" s="25">
        <v>0</v>
      </c>
      <c r="I161" s="42" t="s">
        <v>252</v>
      </c>
      <c r="J161" s="41">
        <v>44838</v>
      </c>
      <c r="K161" s="25">
        <v>324</v>
      </c>
      <c r="L161" s="25">
        <v>0</v>
      </c>
      <c r="M161" s="42" t="s">
        <v>253</v>
      </c>
      <c r="N161" s="41">
        <v>44939</v>
      </c>
      <c r="O161" s="25">
        <v>314</v>
      </c>
      <c r="P161" s="25">
        <v>0</v>
      </c>
      <c r="Q161" s="42" t="s">
        <v>254</v>
      </c>
      <c r="R161" s="41">
        <v>45301</v>
      </c>
      <c r="S161" s="25">
        <v>67</v>
      </c>
      <c r="T161" s="10">
        <v>0</v>
      </c>
    </row>
    <row r="162" s="35" customFormat="1" ht="18.5" customHeight="1" spans="1:20">
      <c r="A162" s="16" t="s">
        <v>251</v>
      </c>
      <c r="B162" s="41">
        <v>45287</v>
      </c>
      <c r="C162" s="25">
        <v>2</v>
      </c>
      <c r="D162" s="25"/>
      <c r="E162" s="42" t="s">
        <v>251</v>
      </c>
      <c r="F162" s="41">
        <v>44513</v>
      </c>
      <c r="G162" s="25">
        <v>221</v>
      </c>
      <c r="H162" s="25">
        <v>0</v>
      </c>
      <c r="I162" s="42" t="s">
        <v>252</v>
      </c>
      <c r="J162" s="41">
        <v>44811</v>
      </c>
      <c r="K162" s="25">
        <v>324</v>
      </c>
      <c r="L162" s="25">
        <v>0</v>
      </c>
      <c r="M162" s="42" t="s">
        <v>253</v>
      </c>
      <c r="N162" s="41">
        <v>45008</v>
      </c>
      <c r="O162" s="25">
        <v>312</v>
      </c>
      <c r="P162" s="25">
        <v>0</v>
      </c>
      <c r="Q162" s="42" t="s">
        <v>254</v>
      </c>
      <c r="R162" s="41">
        <v>45307</v>
      </c>
      <c r="S162" s="25">
        <v>64</v>
      </c>
      <c r="T162" s="10">
        <v>0</v>
      </c>
    </row>
    <row r="163" s="35" customFormat="1" ht="18.5" customHeight="1" spans="1:20">
      <c r="A163" s="16" t="s">
        <v>251</v>
      </c>
      <c r="B163" s="41">
        <v>45294</v>
      </c>
      <c r="C163" s="25">
        <v>5</v>
      </c>
      <c r="D163" s="25"/>
      <c r="E163" s="42" t="s">
        <v>251</v>
      </c>
      <c r="F163" s="41">
        <v>44386</v>
      </c>
      <c r="G163" s="25">
        <v>216</v>
      </c>
      <c r="H163" s="25">
        <v>0</v>
      </c>
      <c r="I163" s="42" t="s">
        <v>252</v>
      </c>
      <c r="J163" s="41">
        <v>44829</v>
      </c>
      <c r="K163" s="25">
        <v>322</v>
      </c>
      <c r="L163" s="25">
        <v>0</v>
      </c>
      <c r="M163" s="42" t="s">
        <v>253</v>
      </c>
      <c r="N163" s="41">
        <v>44987</v>
      </c>
      <c r="O163" s="25">
        <v>308</v>
      </c>
      <c r="P163" s="25">
        <v>0</v>
      </c>
      <c r="Q163" s="42" t="s">
        <v>254</v>
      </c>
      <c r="R163" s="41">
        <v>45308</v>
      </c>
      <c r="S163" s="25">
        <v>51</v>
      </c>
      <c r="T163" s="10">
        <v>0</v>
      </c>
    </row>
    <row r="164" s="35" customFormat="1" ht="18.5" customHeight="1" spans="1:20">
      <c r="A164" s="16" t="s">
        <v>251</v>
      </c>
      <c r="B164" s="41">
        <v>44422</v>
      </c>
      <c r="C164" s="25">
        <v>0</v>
      </c>
      <c r="D164" s="25"/>
      <c r="E164" s="42" t="s">
        <v>251</v>
      </c>
      <c r="F164" s="41">
        <v>44463</v>
      </c>
      <c r="G164" s="25">
        <v>202</v>
      </c>
      <c r="H164" s="25">
        <v>0</v>
      </c>
      <c r="I164" s="42" t="s">
        <v>252</v>
      </c>
      <c r="J164" s="41">
        <v>44757</v>
      </c>
      <c r="K164" s="25">
        <v>322</v>
      </c>
      <c r="L164" s="25">
        <v>0</v>
      </c>
      <c r="M164" s="42" t="s">
        <v>253</v>
      </c>
      <c r="N164" s="41">
        <v>45266</v>
      </c>
      <c r="O164" s="25">
        <v>308</v>
      </c>
      <c r="P164" s="25">
        <v>0</v>
      </c>
      <c r="Q164" s="42" t="s">
        <v>254</v>
      </c>
      <c r="R164" s="41">
        <v>45307</v>
      </c>
      <c r="S164" s="25">
        <v>50</v>
      </c>
      <c r="T164" s="10">
        <v>0</v>
      </c>
    </row>
    <row r="165" s="35" customFormat="1" ht="18.5" customHeight="1" spans="1:20">
      <c r="A165" s="16" t="s">
        <v>251</v>
      </c>
      <c r="B165" s="41">
        <v>44344</v>
      </c>
      <c r="C165" s="25">
        <v>0</v>
      </c>
      <c r="D165" s="25"/>
      <c r="E165" s="42" t="s">
        <v>251</v>
      </c>
      <c r="F165" s="41">
        <v>44355</v>
      </c>
      <c r="G165" s="25">
        <v>179</v>
      </c>
      <c r="H165" s="25">
        <v>0</v>
      </c>
      <c r="I165" s="42" t="s">
        <v>252</v>
      </c>
      <c r="J165" s="41">
        <v>44740</v>
      </c>
      <c r="K165" s="25">
        <v>318</v>
      </c>
      <c r="L165" s="25">
        <v>0</v>
      </c>
      <c r="M165" s="42" t="s">
        <v>253</v>
      </c>
      <c r="N165" s="41">
        <v>45216</v>
      </c>
      <c r="O165" s="25">
        <v>307</v>
      </c>
      <c r="P165" s="25">
        <v>0</v>
      </c>
      <c r="Q165" s="42" t="s">
        <v>254</v>
      </c>
      <c r="R165" s="41">
        <v>45311</v>
      </c>
      <c r="S165" s="25">
        <v>32</v>
      </c>
      <c r="T165" s="10">
        <v>0</v>
      </c>
    </row>
    <row r="166" s="35" customFormat="1" ht="18.5" customHeight="1" spans="1:20">
      <c r="A166" s="16" t="s">
        <v>251</v>
      </c>
      <c r="B166" s="41">
        <v>45277</v>
      </c>
      <c r="C166" s="25">
        <v>7</v>
      </c>
      <c r="D166" s="25"/>
      <c r="E166" s="42" t="s">
        <v>251</v>
      </c>
      <c r="F166" s="41">
        <v>44354</v>
      </c>
      <c r="G166" s="25">
        <v>1168</v>
      </c>
      <c r="H166" s="25">
        <v>0</v>
      </c>
      <c r="I166" s="42" t="s">
        <v>252</v>
      </c>
      <c r="J166" s="41">
        <v>44853</v>
      </c>
      <c r="K166" s="25">
        <v>317</v>
      </c>
      <c r="L166" s="25">
        <v>0</v>
      </c>
      <c r="M166" s="42" t="s">
        <v>253</v>
      </c>
      <c r="N166" s="41">
        <v>45215</v>
      </c>
      <c r="O166" s="25">
        <v>307</v>
      </c>
      <c r="P166" s="25">
        <v>0</v>
      </c>
      <c r="Q166" s="42" t="s">
        <v>254</v>
      </c>
      <c r="R166" s="41">
        <v>45301</v>
      </c>
      <c r="S166" s="25">
        <v>225</v>
      </c>
      <c r="T166" s="10">
        <v>0</v>
      </c>
    </row>
    <row r="167" s="35" customFormat="1" ht="18.5" customHeight="1" spans="1:20">
      <c r="A167" s="16" t="s">
        <v>251</v>
      </c>
      <c r="B167" s="41">
        <v>45288</v>
      </c>
      <c r="C167" s="25">
        <v>5</v>
      </c>
      <c r="D167" s="25"/>
      <c r="E167" s="42" t="s">
        <v>251</v>
      </c>
      <c r="F167" s="41">
        <v>44450</v>
      </c>
      <c r="G167" s="25">
        <v>309</v>
      </c>
      <c r="H167" s="25">
        <v>0</v>
      </c>
      <c r="I167" s="42" t="s">
        <v>252</v>
      </c>
      <c r="J167" s="41">
        <v>44713</v>
      </c>
      <c r="K167" s="25">
        <v>314</v>
      </c>
      <c r="L167" s="25">
        <v>0</v>
      </c>
      <c r="M167" s="42" t="s">
        <v>253</v>
      </c>
      <c r="N167" s="41">
        <v>45233</v>
      </c>
      <c r="O167" s="25">
        <v>303</v>
      </c>
      <c r="P167" s="25">
        <v>0</v>
      </c>
      <c r="Q167" s="42" t="s">
        <v>254</v>
      </c>
      <c r="R167" s="41">
        <v>45306</v>
      </c>
      <c r="S167" s="25">
        <v>87</v>
      </c>
      <c r="T167" s="10">
        <v>0</v>
      </c>
    </row>
    <row r="168" s="35" customFormat="1" ht="18.5" customHeight="1" spans="1:20">
      <c r="A168" s="16" t="s">
        <v>251</v>
      </c>
      <c r="B168" s="41">
        <v>45295</v>
      </c>
      <c r="C168" s="25">
        <v>8</v>
      </c>
      <c r="D168" s="25"/>
      <c r="E168" s="42" t="s">
        <v>251</v>
      </c>
      <c r="F168" s="41">
        <v>44520</v>
      </c>
      <c r="G168" s="25">
        <v>422</v>
      </c>
      <c r="H168" s="25">
        <v>0</v>
      </c>
      <c r="I168" s="42" t="s">
        <v>252</v>
      </c>
      <c r="J168" s="41">
        <v>44924</v>
      </c>
      <c r="K168" s="25">
        <v>313</v>
      </c>
      <c r="L168" s="25">
        <v>0</v>
      </c>
      <c r="M168" s="42" t="s">
        <v>253</v>
      </c>
      <c r="N168" s="41">
        <v>44927</v>
      </c>
      <c r="O168" s="25">
        <v>301</v>
      </c>
      <c r="P168" s="25">
        <v>0</v>
      </c>
      <c r="Q168" s="42" t="s">
        <v>254</v>
      </c>
      <c r="R168" s="41">
        <v>45307</v>
      </c>
      <c r="S168" s="25">
        <v>221</v>
      </c>
      <c r="T168" s="10">
        <v>0</v>
      </c>
    </row>
    <row r="169" s="35" customFormat="1" ht="18.5" customHeight="1" spans="1:20">
      <c r="A169" s="16" t="s">
        <v>251</v>
      </c>
      <c r="B169" s="41">
        <v>45285</v>
      </c>
      <c r="C169" s="25">
        <v>6</v>
      </c>
      <c r="D169" s="25"/>
      <c r="E169" s="42" t="s">
        <v>251</v>
      </c>
      <c r="F169" s="41">
        <v>44481</v>
      </c>
      <c r="G169" s="25">
        <v>214</v>
      </c>
      <c r="H169" s="25">
        <v>0</v>
      </c>
      <c r="I169" s="42" t="s">
        <v>252</v>
      </c>
      <c r="J169" s="41">
        <v>44696</v>
      </c>
      <c r="K169" s="25">
        <v>313</v>
      </c>
      <c r="L169" s="25">
        <v>0</v>
      </c>
      <c r="M169" s="42" t="s">
        <v>253</v>
      </c>
      <c r="N169" s="41">
        <v>45044</v>
      </c>
      <c r="O169" s="25">
        <v>300</v>
      </c>
      <c r="P169" s="25">
        <v>0</v>
      </c>
      <c r="Q169" s="42" t="s">
        <v>254</v>
      </c>
      <c r="R169" s="41">
        <v>45293</v>
      </c>
      <c r="S169" s="25">
        <v>169</v>
      </c>
      <c r="T169" s="10">
        <v>0</v>
      </c>
    </row>
    <row r="170" s="35" customFormat="1" ht="18.5" customHeight="1" spans="1:20">
      <c r="A170" s="16" t="s">
        <v>251</v>
      </c>
      <c r="B170" s="41">
        <v>44520</v>
      </c>
      <c r="C170" s="25">
        <v>0</v>
      </c>
      <c r="D170" s="25"/>
      <c r="E170" s="42" t="s">
        <v>251</v>
      </c>
      <c r="F170" s="41">
        <v>44354</v>
      </c>
      <c r="G170" s="25">
        <v>278</v>
      </c>
      <c r="H170" s="25">
        <v>0</v>
      </c>
      <c r="I170" s="42" t="s">
        <v>252</v>
      </c>
      <c r="J170" s="41">
        <v>44909</v>
      </c>
      <c r="K170" s="25">
        <v>312</v>
      </c>
      <c r="L170" s="25">
        <v>0</v>
      </c>
      <c r="M170" s="42" t="s">
        <v>253</v>
      </c>
      <c r="N170" s="41">
        <v>45239</v>
      </c>
      <c r="O170" s="25">
        <v>299</v>
      </c>
      <c r="P170" s="25">
        <v>0</v>
      </c>
      <c r="Q170" s="42" t="s">
        <v>254</v>
      </c>
      <c r="R170" s="41">
        <v>45307</v>
      </c>
      <c r="S170" s="25">
        <v>70</v>
      </c>
      <c r="T170" s="10">
        <v>0</v>
      </c>
    </row>
    <row r="171" s="35" customFormat="1" ht="18.5" customHeight="1" spans="1:20">
      <c r="A171" s="16" t="s">
        <v>251</v>
      </c>
      <c r="B171" s="41">
        <v>44481</v>
      </c>
      <c r="C171" s="25">
        <v>0</v>
      </c>
      <c r="D171" s="25"/>
      <c r="E171" s="42" t="s">
        <v>251</v>
      </c>
      <c r="F171" s="41">
        <v>44379</v>
      </c>
      <c r="G171" s="25">
        <v>1005</v>
      </c>
      <c r="H171" s="25">
        <v>0</v>
      </c>
      <c r="I171" s="42" t="s">
        <v>252</v>
      </c>
      <c r="J171" s="41">
        <v>44779</v>
      </c>
      <c r="K171" s="25">
        <v>311</v>
      </c>
      <c r="L171" s="25">
        <v>0</v>
      </c>
      <c r="M171" s="42" t="s">
        <v>253</v>
      </c>
      <c r="N171" s="41">
        <v>45245</v>
      </c>
      <c r="O171" s="25">
        <v>295</v>
      </c>
      <c r="P171" s="25">
        <v>0</v>
      </c>
      <c r="Q171" s="42" t="s">
        <v>254</v>
      </c>
      <c r="R171" s="41">
        <v>45300</v>
      </c>
      <c r="S171" s="25">
        <v>380</v>
      </c>
      <c r="T171" s="10">
        <v>0</v>
      </c>
    </row>
    <row r="172" s="35" customFormat="1" ht="18.5" customHeight="1" spans="1:20">
      <c r="A172" s="16" t="s">
        <v>251</v>
      </c>
      <c r="B172" s="41">
        <v>44442</v>
      </c>
      <c r="C172" s="25">
        <v>2</v>
      </c>
      <c r="D172" s="25"/>
      <c r="E172" s="42" t="s">
        <v>251</v>
      </c>
      <c r="F172" s="41">
        <v>44360</v>
      </c>
      <c r="G172" s="25">
        <v>684</v>
      </c>
      <c r="H172" s="25">
        <v>0</v>
      </c>
      <c r="I172" s="42" t="s">
        <v>252</v>
      </c>
      <c r="J172" s="41">
        <v>44724</v>
      </c>
      <c r="K172" s="25">
        <v>308</v>
      </c>
      <c r="L172" s="25">
        <v>0</v>
      </c>
      <c r="M172" s="42" t="s">
        <v>253</v>
      </c>
      <c r="N172" s="41">
        <v>45020</v>
      </c>
      <c r="O172" s="25">
        <v>295</v>
      </c>
      <c r="P172" s="25">
        <v>0</v>
      </c>
      <c r="Q172" s="42" t="s">
        <v>254</v>
      </c>
      <c r="R172" s="41">
        <v>45300</v>
      </c>
      <c r="S172" s="25">
        <v>187</v>
      </c>
      <c r="T172" s="10">
        <v>0</v>
      </c>
    </row>
    <row r="173" s="35" customFormat="1" ht="18.5" customHeight="1" spans="1:20">
      <c r="A173" s="16" t="s">
        <v>251</v>
      </c>
      <c r="B173" s="41">
        <v>44712</v>
      </c>
      <c r="C173" s="25">
        <v>1</v>
      </c>
      <c r="D173" s="25"/>
      <c r="E173" s="42" t="s">
        <v>251</v>
      </c>
      <c r="F173" s="41">
        <v>44444</v>
      </c>
      <c r="G173" s="25">
        <v>346</v>
      </c>
      <c r="H173" s="25">
        <v>0</v>
      </c>
      <c r="I173" s="42" t="s">
        <v>252</v>
      </c>
      <c r="J173" s="41">
        <v>44823</v>
      </c>
      <c r="K173" s="25">
        <v>307</v>
      </c>
      <c r="L173" s="25">
        <v>0</v>
      </c>
      <c r="M173" s="42" t="s">
        <v>253</v>
      </c>
      <c r="N173" s="41">
        <v>45001</v>
      </c>
      <c r="O173" s="25">
        <v>294</v>
      </c>
      <c r="P173" s="25">
        <v>0</v>
      </c>
      <c r="Q173" s="42" t="s">
        <v>254</v>
      </c>
      <c r="R173" s="41">
        <v>45301</v>
      </c>
      <c r="S173" s="25">
        <v>123</v>
      </c>
      <c r="T173" s="10">
        <v>0</v>
      </c>
    </row>
    <row r="174" s="35" customFormat="1" ht="18.5" customHeight="1" spans="1:20">
      <c r="A174" s="16" t="s">
        <v>251</v>
      </c>
      <c r="B174" s="41">
        <v>44502</v>
      </c>
      <c r="C174" s="25">
        <v>1</v>
      </c>
      <c r="D174" s="25"/>
      <c r="E174" s="42" t="s">
        <v>251</v>
      </c>
      <c r="F174" s="41">
        <v>44434</v>
      </c>
      <c r="G174" s="25">
        <v>325</v>
      </c>
      <c r="H174" s="25">
        <v>0</v>
      </c>
      <c r="I174" s="42" t="s">
        <v>252</v>
      </c>
      <c r="J174" s="41">
        <v>44738</v>
      </c>
      <c r="K174" s="25">
        <v>304</v>
      </c>
      <c r="L174" s="25">
        <v>0</v>
      </c>
      <c r="M174" s="42" t="s">
        <v>253</v>
      </c>
      <c r="N174" s="41">
        <v>44977</v>
      </c>
      <c r="O174" s="25">
        <v>291</v>
      </c>
      <c r="P174" s="25">
        <v>0</v>
      </c>
      <c r="Q174" s="42" t="s">
        <v>254</v>
      </c>
      <c r="R174" s="41">
        <v>45301</v>
      </c>
      <c r="S174" s="25">
        <v>106</v>
      </c>
      <c r="T174" s="10">
        <v>0</v>
      </c>
    </row>
    <row r="175" s="35" customFormat="1" ht="18.5" customHeight="1" spans="1:20">
      <c r="A175" s="16" t="s">
        <v>251</v>
      </c>
      <c r="B175" s="41">
        <v>45295</v>
      </c>
      <c r="C175" s="25">
        <v>2</v>
      </c>
      <c r="D175" s="25"/>
      <c r="E175" s="42" t="s">
        <v>251</v>
      </c>
      <c r="F175" s="41">
        <v>44430</v>
      </c>
      <c r="G175" s="25">
        <v>510</v>
      </c>
      <c r="H175" s="25">
        <v>0</v>
      </c>
      <c r="I175" s="42" t="s">
        <v>252</v>
      </c>
      <c r="J175" s="41">
        <v>44893</v>
      </c>
      <c r="K175" s="25">
        <v>303</v>
      </c>
      <c r="L175" s="25">
        <v>0</v>
      </c>
      <c r="M175" s="42" t="s">
        <v>253</v>
      </c>
      <c r="N175" s="41">
        <v>45240</v>
      </c>
      <c r="O175" s="25">
        <v>287</v>
      </c>
      <c r="P175" s="25">
        <v>0</v>
      </c>
      <c r="Q175" s="42" t="s">
        <v>254</v>
      </c>
      <c r="R175" s="41">
        <v>45302</v>
      </c>
      <c r="S175" s="25">
        <v>86</v>
      </c>
      <c r="T175" s="10">
        <v>0</v>
      </c>
    </row>
    <row r="176" s="35" customFormat="1" ht="18.5" customHeight="1" spans="1:20">
      <c r="A176" s="16" t="s">
        <v>251</v>
      </c>
      <c r="B176" s="41">
        <v>45295</v>
      </c>
      <c r="C176" s="25">
        <v>3</v>
      </c>
      <c r="D176" s="25"/>
      <c r="E176" s="42" t="s">
        <v>251</v>
      </c>
      <c r="F176" s="41">
        <v>44446</v>
      </c>
      <c r="G176" s="25">
        <v>442</v>
      </c>
      <c r="H176" s="25">
        <v>0</v>
      </c>
      <c r="I176" s="42" t="s">
        <v>252</v>
      </c>
      <c r="J176" s="41">
        <v>44791</v>
      </c>
      <c r="K176" s="25">
        <v>302</v>
      </c>
      <c r="L176" s="25">
        <v>0</v>
      </c>
      <c r="M176" s="42" t="s">
        <v>253</v>
      </c>
      <c r="N176" s="41">
        <v>45095</v>
      </c>
      <c r="O176" s="25">
        <v>287</v>
      </c>
      <c r="P176" s="25">
        <v>0</v>
      </c>
      <c r="Q176" s="42" t="s">
        <v>254</v>
      </c>
      <c r="R176" s="41">
        <v>45307</v>
      </c>
      <c r="S176" s="25">
        <v>82</v>
      </c>
      <c r="T176" s="10">
        <v>0</v>
      </c>
    </row>
    <row r="177" s="35" customFormat="1" ht="18.5" customHeight="1" spans="1:20">
      <c r="A177" s="16" t="s">
        <v>251</v>
      </c>
      <c r="B177" s="41">
        <v>45073</v>
      </c>
      <c r="C177" s="25">
        <v>2</v>
      </c>
      <c r="D177" s="25"/>
      <c r="E177" s="42" t="s">
        <v>251</v>
      </c>
      <c r="F177" s="41">
        <v>44471</v>
      </c>
      <c r="G177" s="25">
        <v>424</v>
      </c>
      <c r="H177" s="25">
        <v>0</v>
      </c>
      <c r="I177" s="42" t="s">
        <v>252</v>
      </c>
      <c r="J177" s="41">
        <v>44758</v>
      </c>
      <c r="K177" s="25">
        <v>301</v>
      </c>
      <c r="L177" s="25">
        <v>0</v>
      </c>
      <c r="M177" s="42" t="s">
        <v>253</v>
      </c>
      <c r="N177" s="41">
        <v>45208</v>
      </c>
      <c r="O177" s="25">
        <v>285</v>
      </c>
      <c r="P177" s="25">
        <v>0</v>
      </c>
      <c r="Q177" s="42" t="s">
        <v>254</v>
      </c>
      <c r="R177" s="41">
        <v>45308</v>
      </c>
      <c r="S177" s="25">
        <v>75</v>
      </c>
      <c r="T177" s="10">
        <v>0</v>
      </c>
    </row>
    <row r="178" s="35" customFormat="1" ht="18.5" customHeight="1" spans="1:20">
      <c r="A178" s="16" t="s">
        <v>251</v>
      </c>
      <c r="B178" s="41">
        <v>44545</v>
      </c>
      <c r="C178" s="25">
        <v>3</v>
      </c>
      <c r="D178" s="25"/>
      <c r="E178" s="42" t="s">
        <v>251</v>
      </c>
      <c r="F178" s="41">
        <v>44532</v>
      </c>
      <c r="G178" s="25">
        <v>370</v>
      </c>
      <c r="H178" s="25">
        <v>0</v>
      </c>
      <c r="I178" s="42" t="s">
        <v>252</v>
      </c>
      <c r="J178" s="41">
        <v>44646</v>
      </c>
      <c r="K178" s="25">
        <v>301</v>
      </c>
      <c r="L178" s="25">
        <v>0</v>
      </c>
      <c r="M178" s="42" t="s">
        <v>253</v>
      </c>
      <c r="N178" s="41">
        <v>45249</v>
      </c>
      <c r="O178" s="25">
        <v>285</v>
      </c>
      <c r="P178" s="25">
        <v>0</v>
      </c>
      <c r="Q178" s="42" t="s">
        <v>254</v>
      </c>
      <c r="R178" s="41">
        <v>45304</v>
      </c>
      <c r="S178" s="25">
        <v>67</v>
      </c>
      <c r="T178" s="10">
        <v>0</v>
      </c>
    </row>
    <row r="179" s="35" customFormat="1" ht="18.5" customHeight="1" spans="1:20">
      <c r="A179" s="16" t="s">
        <v>251</v>
      </c>
      <c r="B179" s="41">
        <v>45285</v>
      </c>
      <c r="C179" s="25">
        <v>1</v>
      </c>
      <c r="D179" s="25"/>
      <c r="E179" s="42" t="s">
        <v>251</v>
      </c>
      <c r="F179" s="41">
        <v>44339</v>
      </c>
      <c r="G179" s="25">
        <v>293</v>
      </c>
      <c r="H179" s="25">
        <v>0</v>
      </c>
      <c r="I179" s="42" t="s">
        <v>252</v>
      </c>
      <c r="J179" s="41">
        <v>44810</v>
      </c>
      <c r="K179" s="25">
        <v>299</v>
      </c>
      <c r="L179" s="25">
        <v>0</v>
      </c>
      <c r="M179" s="42" t="s">
        <v>253</v>
      </c>
      <c r="N179" s="41">
        <v>44991</v>
      </c>
      <c r="O179" s="25">
        <v>281</v>
      </c>
      <c r="P179" s="25">
        <v>0</v>
      </c>
      <c r="Q179" s="42" t="s">
        <v>254</v>
      </c>
      <c r="R179" s="41">
        <v>45303</v>
      </c>
      <c r="S179" s="25">
        <v>66</v>
      </c>
      <c r="T179" s="10">
        <v>0</v>
      </c>
    </row>
    <row r="180" s="35" customFormat="1" ht="18.5" customHeight="1" spans="1:20">
      <c r="A180" s="16" t="s">
        <v>251</v>
      </c>
      <c r="B180" s="41">
        <v>44379</v>
      </c>
      <c r="C180" s="25">
        <v>3</v>
      </c>
      <c r="D180" s="25"/>
      <c r="E180" s="42" t="s">
        <v>251</v>
      </c>
      <c r="F180" s="41">
        <v>44329</v>
      </c>
      <c r="G180" s="25">
        <v>271</v>
      </c>
      <c r="H180" s="25">
        <v>0</v>
      </c>
      <c r="I180" s="42" t="s">
        <v>252</v>
      </c>
      <c r="J180" s="41">
        <v>44837</v>
      </c>
      <c r="K180" s="25">
        <v>296</v>
      </c>
      <c r="L180" s="25">
        <v>0</v>
      </c>
      <c r="M180" s="42" t="s">
        <v>253</v>
      </c>
      <c r="N180" s="41">
        <v>44973</v>
      </c>
      <c r="O180" s="25">
        <v>281</v>
      </c>
      <c r="P180" s="25">
        <v>0</v>
      </c>
      <c r="Q180" s="42" t="s">
        <v>254</v>
      </c>
      <c r="R180" s="41">
        <v>45310</v>
      </c>
      <c r="S180" s="25">
        <v>49</v>
      </c>
      <c r="T180" s="10">
        <v>0</v>
      </c>
    </row>
    <row r="181" s="35" customFormat="1" ht="18.5" customHeight="1" spans="1:20">
      <c r="A181" s="16" t="s">
        <v>251</v>
      </c>
      <c r="B181" s="41">
        <v>44452</v>
      </c>
      <c r="C181" s="25">
        <v>1</v>
      </c>
      <c r="D181" s="25"/>
      <c r="E181" s="42" t="s">
        <v>251</v>
      </c>
      <c r="F181" s="41">
        <v>44471</v>
      </c>
      <c r="G181" s="25">
        <v>270</v>
      </c>
      <c r="H181" s="25">
        <v>0</v>
      </c>
      <c r="I181" s="42" t="s">
        <v>252</v>
      </c>
      <c r="J181" s="41">
        <v>44787</v>
      </c>
      <c r="K181" s="25">
        <v>295</v>
      </c>
      <c r="L181" s="25">
        <v>0</v>
      </c>
      <c r="M181" s="42" t="s">
        <v>253</v>
      </c>
      <c r="N181" s="41">
        <v>44967</v>
      </c>
      <c r="O181" s="25">
        <v>1563</v>
      </c>
      <c r="P181" s="25">
        <v>0</v>
      </c>
      <c r="Q181" s="42" t="s">
        <v>254</v>
      </c>
      <c r="R181" s="41">
        <v>45310</v>
      </c>
      <c r="S181" s="25">
        <v>44</v>
      </c>
      <c r="T181" s="10">
        <v>0</v>
      </c>
    </row>
    <row r="182" s="35" customFormat="1" ht="18.5" customHeight="1" spans="1:20">
      <c r="A182" s="16" t="s">
        <v>251</v>
      </c>
      <c r="B182" s="41">
        <v>44922</v>
      </c>
      <c r="C182" s="25">
        <v>2</v>
      </c>
      <c r="D182" s="25"/>
      <c r="E182" s="42" t="s">
        <v>251</v>
      </c>
      <c r="F182" s="41">
        <v>44487</v>
      </c>
      <c r="G182" s="25">
        <v>244</v>
      </c>
      <c r="H182" s="25">
        <v>0</v>
      </c>
      <c r="I182" s="42" t="s">
        <v>252</v>
      </c>
      <c r="J182" s="41">
        <v>44872</v>
      </c>
      <c r="K182" s="25">
        <v>293</v>
      </c>
      <c r="L182" s="25">
        <v>0</v>
      </c>
      <c r="M182" s="42" t="s">
        <v>253</v>
      </c>
      <c r="N182" s="41">
        <v>44933</v>
      </c>
      <c r="O182" s="25">
        <v>277</v>
      </c>
      <c r="P182" s="25">
        <v>0</v>
      </c>
      <c r="Q182" s="42" t="s">
        <v>254</v>
      </c>
      <c r="R182" s="41">
        <v>45296</v>
      </c>
      <c r="S182" s="25">
        <v>195</v>
      </c>
      <c r="T182" s="10">
        <v>0</v>
      </c>
    </row>
    <row r="183" s="35" customFormat="1" ht="18.5" customHeight="1" spans="1:20">
      <c r="A183" s="16" t="s">
        <v>251</v>
      </c>
      <c r="B183" s="41">
        <v>44450</v>
      </c>
      <c r="C183" s="25">
        <v>3</v>
      </c>
      <c r="D183" s="25"/>
      <c r="E183" s="42" t="s">
        <v>251</v>
      </c>
      <c r="F183" s="41">
        <v>44476</v>
      </c>
      <c r="G183" s="25">
        <v>238</v>
      </c>
      <c r="H183" s="25">
        <v>0</v>
      </c>
      <c r="I183" s="42" t="s">
        <v>252</v>
      </c>
      <c r="J183" s="41">
        <v>44897</v>
      </c>
      <c r="K183" s="25">
        <v>291</v>
      </c>
      <c r="L183" s="25">
        <v>0</v>
      </c>
      <c r="M183" s="42" t="s">
        <v>253</v>
      </c>
      <c r="N183" s="41">
        <v>45018</v>
      </c>
      <c r="O183" s="25">
        <v>276</v>
      </c>
      <c r="P183" s="25">
        <v>0</v>
      </c>
      <c r="Q183" s="42" t="s">
        <v>254</v>
      </c>
      <c r="R183" s="41">
        <v>45302</v>
      </c>
      <c r="S183" s="25">
        <v>93</v>
      </c>
      <c r="T183" s="10">
        <v>0</v>
      </c>
    </row>
    <row r="184" s="35" customFormat="1" ht="18.5" customHeight="1" spans="1:20">
      <c r="A184" s="16" t="s">
        <v>251</v>
      </c>
      <c r="B184" s="41">
        <v>44412</v>
      </c>
      <c r="C184" s="25">
        <v>3</v>
      </c>
      <c r="D184" s="25"/>
      <c r="E184" s="42" t="s">
        <v>251</v>
      </c>
      <c r="F184" s="41">
        <v>44467</v>
      </c>
      <c r="G184" s="25">
        <v>237</v>
      </c>
      <c r="H184" s="25">
        <v>0</v>
      </c>
      <c r="I184" s="42" t="s">
        <v>252</v>
      </c>
      <c r="J184" s="41">
        <v>44816</v>
      </c>
      <c r="K184" s="25">
        <v>290</v>
      </c>
      <c r="L184" s="25">
        <v>0</v>
      </c>
      <c r="M184" s="42" t="s">
        <v>253</v>
      </c>
      <c r="N184" s="41">
        <v>45253</v>
      </c>
      <c r="O184" s="25">
        <v>270</v>
      </c>
      <c r="P184" s="25">
        <v>0</v>
      </c>
      <c r="Q184" s="42" t="s">
        <v>254</v>
      </c>
      <c r="R184" s="41">
        <v>45311</v>
      </c>
      <c r="S184" s="25">
        <v>40</v>
      </c>
      <c r="T184" s="10">
        <v>0</v>
      </c>
    </row>
    <row r="185" s="35" customFormat="1" ht="18.5" customHeight="1" spans="1:20">
      <c r="A185" s="16" t="s">
        <v>251</v>
      </c>
      <c r="B185" s="41">
        <v>44361</v>
      </c>
      <c r="C185" s="25">
        <v>6</v>
      </c>
      <c r="D185" s="25"/>
      <c r="E185" s="42" t="s">
        <v>251</v>
      </c>
      <c r="F185" s="41">
        <v>44440</v>
      </c>
      <c r="G185" s="25">
        <v>214</v>
      </c>
      <c r="H185" s="25">
        <v>0</v>
      </c>
      <c r="I185" s="42" t="s">
        <v>252</v>
      </c>
      <c r="J185" s="41">
        <v>44790</v>
      </c>
      <c r="K185" s="25">
        <v>290</v>
      </c>
      <c r="L185" s="25">
        <v>0</v>
      </c>
      <c r="M185" s="42" t="s">
        <v>253</v>
      </c>
      <c r="N185" s="41">
        <v>45101</v>
      </c>
      <c r="O185" s="25">
        <v>1521</v>
      </c>
      <c r="P185" s="25">
        <v>0</v>
      </c>
      <c r="Q185" s="42" t="s">
        <v>254</v>
      </c>
      <c r="R185" s="41">
        <v>45311</v>
      </c>
      <c r="S185" s="25">
        <v>48</v>
      </c>
      <c r="T185" s="10">
        <v>0</v>
      </c>
    </row>
    <row r="186" s="35" customFormat="1" ht="18.5" customHeight="1" spans="1:20">
      <c r="A186" s="16" t="s">
        <v>251</v>
      </c>
      <c r="B186" s="41">
        <v>44432</v>
      </c>
      <c r="C186" s="25">
        <v>0</v>
      </c>
      <c r="D186" s="25"/>
      <c r="E186" s="42" t="s">
        <v>251</v>
      </c>
      <c r="F186" s="41">
        <v>44444</v>
      </c>
      <c r="G186" s="25">
        <v>189</v>
      </c>
      <c r="H186" s="25">
        <v>0</v>
      </c>
      <c r="I186" s="42" t="s">
        <v>252</v>
      </c>
      <c r="J186" s="41">
        <v>44917</v>
      </c>
      <c r="K186" s="25">
        <v>289</v>
      </c>
      <c r="L186" s="25">
        <v>0</v>
      </c>
      <c r="M186" s="42" t="s">
        <v>253</v>
      </c>
      <c r="N186" s="41">
        <v>45238</v>
      </c>
      <c r="O186" s="25">
        <v>268</v>
      </c>
      <c r="P186" s="25">
        <v>0</v>
      </c>
      <c r="Q186" s="42" t="s">
        <v>254</v>
      </c>
      <c r="R186" s="41">
        <v>45311</v>
      </c>
      <c r="S186" s="25">
        <v>13</v>
      </c>
      <c r="T186" s="10">
        <v>0</v>
      </c>
    </row>
    <row r="187" s="35" customFormat="1" ht="18.5" customHeight="1" spans="1:20">
      <c r="A187" s="16" t="s">
        <v>251</v>
      </c>
      <c r="B187" s="41">
        <v>44559</v>
      </c>
      <c r="C187" s="25">
        <v>0</v>
      </c>
      <c r="D187" s="25"/>
      <c r="E187" s="42" t="s">
        <v>251</v>
      </c>
      <c r="F187" s="41">
        <v>44398</v>
      </c>
      <c r="G187" s="25">
        <v>780</v>
      </c>
      <c r="H187" s="25">
        <v>0</v>
      </c>
      <c r="I187" s="42" t="s">
        <v>252</v>
      </c>
      <c r="J187" s="41">
        <v>44908</v>
      </c>
      <c r="K187" s="25">
        <v>289</v>
      </c>
      <c r="L187" s="25">
        <v>0</v>
      </c>
      <c r="M187" s="42" t="s">
        <v>253</v>
      </c>
      <c r="N187" s="41">
        <v>44980</v>
      </c>
      <c r="O187" s="25">
        <v>268</v>
      </c>
      <c r="P187" s="25">
        <v>0</v>
      </c>
      <c r="Q187" s="42" t="s">
        <v>254</v>
      </c>
      <c r="R187" s="41">
        <v>45311</v>
      </c>
      <c r="S187" s="25">
        <v>34</v>
      </c>
      <c r="T187" s="10">
        <v>0</v>
      </c>
    </row>
    <row r="188" s="35" customFormat="1" ht="18.5" customHeight="1" spans="1:20">
      <c r="A188" s="16" t="s">
        <v>251</v>
      </c>
      <c r="B188" s="41">
        <v>44396</v>
      </c>
      <c r="C188" s="25">
        <v>1</v>
      </c>
      <c r="D188" s="25"/>
      <c r="E188" s="42" t="s">
        <v>251</v>
      </c>
      <c r="F188" s="41">
        <v>44489</v>
      </c>
      <c r="G188" s="25">
        <v>231</v>
      </c>
      <c r="H188" s="25">
        <v>0</v>
      </c>
      <c r="I188" s="42" t="s">
        <v>252</v>
      </c>
      <c r="J188" s="41">
        <v>44782</v>
      </c>
      <c r="K188" s="25">
        <v>289</v>
      </c>
      <c r="L188" s="25">
        <v>0</v>
      </c>
      <c r="M188" s="42" t="s">
        <v>253</v>
      </c>
      <c r="N188" s="41">
        <v>45229</v>
      </c>
      <c r="O188" s="25">
        <v>265</v>
      </c>
      <c r="P188" s="25">
        <v>0</v>
      </c>
      <c r="Q188" s="42" t="s">
        <v>254</v>
      </c>
      <c r="R188" s="41">
        <v>45311</v>
      </c>
      <c r="S188" s="25">
        <v>34</v>
      </c>
      <c r="T188" s="10">
        <v>0</v>
      </c>
    </row>
    <row r="189" s="35" customFormat="1" ht="18.5" customHeight="1" spans="1:20">
      <c r="A189" s="16" t="s">
        <v>251</v>
      </c>
      <c r="B189" s="41">
        <v>44576</v>
      </c>
      <c r="C189" s="25">
        <v>1</v>
      </c>
      <c r="D189" s="25"/>
      <c r="E189" s="42" t="s">
        <v>251</v>
      </c>
      <c r="F189" s="41">
        <v>44433</v>
      </c>
      <c r="G189" s="25">
        <v>347</v>
      </c>
      <c r="H189" s="25">
        <v>0</v>
      </c>
      <c r="I189" s="42" t="s">
        <v>252</v>
      </c>
      <c r="J189" s="41">
        <v>44757</v>
      </c>
      <c r="K189" s="25">
        <v>289</v>
      </c>
      <c r="L189" s="25">
        <v>0</v>
      </c>
      <c r="M189" s="42" t="s">
        <v>253</v>
      </c>
      <c r="N189" s="41">
        <v>45161</v>
      </c>
      <c r="O189" s="25">
        <v>266</v>
      </c>
      <c r="P189" s="25">
        <v>0</v>
      </c>
      <c r="Q189" s="42" t="s">
        <v>254</v>
      </c>
      <c r="R189" s="41">
        <v>45310</v>
      </c>
      <c r="S189" s="25">
        <v>39</v>
      </c>
      <c r="T189" s="10">
        <v>0</v>
      </c>
    </row>
    <row r="190" s="35" customFormat="1" ht="18.5" customHeight="1" spans="1:20">
      <c r="A190" s="16" t="s">
        <v>251</v>
      </c>
      <c r="B190" s="41">
        <v>45294</v>
      </c>
      <c r="C190" s="25">
        <v>8</v>
      </c>
      <c r="D190" s="25"/>
      <c r="E190" s="42" t="s">
        <v>251</v>
      </c>
      <c r="F190" s="41">
        <v>44397</v>
      </c>
      <c r="G190" s="25">
        <v>298</v>
      </c>
      <c r="H190" s="25">
        <v>0</v>
      </c>
      <c r="I190" s="42" t="s">
        <v>252</v>
      </c>
      <c r="J190" s="41">
        <v>44906</v>
      </c>
      <c r="K190" s="25">
        <v>287</v>
      </c>
      <c r="L190" s="25">
        <v>0</v>
      </c>
      <c r="M190" s="42" t="s">
        <v>253</v>
      </c>
      <c r="N190" s="41">
        <v>45274</v>
      </c>
      <c r="O190" s="25">
        <v>264</v>
      </c>
      <c r="P190" s="25">
        <v>0</v>
      </c>
      <c r="Q190" s="42" t="s">
        <v>254</v>
      </c>
      <c r="R190" s="41">
        <v>45310</v>
      </c>
      <c r="S190" s="25">
        <v>31</v>
      </c>
      <c r="T190" s="10">
        <v>0</v>
      </c>
    </row>
    <row r="191" s="35" customFormat="1" ht="18.5" customHeight="1" spans="1:20">
      <c r="A191" s="16" t="s">
        <v>251</v>
      </c>
      <c r="B191" s="41">
        <v>44490</v>
      </c>
      <c r="C191" s="25">
        <v>8</v>
      </c>
      <c r="D191" s="25"/>
      <c r="E191" s="42" t="s">
        <v>251</v>
      </c>
      <c r="F191" s="41">
        <v>44459</v>
      </c>
      <c r="G191" s="25">
        <v>296</v>
      </c>
      <c r="H191" s="25">
        <v>0</v>
      </c>
      <c r="I191" s="42" t="s">
        <v>252</v>
      </c>
      <c r="J191" s="41">
        <v>44732</v>
      </c>
      <c r="K191" s="25">
        <v>282</v>
      </c>
      <c r="L191" s="25">
        <v>0</v>
      </c>
      <c r="M191" s="42" t="s">
        <v>253</v>
      </c>
      <c r="N191" s="41">
        <v>45009</v>
      </c>
      <c r="O191" s="25">
        <v>263</v>
      </c>
      <c r="P191" s="25">
        <v>0</v>
      </c>
      <c r="Q191" s="42" t="s">
        <v>254</v>
      </c>
      <c r="R191" s="41">
        <v>45310</v>
      </c>
      <c r="S191" s="25">
        <v>25</v>
      </c>
      <c r="T191" s="10">
        <v>0</v>
      </c>
    </row>
    <row r="192" s="35" customFormat="1" ht="18.5" customHeight="1" spans="1:20">
      <c r="A192" s="16" t="s">
        <v>251</v>
      </c>
      <c r="B192" s="41">
        <v>44864</v>
      </c>
      <c r="C192" s="25">
        <v>1</v>
      </c>
      <c r="D192" s="25"/>
      <c r="E192" s="42" t="s">
        <v>251</v>
      </c>
      <c r="F192" s="41">
        <v>44546</v>
      </c>
      <c r="G192" s="25">
        <v>287</v>
      </c>
      <c r="H192" s="25">
        <v>0</v>
      </c>
      <c r="I192" s="42" t="s">
        <v>252</v>
      </c>
      <c r="J192" s="41">
        <v>44921</v>
      </c>
      <c r="K192" s="25">
        <v>280</v>
      </c>
      <c r="L192" s="25">
        <v>0</v>
      </c>
      <c r="M192" s="42" t="s">
        <v>253</v>
      </c>
      <c r="N192" s="41">
        <v>45000</v>
      </c>
      <c r="O192" s="25">
        <v>263</v>
      </c>
      <c r="P192" s="25">
        <v>0</v>
      </c>
      <c r="Q192" s="42" t="s">
        <v>254</v>
      </c>
      <c r="R192" s="41">
        <v>45310</v>
      </c>
      <c r="S192" s="25">
        <v>35</v>
      </c>
      <c r="T192" s="10">
        <v>0</v>
      </c>
    </row>
    <row r="193" s="35" customFormat="1" ht="18.5" customHeight="1" spans="1:20">
      <c r="A193" s="16" t="s">
        <v>251</v>
      </c>
      <c r="B193" s="41">
        <v>44380</v>
      </c>
      <c r="C193" s="25">
        <v>4</v>
      </c>
      <c r="D193" s="25"/>
      <c r="E193" s="42" t="s">
        <v>251</v>
      </c>
      <c r="F193" s="41">
        <v>44479</v>
      </c>
      <c r="G193" s="25">
        <v>285</v>
      </c>
      <c r="H193" s="25">
        <v>0</v>
      </c>
      <c r="I193" s="42" t="s">
        <v>252</v>
      </c>
      <c r="J193" s="41">
        <v>44898</v>
      </c>
      <c r="K193" s="25">
        <v>279</v>
      </c>
      <c r="L193" s="25">
        <v>0</v>
      </c>
      <c r="M193" s="42" t="s">
        <v>253</v>
      </c>
      <c r="N193" s="41">
        <v>45014</v>
      </c>
      <c r="O193" s="25">
        <v>256</v>
      </c>
      <c r="P193" s="25">
        <v>0</v>
      </c>
      <c r="Q193" s="42" t="s">
        <v>254</v>
      </c>
      <c r="R193" s="41">
        <v>45309</v>
      </c>
      <c r="S193" s="25">
        <v>29</v>
      </c>
      <c r="T193" s="10">
        <v>0</v>
      </c>
    </row>
    <row r="194" s="35" customFormat="1" ht="18.5" customHeight="1" spans="1:20">
      <c r="A194" s="16" t="s">
        <v>251</v>
      </c>
      <c r="B194" s="41">
        <v>45120</v>
      </c>
      <c r="C194" s="25">
        <v>5</v>
      </c>
      <c r="D194" s="25"/>
      <c r="E194" s="42" t="s">
        <v>251</v>
      </c>
      <c r="F194" s="41">
        <v>44463</v>
      </c>
      <c r="G194" s="25">
        <v>281</v>
      </c>
      <c r="H194" s="25">
        <v>0</v>
      </c>
      <c r="I194" s="42" t="s">
        <v>252</v>
      </c>
      <c r="J194" s="41">
        <v>44829</v>
      </c>
      <c r="K194" s="25">
        <v>279</v>
      </c>
      <c r="L194" s="25">
        <v>0</v>
      </c>
      <c r="M194" s="42" t="s">
        <v>253</v>
      </c>
      <c r="N194" s="41">
        <v>45254</v>
      </c>
      <c r="O194" s="25">
        <v>255</v>
      </c>
      <c r="P194" s="25">
        <v>0</v>
      </c>
      <c r="Q194" s="42" t="s">
        <v>254</v>
      </c>
      <c r="R194" s="41">
        <v>45309</v>
      </c>
      <c r="S194" s="25">
        <v>76</v>
      </c>
      <c r="T194" s="10">
        <v>0</v>
      </c>
    </row>
    <row r="195" s="35" customFormat="1" ht="18.5" customHeight="1" spans="1:20">
      <c r="A195" s="16" t="s">
        <v>251</v>
      </c>
      <c r="B195" s="41">
        <v>44436</v>
      </c>
      <c r="C195" s="25">
        <v>1</v>
      </c>
      <c r="D195" s="25"/>
      <c r="E195" s="42" t="s">
        <v>251</v>
      </c>
      <c r="F195" s="41">
        <v>44448</v>
      </c>
      <c r="G195" s="25">
        <v>253</v>
      </c>
      <c r="H195" s="25">
        <v>0</v>
      </c>
      <c r="I195" s="42" t="s">
        <v>252</v>
      </c>
      <c r="J195" s="41">
        <v>44702</v>
      </c>
      <c r="K195" s="25">
        <v>280</v>
      </c>
      <c r="L195" s="25">
        <v>0</v>
      </c>
      <c r="M195" s="42" t="s">
        <v>253</v>
      </c>
      <c r="N195" s="41">
        <v>45240</v>
      </c>
      <c r="O195" s="25">
        <v>255</v>
      </c>
      <c r="P195" s="25">
        <v>0</v>
      </c>
      <c r="Q195" s="42" t="s">
        <v>254</v>
      </c>
      <c r="R195" s="41">
        <v>45309</v>
      </c>
      <c r="S195" s="25">
        <v>32</v>
      </c>
      <c r="T195" s="10">
        <v>0</v>
      </c>
    </row>
    <row r="196" s="35" customFormat="1" ht="18.5" customHeight="1" spans="1:20">
      <c r="A196" s="16" t="s">
        <v>251</v>
      </c>
      <c r="B196" s="41">
        <v>45278</v>
      </c>
      <c r="C196" s="25">
        <v>6</v>
      </c>
      <c r="D196" s="25"/>
      <c r="E196" s="42" t="s">
        <v>251</v>
      </c>
      <c r="F196" s="41">
        <v>44471</v>
      </c>
      <c r="G196" s="25">
        <v>239</v>
      </c>
      <c r="H196" s="25">
        <v>0</v>
      </c>
      <c r="I196" s="42" t="s">
        <v>252</v>
      </c>
      <c r="J196" s="41">
        <v>44629</v>
      </c>
      <c r="K196" s="25">
        <v>279</v>
      </c>
      <c r="L196" s="25">
        <v>0</v>
      </c>
      <c r="M196" s="42" t="s">
        <v>253</v>
      </c>
      <c r="N196" s="41">
        <v>45091</v>
      </c>
      <c r="O196" s="25">
        <v>255</v>
      </c>
      <c r="P196" s="25">
        <v>0</v>
      </c>
      <c r="Q196" s="42" t="s">
        <v>254</v>
      </c>
      <c r="R196" s="41">
        <v>45309</v>
      </c>
      <c r="S196" s="25">
        <v>35</v>
      </c>
      <c r="T196" s="10">
        <v>0</v>
      </c>
    </row>
    <row r="197" s="35" customFormat="1" ht="18.5" customHeight="1" spans="1:20">
      <c r="A197" s="16" t="s">
        <v>251</v>
      </c>
      <c r="B197" s="41">
        <v>44399</v>
      </c>
      <c r="C197" s="25">
        <v>7</v>
      </c>
      <c r="D197" s="25"/>
      <c r="E197" s="42" t="s">
        <v>251</v>
      </c>
      <c r="F197" s="41">
        <v>44328</v>
      </c>
      <c r="G197" s="25">
        <v>237</v>
      </c>
      <c r="H197" s="25">
        <v>0</v>
      </c>
      <c r="I197" s="42" t="s">
        <v>252</v>
      </c>
      <c r="J197" s="41">
        <v>44854</v>
      </c>
      <c r="K197" s="25">
        <v>277</v>
      </c>
      <c r="L197" s="25">
        <v>0</v>
      </c>
      <c r="M197" s="42" t="s">
        <v>253</v>
      </c>
      <c r="N197" s="41">
        <v>45238</v>
      </c>
      <c r="O197" s="25">
        <v>255</v>
      </c>
      <c r="P197" s="25">
        <v>0</v>
      </c>
      <c r="Q197" s="42" t="s">
        <v>254</v>
      </c>
      <c r="R197" s="41">
        <v>45308</v>
      </c>
      <c r="S197" s="25">
        <v>51</v>
      </c>
      <c r="T197" s="10">
        <v>0</v>
      </c>
    </row>
    <row r="198" s="35" customFormat="1" ht="18.5" customHeight="1" spans="1:20">
      <c r="A198" s="16" t="s">
        <v>251</v>
      </c>
      <c r="B198" s="41">
        <v>44428</v>
      </c>
      <c r="C198" s="25">
        <v>3</v>
      </c>
      <c r="D198" s="25"/>
      <c r="E198" s="42" t="s">
        <v>251</v>
      </c>
      <c r="F198" s="41">
        <v>44470</v>
      </c>
      <c r="G198" s="25">
        <v>232</v>
      </c>
      <c r="H198" s="25">
        <v>0</v>
      </c>
      <c r="I198" s="42" t="s">
        <v>252</v>
      </c>
      <c r="J198" s="41">
        <v>44697</v>
      </c>
      <c r="K198" s="25">
        <v>277</v>
      </c>
      <c r="L198" s="25">
        <v>0</v>
      </c>
      <c r="M198" s="42" t="s">
        <v>253</v>
      </c>
      <c r="N198" s="41">
        <v>45250</v>
      </c>
      <c r="O198" s="25">
        <v>254</v>
      </c>
      <c r="P198" s="25">
        <v>0</v>
      </c>
      <c r="Q198" s="42" t="s">
        <v>254</v>
      </c>
      <c r="R198" s="41">
        <v>45308</v>
      </c>
      <c r="S198" s="25">
        <v>67</v>
      </c>
      <c r="T198" s="10">
        <v>0</v>
      </c>
    </row>
    <row r="199" s="35" customFormat="1" ht="18.5" customHeight="1" spans="1:20">
      <c r="A199" s="16" t="s">
        <v>251</v>
      </c>
      <c r="B199" s="41">
        <v>45294</v>
      </c>
      <c r="C199" s="25">
        <v>3</v>
      </c>
      <c r="D199" s="25"/>
      <c r="E199" s="42" t="s">
        <v>251</v>
      </c>
      <c r="F199" s="41">
        <v>44451</v>
      </c>
      <c r="G199" s="25">
        <v>217</v>
      </c>
      <c r="H199" s="25">
        <v>0</v>
      </c>
      <c r="I199" s="42" t="s">
        <v>252</v>
      </c>
      <c r="J199" s="41">
        <v>44901</v>
      </c>
      <c r="K199" s="25">
        <v>276</v>
      </c>
      <c r="L199" s="25">
        <v>0</v>
      </c>
      <c r="M199" s="42" t="s">
        <v>253</v>
      </c>
      <c r="N199" s="41">
        <v>45030</v>
      </c>
      <c r="O199" s="25">
        <v>253</v>
      </c>
      <c r="P199" s="25">
        <v>0</v>
      </c>
      <c r="Q199" s="42" t="s">
        <v>254</v>
      </c>
      <c r="R199" s="41">
        <v>45308</v>
      </c>
      <c r="S199" s="25">
        <v>69</v>
      </c>
      <c r="T199" s="10">
        <v>0</v>
      </c>
    </row>
    <row r="200" s="35" customFormat="1" ht="18.5" customHeight="1" spans="1:20">
      <c r="A200" s="16" t="s">
        <v>251</v>
      </c>
      <c r="B200" s="41">
        <v>45279</v>
      </c>
      <c r="C200" s="25">
        <v>7</v>
      </c>
      <c r="D200" s="25"/>
      <c r="E200" s="42" t="s">
        <v>251</v>
      </c>
      <c r="F200" s="41">
        <v>44431</v>
      </c>
      <c r="G200" s="25">
        <v>211</v>
      </c>
      <c r="H200" s="25">
        <v>0</v>
      </c>
      <c r="I200" s="42" t="s">
        <v>252</v>
      </c>
      <c r="J200" s="41">
        <v>44867</v>
      </c>
      <c r="K200" s="25">
        <v>274</v>
      </c>
      <c r="L200" s="25">
        <v>0</v>
      </c>
      <c r="M200" s="42" t="s">
        <v>253</v>
      </c>
      <c r="N200" s="41">
        <v>45086</v>
      </c>
      <c r="O200" s="25">
        <v>252</v>
      </c>
      <c r="P200" s="25">
        <v>0</v>
      </c>
      <c r="Q200" s="42" t="s">
        <v>254</v>
      </c>
      <c r="R200" s="41">
        <v>45308</v>
      </c>
      <c r="S200" s="25">
        <v>38</v>
      </c>
      <c r="T200" s="10">
        <v>0</v>
      </c>
    </row>
    <row r="201" s="35" customFormat="1" ht="18.5" customHeight="1" spans="1:20">
      <c r="A201" s="16" t="s">
        <v>251</v>
      </c>
      <c r="B201" s="41">
        <v>44518</v>
      </c>
      <c r="C201" s="25">
        <v>1</v>
      </c>
      <c r="D201" s="25"/>
      <c r="E201" s="42" t="s">
        <v>251</v>
      </c>
      <c r="F201" s="41">
        <v>44446</v>
      </c>
      <c r="G201" s="25">
        <v>540</v>
      </c>
      <c r="H201" s="25">
        <v>0</v>
      </c>
      <c r="I201" s="42" t="s">
        <v>252</v>
      </c>
      <c r="J201" s="41">
        <v>44798</v>
      </c>
      <c r="K201" s="25">
        <v>274</v>
      </c>
      <c r="L201" s="25">
        <v>0</v>
      </c>
      <c r="M201" s="42" t="s">
        <v>253</v>
      </c>
      <c r="N201" s="41">
        <v>45019</v>
      </c>
      <c r="O201" s="25">
        <v>251</v>
      </c>
      <c r="P201" s="25">
        <v>0</v>
      </c>
      <c r="Q201" s="42" t="s">
        <v>254</v>
      </c>
      <c r="R201" s="41">
        <v>45308</v>
      </c>
      <c r="S201" s="25">
        <v>63</v>
      </c>
      <c r="T201" s="10">
        <v>0</v>
      </c>
    </row>
    <row r="202" s="35" customFormat="1" ht="18.5" customHeight="1" spans="1:20">
      <c r="A202" s="16" t="s">
        <v>251</v>
      </c>
      <c r="B202" s="41">
        <v>44407</v>
      </c>
      <c r="C202" s="25">
        <v>3</v>
      </c>
      <c r="D202" s="25"/>
      <c r="E202" s="42" t="s">
        <v>251</v>
      </c>
      <c r="F202" s="41">
        <v>44463</v>
      </c>
      <c r="G202" s="25">
        <v>370</v>
      </c>
      <c r="H202" s="25">
        <v>0</v>
      </c>
      <c r="I202" s="42" t="s">
        <v>252</v>
      </c>
      <c r="J202" s="41">
        <v>44797</v>
      </c>
      <c r="K202" s="25">
        <v>274</v>
      </c>
      <c r="L202" s="25">
        <v>0</v>
      </c>
      <c r="M202" s="42" t="s">
        <v>253</v>
      </c>
      <c r="N202" s="41">
        <v>45001</v>
      </c>
      <c r="O202" s="25">
        <v>251</v>
      </c>
      <c r="P202" s="25">
        <v>0</v>
      </c>
      <c r="Q202" s="42" t="s">
        <v>254</v>
      </c>
      <c r="R202" s="41">
        <v>45308</v>
      </c>
      <c r="S202" s="25">
        <v>86</v>
      </c>
      <c r="T202" s="10">
        <v>0</v>
      </c>
    </row>
    <row r="203" s="35" customFormat="1" ht="18.5" customHeight="1" spans="1:20">
      <c r="A203" s="16" t="s">
        <v>251</v>
      </c>
      <c r="B203" s="41">
        <v>45277</v>
      </c>
      <c r="C203" s="25">
        <v>6</v>
      </c>
      <c r="D203" s="25"/>
      <c r="E203" s="42" t="s">
        <v>251</v>
      </c>
      <c r="F203" s="41">
        <v>44459</v>
      </c>
      <c r="G203" s="25">
        <v>331</v>
      </c>
      <c r="H203" s="25">
        <v>0</v>
      </c>
      <c r="I203" s="42" t="s">
        <v>252</v>
      </c>
      <c r="J203" s="41">
        <v>44700</v>
      </c>
      <c r="K203" s="25">
        <v>274</v>
      </c>
      <c r="L203" s="25">
        <v>0</v>
      </c>
      <c r="M203" s="42" t="s">
        <v>253</v>
      </c>
      <c r="N203" s="41">
        <v>45245</v>
      </c>
      <c r="O203" s="25">
        <v>251</v>
      </c>
      <c r="P203" s="25">
        <v>0</v>
      </c>
      <c r="Q203" s="42" t="s">
        <v>254</v>
      </c>
      <c r="R203" s="41">
        <v>45307</v>
      </c>
      <c r="S203" s="25">
        <v>50</v>
      </c>
      <c r="T203" s="10">
        <v>0</v>
      </c>
    </row>
    <row r="204" s="35" customFormat="1" ht="18.5" customHeight="1" spans="1:20">
      <c r="A204" s="16" t="s">
        <v>251</v>
      </c>
      <c r="B204" s="41">
        <v>45277</v>
      </c>
      <c r="C204" s="25">
        <v>4</v>
      </c>
      <c r="D204" s="25"/>
      <c r="E204" s="42" t="s">
        <v>251</v>
      </c>
      <c r="F204" s="41">
        <v>44550</v>
      </c>
      <c r="G204" s="25">
        <v>329</v>
      </c>
      <c r="H204" s="25">
        <v>0</v>
      </c>
      <c r="I204" s="42" t="s">
        <v>252</v>
      </c>
      <c r="J204" s="41">
        <v>44857</v>
      </c>
      <c r="K204" s="25">
        <v>272</v>
      </c>
      <c r="L204" s="25">
        <v>0</v>
      </c>
      <c r="M204" s="42" t="s">
        <v>253</v>
      </c>
      <c r="N204" s="41">
        <v>45012</v>
      </c>
      <c r="O204" s="25">
        <v>250</v>
      </c>
      <c r="P204" s="25">
        <v>0</v>
      </c>
      <c r="Q204" s="42" t="s">
        <v>254</v>
      </c>
      <c r="R204" s="41">
        <v>45306</v>
      </c>
      <c r="S204" s="25">
        <v>63</v>
      </c>
      <c r="T204" s="10">
        <v>0</v>
      </c>
    </row>
    <row r="205" s="35" customFormat="1" ht="18.5" customHeight="1" spans="1:20">
      <c r="A205" s="16" t="s">
        <v>251</v>
      </c>
      <c r="B205" s="41">
        <v>44379</v>
      </c>
      <c r="C205" s="25">
        <v>3</v>
      </c>
      <c r="D205" s="25"/>
      <c r="E205" s="42" t="s">
        <v>251</v>
      </c>
      <c r="F205" s="41">
        <v>44473</v>
      </c>
      <c r="G205" s="25">
        <v>282</v>
      </c>
      <c r="H205" s="25">
        <v>0</v>
      </c>
      <c r="I205" s="42" t="s">
        <v>252</v>
      </c>
      <c r="J205" s="41">
        <v>44769</v>
      </c>
      <c r="K205" s="25">
        <v>271</v>
      </c>
      <c r="L205" s="25">
        <v>0</v>
      </c>
      <c r="M205" s="42" t="s">
        <v>253</v>
      </c>
      <c r="N205" s="41">
        <v>45148</v>
      </c>
      <c r="O205" s="25">
        <v>249</v>
      </c>
      <c r="P205" s="25">
        <v>0</v>
      </c>
      <c r="Q205" s="42" t="s">
        <v>254</v>
      </c>
      <c r="R205" s="41">
        <v>45306</v>
      </c>
      <c r="S205" s="25">
        <v>43</v>
      </c>
      <c r="T205" s="10">
        <v>0</v>
      </c>
    </row>
    <row r="206" s="35" customFormat="1" ht="18.5" customHeight="1" spans="1:20">
      <c r="A206" s="16" t="s">
        <v>251</v>
      </c>
      <c r="B206" s="41">
        <v>45036</v>
      </c>
      <c r="C206" s="25">
        <v>4</v>
      </c>
      <c r="D206" s="25"/>
      <c r="E206" s="42" t="s">
        <v>251</v>
      </c>
      <c r="F206" s="41">
        <v>44452</v>
      </c>
      <c r="G206" s="25">
        <v>272</v>
      </c>
      <c r="H206" s="25">
        <v>0</v>
      </c>
      <c r="I206" s="42" t="s">
        <v>252</v>
      </c>
      <c r="J206" s="41">
        <v>44898</v>
      </c>
      <c r="K206" s="25">
        <v>270</v>
      </c>
      <c r="L206" s="25">
        <v>0</v>
      </c>
      <c r="M206" s="42" t="s">
        <v>253</v>
      </c>
      <c r="N206" s="41">
        <v>45281</v>
      </c>
      <c r="O206" s="25">
        <v>248</v>
      </c>
      <c r="P206" s="25">
        <v>0</v>
      </c>
      <c r="Q206" s="42" t="s">
        <v>254</v>
      </c>
      <c r="R206" s="41">
        <v>45306</v>
      </c>
      <c r="S206" s="25">
        <v>65</v>
      </c>
      <c r="T206" s="10">
        <v>0</v>
      </c>
    </row>
    <row r="207" s="35" customFormat="1" ht="18.5" customHeight="1" spans="1:20">
      <c r="A207" s="16" t="s">
        <v>251</v>
      </c>
      <c r="B207" s="41">
        <v>44356</v>
      </c>
      <c r="C207" s="25">
        <v>4</v>
      </c>
      <c r="D207" s="25"/>
      <c r="E207" s="42" t="s">
        <v>251</v>
      </c>
      <c r="F207" s="41">
        <v>44531</v>
      </c>
      <c r="G207" s="25">
        <v>248</v>
      </c>
      <c r="H207" s="25">
        <v>0</v>
      </c>
      <c r="I207" s="42" t="s">
        <v>252</v>
      </c>
      <c r="J207" s="41">
        <v>44887</v>
      </c>
      <c r="K207" s="25">
        <v>265</v>
      </c>
      <c r="L207" s="25">
        <v>0</v>
      </c>
      <c r="M207" s="42" t="s">
        <v>253</v>
      </c>
      <c r="N207" s="41">
        <v>45240</v>
      </c>
      <c r="O207" s="25">
        <v>246</v>
      </c>
      <c r="P207" s="25">
        <v>0</v>
      </c>
      <c r="Q207" s="42" t="s">
        <v>254</v>
      </c>
      <c r="R207" s="41">
        <v>45306</v>
      </c>
      <c r="S207" s="25">
        <v>69</v>
      </c>
      <c r="T207" s="10">
        <v>0</v>
      </c>
    </row>
    <row r="208" s="35" customFormat="1" ht="18.5" customHeight="1" spans="1:20">
      <c r="A208" s="16" t="s">
        <v>251</v>
      </c>
      <c r="B208" s="41">
        <v>44426</v>
      </c>
      <c r="C208" s="25">
        <v>3</v>
      </c>
      <c r="D208" s="25"/>
      <c r="E208" s="42" t="s">
        <v>251</v>
      </c>
      <c r="F208" s="41">
        <v>44397</v>
      </c>
      <c r="G208" s="25">
        <v>236</v>
      </c>
      <c r="H208" s="25">
        <v>0</v>
      </c>
      <c r="I208" s="42" t="s">
        <v>252</v>
      </c>
      <c r="J208" s="41">
        <v>44869</v>
      </c>
      <c r="K208" s="25">
        <v>264</v>
      </c>
      <c r="L208" s="25">
        <v>0</v>
      </c>
      <c r="M208" s="42" t="s">
        <v>253</v>
      </c>
      <c r="N208" s="41">
        <v>44973</v>
      </c>
      <c r="O208" s="25">
        <v>246</v>
      </c>
      <c r="P208" s="25">
        <v>0</v>
      </c>
      <c r="Q208" s="42" t="s">
        <v>254</v>
      </c>
      <c r="R208" s="41">
        <v>45306</v>
      </c>
      <c r="S208" s="25">
        <v>122</v>
      </c>
      <c r="T208" s="10">
        <v>0</v>
      </c>
    </row>
    <row r="209" s="35" customFormat="1" ht="18.5" customHeight="1" spans="1:20">
      <c r="A209" s="16" t="s">
        <v>251</v>
      </c>
      <c r="B209" s="41">
        <v>45031</v>
      </c>
      <c r="C209" s="25">
        <v>3</v>
      </c>
      <c r="D209" s="25"/>
      <c r="E209" s="42" t="s">
        <v>251</v>
      </c>
      <c r="F209" s="41">
        <v>44403</v>
      </c>
      <c r="G209" s="25">
        <v>217</v>
      </c>
      <c r="H209" s="25">
        <v>0</v>
      </c>
      <c r="I209" s="42" t="s">
        <v>252</v>
      </c>
      <c r="J209" s="41">
        <v>44819</v>
      </c>
      <c r="K209" s="25">
        <v>263</v>
      </c>
      <c r="L209" s="25">
        <v>0</v>
      </c>
      <c r="M209" s="42" t="s">
        <v>253</v>
      </c>
      <c r="N209" s="41">
        <v>45251</v>
      </c>
      <c r="O209" s="25">
        <v>243</v>
      </c>
      <c r="P209" s="25">
        <v>0</v>
      </c>
      <c r="Q209" s="42" t="s">
        <v>254</v>
      </c>
      <c r="R209" s="41">
        <v>45305</v>
      </c>
      <c r="S209" s="25">
        <v>70</v>
      </c>
      <c r="T209" s="10">
        <v>0</v>
      </c>
    </row>
    <row r="210" s="35" customFormat="1" ht="18.5" customHeight="1" spans="1:20">
      <c r="A210" s="16" t="s">
        <v>251</v>
      </c>
      <c r="B210" s="41">
        <v>45276</v>
      </c>
      <c r="C210" s="25">
        <v>4</v>
      </c>
      <c r="D210" s="25"/>
      <c r="E210" s="42" t="s">
        <v>251</v>
      </c>
      <c r="F210" s="41">
        <v>44468</v>
      </c>
      <c r="G210" s="25">
        <v>216</v>
      </c>
      <c r="H210" s="25">
        <v>0</v>
      </c>
      <c r="I210" s="42" t="s">
        <v>252</v>
      </c>
      <c r="J210" s="41">
        <v>44740</v>
      </c>
      <c r="K210" s="25">
        <v>262</v>
      </c>
      <c r="L210" s="25">
        <v>0</v>
      </c>
      <c r="M210" s="42" t="s">
        <v>253</v>
      </c>
      <c r="N210" s="41">
        <v>45083</v>
      </c>
      <c r="O210" s="25">
        <v>243</v>
      </c>
      <c r="P210" s="25">
        <v>0</v>
      </c>
      <c r="Q210" s="42" t="s">
        <v>254</v>
      </c>
      <c r="R210" s="41">
        <v>45305</v>
      </c>
      <c r="S210" s="25">
        <v>54</v>
      </c>
      <c r="T210" s="10">
        <v>0</v>
      </c>
    </row>
    <row r="211" s="35" customFormat="1" ht="18.5" customHeight="1" spans="1:20">
      <c r="A211" s="16" t="s">
        <v>251</v>
      </c>
      <c r="B211" s="41">
        <v>44388</v>
      </c>
      <c r="C211" s="25">
        <v>4</v>
      </c>
      <c r="D211" s="25"/>
      <c r="E211" s="25"/>
      <c r="F211" s="25"/>
      <c r="G211" s="25"/>
      <c r="H211" s="25"/>
      <c r="I211" s="42" t="s">
        <v>252</v>
      </c>
      <c r="J211" s="41">
        <v>44856</v>
      </c>
      <c r="K211" s="25">
        <v>259</v>
      </c>
      <c r="L211" s="25">
        <v>0</v>
      </c>
      <c r="M211" s="42" t="s">
        <v>253</v>
      </c>
      <c r="N211" s="41">
        <v>45263</v>
      </c>
      <c r="O211" s="25">
        <v>242</v>
      </c>
      <c r="P211" s="25">
        <v>0</v>
      </c>
      <c r="Q211" s="42" t="s">
        <v>254</v>
      </c>
      <c r="R211" s="41">
        <v>45305</v>
      </c>
      <c r="S211" s="25">
        <v>51</v>
      </c>
      <c r="T211" s="10">
        <v>0</v>
      </c>
    </row>
    <row r="212" s="35" customFormat="1" ht="18.5" customHeight="1" spans="1:20">
      <c r="A212" s="16" t="s">
        <v>251</v>
      </c>
      <c r="B212" s="41">
        <v>45295</v>
      </c>
      <c r="C212" s="25">
        <v>2</v>
      </c>
      <c r="D212" s="25"/>
      <c r="E212" s="25"/>
      <c r="F212" s="25"/>
      <c r="G212" s="25"/>
      <c r="H212" s="25"/>
      <c r="I212" s="42" t="s">
        <v>252</v>
      </c>
      <c r="J212" s="41">
        <v>44789</v>
      </c>
      <c r="K212" s="25">
        <v>259</v>
      </c>
      <c r="L212" s="25">
        <v>0</v>
      </c>
      <c r="M212" s="42" t="s">
        <v>253</v>
      </c>
      <c r="N212" s="41">
        <v>45240</v>
      </c>
      <c r="O212" s="25">
        <v>242</v>
      </c>
      <c r="P212" s="25">
        <v>0</v>
      </c>
      <c r="Q212" s="42" t="s">
        <v>254</v>
      </c>
      <c r="R212" s="41">
        <v>45305</v>
      </c>
      <c r="S212" s="25">
        <v>96</v>
      </c>
      <c r="T212" s="10">
        <v>0</v>
      </c>
    </row>
    <row r="213" s="35" customFormat="1" ht="18.5" customHeight="1" spans="1:20">
      <c r="A213" s="16" t="s">
        <v>251</v>
      </c>
      <c r="B213" s="41">
        <v>45203</v>
      </c>
      <c r="C213" s="25">
        <v>8</v>
      </c>
      <c r="D213" s="25"/>
      <c r="E213" s="25"/>
      <c r="F213" s="25"/>
      <c r="G213" s="25"/>
      <c r="H213" s="25"/>
      <c r="I213" s="42" t="s">
        <v>252</v>
      </c>
      <c r="J213" s="41">
        <v>44878</v>
      </c>
      <c r="K213" s="25">
        <v>255</v>
      </c>
      <c r="L213" s="25">
        <v>0</v>
      </c>
      <c r="M213" s="42" t="s">
        <v>253</v>
      </c>
      <c r="N213" s="41">
        <v>45039</v>
      </c>
      <c r="O213" s="25">
        <v>242</v>
      </c>
      <c r="P213" s="25">
        <v>0</v>
      </c>
      <c r="Q213" s="42" t="s">
        <v>254</v>
      </c>
      <c r="R213" s="41">
        <v>45304</v>
      </c>
      <c r="S213" s="25">
        <v>54</v>
      </c>
      <c r="T213" s="10">
        <v>0</v>
      </c>
    </row>
    <row r="214" s="35" customFormat="1" ht="18.5" customHeight="1" spans="1:20">
      <c r="A214" s="16" t="s">
        <v>251</v>
      </c>
      <c r="B214" s="41">
        <v>44446</v>
      </c>
      <c r="C214" s="25">
        <v>2</v>
      </c>
      <c r="D214" s="25"/>
      <c r="E214" s="25"/>
      <c r="F214" s="25"/>
      <c r="G214" s="25"/>
      <c r="H214" s="25"/>
      <c r="I214" s="42" t="s">
        <v>252</v>
      </c>
      <c r="J214" s="41">
        <v>44705</v>
      </c>
      <c r="K214" s="25">
        <v>253</v>
      </c>
      <c r="L214" s="25">
        <v>0</v>
      </c>
      <c r="M214" s="42" t="s">
        <v>253</v>
      </c>
      <c r="N214" s="41">
        <v>45097</v>
      </c>
      <c r="O214" s="25">
        <v>241</v>
      </c>
      <c r="P214" s="25">
        <v>0</v>
      </c>
      <c r="Q214" s="42" t="s">
        <v>254</v>
      </c>
      <c r="R214" s="41">
        <v>45303</v>
      </c>
      <c r="S214" s="25">
        <v>56</v>
      </c>
      <c r="T214" s="10">
        <v>0</v>
      </c>
    </row>
    <row r="215" s="35" customFormat="1" ht="18.5" customHeight="1" spans="1:20">
      <c r="A215" s="16" t="s">
        <v>251</v>
      </c>
      <c r="B215" s="41">
        <v>44447</v>
      </c>
      <c r="C215" s="25">
        <v>2</v>
      </c>
      <c r="D215" s="25"/>
      <c r="E215" s="25"/>
      <c r="F215" s="25"/>
      <c r="G215" s="25"/>
      <c r="H215" s="25"/>
      <c r="I215" s="42" t="s">
        <v>252</v>
      </c>
      <c r="J215" s="41">
        <v>44798</v>
      </c>
      <c r="K215" s="25">
        <v>248</v>
      </c>
      <c r="L215" s="25">
        <v>0</v>
      </c>
      <c r="M215" s="42" t="s">
        <v>253</v>
      </c>
      <c r="N215" s="41">
        <v>44976</v>
      </c>
      <c r="O215" s="25">
        <v>240</v>
      </c>
      <c r="P215" s="25">
        <v>0</v>
      </c>
      <c r="Q215" s="42" t="s">
        <v>254</v>
      </c>
      <c r="R215" s="41">
        <v>45303</v>
      </c>
      <c r="S215" s="25">
        <v>44</v>
      </c>
      <c r="T215" s="10">
        <v>0</v>
      </c>
    </row>
    <row r="216" s="35" customFormat="1" ht="18.5" customHeight="1" spans="1:20">
      <c r="A216" s="16" t="s">
        <v>251</v>
      </c>
      <c r="B216" s="41">
        <v>44669</v>
      </c>
      <c r="C216" s="25">
        <v>4</v>
      </c>
      <c r="D216" s="25"/>
      <c r="E216" s="25"/>
      <c r="F216" s="25"/>
      <c r="G216" s="25"/>
      <c r="H216" s="25"/>
      <c r="I216" s="42" t="s">
        <v>252</v>
      </c>
      <c r="J216" s="41">
        <v>44804</v>
      </c>
      <c r="K216" s="25">
        <v>247</v>
      </c>
      <c r="L216" s="25">
        <v>0</v>
      </c>
      <c r="M216" s="42" t="s">
        <v>253</v>
      </c>
      <c r="N216" s="41">
        <v>45268</v>
      </c>
      <c r="O216" s="25">
        <v>237</v>
      </c>
      <c r="P216" s="25">
        <v>0</v>
      </c>
      <c r="Q216" s="42" t="s">
        <v>254</v>
      </c>
      <c r="R216" s="41">
        <v>45303</v>
      </c>
      <c r="S216" s="25">
        <v>54</v>
      </c>
      <c r="T216" s="10">
        <v>0</v>
      </c>
    </row>
    <row r="217" s="35" customFormat="1" ht="18.5" customHeight="1" spans="1:20">
      <c r="A217" s="16" t="s">
        <v>251</v>
      </c>
      <c r="B217" s="41">
        <v>45281</v>
      </c>
      <c r="C217" s="25">
        <v>5</v>
      </c>
      <c r="D217" s="25"/>
      <c r="E217" s="25"/>
      <c r="F217" s="25"/>
      <c r="G217" s="25"/>
      <c r="H217" s="25"/>
      <c r="I217" s="42" t="s">
        <v>252</v>
      </c>
      <c r="J217" s="41">
        <v>44848</v>
      </c>
      <c r="K217" s="25">
        <v>245</v>
      </c>
      <c r="L217" s="25">
        <v>0</v>
      </c>
      <c r="M217" s="42" t="s">
        <v>253</v>
      </c>
      <c r="N217" s="41">
        <v>45250</v>
      </c>
      <c r="O217" s="25">
        <v>237</v>
      </c>
      <c r="P217" s="25">
        <v>0</v>
      </c>
      <c r="Q217" s="42" t="s">
        <v>254</v>
      </c>
      <c r="R217" s="41">
        <v>45303</v>
      </c>
      <c r="S217" s="25">
        <v>64</v>
      </c>
      <c r="T217" s="10">
        <v>0</v>
      </c>
    </row>
    <row r="218" s="35" customFormat="1" ht="18.5" customHeight="1" spans="1:20">
      <c r="A218" s="16" t="s">
        <v>251</v>
      </c>
      <c r="B218" s="41">
        <v>44430</v>
      </c>
      <c r="C218" s="25">
        <v>6</v>
      </c>
      <c r="D218" s="25"/>
      <c r="E218" s="25"/>
      <c r="F218" s="25"/>
      <c r="G218" s="25"/>
      <c r="H218" s="25"/>
      <c r="I218" s="42" t="s">
        <v>252</v>
      </c>
      <c r="J218" s="41">
        <v>44899</v>
      </c>
      <c r="K218" s="25">
        <v>244</v>
      </c>
      <c r="L218" s="25">
        <v>0</v>
      </c>
      <c r="M218" s="42" t="s">
        <v>253</v>
      </c>
      <c r="N218" s="41">
        <v>45250</v>
      </c>
      <c r="O218" s="25">
        <v>1325</v>
      </c>
      <c r="P218" s="25">
        <v>0</v>
      </c>
      <c r="Q218" s="42" t="s">
        <v>254</v>
      </c>
      <c r="R218" s="41">
        <v>45303</v>
      </c>
      <c r="S218" s="25">
        <v>53</v>
      </c>
      <c r="T218" s="10">
        <v>0</v>
      </c>
    </row>
    <row r="219" s="35" customFormat="1" ht="18.5" customHeight="1" spans="1:20">
      <c r="A219" s="16" t="s">
        <v>251</v>
      </c>
      <c r="B219" s="41">
        <v>44973</v>
      </c>
      <c r="C219" s="25">
        <v>5</v>
      </c>
      <c r="D219" s="25"/>
      <c r="E219" s="25"/>
      <c r="F219" s="25"/>
      <c r="G219" s="25"/>
      <c r="H219" s="25"/>
      <c r="I219" s="42" t="s">
        <v>252</v>
      </c>
      <c r="J219" s="41">
        <v>44916</v>
      </c>
      <c r="K219" s="25">
        <v>241</v>
      </c>
      <c r="L219" s="25">
        <v>0</v>
      </c>
      <c r="M219" s="42" t="s">
        <v>253</v>
      </c>
      <c r="N219" s="41">
        <v>45245</v>
      </c>
      <c r="O219" s="25">
        <v>232</v>
      </c>
      <c r="P219" s="25">
        <v>0</v>
      </c>
      <c r="Q219" s="42" t="s">
        <v>254</v>
      </c>
      <c r="R219" s="41">
        <v>45303</v>
      </c>
      <c r="S219" s="25">
        <v>115</v>
      </c>
      <c r="T219" s="10">
        <v>0</v>
      </c>
    </row>
    <row r="220" s="35" customFormat="1" ht="18.5" customHeight="1" spans="1:20">
      <c r="A220" s="16" t="s">
        <v>251</v>
      </c>
      <c r="B220" s="41">
        <v>44381</v>
      </c>
      <c r="C220" s="25">
        <v>0</v>
      </c>
      <c r="D220" s="25"/>
      <c r="E220" s="25"/>
      <c r="F220" s="25"/>
      <c r="G220" s="25"/>
      <c r="H220" s="25"/>
      <c r="I220" s="42" t="s">
        <v>252</v>
      </c>
      <c r="J220" s="41">
        <v>44896</v>
      </c>
      <c r="K220" s="25">
        <v>240</v>
      </c>
      <c r="L220" s="25">
        <v>0</v>
      </c>
      <c r="M220" s="42" t="s">
        <v>253</v>
      </c>
      <c r="N220" s="41">
        <v>44973</v>
      </c>
      <c r="O220" s="25">
        <v>232</v>
      </c>
      <c r="P220" s="25">
        <v>0</v>
      </c>
      <c r="Q220" s="42" t="s">
        <v>254</v>
      </c>
      <c r="R220" s="41">
        <v>45303</v>
      </c>
      <c r="S220" s="25">
        <v>55</v>
      </c>
      <c r="T220" s="10">
        <v>0</v>
      </c>
    </row>
    <row r="221" s="35" customFormat="1" ht="18.5" customHeight="1" spans="1:20">
      <c r="A221" s="16" t="s">
        <v>251</v>
      </c>
      <c r="B221" s="41">
        <v>44431</v>
      </c>
      <c r="C221" s="25">
        <v>1</v>
      </c>
      <c r="D221" s="25"/>
      <c r="E221" s="25"/>
      <c r="F221" s="25"/>
      <c r="G221" s="25"/>
      <c r="H221" s="25"/>
      <c r="I221" s="42" t="s">
        <v>252</v>
      </c>
      <c r="J221" s="41">
        <v>44876</v>
      </c>
      <c r="K221" s="25">
        <v>239</v>
      </c>
      <c r="L221" s="25">
        <v>0</v>
      </c>
      <c r="M221" s="42" t="s">
        <v>253</v>
      </c>
      <c r="N221" s="41">
        <v>45262</v>
      </c>
      <c r="O221" s="25">
        <v>227</v>
      </c>
      <c r="P221" s="25">
        <v>0</v>
      </c>
      <c r="Q221" s="42" t="s">
        <v>254</v>
      </c>
      <c r="R221" s="41">
        <v>45302</v>
      </c>
      <c r="S221" s="25">
        <v>54</v>
      </c>
      <c r="T221" s="10">
        <v>0</v>
      </c>
    </row>
    <row r="222" s="35" customFormat="1" ht="18.5" customHeight="1" spans="1:20">
      <c r="A222" s="16" t="s">
        <v>251</v>
      </c>
      <c r="B222" s="41">
        <v>44436</v>
      </c>
      <c r="C222" s="25">
        <v>3</v>
      </c>
      <c r="D222" s="25"/>
      <c r="E222" s="25"/>
      <c r="F222" s="25"/>
      <c r="G222" s="25"/>
      <c r="H222" s="25"/>
      <c r="I222" s="42" t="s">
        <v>252</v>
      </c>
      <c r="J222" s="41">
        <v>44922</v>
      </c>
      <c r="K222" s="25">
        <v>238</v>
      </c>
      <c r="L222" s="25">
        <v>0</v>
      </c>
      <c r="M222" s="42" t="s">
        <v>253</v>
      </c>
      <c r="N222" s="41">
        <v>45003</v>
      </c>
      <c r="O222" s="25">
        <v>227</v>
      </c>
      <c r="P222" s="25">
        <v>0</v>
      </c>
      <c r="Q222" s="42" t="s">
        <v>254</v>
      </c>
      <c r="R222" s="41">
        <v>45302</v>
      </c>
      <c r="S222" s="25">
        <v>182</v>
      </c>
      <c r="T222" s="10">
        <v>0</v>
      </c>
    </row>
    <row r="223" s="35" customFormat="1" ht="18.5" customHeight="1" spans="1:20">
      <c r="A223" s="16" t="s">
        <v>251</v>
      </c>
      <c r="B223" s="41">
        <v>44496</v>
      </c>
      <c r="C223" s="25">
        <v>5</v>
      </c>
      <c r="D223" s="25"/>
      <c r="E223" s="25"/>
      <c r="F223" s="25"/>
      <c r="G223" s="25"/>
      <c r="H223" s="25"/>
      <c r="I223" s="42" t="s">
        <v>252</v>
      </c>
      <c r="J223" s="41">
        <v>44915</v>
      </c>
      <c r="K223" s="25">
        <v>238</v>
      </c>
      <c r="L223" s="25">
        <v>0</v>
      </c>
      <c r="M223" s="42" t="s">
        <v>253</v>
      </c>
      <c r="N223" s="41">
        <v>45265</v>
      </c>
      <c r="O223" s="25">
        <v>226</v>
      </c>
      <c r="P223" s="25">
        <v>0</v>
      </c>
      <c r="Q223" s="42" t="s">
        <v>254</v>
      </c>
      <c r="R223" s="41">
        <v>45302</v>
      </c>
      <c r="S223" s="25">
        <v>56</v>
      </c>
      <c r="T223" s="10">
        <v>0</v>
      </c>
    </row>
    <row r="224" s="35" customFormat="1" ht="18.5" customHeight="1" spans="1:20">
      <c r="A224" s="16" t="s">
        <v>251</v>
      </c>
      <c r="B224" s="41">
        <v>44445</v>
      </c>
      <c r="C224" s="25">
        <v>5</v>
      </c>
      <c r="D224" s="25"/>
      <c r="E224" s="25"/>
      <c r="F224" s="25"/>
      <c r="G224" s="25"/>
      <c r="H224" s="25"/>
      <c r="I224" s="42" t="s">
        <v>252</v>
      </c>
      <c r="J224" s="41">
        <v>44898</v>
      </c>
      <c r="K224" s="25">
        <v>239</v>
      </c>
      <c r="L224" s="25">
        <v>0</v>
      </c>
      <c r="M224" s="42" t="s">
        <v>253</v>
      </c>
      <c r="N224" s="41">
        <v>45099</v>
      </c>
      <c r="O224" s="25">
        <v>226</v>
      </c>
      <c r="P224" s="25">
        <v>0</v>
      </c>
      <c r="Q224" s="42" t="s">
        <v>254</v>
      </c>
      <c r="R224" s="41">
        <v>45301</v>
      </c>
      <c r="S224" s="25">
        <v>49</v>
      </c>
      <c r="T224" s="10">
        <v>0</v>
      </c>
    </row>
    <row r="225" s="35" customFormat="1" ht="18.5" customHeight="1" spans="1:20">
      <c r="A225" s="16" t="s">
        <v>251</v>
      </c>
      <c r="B225" s="41">
        <v>44347</v>
      </c>
      <c r="C225" s="25">
        <v>2</v>
      </c>
      <c r="D225" s="25"/>
      <c r="E225" s="25"/>
      <c r="F225" s="25"/>
      <c r="G225" s="25"/>
      <c r="H225" s="25"/>
      <c r="I225" s="42" t="s">
        <v>252</v>
      </c>
      <c r="J225" s="41">
        <v>44853</v>
      </c>
      <c r="K225" s="25">
        <v>239</v>
      </c>
      <c r="L225" s="25">
        <v>0</v>
      </c>
      <c r="M225" s="42" t="s">
        <v>253</v>
      </c>
      <c r="N225" s="41">
        <v>45093</v>
      </c>
      <c r="O225" s="25">
        <v>226</v>
      </c>
      <c r="P225" s="25">
        <v>0</v>
      </c>
      <c r="Q225" s="42" t="s">
        <v>254</v>
      </c>
      <c r="R225" s="41">
        <v>45299</v>
      </c>
      <c r="S225" s="25">
        <v>69</v>
      </c>
      <c r="T225" s="10">
        <v>0</v>
      </c>
    </row>
    <row r="226" s="35" customFormat="1" ht="18.5" customHeight="1" spans="1:20">
      <c r="A226" s="16" t="s">
        <v>251</v>
      </c>
      <c r="B226" s="41">
        <v>44435</v>
      </c>
      <c r="C226" s="25">
        <v>5</v>
      </c>
      <c r="D226" s="25"/>
      <c r="E226" s="25"/>
      <c r="F226" s="25"/>
      <c r="G226" s="25"/>
      <c r="H226" s="25"/>
      <c r="I226" s="42" t="s">
        <v>252</v>
      </c>
      <c r="J226" s="41">
        <v>44744</v>
      </c>
      <c r="K226" s="25">
        <v>234</v>
      </c>
      <c r="L226" s="25">
        <v>0</v>
      </c>
      <c r="M226" s="42" t="s">
        <v>253</v>
      </c>
      <c r="N226" s="41">
        <v>45031</v>
      </c>
      <c r="O226" s="25">
        <v>226</v>
      </c>
      <c r="P226" s="25">
        <v>0</v>
      </c>
      <c r="Q226" s="42" t="s">
        <v>254</v>
      </c>
      <c r="R226" s="41">
        <v>45296</v>
      </c>
      <c r="S226" s="25">
        <v>107</v>
      </c>
      <c r="T226" s="10">
        <v>0</v>
      </c>
    </row>
    <row r="227" s="35" customFormat="1" ht="18.5" customHeight="1" spans="1:20">
      <c r="A227" s="16" t="s">
        <v>251</v>
      </c>
      <c r="B227" s="41">
        <v>44432</v>
      </c>
      <c r="C227" s="25">
        <v>0</v>
      </c>
      <c r="D227" s="25"/>
      <c r="E227" s="25"/>
      <c r="F227" s="25"/>
      <c r="G227" s="25"/>
      <c r="H227" s="25"/>
      <c r="I227" s="42" t="s">
        <v>252</v>
      </c>
      <c r="J227" s="41">
        <v>44852</v>
      </c>
      <c r="K227" s="25">
        <v>233</v>
      </c>
      <c r="L227" s="25">
        <v>0</v>
      </c>
      <c r="M227" s="42" t="s">
        <v>253</v>
      </c>
      <c r="N227" s="41">
        <v>45029</v>
      </c>
      <c r="O227" s="25">
        <v>126</v>
      </c>
      <c r="P227" s="25">
        <v>0</v>
      </c>
      <c r="Q227" s="42" t="s">
        <v>254</v>
      </c>
      <c r="R227" s="41">
        <v>45294</v>
      </c>
      <c r="S227" s="25">
        <v>80</v>
      </c>
      <c r="T227" s="10">
        <v>0</v>
      </c>
    </row>
    <row r="228" s="35" customFormat="1" ht="18.5" customHeight="1" spans="1:20">
      <c r="A228" s="16" t="s">
        <v>251</v>
      </c>
      <c r="B228" s="41">
        <v>44451</v>
      </c>
      <c r="C228" s="25">
        <v>1</v>
      </c>
      <c r="D228" s="25"/>
      <c r="E228" s="25"/>
      <c r="F228" s="25"/>
      <c r="G228" s="25"/>
      <c r="H228" s="25"/>
      <c r="I228" s="42" t="s">
        <v>252</v>
      </c>
      <c r="J228" s="41">
        <v>44809</v>
      </c>
      <c r="K228" s="25">
        <v>232</v>
      </c>
      <c r="L228" s="25">
        <v>0</v>
      </c>
      <c r="M228" s="42" t="s">
        <v>253</v>
      </c>
      <c r="N228" s="41">
        <v>44941</v>
      </c>
      <c r="O228" s="25">
        <v>224</v>
      </c>
      <c r="P228" s="25">
        <v>0</v>
      </c>
      <c r="Q228" s="42" t="s">
        <v>254</v>
      </c>
      <c r="R228" s="41">
        <v>45294</v>
      </c>
      <c r="S228" s="25">
        <v>173</v>
      </c>
      <c r="T228" s="10">
        <v>0</v>
      </c>
    </row>
    <row r="229" s="35" customFormat="1" ht="18.5" customHeight="1" spans="1:20">
      <c r="A229" s="16" t="s">
        <v>251</v>
      </c>
      <c r="B229" s="41">
        <v>44436</v>
      </c>
      <c r="C229" s="25">
        <v>5</v>
      </c>
      <c r="D229" s="25"/>
      <c r="E229" s="25"/>
      <c r="F229" s="25"/>
      <c r="G229" s="25"/>
      <c r="H229" s="25"/>
      <c r="I229" s="42" t="s">
        <v>252</v>
      </c>
      <c r="J229" s="41">
        <v>44921</v>
      </c>
      <c r="K229" s="25">
        <v>231</v>
      </c>
      <c r="L229" s="25">
        <v>0</v>
      </c>
      <c r="M229" s="42" t="s">
        <v>253</v>
      </c>
      <c r="N229" s="41">
        <v>44969</v>
      </c>
      <c r="O229" s="25">
        <v>223</v>
      </c>
      <c r="P229" s="25">
        <v>0</v>
      </c>
      <c r="Q229" s="42" t="s">
        <v>254</v>
      </c>
      <c r="R229" s="41">
        <v>45293</v>
      </c>
      <c r="S229" s="25">
        <v>129</v>
      </c>
      <c r="T229" s="10">
        <v>0</v>
      </c>
    </row>
    <row r="230" s="35" customFormat="1" ht="18.5" customHeight="1" spans="1:20">
      <c r="A230" s="16" t="s">
        <v>251</v>
      </c>
      <c r="B230" s="41">
        <v>44972</v>
      </c>
      <c r="C230" s="25">
        <v>8</v>
      </c>
      <c r="D230" s="25"/>
      <c r="E230" s="25"/>
      <c r="F230" s="25"/>
      <c r="G230" s="25"/>
      <c r="H230" s="25"/>
      <c r="I230" s="42" t="s">
        <v>252</v>
      </c>
      <c r="J230" s="41">
        <v>44797</v>
      </c>
      <c r="K230" s="25">
        <v>228</v>
      </c>
      <c r="L230" s="25">
        <v>0</v>
      </c>
      <c r="M230" s="42" t="s">
        <v>253</v>
      </c>
      <c r="N230" s="41">
        <v>45244</v>
      </c>
      <c r="O230" s="25">
        <v>395</v>
      </c>
      <c r="P230" s="25">
        <v>0</v>
      </c>
      <c r="Q230" s="25"/>
      <c r="R230" s="25"/>
      <c r="S230" s="25"/>
      <c r="T230" s="10"/>
    </row>
    <row r="231" s="35" customFormat="1" ht="18.5" customHeight="1" spans="1:20">
      <c r="A231" s="16" t="s">
        <v>251</v>
      </c>
      <c r="B231" s="41">
        <v>45254</v>
      </c>
      <c r="C231" s="25">
        <v>5</v>
      </c>
      <c r="D231" s="25"/>
      <c r="E231" s="25"/>
      <c r="F231" s="25"/>
      <c r="G231" s="25"/>
      <c r="H231" s="25"/>
      <c r="I231" s="42" t="s">
        <v>252</v>
      </c>
      <c r="J231" s="41">
        <v>44902</v>
      </c>
      <c r="K231" s="25">
        <v>227</v>
      </c>
      <c r="L231" s="25">
        <v>0</v>
      </c>
      <c r="M231" s="42" t="s">
        <v>253</v>
      </c>
      <c r="N231" s="41">
        <v>45252</v>
      </c>
      <c r="O231" s="25">
        <v>220</v>
      </c>
      <c r="P231" s="25">
        <v>0</v>
      </c>
      <c r="Q231" s="25"/>
      <c r="R231" s="25"/>
      <c r="S231" s="25"/>
      <c r="T231" s="10"/>
    </row>
    <row r="232" s="35" customFormat="1" ht="18.5" customHeight="1" spans="1:20">
      <c r="A232" s="16" t="s">
        <v>251</v>
      </c>
      <c r="B232" s="41">
        <v>44475</v>
      </c>
      <c r="C232" s="25">
        <v>3</v>
      </c>
      <c r="D232" s="25"/>
      <c r="E232" s="25"/>
      <c r="F232" s="25"/>
      <c r="G232" s="25"/>
      <c r="H232" s="25"/>
      <c r="I232" s="42" t="s">
        <v>252</v>
      </c>
      <c r="J232" s="41">
        <v>44882</v>
      </c>
      <c r="K232" s="25">
        <v>226</v>
      </c>
      <c r="L232" s="25">
        <v>0</v>
      </c>
      <c r="M232" s="42" t="s">
        <v>253</v>
      </c>
      <c r="N232" s="41">
        <v>45035</v>
      </c>
      <c r="O232" s="25">
        <v>220</v>
      </c>
      <c r="P232" s="25">
        <v>0</v>
      </c>
      <c r="Q232" s="25"/>
      <c r="R232" s="25"/>
      <c r="S232" s="25"/>
      <c r="T232" s="10"/>
    </row>
    <row r="233" s="35" customFormat="1" ht="18.5" customHeight="1" spans="1:20">
      <c r="A233" s="16" t="s">
        <v>251</v>
      </c>
      <c r="B233" s="41">
        <v>44378</v>
      </c>
      <c r="C233" s="25">
        <v>1</v>
      </c>
      <c r="D233" s="25"/>
      <c r="E233" s="25"/>
      <c r="F233" s="25"/>
      <c r="G233" s="25"/>
      <c r="H233" s="25"/>
      <c r="I233" s="42" t="s">
        <v>252</v>
      </c>
      <c r="J233" s="41">
        <v>44662</v>
      </c>
      <c r="K233" s="25">
        <v>223</v>
      </c>
      <c r="L233" s="25">
        <v>0</v>
      </c>
      <c r="M233" s="42" t="s">
        <v>253</v>
      </c>
      <c r="N233" s="41">
        <v>45027</v>
      </c>
      <c r="O233" s="25">
        <v>220</v>
      </c>
      <c r="P233" s="25">
        <v>0</v>
      </c>
      <c r="Q233" s="25"/>
      <c r="R233" s="25"/>
      <c r="S233" s="25"/>
      <c r="T233" s="10"/>
    </row>
    <row r="234" s="35" customFormat="1" ht="18.5" customHeight="1" spans="1:20">
      <c r="A234" s="16" t="s">
        <v>251</v>
      </c>
      <c r="B234" s="41">
        <v>45285</v>
      </c>
      <c r="C234" s="25">
        <v>6</v>
      </c>
      <c r="D234" s="25"/>
      <c r="E234" s="25"/>
      <c r="F234" s="25"/>
      <c r="G234" s="25"/>
      <c r="H234" s="25"/>
      <c r="I234" s="42" t="s">
        <v>252</v>
      </c>
      <c r="J234" s="41">
        <v>44925</v>
      </c>
      <c r="K234" s="25">
        <v>221</v>
      </c>
      <c r="L234" s="25">
        <v>0</v>
      </c>
      <c r="M234" s="42" t="s">
        <v>253</v>
      </c>
      <c r="N234" s="41">
        <v>45024</v>
      </c>
      <c r="O234" s="25">
        <v>219</v>
      </c>
      <c r="P234" s="25">
        <v>0</v>
      </c>
      <c r="Q234" s="25"/>
      <c r="R234" s="25"/>
      <c r="S234" s="25"/>
      <c r="T234" s="10"/>
    </row>
    <row r="235" s="35" customFormat="1" ht="18.5" customHeight="1" spans="1:20">
      <c r="A235" s="16" t="s">
        <v>251</v>
      </c>
      <c r="B235" s="41">
        <v>44348</v>
      </c>
      <c r="C235" s="25">
        <v>6</v>
      </c>
      <c r="D235" s="25"/>
      <c r="E235" s="25"/>
      <c r="F235" s="25"/>
      <c r="G235" s="25"/>
      <c r="H235" s="25"/>
      <c r="I235" s="42" t="s">
        <v>252</v>
      </c>
      <c r="J235" s="41">
        <v>44855</v>
      </c>
      <c r="K235" s="25">
        <v>221</v>
      </c>
      <c r="L235" s="25">
        <v>0</v>
      </c>
      <c r="M235" s="42" t="s">
        <v>253</v>
      </c>
      <c r="N235" s="41">
        <v>44930</v>
      </c>
      <c r="O235" s="25">
        <v>219</v>
      </c>
      <c r="P235" s="25">
        <v>0</v>
      </c>
      <c r="Q235" s="25"/>
      <c r="R235" s="25"/>
      <c r="S235" s="25"/>
      <c r="T235" s="10"/>
    </row>
    <row r="236" s="35" customFormat="1" ht="18.5" customHeight="1" spans="1:20">
      <c r="A236" s="16" t="s">
        <v>251</v>
      </c>
      <c r="B236" s="41">
        <v>45294</v>
      </c>
      <c r="C236" s="25">
        <v>3</v>
      </c>
      <c r="D236" s="25"/>
      <c r="E236" s="25"/>
      <c r="F236" s="25"/>
      <c r="G236" s="25"/>
      <c r="H236" s="25"/>
      <c r="I236" s="42" t="s">
        <v>252</v>
      </c>
      <c r="J236" s="41">
        <v>44901</v>
      </c>
      <c r="K236" s="25">
        <v>219</v>
      </c>
      <c r="L236" s="25">
        <v>0</v>
      </c>
      <c r="M236" s="42" t="s">
        <v>253</v>
      </c>
      <c r="N236" s="41">
        <v>45077</v>
      </c>
      <c r="O236" s="25">
        <v>218</v>
      </c>
      <c r="P236" s="25">
        <v>0</v>
      </c>
      <c r="Q236" s="25"/>
      <c r="R236" s="25"/>
      <c r="S236" s="25"/>
      <c r="T236" s="10"/>
    </row>
    <row r="237" s="35" customFormat="1" ht="18.5" customHeight="1" spans="1:20">
      <c r="A237" s="16" t="s">
        <v>251</v>
      </c>
      <c r="B237" s="41">
        <v>44439</v>
      </c>
      <c r="C237" s="25">
        <v>2</v>
      </c>
      <c r="D237" s="25"/>
      <c r="E237" s="25"/>
      <c r="F237" s="25"/>
      <c r="G237" s="25"/>
      <c r="H237" s="25"/>
      <c r="I237" s="42" t="s">
        <v>252</v>
      </c>
      <c r="J237" s="41">
        <v>44847</v>
      </c>
      <c r="K237" s="25">
        <v>220</v>
      </c>
      <c r="L237" s="25">
        <v>0</v>
      </c>
      <c r="M237" s="42" t="s">
        <v>253</v>
      </c>
      <c r="N237" s="41">
        <v>44993</v>
      </c>
      <c r="O237" s="25">
        <v>1223</v>
      </c>
      <c r="P237" s="25">
        <v>0</v>
      </c>
      <c r="Q237" s="25"/>
      <c r="R237" s="25"/>
      <c r="S237" s="25"/>
      <c r="T237" s="10"/>
    </row>
    <row r="238" s="35" customFormat="1" ht="18.5" customHeight="1" spans="1:20">
      <c r="A238" s="16" t="s">
        <v>251</v>
      </c>
      <c r="B238" s="41">
        <v>44446</v>
      </c>
      <c r="C238" s="25">
        <v>0</v>
      </c>
      <c r="D238" s="25"/>
      <c r="E238" s="25"/>
      <c r="F238" s="25"/>
      <c r="G238" s="25"/>
      <c r="H238" s="25"/>
      <c r="I238" s="42" t="s">
        <v>252</v>
      </c>
      <c r="J238" s="41">
        <v>44839</v>
      </c>
      <c r="K238" s="25">
        <v>219</v>
      </c>
      <c r="L238" s="25">
        <v>0</v>
      </c>
      <c r="M238" s="42" t="s">
        <v>253</v>
      </c>
      <c r="N238" s="41">
        <v>44950</v>
      </c>
      <c r="O238" s="25">
        <v>217</v>
      </c>
      <c r="P238" s="25">
        <v>0</v>
      </c>
      <c r="Q238" s="25"/>
      <c r="R238" s="25"/>
      <c r="S238" s="25"/>
      <c r="T238" s="10"/>
    </row>
    <row r="239" s="35" customFormat="1" ht="18.5" customHeight="1" spans="1:20">
      <c r="A239" s="16" t="s">
        <v>251</v>
      </c>
      <c r="B239" s="41">
        <v>45279</v>
      </c>
      <c r="C239" s="25">
        <v>6</v>
      </c>
      <c r="D239" s="25"/>
      <c r="E239" s="25"/>
      <c r="F239" s="25"/>
      <c r="G239" s="25"/>
      <c r="H239" s="25"/>
      <c r="I239" s="42" t="s">
        <v>252</v>
      </c>
      <c r="J239" s="41">
        <v>44687</v>
      </c>
      <c r="K239" s="25">
        <v>215</v>
      </c>
      <c r="L239" s="25">
        <v>0</v>
      </c>
      <c r="M239" s="42" t="s">
        <v>253</v>
      </c>
      <c r="N239" s="41">
        <v>45148</v>
      </c>
      <c r="O239" s="25">
        <v>216</v>
      </c>
      <c r="P239" s="25">
        <v>0</v>
      </c>
      <c r="Q239" s="25"/>
      <c r="R239" s="25"/>
      <c r="S239" s="25"/>
      <c r="T239" s="10"/>
    </row>
    <row r="240" s="35" customFormat="1" ht="18.5" customHeight="1" spans="1:20">
      <c r="A240" s="16" t="s">
        <v>251</v>
      </c>
      <c r="B240" s="41">
        <v>44418</v>
      </c>
      <c r="C240" s="25">
        <v>1</v>
      </c>
      <c r="D240" s="25"/>
      <c r="E240" s="25"/>
      <c r="F240" s="25"/>
      <c r="G240" s="25"/>
      <c r="H240" s="25"/>
      <c r="I240" s="42" t="s">
        <v>252</v>
      </c>
      <c r="J240" s="41">
        <v>44833</v>
      </c>
      <c r="K240" s="25">
        <v>214</v>
      </c>
      <c r="L240" s="25">
        <v>0</v>
      </c>
      <c r="M240" s="42" t="s">
        <v>253</v>
      </c>
      <c r="N240" s="41">
        <v>45039</v>
      </c>
      <c r="O240" s="25">
        <v>1217</v>
      </c>
      <c r="P240" s="25">
        <v>0</v>
      </c>
      <c r="Q240" s="25"/>
      <c r="R240" s="25"/>
      <c r="S240" s="25"/>
      <c r="T240" s="10"/>
    </row>
    <row r="241" s="35" customFormat="1" ht="18.5" customHeight="1" spans="1:20">
      <c r="A241" s="16" t="s">
        <v>251</v>
      </c>
      <c r="B241" s="41">
        <v>44364</v>
      </c>
      <c r="C241" s="25">
        <v>2</v>
      </c>
      <c r="D241" s="25"/>
      <c r="E241" s="25"/>
      <c r="F241" s="25"/>
      <c r="G241" s="25"/>
      <c r="H241" s="25"/>
      <c r="I241" s="42" t="s">
        <v>252</v>
      </c>
      <c r="J241" s="41">
        <v>44796</v>
      </c>
      <c r="K241" s="25">
        <v>208</v>
      </c>
      <c r="L241" s="25">
        <v>0</v>
      </c>
      <c r="M241" s="42" t="s">
        <v>253</v>
      </c>
      <c r="N241" s="41">
        <v>45257</v>
      </c>
      <c r="O241" s="25">
        <v>215</v>
      </c>
      <c r="P241" s="25">
        <v>0</v>
      </c>
      <c r="Q241" s="25"/>
      <c r="R241" s="25"/>
      <c r="S241" s="25"/>
      <c r="T241" s="10"/>
    </row>
    <row r="242" s="35" customFormat="1" ht="18.5" customHeight="1" spans="1:20">
      <c r="A242" s="16" t="s">
        <v>251</v>
      </c>
      <c r="B242" s="41">
        <v>45283</v>
      </c>
      <c r="C242" s="25">
        <v>6</v>
      </c>
      <c r="D242" s="25"/>
      <c r="E242" s="25"/>
      <c r="F242" s="25"/>
      <c r="G242" s="25"/>
      <c r="H242" s="25"/>
      <c r="I242" s="42" t="s">
        <v>252</v>
      </c>
      <c r="J242" s="41">
        <v>44743</v>
      </c>
      <c r="K242" s="25">
        <v>208</v>
      </c>
      <c r="L242" s="25">
        <v>0</v>
      </c>
      <c r="M242" s="42" t="s">
        <v>253</v>
      </c>
      <c r="N242" s="41">
        <v>45281</v>
      </c>
      <c r="O242" s="25">
        <v>215</v>
      </c>
      <c r="P242" s="25">
        <v>0</v>
      </c>
      <c r="Q242" s="25"/>
      <c r="R242" s="25"/>
      <c r="S242" s="25"/>
      <c r="T242" s="10"/>
    </row>
    <row r="243" s="35" customFormat="1" ht="18.5" customHeight="1" spans="1:20">
      <c r="A243" s="16" t="s">
        <v>251</v>
      </c>
      <c r="B243" s="41">
        <v>44520</v>
      </c>
      <c r="C243" s="25">
        <v>3</v>
      </c>
      <c r="D243" s="25"/>
      <c r="E243" s="25"/>
      <c r="F243" s="25"/>
      <c r="G243" s="25"/>
      <c r="H243" s="25"/>
      <c r="I243" s="42" t="s">
        <v>252</v>
      </c>
      <c r="J243" s="41">
        <v>44803</v>
      </c>
      <c r="K243" s="25">
        <v>206</v>
      </c>
      <c r="L243" s="25">
        <v>0</v>
      </c>
      <c r="M243" s="42" t="s">
        <v>253</v>
      </c>
      <c r="N243" s="41">
        <v>45267</v>
      </c>
      <c r="O243" s="25">
        <v>214</v>
      </c>
      <c r="P243" s="25">
        <v>0</v>
      </c>
      <c r="Q243" s="25"/>
      <c r="R243" s="25"/>
      <c r="S243" s="25"/>
      <c r="T243" s="10"/>
    </row>
    <row r="244" s="35" customFormat="1" ht="18.5" customHeight="1" spans="1:20">
      <c r="A244" s="16" t="s">
        <v>251</v>
      </c>
      <c r="B244" s="41">
        <v>44886</v>
      </c>
      <c r="C244" s="25">
        <v>1</v>
      </c>
      <c r="D244" s="25"/>
      <c r="E244" s="25"/>
      <c r="F244" s="25"/>
      <c r="G244" s="25"/>
      <c r="H244" s="25"/>
      <c r="I244" s="42" t="s">
        <v>252</v>
      </c>
      <c r="J244" s="41">
        <v>44590</v>
      </c>
      <c r="K244" s="25">
        <v>206</v>
      </c>
      <c r="L244" s="25">
        <v>0</v>
      </c>
      <c r="M244" s="42" t="s">
        <v>253</v>
      </c>
      <c r="N244" s="41">
        <v>45014</v>
      </c>
      <c r="O244" s="25">
        <v>214</v>
      </c>
      <c r="P244" s="25">
        <v>0</v>
      </c>
      <c r="Q244" s="25"/>
      <c r="R244" s="25"/>
      <c r="S244" s="25"/>
      <c r="T244" s="10"/>
    </row>
    <row r="245" s="35" customFormat="1" ht="18.5" customHeight="1" spans="1:20">
      <c r="A245" s="16" t="s">
        <v>251</v>
      </c>
      <c r="B245" s="41">
        <v>45014</v>
      </c>
      <c r="C245" s="25">
        <v>3</v>
      </c>
      <c r="D245" s="25"/>
      <c r="E245" s="25"/>
      <c r="F245" s="25"/>
      <c r="G245" s="25"/>
      <c r="H245" s="25"/>
      <c r="I245" s="42" t="s">
        <v>252</v>
      </c>
      <c r="J245" s="41">
        <v>44852</v>
      </c>
      <c r="K245" s="25">
        <v>205</v>
      </c>
      <c r="L245" s="25">
        <v>0</v>
      </c>
      <c r="M245" s="42" t="s">
        <v>253</v>
      </c>
      <c r="N245" s="41">
        <v>45039</v>
      </c>
      <c r="O245" s="25">
        <v>1201</v>
      </c>
      <c r="P245" s="25">
        <v>0</v>
      </c>
      <c r="Q245" s="25"/>
      <c r="R245" s="25"/>
      <c r="S245" s="25"/>
      <c r="T245" s="10"/>
    </row>
    <row r="246" s="35" customFormat="1" ht="18.5" customHeight="1" spans="1:20">
      <c r="A246" s="16" t="s">
        <v>251</v>
      </c>
      <c r="B246" s="41">
        <v>44976</v>
      </c>
      <c r="C246" s="25">
        <v>4</v>
      </c>
      <c r="D246" s="25"/>
      <c r="E246" s="25"/>
      <c r="F246" s="25"/>
      <c r="G246" s="25"/>
      <c r="H246" s="25"/>
      <c r="I246" s="42" t="s">
        <v>252</v>
      </c>
      <c r="J246" s="41">
        <v>44795</v>
      </c>
      <c r="K246" s="25">
        <v>205</v>
      </c>
      <c r="L246" s="25">
        <v>0</v>
      </c>
      <c r="M246" s="42" t="s">
        <v>253</v>
      </c>
      <c r="N246" s="41">
        <v>45063</v>
      </c>
      <c r="O246" s="25">
        <v>212</v>
      </c>
      <c r="P246" s="25">
        <v>0</v>
      </c>
      <c r="Q246" s="25"/>
      <c r="R246" s="25"/>
      <c r="S246" s="25"/>
      <c r="T246" s="10"/>
    </row>
    <row r="247" s="35" customFormat="1" ht="18.5" customHeight="1" spans="1:20">
      <c r="A247" s="16" t="s">
        <v>251</v>
      </c>
      <c r="B247" s="41">
        <v>44465</v>
      </c>
      <c r="C247" s="25">
        <v>1</v>
      </c>
      <c r="D247" s="25"/>
      <c r="E247" s="25"/>
      <c r="F247" s="25"/>
      <c r="G247" s="25"/>
      <c r="H247" s="25"/>
      <c r="I247" s="42" t="s">
        <v>252</v>
      </c>
      <c r="J247" s="41">
        <v>44921</v>
      </c>
      <c r="K247" s="25">
        <v>204</v>
      </c>
      <c r="L247" s="25">
        <v>0</v>
      </c>
      <c r="M247" s="42" t="s">
        <v>253</v>
      </c>
      <c r="N247" s="41">
        <v>45042</v>
      </c>
      <c r="O247" s="25">
        <v>212</v>
      </c>
      <c r="P247" s="25">
        <v>0</v>
      </c>
      <c r="Q247" s="25"/>
      <c r="R247" s="25"/>
      <c r="S247" s="25"/>
      <c r="T247" s="10"/>
    </row>
    <row r="248" s="35" customFormat="1" ht="18.5" customHeight="1" spans="1:20">
      <c r="A248" s="16" t="s">
        <v>251</v>
      </c>
      <c r="B248" s="41">
        <v>45279</v>
      </c>
      <c r="C248" s="25">
        <v>2</v>
      </c>
      <c r="D248" s="25"/>
      <c r="E248" s="25"/>
      <c r="F248" s="25"/>
      <c r="G248" s="25"/>
      <c r="H248" s="25"/>
      <c r="I248" s="42" t="s">
        <v>252</v>
      </c>
      <c r="J248" s="41">
        <v>44792</v>
      </c>
      <c r="K248" s="25">
        <v>202</v>
      </c>
      <c r="L248" s="25">
        <v>0</v>
      </c>
      <c r="M248" s="42" t="s">
        <v>253</v>
      </c>
      <c r="N248" s="41">
        <v>45251</v>
      </c>
      <c r="O248" s="25">
        <v>210</v>
      </c>
      <c r="P248" s="25">
        <v>0</v>
      </c>
      <c r="Q248" s="25"/>
      <c r="R248" s="25"/>
      <c r="S248" s="25"/>
      <c r="T248" s="10"/>
    </row>
    <row r="249" s="35" customFormat="1" ht="18.5" customHeight="1" spans="1:20">
      <c r="A249" s="16" t="s">
        <v>251</v>
      </c>
      <c r="B249" s="41">
        <v>44365</v>
      </c>
      <c r="C249" s="25">
        <v>0</v>
      </c>
      <c r="D249" s="25"/>
      <c r="E249" s="25"/>
      <c r="F249" s="25"/>
      <c r="G249" s="25"/>
      <c r="H249" s="25"/>
      <c r="I249" s="42" t="s">
        <v>252</v>
      </c>
      <c r="J249" s="41">
        <v>44922</v>
      </c>
      <c r="K249" s="25">
        <v>201</v>
      </c>
      <c r="L249" s="25">
        <v>0</v>
      </c>
      <c r="M249" s="42" t="s">
        <v>253</v>
      </c>
      <c r="N249" s="41">
        <v>44996</v>
      </c>
      <c r="O249" s="25">
        <v>209</v>
      </c>
      <c r="P249" s="25">
        <v>0</v>
      </c>
      <c r="Q249" s="25"/>
      <c r="R249" s="25"/>
      <c r="S249" s="25"/>
      <c r="T249" s="10"/>
    </row>
    <row r="250" s="35" customFormat="1" ht="18.5" customHeight="1" spans="1:20">
      <c r="A250" s="16" t="s">
        <v>251</v>
      </c>
      <c r="B250" s="41">
        <v>44442</v>
      </c>
      <c r="C250" s="25">
        <v>1</v>
      </c>
      <c r="D250" s="25"/>
      <c r="E250" s="25"/>
      <c r="F250" s="25"/>
      <c r="G250" s="25"/>
      <c r="H250" s="25"/>
      <c r="I250" s="42" t="s">
        <v>252</v>
      </c>
      <c r="J250" s="41">
        <v>44902</v>
      </c>
      <c r="K250" s="25">
        <v>201</v>
      </c>
      <c r="L250" s="25">
        <v>0</v>
      </c>
      <c r="M250" s="42" t="s">
        <v>253</v>
      </c>
      <c r="N250" s="41">
        <v>45241</v>
      </c>
      <c r="O250" s="25">
        <v>208</v>
      </c>
      <c r="P250" s="25">
        <v>0</v>
      </c>
      <c r="Q250" s="25"/>
      <c r="R250" s="25"/>
      <c r="S250" s="25"/>
      <c r="T250" s="10"/>
    </row>
    <row r="251" s="35" customFormat="1" ht="18.5" customHeight="1" spans="1:20">
      <c r="A251" s="16" t="s">
        <v>251</v>
      </c>
      <c r="B251" s="41">
        <v>45278</v>
      </c>
      <c r="C251" s="25">
        <v>2</v>
      </c>
      <c r="D251" s="25"/>
      <c r="E251" s="25"/>
      <c r="F251" s="25"/>
      <c r="G251" s="25"/>
      <c r="H251" s="25"/>
      <c r="I251" s="42" t="s">
        <v>252</v>
      </c>
      <c r="J251" s="41">
        <v>44764</v>
      </c>
      <c r="K251" s="25">
        <v>201</v>
      </c>
      <c r="L251" s="25">
        <v>0</v>
      </c>
      <c r="M251" s="42" t="s">
        <v>253</v>
      </c>
      <c r="N251" s="41">
        <v>45117</v>
      </c>
      <c r="O251" s="25">
        <v>1169</v>
      </c>
      <c r="P251" s="25">
        <v>0</v>
      </c>
      <c r="Q251" s="25"/>
      <c r="R251" s="25"/>
      <c r="S251" s="25"/>
      <c r="T251" s="10"/>
    </row>
    <row r="252" s="35" customFormat="1" ht="18.5" customHeight="1" spans="1:20">
      <c r="A252" s="16" t="s">
        <v>251</v>
      </c>
      <c r="B252" s="41">
        <v>44906</v>
      </c>
      <c r="C252" s="25">
        <v>2</v>
      </c>
      <c r="D252" s="25"/>
      <c r="E252" s="25"/>
      <c r="F252" s="25"/>
      <c r="G252" s="25"/>
      <c r="H252" s="25"/>
      <c r="I252" s="42" t="s">
        <v>252</v>
      </c>
      <c r="J252" s="41">
        <v>44885</v>
      </c>
      <c r="K252" s="25">
        <v>198</v>
      </c>
      <c r="L252" s="25">
        <v>0</v>
      </c>
      <c r="M252" s="42" t="s">
        <v>253</v>
      </c>
      <c r="N252" s="41">
        <v>45100</v>
      </c>
      <c r="O252" s="25">
        <v>202</v>
      </c>
      <c r="P252" s="25">
        <v>0</v>
      </c>
      <c r="Q252" s="25"/>
      <c r="R252" s="25"/>
      <c r="S252" s="25"/>
      <c r="T252" s="10"/>
    </row>
    <row r="253" s="35" customFormat="1" ht="18.5" customHeight="1" spans="1:20">
      <c r="A253" s="16" t="s">
        <v>251</v>
      </c>
      <c r="B253" s="41">
        <v>44421</v>
      </c>
      <c r="C253" s="25">
        <v>6</v>
      </c>
      <c r="D253" s="25"/>
      <c r="E253" s="25"/>
      <c r="F253" s="25"/>
      <c r="G253" s="25"/>
      <c r="H253" s="25"/>
      <c r="I253" s="42" t="s">
        <v>252</v>
      </c>
      <c r="J253" s="41">
        <v>44921</v>
      </c>
      <c r="K253" s="25">
        <v>195</v>
      </c>
      <c r="L253" s="25">
        <v>0</v>
      </c>
      <c r="M253" s="42" t="s">
        <v>253</v>
      </c>
      <c r="N253" s="41">
        <v>45002</v>
      </c>
      <c r="O253" s="25">
        <v>201</v>
      </c>
      <c r="P253" s="25">
        <v>0</v>
      </c>
      <c r="Q253" s="25"/>
      <c r="R253" s="25"/>
      <c r="S253" s="25"/>
      <c r="T253" s="10"/>
    </row>
    <row r="254" s="35" customFormat="1" ht="18.5" customHeight="1" spans="1:20">
      <c r="A254" s="16" t="s">
        <v>251</v>
      </c>
      <c r="B254" s="41">
        <v>45295</v>
      </c>
      <c r="C254" s="25">
        <v>2</v>
      </c>
      <c r="D254" s="25"/>
      <c r="E254" s="25"/>
      <c r="F254" s="25"/>
      <c r="G254" s="25"/>
      <c r="H254" s="25"/>
      <c r="I254" s="42" t="s">
        <v>252</v>
      </c>
      <c r="J254" s="41">
        <v>44849</v>
      </c>
      <c r="K254" s="25">
        <v>194</v>
      </c>
      <c r="L254" s="25">
        <v>0</v>
      </c>
      <c r="M254" s="42" t="s">
        <v>253</v>
      </c>
      <c r="N254" s="41">
        <v>45237</v>
      </c>
      <c r="O254" s="25">
        <v>198</v>
      </c>
      <c r="P254" s="25">
        <v>0</v>
      </c>
      <c r="Q254" s="25"/>
      <c r="R254" s="25"/>
      <c r="S254" s="25"/>
      <c r="T254" s="10"/>
    </row>
    <row r="255" s="35" customFormat="1" ht="18.5" customHeight="1" spans="1:20">
      <c r="A255" s="16" t="s">
        <v>251</v>
      </c>
      <c r="B255" s="41">
        <v>45294</v>
      </c>
      <c r="C255" s="25">
        <v>2</v>
      </c>
      <c r="D255" s="25"/>
      <c r="E255" s="25"/>
      <c r="F255" s="25"/>
      <c r="G255" s="25"/>
      <c r="H255" s="25"/>
      <c r="I255" s="42" t="s">
        <v>252</v>
      </c>
      <c r="J255" s="41">
        <v>44918</v>
      </c>
      <c r="K255" s="25">
        <v>189</v>
      </c>
      <c r="L255" s="25">
        <v>0</v>
      </c>
      <c r="M255" s="42" t="s">
        <v>253</v>
      </c>
      <c r="N255" s="41">
        <v>45236</v>
      </c>
      <c r="O255" s="25">
        <v>197</v>
      </c>
      <c r="P255" s="25">
        <v>0</v>
      </c>
      <c r="Q255" s="25"/>
      <c r="R255" s="25"/>
      <c r="S255" s="25"/>
      <c r="T255" s="10"/>
    </row>
    <row r="256" s="35" customFormat="1" ht="18.5" customHeight="1" spans="1:20">
      <c r="A256" s="16" t="s">
        <v>251</v>
      </c>
      <c r="B256" s="41">
        <v>44435</v>
      </c>
      <c r="C256" s="25">
        <v>2</v>
      </c>
      <c r="D256" s="25"/>
      <c r="E256" s="25"/>
      <c r="F256" s="25"/>
      <c r="G256" s="25"/>
      <c r="H256" s="25"/>
      <c r="I256" s="42" t="s">
        <v>252</v>
      </c>
      <c r="J256" s="41">
        <v>44691</v>
      </c>
      <c r="K256" s="25">
        <v>187</v>
      </c>
      <c r="L256" s="25">
        <v>0</v>
      </c>
      <c r="M256" s="42" t="s">
        <v>253</v>
      </c>
      <c r="N256" s="41">
        <v>45028</v>
      </c>
      <c r="O256" s="25">
        <v>197</v>
      </c>
      <c r="P256" s="25">
        <v>0</v>
      </c>
      <c r="Q256" s="25"/>
      <c r="R256" s="25"/>
      <c r="S256" s="25"/>
      <c r="T256" s="10"/>
    </row>
    <row r="257" s="35" customFormat="1" ht="18.5" customHeight="1" spans="1:20">
      <c r="A257" s="16" t="s">
        <v>251</v>
      </c>
      <c r="B257" s="41">
        <v>44524</v>
      </c>
      <c r="C257" s="25">
        <v>2</v>
      </c>
      <c r="D257" s="25"/>
      <c r="E257" s="25"/>
      <c r="F257" s="25"/>
      <c r="G257" s="25"/>
      <c r="H257" s="25"/>
      <c r="I257" s="42" t="s">
        <v>252</v>
      </c>
      <c r="J257" s="41">
        <v>44919</v>
      </c>
      <c r="K257" s="25">
        <v>184</v>
      </c>
      <c r="L257" s="25">
        <v>0</v>
      </c>
      <c r="M257" s="42" t="s">
        <v>253</v>
      </c>
      <c r="N257" s="41">
        <v>45244</v>
      </c>
      <c r="O257" s="25">
        <v>196</v>
      </c>
      <c r="P257" s="25">
        <v>0</v>
      </c>
      <c r="Q257" s="25"/>
      <c r="R257" s="25"/>
      <c r="S257" s="25"/>
      <c r="T257" s="10"/>
    </row>
    <row r="258" s="35" customFormat="1" ht="18.5" customHeight="1" spans="1:20">
      <c r="A258" s="16" t="s">
        <v>251</v>
      </c>
      <c r="B258" s="41">
        <v>44472</v>
      </c>
      <c r="C258" s="25">
        <v>3</v>
      </c>
      <c r="D258" s="25"/>
      <c r="E258" s="25"/>
      <c r="F258" s="25"/>
      <c r="G258" s="25"/>
      <c r="H258" s="25"/>
      <c r="I258" s="42" t="s">
        <v>252</v>
      </c>
      <c r="J258" s="41">
        <v>44925</v>
      </c>
      <c r="K258" s="25">
        <v>183</v>
      </c>
      <c r="L258" s="25">
        <v>0</v>
      </c>
      <c r="M258" s="42" t="s">
        <v>253</v>
      </c>
      <c r="N258" s="41">
        <v>45099</v>
      </c>
      <c r="O258" s="25">
        <v>195</v>
      </c>
      <c r="P258" s="25">
        <v>0</v>
      </c>
      <c r="Q258" s="25"/>
      <c r="R258" s="25"/>
      <c r="S258" s="25"/>
      <c r="T258" s="10"/>
    </row>
    <row r="259" s="35" customFormat="1" ht="18.5" customHeight="1" spans="1:20">
      <c r="A259" s="16" t="s">
        <v>251</v>
      </c>
      <c r="B259" s="41">
        <v>45287</v>
      </c>
      <c r="C259" s="25">
        <v>4</v>
      </c>
      <c r="D259" s="25"/>
      <c r="E259" s="25"/>
      <c r="F259" s="25"/>
      <c r="G259" s="25"/>
      <c r="H259" s="25"/>
      <c r="I259" s="42" t="s">
        <v>252</v>
      </c>
      <c r="J259" s="41">
        <v>44891</v>
      </c>
      <c r="K259" s="25">
        <v>182</v>
      </c>
      <c r="L259" s="25">
        <v>0</v>
      </c>
      <c r="M259" s="42" t="s">
        <v>253</v>
      </c>
      <c r="N259" s="41">
        <v>45074</v>
      </c>
      <c r="O259" s="25">
        <v>1096</v>
      </c>
      <c r="P259" s="25">
        <v>0</v>
      </c>
      <c r="Q259" s="25"/>
      <c r="R259" s="25"/>
      <c r="S259" s="25"/>
      <c r="T259" s="10"/>
    </row>
    <row r="260" s="35" customFormat="1" ht="18.5" customHeight="1" spans="1:20">
      <c r="A260" s="16" t="s">
        <v>251</v>
      </c>
      <c r="B260" s="41">
        <v>44409</v>
      </c>
      <c r="C260" s="25">
        <v>3</v>
      </c>
      <c r="D260" s="25"/>
      <c r="E260" s="25"/>
      <c r="F260" s="25"/>
      <c r="G260" s="25"/>
      <c r="H260" s="25"/>
      <c r="I260" s="42" t="s">
        <v>252</v>
      </c>
      <c r="J260" s="41">
        <v>44861</v>
      </c>
      <c r="K260" s="25">
        <v>175</v>
      </c>
      <c r="L260" s="25">
        <v>0</v>
      </c>
      <c r="M260" s="42" t="s">
        <v>253</v>
      </c>
      <c r="N260" s="41">
        <v>45246</v>
      </c>
      <c r="O260" s="25">
        <v>193</v>
      </c>
      <c r="P260" s="25">
        <v>0</v>
      </c>
      <c r="Q260" s="25"/>
      <c r="R260" s="25"/>
      <c r="S260" s="25"/>
      <c r="T260" s="10"/>
    </row>
    <row r="261" s="35" customFormat="1" ht="18.5" customHeight="1" spans="1:20">
      <c r="A261" s="16" t="s">
        <v>251</v>
      </c>
      <c r="B261" s="41">
        <v>44410</v>
      </c>
      <c r="C261" s="25">
        <v>6</v>
      </c>
      <c r="D261" s="25"/>
      <c r="E261" s="25"/>
      <c r="F261" s="25"/>
      <c r="G261" s="25"/>
      <c r="H261" s="25"/>
      <c r="I261" s="42" t="s">
        <v>252</v>
      </c>
      <c r="J261" s="41">
        <v>44886</v>
      </c>
      <c r="K261" s="25">
        <v>172</v>
      </c>
      <c r="L261" s="25">
        <v>0</v>
      </c>
      <c r="M261" s="42" t="s">
        <v>253</v>
      </c>
      <c r="N261" s="41">
        <v>45017</v>
      </c>
      <c r="O261" s="25">
        <v>194</v>
      </c>
      <c r="P261" s="25">
        <v>0</v>
      </c>
      <c r="Q261" s="25"/>
      <c r="R261" s="25"/>
      <c r="S261" s="25"/>
      <c r="T261" s="10"/>
    </row>
    <row r="262" s="35" customFormat="1" ht="18.5" customHeight="1" spans="1:20">
      <c r="A262" s="16" t="s">
        <v>251</v>
      </c>
      <c r="B262" s="41">
        <v>44486</v>
      </c>
      <c r="C262" s="25">
        <v>2</v>
      </c>
      <c r="D262" s="25"/>
      <c r="E262" s="25"/>
      <c r="F262" s="25"/>
      <c r="G262" s="25"/>
      <c r="H262" s="25"/>
      <c r="I262" s="42" t="s">
        <v>252</v>
      </c>
      <c r="J262" s="41">
        <v>44922</v>
      </c>
      <c r="K262" s="25">
        <v>150</v>
      </c>
      <c r="L262" s="25">
        <v>0</v>
      </c>
      <c r="M262" s="42" t="s">
        <v>253</v>
      </c>
      <c r="N262" s="41">
        <v>45267</v>
      </c>
      <c r="O262" s="25">
        <v>190</v>
      </c>
      <c r="P262" s="25">
        <v>0</v>
      </c>
      <c r="Q262" s="25"/>
      <c r="R262" s="25"/>
      <c r="S262" s="25"/>
      <c r="T262" s="10"/>
    </row>
    <row r="263" s="35" customFormat="1" ht="18.5" customHeight="1" spans="1:20">
      <c r="A263" s="16" t="s">
        <v>251</v>
      </c>
      <c r="B263" s="41">
        <v>45281</v>
      </c>
      <c r="C263" s="25">
        <v>3</v>
      </c>
      <c r="D263" s="25"/>
      <c r="E263" s="25"/>
      <c r="F263" s="25"/>
      <c r="G263" s="25"/>
      <c r="H263" s="25"/>
      <c r="I263" s="42" t="s">
        <v>252</v>
      </c>
      <c r="J263" s="41">
        <v>44917</v>
      </c>
      <c r="K263" s="25">
        <v>144</v>
      </c>
      <c r="L263" s="25">
        <v>0</v>
      </c>
      <c r="M263" s="42" t="s">
        <v>253</v>
      </c>
      <c r="N263" s="41">
        <v>45258</v>
      </c>
      <c r="O263" s="25">
        <v>191</v>
      </c>
      <c r="P263" s="25">
        <v>0</v>
      </c>
      <c r="Q263" s="25"/>
      <c r="R263" s="25"/>
      <c r="S263" s="25"/>
      <c r="T263" s="10"/>
    </row>
    <row r="264" s="35" customFormat="1" ht="18.5" customHeight="1" spans="1:20">
      <c r="A264" s="16" t="s">
        <v>251</v>
      </c>
      <c r="B264" s="41">
        <v>44438</v>
      </c>
      <c r="C264" s="25">
        <v>2</v>
      </c>
      <c r="D264" s="25"/>
      <c r="E264" s="25"/>
      <c r="F264" s="25"/>
      <c r="G264" s="25"/>
      <c r="H264" s="25"/>
      <c r="I264" s="42" t="s">
        <v>252</v>
      </c>
      <c r="J264" s="41">
        <v>44796</v>
      </c>
      <c r="K264" s="25">
        <v>138</v>
      </c>
      <c r="L264" s="25">
        <v>0</v>
      </c>
      <c r="M264" s="42" t="s">
        <v>253</v>
      </c>
      <c r="N264" s="41">
        <v>45273</v>
      </c>
      <c r="O264" s="25">
        <v>188</v>
      </c>
      <c r="P264" s="25">
        <v>0</v>
      </c>
      <c r="Q264" s="25"/>
      <c r="R264" s="25"/>
      <c r="S264" s="25"/>
      <c r="T264" s="10"/>
    </row>
    <row r="265" s="35" customFormat="1" ht="18.5" customHeight="1" spans="1:20">
      <c r="A265" s="16" t="s">
        <v>251</v>
      </c>
      <c r="B265" s="41">
        <v>45287</v>
      </c>
      <c r="C265" s="25">
        <v>3</v>
      </c>
      <c r="D265" s="25"/>
      <c r="E265" s="25"/>
      <c r="F265" s="25"/>
      <c r="G265" s="25"/>
      <c r="H265" s="25"/>
      <c r="I265" s="42" t="s">
        <v>252</v>
      </c>
      <c r="J265" s="41">
        <v>44918</v>
      </c>
      <c r="K265" s="25">
        <v>137</v>
      </c>
      <c r="L265" s="25">
        <v>0</v>
      </c>
      <c r="M265" s="42" t="s">
        <v>253</v>
      </c>
      <c r="N265" s="41">
        <v>45239</v>
      </c>
      <c r="O265" s="25">
        <v>187</v>
      </c>
      <c r="P265" s="25">
        <v>0</v>
      </c>
      <c r="Q265" s="25"/>
      <c r="R265" s="25"/>
      <c r="S265" s="25"/>
      <c r="T265" s="10"/>
    </row>
    <row r="266" s="35" customFormat="1" ht="18.5" customHeight="1" spans="1:20">
      <c r="A266" s="16" t="s">
        <v>251</v>
      </c>
      <c r="B266" s="41">
        <v>44445</v>
      </c>
      <c r="C266" s="25">
        <v>2</v>
      </c>
      <c r="D266" s="25"/>
      <c r="E266" s="25"/>
      <c r="F266" s="25"/>
      <c r="G266" s="25"/>
      <c r="H266" s="25"/>
      <c r="I266" s="42" t="s">
        <v>252</v>
      </c>
      <c r="J266" s="41">
        <v>44916</v>
      </c>
      <c r="K266" s="25">
        <v>111</v>
      </c>
      <c r="L266" s="25">
        <v>0</v>
      </c>
      <c r="M266" s="42" t="s">
        <v>253</v>
      </c>
      <c r="N266" s="41">
        <v>45222</v>
      </c>
      <c r="O266" s="25">
        <v>1035</v>
      </c>
      <c r="P266" s="25">
        <v>0</v>
      </c>
      <c r="Q266" s="25"/>
      <c r="R266" s="25"/>
      <c r="S266" s="25"/>
      <c r="T266" s="10"/>
    </row>
    <row r="267" s="35" customFormat="1" ht="18.5" customHeight="1" spans="1:20">
      <c r="A267" s="16" t="s">
        <v>251</v>
      </c>
      <c r="B267" s="41">
        <v>44441</v>
      </c>
      <c r="C267" s="25">
        <v>4</v>
      </c>
      <c r="D267" s="25"/>
      <c r="E267" s="25"/>
      <c r="F267" s="25"/>
      <c r="G267" s="25"/>
      <c r="H267" s="25"/>
      <c r="I267" s="42" t="s">
        <v>252</v>
      </c>
      <c r="J267" s="41">
        <v>44580</v>
      </c>
      <c r="K267" s="25">
        <v>573</v>
      </c>
      <c r="L267" s="25">
        <v>0</v>
      </c>
      <c r="M267" s="42" t="s">
        <v>253</v>
      </c>
      <c r="N267" s="41">
        <v>45056</v>
      </c>
      <c r="O267" s="25">
        <v>183</v>
      </c>
      <c r="P267" s="25">
        <v>0</v>
      </c>
      <c r="Q267" s="25"/>
      <c r="R267" s="25"/>
      <c r="S267" s="25"/>
      <c r="T267" s="10"/>
    </row>
    <row r="268" s="35" customFormat="1" ht="18.5" customHeight="1" spans="1:20">
      <c r="A268" s="16" t="s">
        <v>251</v>
      </c>
      <c r="B268" s="41">
        <v>44750</v>
      </c>
      <c r="C268" s="25">
        <v>2</v>
      </c>
      <c r="D268" s="25"/>
      <c r="E268" s="25"/>
      <c r="F268" s="25"/>
      <c r="G268" s="25"/>
      <c r="H268" s="25"/>
      <c r="I268" s="42" t="s">
        <v>252</v>
      </c>
      <c r="J268" s="41">
        <v>44572</v>
      </c>
      <c r="K268" s="25">
        <v>279</v>
      </c>
      <c r="L268" s="25">
        <v>0</v>
      </c>
      <c r="M268" s="42" t="s">
        <v>253</v>
      </c>
      <c r="N268" s="41">
        <v>45249</v>
      </c>
      <c r="O268" s="25">
        <v>181</v>
      </c>
      <c r="P268" s="25">
        <v>0</v>
      </c>
      <c r="Q268" s="25"/>
      <c r="R268" s="25"/>
      <c r="S268" s="25"/>
      <c r="T268" s="10"/>
    </row>
    <row r="269" s="35" customFormat="1" ht="18.5" customHeight="1" spans="1:20">
      <c r="A269" s="16" t="s">
        <v>251</v>
      </c>
      <c r="B269" s="41">
        <v>44490</v>
      </c>
      <c r="C269" s="25">
        <v>5</v>
      </c>
      <c r="D269" s="25"/>
      <c r="E269" s="25"/>
      <c r="F269" s="25"/>
      <c r="G269" s="25"/>
      <c r="H269" s="25"/>
      <c r="I269" s="42" t="s">
        <v>252</v>
      </c>
      <c r="J269" s="41">
        <v>44772</v>
      </c>
      <c r="K269" s="25">
        <v>661</v>
      </c>
      <c r="L269" s="25">
        <v>0</v>
      </c>
      <c r="M269" s="42" t="s">
        <v>253</v>
      </c>
      <c r="N269" s="41">
        <v>45009</v>
      </c>
      <c r="O269" s="25">
        <v>180</v>
      </c>
      <c r="P269" s="25">
        <v>0</v>
      </c>
      <c r="Q269" s="25"/>
      <c r="R269" s="25"/>
      <c r="S269" s="25"/>
      <c r="T269" s="10"/>
    </row>
    <row r="270" s="35" customFormat="1" ht="18.5" customHeight="1" spans="1:20">
      <c r="A270" s="16" t="s">
        <v>251</v>
      </c>
      <c r="B270" s="41">
        <v>44329</v>
      </c>
      <c r="C270" s="25">
        <v>3</v>
      </c>
      <c r="D270" s="25"/>
      <c r="E270" s="25"/>
      <c r="F270" s="25"/>
      <c r="G270" s="25"/>
      <c r="H270" s="25"/>
      <c r="I270" s="42" t="s">
        <v>252</v>
      </c>
      <c r="J270" s="41">
        <v>44890</v>
      </c>
      <c r="K270" s="25">
        <v>2703</v>
      </c>
      <c r="L270" s="25">
        <v>0</v>
      </c>
      <c r="M270" s="42" t="s">
        <v>253</v>
      </c>
      <c r="N270" s="41">
        <v>44973</v>
      </c>
      <c r="O270" s="25">
        <v>177</v>
      </c>
      <c r="P270" s="25">
        <v>0</v>
      </c>
      <c r="Q270" s="25"/>
      <c r="R270" s="25"/>
      <c r="S270" s="25"/>
      <c r="T270" s="10"/>
    </row>
    <row r="271" s="35" customFormat="1" ht="18.5" customHeight="1" spans="1:20">
      <c r="A271" s="16" t="s">
        <v>251</v>
      </c>
      <c r="B271" s="41">
        <v>44918</v>
      </c>
      <c r="C271" s="25">
        <v>2</v>
      </c>
      <c r="D271" s="25"/>
      <c r="E271" s="25"/>
      <c r="F271" s="25"/>
      <c r="G271" s="25"/>
      <c r="H271" s="25"/>
      <c r="I271" s="42" t="s">
        <v>252</v>
      </c>
      <c r="J271" s="41">
        <v>44686</v>
      </c>
      <c r="K271" s="25">
        <v>640</v>
      </c>
      <c r="L271" s="25">
        <v>0</v>
      </c>
      <c r="M271" s="42" t="s">
        <v>253</v>
      </c>
      <c r="N271" s="41">
        <v>45021</v>
      </c>
      <c r="O271" s="25">
        <v>175</v>
      </c>
      <c r="P271" s="25">
        <v>0</v>
      </c>
      <c r="Q271" s="25"/>
      <c r="R271" s="25"/>
      <c r="S271" s="25"/>
      <c r="T271" s="10"/>
    </row>
    <row r="272" s="35" customFormat="1" ht="18.5" customHeight="1" spans="1:20">
      <c r="A272" s="16" t="s">
        <v>251</v>
      </c>
      <c r="B272" s="41">
        <v>45279</v>
      </c>
      <c r="C272" s="25">
        <v>2</v>
      </c>
      <c r="D272" s="25"/>
      <c r="E272" s="25"/>
      <c r="F272" s="25"/>
      <c r="G272" s="25"/>
      <c r="H272" s="25"/>
      <c r="I272" s="42" t="s">
        <v>252</v>
      </c>
      <c r="J272" s="41">
        <v>44718</v>
      </c>
      <c r="K272" s="25">
        <v>344</v>
      </c>
      <c r="L272" s="25">
        <v>0</v>
      </c>
      <c r="M272" s="42" t="s">
        <v>253</v>
      </c>
      <c r="N272" s="41">
        <v>45247</v>
      </c>
      <c r="O272" s="25">
        <v>173</v>
      </c>
      <c r="P272" s="25">
        <v>0</v>
      </c>
      <c r="Q272" s="25"/>
      <c r="R272" s="25"/>
      <c r="S272" s="25"/>
      <c r="T272" s="10"/>
    </row>
    <row r="273" s="35" customFormat="1" ht="18.5" customHeight="1" spans="1:20">
      <c r="A273" s="16" t="s">
        <v>251</v>
      </c>
      <c r="B273" s="41">
        <v>44491</v>
      </c>
      <c r="C273" s="25">
        <v>5</v>
      </c>
      <c r="D273" s="25"/>
      <c r="E273" s="25"/>
      <c r="F273" s="25"/>
      <c r="G273" s="25"/>
      <c r="H273" s="25"/>
      <c r="I273" s="42" t="s">
        <v>252</v>
      </c>
      <c r="J273" s="41">
        <v>44776</v>
      </c>
      <c r="K273" s="25">
        <v>1036</v>
      </c>
      <c r="L273" s="25">
        <v>0</v>
      </c>
      <c r="M273" s="42" t="s">
        <v>253</v>
      </c>
      <c r="N273" s="41">
        <v>45240</v>
      </c>
      <c r="O273" s="25">
        <v>173</v>
      </c>
      <c r="P273" s="25">
        <v>0</v>
      </c>
      <c r="Q273" s="25"/>
      <c r="R273" s="25"/>
      <c r="S273" s="25"/>
      <c r="T273" s="10"/>
    </row>
    <row r="274" s="35" customFormat="1" ht="18.5" customHeight="1" spans="1:20">
      <c r="A274" s="16" t="s">
        <v>251</v>
      </c>
      <c r="B274" s="41">
        <v>45276</v>
      </c>
      <c r="C274" s="25">
        <v>5</v>
      </c>
      <c r="D274" s="25"/>
      <c r="E274" s="25"/>
      <c r="F274" s="25"/>
      <c r="G274" s="25"/>
      <c r="H274" s="25"/>
      <c r="I274" s="42" t="s">
        <v>252</v>
      </c>
      <c r="J274" s="41">
        <v>44623</v>
      </c>
      <c r="K274" s="25">
        <v>286</v>
      </c>
      <c r="L274" s="25">
        <v>0</v>
      </c>
      <c r="M274" s="42" t="s">
        <v>253</v>
      </c>
      <c r="N274" s="41">
        <v>45166</v>
      </c>
      <c r="O274" s="25">
        <v>171</v>
      </c>
      <c r="P274" s="25">
        <v>0</v>
      </c>
      <c r="Q274" s="25"/>
      <c r="R274" s="25"/>
      <c r="S274" s="25"/>
      <c r="T274" s="10"/>
    </row>
    <row r="275" s="35" customFormat="1" ht="18.5" customHeight="1" spans="1:20">
      <c r="A275" s="16" t="s">
        <v>251</v>
      </c>
      <c r="B275" s="41">
        <v>45129</v>
      </c>
      <c r="C275" s="25">
        <v>8</v>
      </c>
      <c r="D275" s="25"/>
      <c r="E275" s="25"/>
      <c r="F275" s="25"/>
      <c r="G275" s="25"/>
      <c r="H275" s="25"/>
      <c r="I275" s="42" t="s">
        <v>252</v>
      </c>
      <c r="J275" s="41">
        <v>44672</v>
      </c>
      <c r="K275" s="25">
        <v>4458</v>
      </c>
      <c r="L275" s="25">
        <v>0</v>
      </c>
      <c r="M275" s="42" t="s">
        <v>253</v>
      </c>
      <c r="N275" s="41">
        <v>44981</v>
      </c>
      <c r="O275" s="25">
        <v>956</v>
      </c>
      <c r="P275" s="25">
        <v>0</v>
      </c>
      <c r="Q275" s="25"/>
      <c r="R275" s="25"/>
      <c r="S275" s="25"/>
      <c r="T275" s="10"/>
    </row>
    <row r="276" s="35" customFormat="1" ht="18.5" customHeight="1" spans="1:20">
      <c r="A276" s="16" t="s">
        <v>251</v>
      </c>
      <c r="B276" s="41">
        <v>44438</v>
      </c>
      <c r="C276" s="25">
        <v>4</v>
      </c>
      <c r="D276" s="25"/>
      <c r="E276" s="25"/>
      <c r="F276" s="25"/>
      <c r="G276" s="25"/>
      <c r="H276" s="25"/>
      <c r="I276" s="42" t="s">
        <v>252</v>
      </c>
      <c r="J276" s="41">
        <v>44877</v>
      </c>
      <c r="K276" s="25">
        <v>437</v>
      </c>
      <c r="L276" s="25">
        <v>0</v>
      </c>
      <c r="M276" s="42" t="s">
        <v>253</v>
      </c>
      <c r="N276" s="41">
        <v>45030</v>
      </c>
      <c r="O276" s="25">
        <v>955</v>
      </c>
      <c r="P276" s="25">
        <v>0</v>
      </c>
      <c r="Q276" s="25"/>
      <c r="R276" s="25"/>
      <c r="S276" s="25"/>
      <c r="T276" s="10"/>
    </row>
    <row r="277" s="35" customFormat="1" ht="18.5" customHeight="1" spans="1:20">
      <c r="A277" s="16" t="s">
        <v>251</v>
      </c>
      <c r="B277" s="41">
        <v>45294</v>
      </c>
      <c r="C277" s="25">
        <v>3</v>
      </c>
      <c r="D277" s="25"/>
      <c r="E277" s="25"/>
      <c r="F277" s="25"/>
      <c r="G277" s="25"/>
      <c r="H277" s="25"/>
      <c r="I277" s="42" t="s">
        <v>252</v>
      </c>
      <c r="J277" s="41">
        <v>44594</v>
      </c>
      <c r="K277" s="25">
        <v>388</v>
      </c>
      <c r="L277" s="25">
        <v>0</v>
      </c>
      <c r="M277" s="42" t="s">
        <v>253</v>
      </c>
      <c r="N277" s="41">
        <v>45286</v>
      </c>
      <c r="O277" s="25">
        <v>169</v>
      </c>
      <c r="P277" s="25">
        <v>0</v>
      </c>
      <c r="Q277" s="25"/>
      <c r="R277" s="25"/>
      <c r="S277" s="25"/>
      <c r="T277" s="10"/>
    </row>
    <row r="278" s="35" customFormat="1" ht="18.5" customHeight="1" spans="1:20">
      <c r="A278" s="16" t="s">
        <v>251</v>
      </c>
      <c r="B278" s="41">
        <v>44370</v>
      </c>
      <c r="C278" s="25">
        <v>7</v>
      </c>
      <c r="D278" s="25"/>
      <c r="E278" s="25"/>
      <c r="F278" s="25"/>
      <c r="G278" s="25"/>
      <c r="H278" s="25"/>
      <c r="I278" s="42" t="s">
        <v>252</v>
      </c>
      <c r="J278" s="41">
        <v>44675</v>
      </c>
      <c r="K278" s="25">
        <v>317</v>
      </c>
      <c r="L278" s="25">
        <v>0</v>
      </c>
      <c r="M278" s="42" t="s">
        <v>253</v>
      </c>
      <c r="N278" s="41">
        <v>45276</v>
      </c>
      <c r="O278" s="25">
        <v>167</v>
      </c>
      <c r="P278" s="25">
        <v>0</v>
      </c>
      <c r="Q278" s="25"/>
      <c r="R278" s="25"/>
      <c r="S278" s="25"/>
      <c r="T278" s="10"/>
    </row>
    <row r="279" s="35" customFormat="1" ht="18.5" customHeight="1" spans="1:20">
      <c r="A279" s="16" t="s">
        <v>251</v>
      </c>
      <c r="B279" s="41">
        <v>44637</v>
      </c>
      <c r="C279" s="25">
        <v>2</v>
      </c>
      <c r="D279" s="25"/>
      <c r="E279" s="25"/>
      <c r="F279" s="25"/>
      <c r="G279" s="25"/>
      <c r="H279" s="25"/>
      <c r="I279" s="42" t="s">
        <v>252</v>
      </c>
      <c r="J279" s="41">
        <v>44624</v>
      </c>
      <c r="K279" s="25">
        <v>260</v>
      </c>
      <c r="L279" s="25">
        <v>0</v>
      </c>
      <c r="M279" s="42" t="s">
        <v>253</v>
      </c>
      <c r="N279" s="41">
        <v>45238</v>
      </c>
      <c r="O279" s="25">
        <v>167</v>
      </c>
      <c r="P279" s="25">
        <v>0</v>
      </c>
      <c r="Q279" s="25"/>
      <c r="R279" s="25"/>
      <c r="S279" s="25"/>
      <c r="T279" s="10"/>
    </row>
    <row r="280" s="35" customFormat="1" ht="18.5" customHeight="1" spans="1:20">
      <c r="A280" s="16" t="s">
        <v>251</v>
      </c>
      <c r="B280" s="41">
        <v>44468</v>
      </c>
      <c r="C280" s="25">
        <v>1</v>
      </c>
      <c r="D280" s="25"/>
      <c r="E280" s="25"/>
      <c r="F280" s="25"/>
      <c r="G280" s="25"/>
      <c r="H280" s="25"/>
      <c r="I280" s="42" t="s">
        <v>252</v>
      </c>
      <c r="J280" s="41">
        <v>44599</v>
      </c>
      <c r="K280" s="25">
        <v>997</v>
      </c>
      <c r="L280" s="25">
        <v>0</v>
      </c>
      <c r="M280" s="42" t="s">
        <v>253</v>
      </c>
      <c r="N280" s="41">
        <v>45232</v>
      </c>
      <c r="O280" s="25">
        <v>937</v>
      </c>
      <c r="P280" s="25">
        <v>0</v>
      </c>
      <c r="Q280" s="25"/>
      <c r="R280" s="25"/>
      <c r="S280" s="25"/>
      <c r="T280" s="10"/>
    </row>
    <row r="281" s="35" customFormat="1" ht="18.5" customHeight="1" spans="1:20">
      <c r="A281" s="16" t="s">
        <v>251</v>
      </c>
      <c r="B281" s="41">
        <v>44465</v>
      </c>
      <c r="C281" s="25">
        <v>4</v>
      </c>
      <c r="D281" s="25"/>
      <c r="E281" s="25"/>
      <c r="F281" s="25"/>
      <c r="G281" s="25"/>
      <c r="H281" s="25"/>
      <c r="I281" s="42" t="s">
        <v>252</v>
      </c>
      <c r="J281" s="41">
        <v>44829</v>
      </c>
      <c r="K281" s="25">
        <v>545</v>
      </c>
      <c r="L281" s="25">
        <v>0</v>
      </c>
      <c r="M281" s="42" t="s">
        <v>253</v>
      </c>
      <c r="N281" s="41">
        <v>45149</v>
      </c>
      <c r="O281" s="25">
        <v>166</v>
      </c>
      <c r="P281" s="25">
        <v>0</v>
      </c>
      <c r="Q281" s="25"/>
      <c r="R281" s="25"/>
      <c r="S281" s="25"/>
      <c r="T281" s="10"/>
    </row>
    <row r="282" s="35" customFormat="1" ht="18.5" customHeight="1" spans="1:20">
      <c r="A282" s="16" t="s">
        <v>251</v>
      </c>
      <c r="B282" s="41">
        <v>44948</v>
      </c>
      <c r="C282" s="25">
        <v>1</v>
      </c>
      <c r="D282" s="25"/>
      <c r="E282" s="25"/>
      <c r="F282" s="25"/>
      <c r="G282" s="25"/>
      <c r="H282" s="25"/>
      <c r="I282" s="42" t="s">
        <v>252</v>
      </c>
      <c r="J282" s="41">
        <v>44897</v>
      </c>
      <c r="K282" s="25">
        <v>533</v>
      </c>
      <c r="L282" s="25">
        <v>0</v>
      </c>
      <c r="M282" s="42" t="s">
        <v>253</v>
      </c>
      <c r="N282" s="41">
        <v>44994</v>
      </c>
      <c r="O282" s="25">
        <v>926</v>
      </c>
      <c r="P282" s="25">
        <v>0</v>
      </c>
      <c r="Q282" s="25"/>
      <c r="R282" s="25"/>
      <c r="S282" s="25"/>
      <c r="T282" s="10"/>
    </row>
    <row r="283" s="35" customFormat="1" ht="18.5" customHeight="1" spans="1:20">
      <c r="A283" s="16" t="s">
        <v>251</v>
      </c>
      <c r="B283" s="41">
        <v>45128</v>
      </c>
      <c r="C283" s="25">
        <v>8</v>
      </c>
      <c r="D283" s="25"/>
      <c r="E283" s="25"/>
      <c r="F283" s="25"/>
      <c r="G283" s="25"/>
      <c r="H283" s="25"/>
      <c r="I283" s="42" t="s">
        <v>252</v>
      </c>
      <c r="J283" s="41">
        <v>44629</v>
      </c>
      <c r="K283" s="25">
        <v>516</v>
      </c>
      <c r="L283" s="25">
        <v>0</v>
      </c>
      <c r="M283" s="42" t="s">
        <v>253</v>
      </c>
      <c r="N283" s="41">
        <v>45146</v>
      </c>
      <c r="O283" s="25">
        <v>925</v>
      </c>
      <c r="P283" s="25">
        <v>0</v>
      </c>
      <c r="Q283" s="25"/>
      <c r="R283" s="25"/>
      <c r="S283" s="25"/>
      <c r="T283" s="10"/>
    </row>
    <row r="284" s="35" customFormat="1" ht="18.5" customHeight="1" spans="1:20">
      <c r="A284" s="16" t="s">
        <v>251</v>
      </c>
      <c r="B284" s="41">
        <v>45295</v>
      </c>
      <c r="C284" s="25">
        <v>2</v>
      </c>
      <c r="D284" s="25"/>
      <c r="E284" s="25"/>
      <c r="F284" s="25"/>
      <c r="G284" s="25"/>
      <c r="H284" s="25"/>
      <c r="I284" s="42" t="s">
        <v>252</v>
      </c>
      <c r="J284" s="41">
        <v>44858</v>
      </c>
      <c r="K284" s="25">
        <v>451</v>
      </c>
      <c r="L284" s="25">
        <v>0</v>
      </c>
      <c r="M284" s="42" t="s">
        <v>253</v>
      </c>
      <c r="N284" s="41">
        <v>44989</v>
      </c>
      <c r="O284" s="25">
        <v>164</v>
      </c>
      <c r="P284" s="25">
        <v>0</v>
      </c>
      <c r="Q284" s="25"/>
      <c r="R284" s="25"/>
      <c r="S284" s="25"/>
      <c r="T284" s="10"/>
    </row>
    <row r="285" s="35" customFormat="1" ht="18.5" customHeight="1" spans="1:20">
      <c r="A285" s="16" t="s">
        <v>251</v>
      </c>
      <c r="B285" s="41">
        <v>44447</v>
      </c>
      <c r="C285" s="25">
        <v>0</v>
      </c>
      <c r="D285" s="25"/>
      <c r="E285" s="25"/>
      <c r="F285" s="25"/>
      <c r="G285" s="25"/>
      <c r="H285" s="25"/>
      <c r="I285" s="42" t="s">
        <v>252</v>
      </c>
      <c r="J285" s="41">
        <v>44615</v>
      </c>
      <c r="K285" s="25">
        <v>417</v>
      </c>
      <c r="L285" s="25">
        <v>0</v>
      </c>
      <c r="M285" s="42" t="s">
        <v>253</v>
      </c>
      <c r="N285" s="41">
        <v>45279</v>
      </c>
      <c r="O285" s="25">
        <v>164</v>
      </c>
      <c r="P285" s="25">
        <v>0</v>
      </c>
      <c r="Q285" s="25"/>
      <c r="R285" s="25"/>
      <c r="S285" s="25"/>
      <c r="T285" s="10"/>
    </row>
    <row r="286" s="35" customFormat="1" ht="18.5" customHeight="1" spans="1:20">
      <c r="A286" s="16" t="s">
        <v>251</v>
      </c>
      <c r="B286" s="41">
        <v>44468</v>
      </c>
      <c r="C286" s="25">
        <v>2</v>
      </c>
      <c r="D286" s="25"/>
      <c r="E286" s="25"/>
      <c r="F286" s="25"/>
      <c r="G286" s="25"/>
      <c r="H286" s="25"/>
      <c r="I286" s="42" t="s">
        <v>252</v>
      </c>
      <c r="J286" s="41">
        <v>44638</v>
      </c>
      <c r="K286" s="25">
        <v>379</v>
      </c>
      <c r="L286" s="25">
        <v>0</v>
      </c>
      <c r="M286" s="42" t="s">
        <v>253</v>
      </c>
      <c r="N286" s="41">
        <v>45053</v>
      </c>
      <c r="O286" s="25">
        <v>914</v>
      </c>
      <c r="P286" s="25">
        <v>0</v>
      </c>
      <c r="Q286" s="25"/>
      <c r="R286" s="25"/>
      <c r="S286" s="25"/>
      <c r="T286" s="10"/>
    </row>
    <row r="287" s="35" customFormat="1" ht="18.5" customHeight="1" spans="1:20">
      <c r="A287" s="16" t="s">
        <v>251</v>
      </c>
      <c r="B287" s="41">
        <v>44418</v>
      </c>
      <c r="C287" s="25">
        <v>1</v>
      </c>
      <c r="D287" s="25"/>
      <c r="E287" s="25"/>
      <c r="F287" s="25"/>
      <c r="G287" s="25"/>
      <c r="H287" s="25"/>
      <c r="I287" s="42" t="s">
        <v>252</v>
      </c>
      <c r="J287" s="41">
        <v>44658</v>
      </c>
      <c r="K287" s="25">
        <v>363</v>
      </c>
      <c r="L287" s="25">
        <v>0</v>
      </c>
      <c r="M287" s="42" t="s">
        <v>253</v>
      </c>
      <c r="N287" s="41">
        <v>45195</v>
      </c>
      <c r="O287" s="25">
        <v>160</v>
      </c>
      <c r="P287" s="25">
        <v>0</v>
      </c>
      <c r="Q287" s="25"/>
      <c r="R287" s="25"/>
      <c r="S287" s="25"/>
      <c r="T287" s="10"/>
    </row>
    <row r="288" s="35" customFormat="1" ht="18.5" customHeight="1" spans="1:20">
      <c r="A288" s="16" t="s">
        <v>251</v>
      </c>
      <c r="B288" s="41">
        <v>45259</v>
      </c>
      <c r="C288" s="25">
        <v>8</v>
      </c>
      <c r="D288" s="25"/>
      <c r="E288" s="25"/>
      <c r="F288" s="25"/>
      <c r="G288" s="25"/>
      <c r="H288" s="25"/>
      <c r="I288" s="42" t="s">
        <v>252</v>
      </c>
      <c r="J288" s="41">
        <v>44735</v>
      </c>
      <c r="K288" s="25">
        <v>297</v>
      </c>
      <c r="L288" s="25">
        <v>0</v>
      </c>
      <c r="M288" s="42" t="s">
        <v>253</v>
      </c>
      <c r="N288" s="41">
        <v>45023</v>
      </c>
      <c r="O288" s="25">
        <v>159</v>
      </c>
      <c r="P288" s="25">
        <v>0</v>
      </c>
      <c r="Q288" s="25"/>
      <c r="R288" s="25"/>
      <c r="S288" s="25"/>
      <c r="T288" s="10"/>
    </row>
    <row r="289" s="35" customFormat="1" ht="18.5" customHeight="1" spans="1:20">
      <c r="A289" s="16" t="s">
        <v>251</v>
      </c>
      <c r="B289" s="41">
        <v>45279</v>
      </c>
      <c r="C289" s="25">
        <v>5</v>
      </c>
      <c r="D289" s="25"/>
      <c r="E289" s="25"/>
      <c r="F289" s="25"/>
      <c r="G289" s="25"/>
      <c r="H289" s="25"/>
      <c r="I289" s="42" t="s">
        <v>252</v>
      </c>
      <c r="J289" s="41">
        <v>44589</v>
      </c>
      <c r="K289" s="25">
        <v>296</v>
      </c>
      <c r="L289" s="25">
        <v>0</v>
      </c>
      <c r="M289" s="42" t="s">
        <v>253</v>
      </c>
      <c r="N289" s="41">
        <v>45282</v>
      </c>
      <c r="O289" s="25">
        <v>158</v>
      </c>
      <c r="P289" s="25">
        <v>0</v>
      </c>
      <c r="Q289" s="25"/>
      <c r="R289" s="25"/>
      <c r="S289" s="25"/>
      <c r="T289" s="10"/>
    </row>
    <row r="290" s="35" customFormat="1" ht="18.5" customHeight="1" spans="1:20">
      <c r="A290" s="16" t="s">
        <v>251</v>
      </c>
      <c r="B290" s="41">
        <v>45294</v>
      </c>
      <c r="C290" s="25">
        <v>3</v>
      </c>
      <c r="D290" s="25"/>
      <c r="E290" s="25"/>
      <c r="F290" s="25"/>
      <c r="G290" s="25"/>
      <c r="H290" s="25"/>
      <c r="I290" s="42" t="s">
        <v>252</v>
      </c>
      <c r="J290" s="41">
        <v>44915</v>
      </c>
      <c r="K290" s="25">
        <v>266</v>
      </c>
      <c r="L290" s="25">
        <v>0</v>
      </c>
      <c r="M290" s="42" t="s">
        <v>253</v>
      </c>
      <c r="N290" s="41">
        <v>45242</v>
      </c>
      <c r="O290" s="25">
        <v>156</v>
      </c>
      <c r="P290" s="25">
        <v>0</v>
      </c>
      <c r="Q290" s="25"/>
      <c r="R290" s="25"/>
      <c r="S290" s="25"/>
      <c r="T290" s="10"/>
    </row>
    <row r="291" s="35" customFormat="1" ht="18.5" customHeight="1" spans="1:20">
      <c r="A291" s="16" t="s">
        <v>251</v>
      </c>
      <c r="B291" s="41">
        <v>45066</v>
      </c>
      <c r="C291" s="25">
        <v>2</v>
      </c>
      <c r="D291" s="25"/>
      <c r="E291" s="25"/>
      <c r="F291" s="25"/>
      <c r="G291" s="25"/>
      <c r="H291" s="25"/>
      <c r="I291" s="42" t="s">
        <v>252</v>
      </c>
      <c r="J291" s="41">
        <v>44697</v>
      </c>
      <c r="K291" s="25">
        <v>258</v>
      </c>
      <c r="L291" s="25">
        <v>0</v>
      </c>
      <c r="M291" s="42" t="s">
        <v>253</v>
      </c>
      <c r="N291" s="41">
        <v>45078</v>
      </c>
      <c r="O291" s="25">
        <v>865</v>
      </c>
      <c r="P291" s="25">
        <v>0</v>
      </c>
      <c r="Q291" s="25"/>
      <c r="R291" s="25"/>
      <c r="S291" s="25"/>
      <c r="T291" s="10"/>
    </row>
    <row r="292" s="35" customFormat="1" ht="18.5" customHeight="1" spans="1:20">
      <c r="A292" s="16" t="s">
        <v>251</v>
      </c>
      <c r="B292" s="41">
        <v>44381</v>
      </c>
      <c r="C292" s="25">
        <v>1</v>
      </c>
      <c r="D292" s="25"/>
      <c r="E292" s="25"/>
      <c r="F292" s="25"/>
      <c r="G292" s="25"/>
      <c r="H292" s="25"/>
      <c r="I292" s="42" t="s">
        <v>252</v>
      </c>
      <c r="J292" s="41">
        <v>44700</v>
      </c>
      <c r="K292" s="25">
        <v>248</v>
      </c>
      <c r="L292" s="25">
        <v>0</v>
      </c>
      <c r="M292" s="42" t="s">
        <v>253</v>
      </c>
      <c r="N292" s="41">
        <v>45261</v>
      </c>
      <c r="O292" s="25">
        <v>153</v>
      </c>
      <c r="P292" s="25">
        <v>0</v>
      </c>
      <c r="Q292" s="25"/>
      <c r="R292" s="25"/>
      <c r="S292" s="25"/>
      <c r="T292" s="10"/>
    </row>
    <row r="293" s="35" customFormat="1" ht="18.5" customHeight="1" spans="1:20">
      <c r="A293" s="16" t="s">
        <v>251</v>
      </c>
      <c r="B293" s="41">
        <v>44926</v>
      </c>
      <c r="C293" s="25">
        <v>4</v>
      </c>
      <c r="D293" s="25"/>
      <c r="E293" s="25"/>
      <c r="F293" s="25"/>
      <c r="G293" s="25"/>
      <c r="H293" s="25"/>
      <c r="I293" s="42" t="s">
        <v>252</v>
      </c>
      <c r="J293" s="41">
        <v>44641</v>
      </c>
      <c r="K293" s="25">
        <v>246</v>
      </c>
      <c r="L293" s="25">
        <v>0</v>
      </c>
      <c r="M293" s="42" t="s">
        <v>253</v>
      </c>
      <c r="N293" s="41">
        <v>45245</v>
      </c>
      <c r="O293" s="25">
        <v>153</v>
      </c>
      <c r="P293" s="25">
        <v>0</v>
      </c>
      <c r="Q293" s="25"/>
      <c r="R293" s="25"/>
      <c r="S293" s="25"/>
      <c r="T293" s="10"/>
    </row>
    <row r="294" s="35" customFormat="1" ht="18.5" customHeight="1" spans="1:20">
      <c r="A294" s="16" t="s">
        <v>251</v>
      </c>
      <c r="B294" s="41">
        <v>44426</v>
      </c>
      <c r="C294" s="25">
        <v>1</v>
      </c>
      <c r="D294" s="25"/>
      <c r="E294" s="25"/>
      <c r="F294" s="25"/>
      <c r="G294" s="25"/>
      <c r="H294" s="25"/>
      <c r="I294" s="42" t="s">
        <v>252</v>
      </c>
      <c r="J294" s="41">
        <v>44611</v>
      </c>
      <c r="K294" s="25">
        <v>243</v>
      </c>
      <c r="L294" s="25">
        <v>0</v>
      </c>
      <c r="M294" s="42" t="s">
        <v>253</v>
      </c>
      <c r="N294" s="41">
        <v>44999</v>
      </c>
      <c r="O294" s="25">
        <v>858</v>
      </c>
      <c r="P294" s="25">
        <v>0</v>
      </c>
      <c r="Q294" s="25"/>
      <c r="R294" s="25"/>
      <c r="S294" s="25"/>
      <c r="T294" s="10"/>
    </row>
    <row r="295" s="35" customFormat="1" ht="18.5" customHeight="1" spans="1:20">
      <c r="A295" s="16" t="s">
        <v>251</v>
      </c>
      <c r="B295" s="41">
        <v>45273</v>
      </c>
      <c r="C295" s="25">
        <v>3</v>
      </c>
      <c r="D295" s="25"/>
      <c r="E295" s="25"/>
      <c r="F295" s="25"/>
      <c r="G295" s="25"/>
      <c r="H295" s="25"/>
      <c r="I295" s="42" t="s">
        <v>252</v>
      </c>
      <c r="J295" s="41">
        <v>44585</v>
      </c>
      <c r="K295" s="25">
        <v>208</v>
      </c>
      <c r="L295" s="25">
        <v>0</v>
      </c>
      <c r="M295" s="42" t="s">
        <v>253</v>
      </c>
      <c r="N295" s="41">
        <v>45261</v>
      </c>
      <c r="O295" s="25">
        <v>152</v>
      </c>
      <c r="P295" s="25">
        <v>0</v>
      </c>
      <c r="Q295" s="25"/>
      <c r="R295" s="25"/>
      <c r="S295" s="25"/>
      <c r="T295" s="10"/>
    </row>
    <row r="296" s="35" customFormat="1" ht="18.5" customHeight="1" spans="1:20">
      <c r="A296" s="16" t="s">
        <v>251</v>
      </c>
      <c r="B296" s="41">
        <v>44394</v>
      </c>
      <c r="C296" s="25">
        <v>5</v>
      </c>
      <c r="D296" s="25"/>
      <c r="E296" s="25"/>
      <c r="F296" s="25"/>
      <c r="G296" s="25"/>
      <c r="H296" s="25"/>
      <c r="I296" s="42" t="s">
        <v>252</v>
      </c>
      <c r="J296" s="41">
        <v>44563</v>
      </c>
      <c r="K296" s="25">
        <v>1034</v>
      </c>
      <c r="L296" s="25">
        <v>0</v>
      </c>
      <c r="M296" s="42" t="s">
        <v>253</v>
      </c>
      <c r="N296" s="41">
        <v>45025</v>
      </c>
      <c r="O296" s="25">
        <v>151</v>
      </c>
      <c r="P296" s="25">
        <v>0</v>
      </c>
      <c r="Q296" s="25"/>
      <c r="R296" s="25"/>
      <c r="S296" s="25"/>
      <c r="T296" s="10"/>
    </row>
    <row r="297" s="35" customFormat="1" ht="18.5" customHeight="1" spans="1:20">
      <c r="A297" s="16" t="s">
        <v>251</v>
      </c>
      <c r="B297" s="41">
        <v>44487</v>
      </c>
      <c r="C297" s="25">
        <v>6</v>
      </c>
      <c r="D297" s="25"/>
      <c r="E297" s="25"/>
      <c r="F297" s="25"/>
      <c r="G297" s="25"/>
      <c r="H297" s="25"/>
      <c r="I297" s="42" t="s">
        <v>252</v>
      </c>
      <c r="J297" s="41">
        <v>44735</v>
      </c>
      <c r="K297" s="25">
        <v>726</v>
      </c>
      <c r="L297" s="25">
        <v>0</v>
      </c>
      <c r="M297" s="42" t="s">
        <v>253</v>
      </c>
      <c r="N297" s="41">
        <v>45016</v>
      </c>
      <c r="O297" s="25">
        <v>849</v>
      </c>
      <c r="P297" s="25">
        <v>0</v>
      </c>
      <c r="Q297" s="25"/>
      <c r="R297" s="25"/>
      <c r="S297" s="25"/>
      <c r="T297" s="10"/>
    </row>
    <row r="298" s="35" customFormat="1" ht="18.5" customHeight="1" spans="1:20">
      <c r="A298" s="16" t="s">
        <v>251</v>
      </c>
      <c r="B298" s="41">
        <v>44442</v>
      </c>
      <c r="C298" s="25">
        <v>1</v>
      </c>
      <c r="D298" s="25"/>
      <c r="E298" s="25"/>
      <c r="F298" s="25"/>
      <c r="G298" s="25"/>
      <c r="H298" s="25"/>
      <c r="I298" s="42" t="s">
        <v>252</v>
      </c>
      <c r="J298" s="41">
        <v>44565</v>
      </c>
      <c r="K298" s="25">
        <v>205</v>
      </c>
      <c r="L298" s="25">
        <v>0</v>
      </c>
      <c r="M298" s="42" t="s">
        <v>253</v>
      </c>
      <c r="N298" s="41">
        <v>45118</v>
      </c>
      <c r="O298" s="25">
        <v>149</v>
      </c>
      <c r="P298" s="25">
        <v>0</v>
      </c>
      <c r="Q298" s="25"/>
      <c r="R298" s="25"/>
      <c r="S298" s="25"/>
      <c r="T298" s="10"/>
    </row>
    <row r="299" s="35" customFormat="1" ht="18.5" customHeight="1" spans="1:20">
      <c r="A299" s="16" t="s">
        <v>251</v>
      </c>
      <c r="B299" s="41">
        <v>44936</v>
      </c>
      <c r="C299" s="25">
        <v>6</v>
      </c>
      <c r="D299" s="25"/>
      <c r="E299" s="25"/>
      <c r="F299" s="25"/>
      <c r="G299" s="25"/>
      <c r="H299" s="25"/>
      <c r="I299" s="42" t="s">
        <v>252</v>
      </c>
      <c r="J299" s="41">
        <v>44909</v>
      </c>
      <c r="K299" s="25">
        <v>596</v>
      </c>
      <c r="L299" s="25">
        <v>0</v>
      </c>
      <c r="M299" s="42" t="s">
        <v>253</v>
      </c>
      <c r="N299" s="41">
        <v>44993</v>
      </c>
      <c r="O299" s="25">
        <v>836</v>
      </c>
      <c r="P299" s="25">
        <v>0</v>
      </c>
      <c r="Q299" s="25"/>
      <c r="R299" s="25"/>
      <c r="S299" s="25"/>
      <c r="T299" s="10"/>
    </row>
    <row r="300" s="35" customFormat="1" ht="18.5" customHeight="1" spans="1:20">
      <c r="A300" s="16" t="s">
        <v>251</v>
      </c>
      <c r="B300" s="41">
        <v>45131</v>
      </c>
      <c r="C300" s="25">
        <v>3</v>
      </c>
      <c r="D300" s="25"/>
      <c r="E300" s="25"/>
      <c r="F300" s="25"/>
      <c r="G300" s="25"/>
      <c r="H300" s="25"/>
      <c r="I300" s="42" t="s">
        <v>252</v>
      </c>
      <c r="J300" s="41">
        <v>44838</v>
      </c>
      <c r="K300" s="25">
        <v>535</v>
      </c>
      <c r="L300" s="25">
        <v>0</v>
      </c>
      <c r="M300" s="42" t="s">
        <v>253</v>
      </c>
      <c r="N300" s="41">
        <v>45251</v>
      </c>
      <c r="O300" s="25">
        <v>147</v>
      </c>
      <c r="P300" s="25">
        <v>0</v>
      </c>
      <c r="Q300" s="25"/>
      <c r="R300" s="25"/>
      <c r="S300" s="25"/>
      <c r="T300" s="10"/>
    </row>
    <row r="301" s="35" customFormat="1" ht="18.5" customHeight="1" spans="1:20">
      <c r="A301" s="16" t="s">
        <v>251</v>
      </c>
      <c r="B301" s="41">
        <v>44368</v>
      </c>
      <c r="C301" s="25">
        <v>4</v>
      </c>
      <c r="D301" s="25"/>
      <c r="E301" s="25"/>
      <c r="F301" s="25"/>
      <c r="G301" s="25"/>
      <c r="H301" s="25"/>
      <c r="I301" s="42" t="s">
        <v>252</v>
      </c>
      <c r="J301" s="41">
        <v>44848</v>
      </c>
      <c r="K301" s="25">
        <v>517</v>
      </c>
      <c r="L301" s="25">
        <v>0</v>
      </c>
      <c r="M301" s="42" t="s">
        <v>253</v>
      </c>
      <c r="N301" s="41">
        <v>45012</v>
      </c>
      <c r="O301" s="25">
        <v>815</v>
      </c>
      <c r="P301" s="25">
        <v>0</v>
      </c>
      <c r="Q301" s="25"/>
      <c r="R301" s="25"/>
      <c r="S301" s="25"/>
      <c r="T301" s="10"/>
    </row>
    <row r="302" s="35" customFormat="1" ht="18.5" customHeight="1" spans="1:20">
      <c r="A302" s="16" t="s">
        <v>251</v>
      </c>
      <c r="B302" s="41">
        <v>44349</v>
      </c>
      <c r="C302" s="25">
        <v>5</v>
      </c>
      <c r="D302" s="25"/>
      <c r="E302" s="25"/>
      <c r="F302" s="25"/>
      <c r="G302" s="25"/>
      <c r="H302" s="25"/>
      <c r="I302" s="42" t="s">
        <v>252</v>
      </c>
      <c r="J302" s="41">
        <v>44672</v>
      </c>
      <c r="K302" s="25">
        <v>512</v>
      </c>
      <c r="L302" s="25">
        <v>0</v>
      </c>
      <c r="M302" s="42" t="s">
        <v>253</v>
      </c>
      <c r="N302" s="41">
        <v>45242</v>
      </c>
      <c r="O302" s="25">
        <v>812</v>
      </c>
      <c r="P302" s="25">
        <v>0</v>
      </c>
      <c r="Q302" s="25"/>
      <c r="R302" s="25"/>
      <c r="S302" s="25"/>
      <c r="T302" s="10"/>
    </row>
    <row r="303" s="35" customFormat="1" ht="18.5" customHeight="1" spans="1:20">
      <c r="A303" s="16" t="s">
        <v>251</v>
      </c>
      <c r="B303" s="41">
        <v>44437</v>
      </c>
      <c r="C303" s="25">
        <v>1</v>
      </c>
      <c r="D303" s="25"/>
      <c r="E303" s="25"/>
      <c r="F303" s="25"/>
      <c r="G303" s="25"/>
      <c r="H303" s="25"/>
      <c r="I303" s="42" t="s">
        <v>252</v>
      </c>
      <c r="J303" s="41">
        <v>44895</v>
      </c>
      <c r="K303" s="25">
        <v>426</v>
      </c>
      <c r="L303" s="25">
        <v>0</v>
      </c>
      <c r="M303" s="42" t="s">
        <v>253</v>
      </c>
      <c r="N303" s="41">
        <v>44927</v>
      </c>
      <c r="O303" s="25">
        <v>810</v>
      </c>
      <c r="P303" s="25">
        <v>0</v>
      </c>
      <c r="Q303" s="25"/>
      <c r="R303" s="25"/>
      <c r="S303" s="25"/>
      <c r="T303" s="10"/>
    </row>
    <row r="304" s="35" customFormat="1" ht="18.5" customHeight="1" spans="1:20">
      <c r="A304" s="16" t="s">
        <v>251</v>
      </c>
      <c r="B304" s="41">
        <v>44344</v>
      </c>
      <c r="C304" s="25">
        <v>3</v>
      </c>
      <c r="D304" s="25"/>
      <c r="E304" s="25"/>
      <c r="F304" s="25"/>
      <c r="G304" s="25"/>
      <c r="H304" s="25"/>
      <c r="I304" s="42" t="s">
        <v>252</v>
      </c>
      <c r="J304" s="41">
        <v>44730</v>
      </c>
      <c r="K304" s="25">
        <v>420</v>
      </c>
      <c r="L304" s="25">
        <v>0</v>
      </c>
      <c r="M304" s="42" t="s">
        <v>253</v>
      </c>
      <c r="N304" s="41">
        <v>45080</v>
      </c>
      <c r="O304" s="25">
        <v>802</v>
      </c>
      <c r="P304" s="25">
        <v>0</v>
      </c>
      <c r="Q304" s="25"/>
      <c r="R304" s="25"/>
      <c r="S304" s="25"/>
      <c r="T304" s="10"/>
    </row>
    <row r="305" s="35" customFormat="1" ht="18.5" customHeight="1" spans="1:20">
      <c r="A305" s="16" t="s">
        <v>251</v>
      </c>
      <c r="B305" s="41">
        <v>45294</v>
      </c>
      <c r="C305" s="25">
        <v>5</v>
      </c>
      <c r="D305" s="25"/>
      <c r="E305" s="25"/>
      <c r="F305" s="25"/>
      <c r="G305" s="25"/>
      <c r="H305" s="25"/>
      <c r="I305" s="42" t="s">
        <v>252</v>
      </c>
      <c r="J305" s="41">
        <v>44909</v>
      </c>
      <c r="K305" s="25">
        <v>410</v>
      </c>
      <c r="L305" s="25">
        <v>0</v>
      </c>
      <c r="M305" s="42" t="s">
        <v>253</v>
      </c>
      <c r="N305" s="41">
        <v>44981</v>
      </c>
      <c r="O305" s="25">
        <v>802</v>
      </c>
      <c r="P305" s="25">
        <v>0</v>
      </c>
      <c r="Q305" s="25"/>
      <c r="R305" s="25"/>
      <c r="S305" s="25"/>
      <c r="T305" s="10"/>
    </row>
    <row r="306" s="35" customFormat="1" ht="18.5" customHeight="1" spans="1:20">
      <c r="A306" s="16" t="s">
        <v>251</v>
      </c>
      <c r="B306" s="41">
        <v>44441</v>
      </c>
      <c r="C306" s="25">
        <v>3</v>
      </c>
      <c r="D306" s="25"/>
      <c r="E306" s="25"/>
      <c r="F306" s="25"/>
      <c r="G306" s="25"/>
      <c r="H306" s="25"/>
      <c r="I306" s="42" t="s">
        <v>252</v>
      </c>
      <c r="J306" s="41">
        <v>44777</v>
      </c>
      <c r="K306" s="25">
        <v>394</v>
      </c>
      <c r="L306" s="25">
        <v>0</v>
      </c>
      <c r="M306" s="42" t="s">
        <v>253</v>
      </c>
      <c r="N306" s="41">
        <v>45046</v>
      </c>
      <c r="O306" s="25">
        <v>798</v>
      </c>
      <c r="P306" s="25">
        <v>0</v>
      </c>
      <c r="Q306" s="25"/>
      <c r="R306" s="25"/>
      <c r="S306" s="25"/>
      <c r="T306" s="10"/>
    </row>
    <row r="307" s="35" customFormat="1" ht="18.5" customHeight="1" spans="1:20">
      <c r="A307" s="16" t="s">
        <v>251</v>
      </c>
      <c r="B307" s="41">
        <v>44734</v>
      </c>
      <c r="C307" s="25">
        <v>2</v>
      </c>
      <c r="D307" s="25"/>
      <c r="E307" s="25"/>
      <c r="F307" s="25"/>
      <c r="G307" s="25"/>
      <c r="H307" s="25"/>
      <c r="I307" s="42" t="s">
        <v>252</v>
      </c>
      <c r="J307" s="41">
        <v>44916</v>
      </c>
      <c r="K307" s="25">
        <v>357</v>
      </c>
      <c r="L307" s="25">
        <v>0</v>
      </c>
      <c r="M307" s="42" t="s">
        <v>253</v>
      </c>
      <c r="N307" s="41">
        <v>44946</v>
      </c>
      <c r="O307" s="25">
        <v>798</v>
      </c>
      <c r="P307" s="25">
        <v>0</v>
      </c>
      <c r="Q307" s="25"/>
      <c r="R307" s="25"/>
      <c r="S307" s="25"/>
      <c r="T307" s="10"/>
    </row>
    <row r="308" s="35" customFormat="1" ht="18.5" customHeight="1" spans="1:20">
      <c r="A308" s="16" t="s">
        <v>251</v>
      </c>
      <c r="B308" s="41">
        <v>44400</v>
      </c>
      <c r="C308" s="25">
        <v>2</v>
      </c>
      <c r="D308" s="25"/>
      <c r="E308" s="25"/>
      <c r="F308" s="25"/>
      <c r="G308" s="25"/>
      <c r="H308" s="25"/>
      <c r="I308" s="42" t="s">
        <v>252</v>
      </c>
      <c r="J308" s="41">
        <v>44606</v>
      </c>
      <c r="K308" s="25">
        <v>338</v>
      </c>
      <c r="L308" s="25">
        <v>0</v>
      </c>
      <c r="M308" s="42" t="s">
        <v>253</v>
      </c>
      <c r="N308" s="41">
        <v>45241</v>
      </c>
      <c r="O308" s="25">
        <v>140</v>
      </c>
      <c r="P308" s="25">
        <v>0</v>
      </c>
      <c r="Q308" s="25"/>
      <c r="R308" s="25"/>
      <c r="S308" s="25"/>
      <c r="T308" s="10"/>
    </row>
    <row r="309" s="35" customFormat="1" ht="18.5" customHeight="1" spans="1:20">
      <c r="A309" s="16" t="s">
        <v>251</v>
      </c>
      <c r="B309" s="41">
        <v>45276</v>
      </c>
      <c r="C309" s="25">
        <v>6</v>
      </c>
      <c r="D309" s="25"/>
      <c r="E309" s="25"/>
      <c r="F309" s="25"/>
      <c r="G309" s="25"/>
      <c r="H309" s="25"/>
      <c r="I309" s="42" t="s">
        <v>252</v>
      </c>
      <c r="J309" s="41">
        <v>44701</v>
      </c>
      <c r="K309" s="25">
        <v>337</v>
      </c>
      <c r="L309" s="25">
        <v>0</v>
      </c>
      <c r="M309" s="42" t="s">
        <v>253</v>
      </c>
      <c r="N309" s="41">
        <v>45239</v>
      </c>
      <c r="O309" s="25">
        <v>139</v>
      </c>
      <c r="P309" s="25">
        <v>0</v>
      </c>
      <c r="Q309" s="25"/>
      <c r="R309" s="25"/>
      <c r="S309" s="25"/>
      <c r="T309" s="10"/>
    </row>
    <row r="310" s="35" customFormat="1" ht="18.5" customHeight="1" spans="1:20">
      <c r="A310" s="16" t="s">
        <v>251</v>
      </c>
      <c r="B310" s="41">
        <v>44435</v>
      </c>
      <c r="C310" s="25">
        <v>1</v>
      </c>
      <c r="D310" s="25"/>
      <c r="E310" s="25"/>
      <c r="F310" s="25"/>
      <c r="G310" s="25"/>
      <c r="H310" s="25"/>
      <c r="I310" s="42" t="s">
        <v>252</v>
      </c>
      <c r="J310" s="41">
        <v>44679</v>
      </c>
      <c r="K310" s="25">
        <v>315</v>
      </c>
      <c r="L310" s="25">
        <v>0</v>
      </c>
      <c r="M310" s="42" t="s">
        <v>253</v>
      </c>
      <c r="N310" s="41">
        <v>45043</v>
      </c>
      <c r="O310" s="25">
        <v>777</v>
      </c>
      <c r="P310" s="25">
        <v>0</v>
      </c>
      <c r="Q310" s="25"/>
      <c r="R310" s="25"/>
      <c r="S310" s="25"/>
      <c r="T310" s="10"/>
    </row>
    <row r="311" s="35" customFormat="1" ht="18.5" customHeight="1" spans="1:20">
      <c r="A311" s="16" t="s">
        <v>251</v>
      </c>
      <c r="B311" s="41">
        <v>44534</v>
      </c>
      <c r="C311" s="25">
        <v>4</v>
      </c>
      <c r="D311" s="25"/>
      <c r="E311" s="25"/>
      <c r="F311" s="25"/>
      <c r="G311" s="25"/>
      <c r="H311" s="25"/>
      <c r="I311" s="42" t="s">
        <v>252</v>
      </c>
      <c r="J311" s="41">
        <v>44739</v>
      </c>
      <c r="K311" s="25">
        <v>313</v>
      </c>
      <c r="L311" s="25">
        <v>0</v>
      </c>
      <c r="M311" s="42" t="s">
        <v>253</v>
      </c>
      <c r="N311" s="41">
        <v>45237</v>
      </c>
      <c r="O311" s="25">
        <v>137</v>
      </c>
      <c r="P311" s="25">
        <v>0</v>
      </c>
      <c r="Q311" s="25"/>
      <c r="R311" s="25"/>
      <c r="S311" s="25"/>
      <c r="T311" s="10"/>
    </row>
    <row r="312" s="35" customFormat="1" ht="18.5" customHeight="1" spans="1:20">
      <c r="A312" s="16" t="s">
        <v>251</v>
      </c>
      <c r="B312" s="41">
        <v>44403</v>
      </c>
      <c r="C312" s="25">
        <v>3</v>
      </c>
      <c r="D312" s="25"/>
      <c r="E312" s="25"/>
      <c r="F312" s="25"/>
      <c r="G312" s="25"/>
      <c r="H312" s="25"/>
      <c r="I312" s="42" t="s">
        <v>252</v>
      </c>
      <c r="J312" s="41">
        <v>44770</v>
      </c>
      <c r="K312" s="25">
        <v>312</v>
      </c>
      <c r="L312" s="25">
        <v>0</v>
      </c>
      <c r="M312" s="42" t="s">
        <v>253</v>
      </c>
      <c r="N312" s="41">
        <v>45265</v>
      </c>
      <c r="O312" s="25">
        <v>136</v>
      </c>
      <c r="P312" s="25">
        <v>0</v>
      </c>
      <c r="Q312" s="25"/>
      <c r="R312" s="25"/>
      <c r="S312" s="25"/>
      <c r="T312" s="10"/>
    </row>
    <row r="313" s="35" customFormat="1" ht="18.5" customHeight="1" spans="1:20">
      <c r="A313" s="16" t="s">
        <v>251</v>
      </c>
      <c r="B313" s="41">
        <v>45131</v>
      </c>
      <c r="C313" s="25">
        <v>2</v>
      </c>
      <c r="D313" s="25"/>
      <c r="E313" s="25"/>
      <c r="F313" s="25"/>
      <c r="G313" s="25"/>
      <c r="H313" s="25"/>
      <c r="I313" s="42" t="s">
        <v>252</v>
      </c>
      <c r="J313" s="41">
        <v>44896</v>
      </c>
      <c r="K313" s="25">
        <v>1699</v>
      </c>
      <c r="L313" s="25">
        <v>0</v>
      </c>
      <c r="M313" s="42" t="s">
        <v>253</v>
      </c>
      <c r="N313" s="41">
        <v>45240</v>
      </c>
      <c r="O313" s="25">
        <v>136</v>
      </c>
      <c r="P313" s="25">
        <v>0</v>
      </c>
      <c r="Q313" s="25"/>
      <c r="R313" s="25"/>
      <c r="S313" s="25"/>
      <c r="T313" s="10"/>
    </row>
    <row r="314" s="35" customFormat="1" ht="18.5" customHeight="1" spans="1:20">
      <c r="A314" s="16" t="s">
        <v>251</v>
      </c>
      <c r="B314" s="41">
        <v>44420</v>
      </c>
      <c r="C314" s="25">
        <v>1</v>
      </c>
      <c r="D314" s="25"/>
      <c r="E314" s="25"/>
      <c r="F314" s="25"/>
      <c r="G314" s="25"/>
      <c r="H314" s="25"/>
      <c r="I314" s="42" t="s">
        <v>252</v>
      </c>
      <c r="J314" s="41">
        <v>44925</v>
      </c>
      <c r="K314" s="25">
        <v>279</v>
      </c>
      <c r="L314" s="25">
        <v>0</v>
      </c>
      <c r="M314" s="42" t="s">
        <v>253</v>
      </c>
      <c r="N314" s="41">
        <v>45048</v>
      </c>
      <c r="O314" s="25">
        <v>135</v>
      </c>
      <c r="P314" s="25">
        <v>0</v>
      </c>
      <c r="Q314" s="25"/>
      <c r="R314" s="25"/>
      <c r="S314" s="25"/>
      <c r="T314" s="10"/>
    </row>
    <row r="315" s="35" customFormat="1" ht="18.5" customHeight="1" spans="1:20">
      <c r="A315" s="16" t="s">
        <v>251</v>
      </c>
      <c r="B315" s="41">
        <v>44440</v>
      </c>
      <c r="C315" s="25">
        <v>2</v>
      </c>
      <c r="D315" s="25"/>
      <c r="E315" s="25"/>
      <c r="F315" s="25"/>
      <c r="G315" s="25"/>
      <c r="H315" s="25"/>
      <c r="I315" s="42" t="s">
        <v>252</v>
      </c>
      <c r="J315" s="41">
        <v>44812</v>
      </c>
      <c r="K315" s="25">
        <v>268</v>
      </c>
      <c r="L315" s="25">
        <v>0</v>
      </c>
      <c r="M315" s="42" t="s">
        <v>253</v>
      </c>
      <c r="N315" s="41">
        <v>44950</v>
      </c>
      <c r="O315" s="25">
        <v>759</v>
      </c>
      <c r="P315" s="25">
        <v>0</v>
      </c>
      <c r="Q315" s="25"/>
      <c r="R315" s="25"/>
      <c r="S315" s="25"/>
      <c r="T315" s="10"/>
    </row>
    <row r="316" s="35" customFormat="1" ht="18.5" customHeight="1" spans="1:20">
      <c r="A316" s="16" t="s">
        <v>251</v>
      </c>
      <c r="B316" s="41">
        <v>44432</v>
      </c>
      <c r="C316" s="25">
        <v>3</v>
      </c>
      <c r="D316" s="25"/>
      <c r="E316" s="25"/>
      <c r="F316" s="25"/>
      <c r="G316" s="25"/>
      <c r="H316" s="25"/>
      <c r="I316" s="42" t="s">
        <v>252</v>
      </c>
      <c r="J316" s="41">
        <v>44703</v>
      </c>
      <c r="K316" s="25">
        <v>258</v>
      </c>
      <c r="L316" s="25">
        <v>0</v>
      </c>
      <c r="M316" s="42" t="s">
        <v>253</v>
      </c>
      <c r="N316" s="41">
        <v>45001</v>
      </c>
      <c r="O316" s="25">
        <v>750</v>
      </c>
      <c r="P316" s="25">
        <v>0</v>
      </c>
      <c r="Q316" s="25"/>
      <c r="R316" s="25"/>
      <c r="S316" s="25"/>
      <c r="T316" s="10"/>
    </row>
    <row r="317" s="35" customFormat="1" ht="18.5" customHeight="1" spans="1:20">
      <c r="A317" s="16" t="s">
        <v>251</v>
      </c>
      <c r="B317" s="41">
        <v>44379</v>
      </c>
      <c r="C317" s="25">
        <v>0</v>
      </c>
      <c r="D317" s="25"/>
      <c r="E317" s="25"/>
      <c r="F317" s="25"/>
      <c r="G317" s="25"/>
      <c r="H317" s="25"/>
      <c r="I317" s="42" t="s">
        <v>252</v>
      </c>
      <c r="J317" s="41">
        <v>44565</v>
      </c>
      <c r="K317" s="25">
        <v>196</v>
      </c>
      <c r="L317" s="25">
        <v>0</v>
      </c>
      <c r="M317" s="42" t="s">
        <v>253</v>
      </c>
      <c r="N317" s="41">
        <v>45086</v>
      </c>
      <c r="O317" s="25">
        <v>740</v>
      </c>
      <c r="P317" s="25">
        <v>0</v>
      </c>
      <c r="Q317" s="25"/>
      <c r="R317" s="25"/>
      <c r="S317" s="25"/>
      <c r="T317" s="10"/>
    </row>
    <row r="318" s="35" customFormat="1" ht="18.5" customHeight="1" spans="1:20">
      <c r="A318" s="16" t="s">
        <v>251</v>
      </c>
      <c r="B318" s="41">
        <v>44509</v>
      </c>
      <c r="C318" s="25">
        <v>4</v>
      </c>
      <c r="D318" s="25"/>
      <c r="E318" s="25"/>
      <c r="F318" s="25"/>
      <c r="G318" s="25"/>
      <c r="H318" s="25"/>
      <c r="I318" s="42" t="s">
        <v>252</v>
      </c>
      <c r="J318" s="41">
        <v>44767</v>
      </c>
      <c r="K318" s="25">
        <v>954</v>
      </c>
      <c r="L318" s="25">
        <v>0</v>
      </c>
      <c r="M318" s="42" t="s">
        <v>253</v>
      </c>
      <c r="N318" s="41">
        <v>45032</v>
      </c>
      <c r="O318" s="25">
        <v>724</v>
      </c>
      <c r="P318" s="25">
        <v>0</v>
      </c>
      <c r="Q318" s="25"/>
      <c r="R318" s="25"/>
      <c r="S318" s="25"/>
      <c r="T318" s="10"/>
    </row>
    <row r="319" s="35" customFormat="1" ht="18.5" customHeight="1" spans="1:20">
      <c r="A319" s="16" t="s">
        <v>251</v>
      </c>
      <c r="B319" s="41">
        <v>45295</v>
      </c>
      <c r="C319" s="25">
        <v>3</v>
      </c>
      <c r="D319" s="25"/>
      <c r="E319" s="25"/>
      <c r="F319" s="25"/>
      <c r="G319" s="25"/>
      <c r="H319" s="25"/>
      <c r="I319" s="42" t="s">
        <v>252</v>
      </c>
      <c r="J319" s="41">
        <v>44857</v>
      </c>
      <c r="K319" s="25">
        <v>769</v>
      </c>
      <c r="L319" s="25">
        <v>0</v>
      </c>
      <c r="M319" s="42" t="s">
        <v>253</v>
      </c>
      <c r="N319" s="41">
        <v>45091</v>
      </c>
      <c r="O319" s="25">
        <v>717</v>
      </c>
      <c r="P319" s="25">
        <v>0</v>
      </c>
      <c r="Q319" s="25"/>
      <c r="R319" s="25"/>
      <c r="S319" s="25"/>
      <c r="T319" s="10"/>
    </row>
    <row r="320" s="35" customFormat="1" ht="18.5" customHeight="1" spans="1:20">
      <c r="A320" s="16" t="s">
        <v>251</v>
      </c>
      <c r="B320" s="41">
        <v>44421</v>
      </c>
      <c r="C320" s="25">
        <v>1</v>
      </c>
      <c r="D320" s="25"/>
      <c r="E320" s="25"/>
      <c r="F320" s="25"/>
      <c r="G320" s="25"/>
      <c r="H320" s="25"/>
      <c r="I320" s="42" t="s">
        <v>252</v>
      </c>
      <c r="J320" s="41">
        <v>44924</v>
      </c>
      <c r="K320" s="25">
        <v>687</v>
      </c>
      <c r="L320" s="25">
        <v>0</v>
      </c>
      <c r="M320" s="42" t="s">
        <v>253</v>
      </c>
      <c r="N320" s="41">
        <v>45243</v>
      </c>
      <c r="O320" s="25">
        <v>125</v>
      </c>
      <c r="P320" s="25">
        <v>0</v>
      </c>
      <c r="Q320" s="25"/>
      <c r="R320" s="25"/>
      <c r="S320" s="25"/>
      <c r="T320" s="10"/>
    </row>
    <row r="321" s="35" customFormat="1" ht="18.5" customHeight="1" spans="1:20">
      <c r="A321" s="16" t="s">
        <v>251</v>
      </c>
      <c r="B321" s="41">
        <v>44380</v>
      </c>
      <c r="C321" s="25">
        <v>0</v>
      </c>
      <c r="D321" s="25"/>
      <c r="E321" s="25"/>
      <c r="F321" s="25"/>
      <c r="G321" s="25"/>
      <c r="H321" s="25"/>
      <c r="I321" s="42" t="s">
        <v>252</v>
      </c>
      <c r="J321" s="41">
        <v>44898</v>
      </c>
      <c r="K321" s="25">
        <v>659</v>
      </c>
      <c r="L321" s="25">
        <v>0</v>
      </c>
      <c r="M321" s="42" t="s">
        <v>253</v>
      </c>
      <c r="N321" s="41">
        <v>45046</v>
      </c>
      <c r="O321" s="25">
        <v>699</v>
      </c>
      <c r="P321" s="25">
        <v>0</v>
      </c>
      <c r="Q321" s="25"/>
      <c r="R321" s="25"/>
      <c r="S321" s="25"/>
      <c r="T321" s="10"/>
    </row>
    <row r="322" s="35" customFormat="1" ht="18.5" customHeight="1" spans="1:20">
      <c r="A322" s="16" t="s">
        <v>251</v>
      </c>
      <c r="B322" s="41">
        <v>44991</v>
      </c>
      <c r="C322" s="25">
        <v>5</v>
      </c>
      <c r="D322" s="25"/>
      <c r="E322" s="25"/>
      <c r="F322" s="25"/>
      <c r="G322" s="25"/>
      <c r="H322" s="25"/>
      <c r="I322" s="42" t="s">
        <v>252</v>
      </c>
      <c r="J322" s="41">
        <v>44883</v>
      </c>
      <c r="K322" s="25">
        <v>655</v>
      </c>
      <c r="L322" s="25">
        <v>0</v>
      </c>
      <c r="M322" s="42" t="s">
        <v>253</v>
      </c>
      <c r="N322" s="41">
        <v>45078</v>
      </c>
      <c r="O322" s="25">
        <v>696</v>
      </c>
      <c r="P322" s="25">
        <v>0</v>
      </c>
      <c r="Q322" s="25"/>
      <c r="R322" s="25"/>
      <c r="S322" s="25"/>
      <c r="T322" s="10"/>
    </row>
    <row r="323" s="35" customFormat="1" ht="18.5" customHeight="1" spans="1:20">
      <c r="A323" s="16" t="s">
        <v>251</v>
      </c>
      <c r="B323" s="41">
        <v>44444</v>
      </c>
      <c r="C323" s="25">
        <v>0</v>
      </c>
      <c r="D323" s="25"/>
      <c r="E323" s="25"/>
      <c r="F323" s="25"/>
      <c r="G323" s="25"/>
      <c r="H323" s="25"/>
      <c r="I323" s="42" t="s">
        <v>252</v>
      </c>
      <c r="J323" s="41">
        <v>44900</v>
      </c>
      <c r="K323" s="25">
        <v>618</v>
      </c>
      <c r="L323" s="25">
        <v>0</v>
      </c>
      <c r="M323" s="42" t="s">
        <v>253</v>
      </c>
      <c r="N323" s="41">
        <v>45266</v>
      </c>
      <c r="O323" s="25">
        <v>122</v>
      </c>
      <c r="P323" s="25">
        <v>0</v>
      </c>
      <c r="Q323" s="25"/>
      <c r="R323" s="25"/>
      <c r="S323" s="25"/>
      <c r="T323" s="10"/>
    </row>
    <row r="324" s="35" customFormat="1" ht="18.5" customHeight="1" spans="1:20">
      <c r="A324" s="16" t="s">
        <v>251</v>
      </c>
      <c r="B324" s="41">
        <v>44466</v>
      </c>
      <c r="C324" s="25">
        <v>4</v>
      </c>
      <c r="D324" s="25"/>
      <c r="E324" s="25"/>
      <c r="F324" s="25"/>
      <c r="G324" s="25"/>
      <c r="H324" s="25"/>
      <c r="I324" s="42" t="s">
        <v>252</v>
      </c>
      <c r="J324" s="41">
        <v>44664</v>
      </c>
      <c r="K324" s="25">
        <v>608</v>
      </c>
      <c r="L324" s="25">
        <v>0</v>
      </c>
      <c r="M324" s="42" t="s">
        <v>253</v>
      </c>
      <c r="N324" s="41">
        <v>44987</v>
      </c>
      <c r="O324" s="25">
        <v>686</v>
      </c>
      <c r="P324" s="25">
        <v>0</v>
      </c>
      <c r="Q324" s="25"/>
      <c r="R324" s="25"/>
      <c r="S324" s="25"/>
      <c r="T324" s="10"/>
    </row>
    <row r="325" s="35" customFormat="1" ht="18.5" customHeight="1" spans="1:20">
      <c r="A325" s="16" t="s">
        <v>251</v>
      </c>
      <c r="B325" s="41">
        <v>44514</v>
      </c>
      <c r="C325" s="25">
        <v>1</v>
      </c>
      <c r="D325" s="25"/>
      <c r="E325" s="25"/>
      <c r="F325" s="25"/>
      <c r="G325" s="25"/>
      <c r="H325" s="25"/>
      <c r="I325" s="42" t="s">
        <v>252</v>
      </c>
      <c r="J325" s="41">
        <v>44909</v>
      </c>
      <c r="K325" s="25">
        <v>550</v>
      </c>
      <c r="L325" s="25">
        <v>0</v>
      </c>
      <c r="M325" s="42" t="s">
        <v>253</v>
      </c>
      <c r="N325" s="41">
        <v>44963</v>
      </c>
      <c r="O325" s="25">
        <v>686</v>
      </c>
      <c r="P325" s="25">
        <v>0</v>
      </c>
      <c r="Q325" s="25"/>
      <c r="R325" s="25"/>
      <c r="S325" s="25"/>
      <c r="T325" s="10"/>
    </row>
    <row r="326" s="35" customFormat="1" ht="18.5" customHeight="1" spans="1:20">
      <c r="A326" s="16" t="s">
        <v>251</v>
      </c>
      <c r="B326" s="41">
        <v>44442</v>
      </c>
      <c r="C326" s="25">
        <v>0</v>
      </c>
      <c r="D326" s="25"/>
      <c r="E326" s="25"/>
      <c r="F326" s="25"/>
      <c r="G326" s="25"/>
      <c r="H326" s="25"/>
      <c r="I326" s="42" t="s">
        <v>252</v>
      </c>
      <c r="J326" s="41">
        <v>44730</v>
      </c>
      <c r="K326" s="25">
        <v>481</v>
      </c>
      <c r="L326" s="25">
        <v>0</v>
      </c>
      <c r="M326" s="42" t="s">
        <v>253</v>
      </c>
      <c r="N326" s="41">
        <v>45092</v>
      </c>
      <c r="O326" s="25">
        <v>684</v>
      </c>
      <c r="P326" s="25">
        <v>0</v>
      </c>
      <c r="Q326" s="25"/>
      <c r="R326" s="25"/>
      <c r="S326" s="25"/>
      <c r="T326" s="10"/>
    </row>
    <row r="327" s="35" customFormat="1" ht="18.5" customHeight="1" spans="1:20">
      <c r="A327" s="16" t="s">
        <v>251</v>
      </c>
      <c r="B327" s="41">
        <v>45281</v>
      </c>
      <c r="C327" s="25">
        <v>3</v>
      </c>
      <c r="D327" s="25"/>
      <c r="E327" s="25"/>
      <c r="F327" s="25"/>
      <c r="G327" s="25"/>
      <c r="H327" s="25"/>
      <c r="I327" s="42" t="s">
        <v>252</v>
      </c>
      <c r="J327" s="41">
        <v>44664</v>
      </c>
      <c r="K327" s="25">
        <v>476</v>
      </c>
      <c r="L327" s="25">
        <v>0</v>
      </c>
      <c r="M327" s="42" t="s">
        <v>253</v>
      </c>
      <c r="N327" s="41">
        <v>45064</v>
      </c>
      <c r="O327" s="25">
        <v>679</v>
      </c>
      <c r="P327" s="25">
        <v>0</v>
      </c>
      <c r="Q327" s="25"/>
      <c r="R327" s="25"/>
      <c r="S327" s="25"/>
      <c r="T327" s="10"/>
    </row>
    <row r="328" s="35" customFormat="1" ht="18.5" customHeight="1" spans="1:20">
      <c r="A328" s="16" t="s">
        <v>251</v>
      </c>
      <c r="B328" s="41">
        <v>44509</v>
      </c>
      <c r="C328" s="25">
        <v>3</v>
      </c>
      <c r="D328" s="25"/>
      <c r="E328" s="25"/>
      <c r="F328" s="25"/>
      <c r="G328" s="25"/>
      <c r="H328" s="25"/>
      <c r="I328" s="42" t="s">
        <v>252</v>
      </c>
      <c r="J328" s="41">
        <v>44896</v>
      </c>
      <c r="K328" s="25">
        <v>422</v>
      </c>
      <c r="L328" s="25">
        <v>0</v>
      </c>
      <c r="M328" s="42" t="s">
        <v>253</v>
      </c>
      <c r="N328" s="41">
        <v>45023</v>
      </c>
      <c r="O328" s="25">
        <v>678</v>
      </c>
      <c r="P328" s="25">
        <v>0</v>
      </c>
      <c r="Q328" s="25"/>
      <c r="R328" s="25"/>
      <c r="S328" s="25"/>
      <c r="T328" s="10"/>
    </row>
    <row r="329" s="35" customFormat="1" ht="18.5" customHeight="1" spans="1:20">
      <c r="A329" s="16" t="s">
        <v>251</v>
      </c>
      <c r="B329" s="41">
        <v>44515</v>
      </c>
      <c r="C329" s="25">
        <v>2</v>
      </c>
      <c r="D329" s="25"/>
      <c r="E329" s="25"/>
      <c r="F329" s="25"/>
      <c r="G329" s="25"/>
      <c r="H329" s="25"/>
      <c r="I329" s="42" t="s">
        <v>252</v>
      </c>
      <c r="J329" s="41">
        <v>44828</v>
      </c>
      <c r="K329" s="25">
        <v>410</v>
      </c>
      <c r="L329" s="25">
        <v>0</v>
      </c>
      <c r="M329" s="42" t="s">
        <v>253</v>
      </c>
      <c r="N329" s="41">
        <v>45254</v>
      </c>
      <c r="O329" s="25">
        <v>118</v>
      </c>
      <c r="P329" s="25">
        <v>0</v>
      </c>
      <c r="Q329" s="25"/>
      <c r="R329" s="25"/>
      <c r="S329" s="25"/>
      <c r="T329" s="10"/>
    </row>
    <row r="330" s="35" customFormat="1" ht="18.5" customHeight="1" spans="1:20">
      <c r="A330" s="16" t="s">
        <v>251</v>
      </c>
      <c r="B330" s="41">
        <v>44380</v>
      </c>
      <c r="C330" s="25">
        <v>1</v>
      </c>
      <c r="D330" s="25"/>
      <c r="E330" s="25"/>
      <c r="F330" s="25"/>
      <c r="G330" s="25"/>
      <c r="H330" s="25"/>
      <c r="I330" s="42" t="s">
        <v>252</v>
      </c>
      <c r="J330" s="41">
        <v>44670</v>
      </c>
      <c r="K330" s="25">
        <v>385</v>
      </c>
      <c r="L330" s="25">
        <v>0</v>
      </c>
      <c r="M330" s="42" t="s">
        <v>253</v>
      </c>
      <c r="N330" s="41">
        <v>45240</v>
      </c>
      <c r="O330" s="25">
        <v>661</v>
      </c>
      <c r="P330" s="25">
        <v>0</v>
      </c>
      <c r="Q330" s="25"/>
      <c r="R330" s="25"/>
      <c r="S330" s="25"/>
      <c r="T330" s="10"/>
    </row>
    <row r="331" s="35" customFormat="1" ht="18.5" customHeight="1" spans="1:20">
      <c r="A331" s="16" t="s">
        <v>251</v>
      </c>
      <c r="B331" s="41">
        <v>45001</v>
      </c>
      <c r="C331" s="25">
        <v>1</v>
      </c>
      <c r="D331" s="25"/>
      <c r="E331" s="25"/>
      <c r="F331" s="25"/>
      <c r="G331" s="25"/>
      <c r="H331" s="25"/>
      <c r="I331" s="42" t="s">
        <v>252</v>
      </c>
      <c r="J331" s="41">
        <v>44788</v>
      </c>
      <c r="K331" s="25">
        <v>379</v>
      </c>
      <c r="L331" s="25">
        <v>0</v>
      </c>
      <c r="M331" s="42" t="s">
        <v>253</v>
      </c>
      <c r="N331" s="41">
        <v>45009</v>
      </c>
      <c r="O331" s="25">
        <v>658</v>
      </c>
      <c r="P331" s="25">
        <v>0</v>
      </c>
      <c r="Q331" s="25"/>
      <c r="R331" s="25"/>
      <c r="S331" s="25"/>
      <c r="T331" s="10"/>
    </row>
    <row r="332" s="35" customFormat="1" ht="18.5" customHeight="1" spans="1:20">
      <c r="A332" s="16" t="s">
        <v>251</v>
      </c>
      <c r="B332" s="41">
        <v>44395</v>
      </c>
      <c r="C332" s="25">
        <v>1</v>
      </c>
      <c r="D332" s="25"/>
      <c r="E332" s="25"/>
      <c r="F332" s="25"/>
      <c r="G332" s="25"/>
      <c r="H332" s="25"/>
      <c r="I332" s="42" t="s">
        <v>252</v>
      </c>
      <c r="J332" s="41">
        <v>44841</v>
      </c>
      <c r="K332" s="25">
        <v>351</v>
      </c>
      <c r="L332" s="25">
        <v>0</v>
      </c>
      <c r="M332" s="42" t="s">
        <v>253</v>
      </c>
      <c r="N332" s="41">
        <v>44944</v>
      </c>
      <c r="O332" s="25">
        <v>655</v>
      </c>
      <c r="P332" s="25">
        <v>0</v>
      </c>
      <c r="Q332" s="25"/>
      <c r="R332" s="25"/>
      <c r="S332" s="25"/>
      <c r="T332" s="10"/>
    </row>
    <row r="333" s="35" customFormat="1" ht="18.5" customHeight="1" spans="1:20">
      <c r="A333" s="16" t="s">
        <v>251</v>
      </c>
      <c r="B333" s="41">
        <v>44443</v>
      </c>
      <c r="C333" s="25">
        <v>3</v>
      </c>
      <c r="D333" s="25"/>
      <c r="E333" s="25"/>
      <c r="F333" s="25"/>
      <c r="G333" s="25"/>
      <c r="H333" s="25"/>
      <c r="I333" s="42" t="s">
        <v>252</v>
      </c>
      <c r="J333" s="41">
        <v>44700</v>
      </c>
      <c r="K333" s="25">
        <v>343</v>
      </c>
      <c r="L333" s="25">
        <v>0</v>
      </c>
      <c r="M333" s="42" t="s">
        <v>253</v>
      </c>
      <c r="N333" s="41">
        <v>44971</v>
      </c>
      <c r="O333" s="25">
        <v>652</v>
      </c>
      <c r="P333" s="25">
        <v>0</v>
      </c>
      <c r="Q333" s="25"/>
      <c r="R333" s="25"/>
      <c r="S333" s="25"/>
      <c r="T333" s="10"/>
    </row>
    <row r="334" s="35" customFormat="1" ht="18.5" customHeight="1" spans="1:20">
      <c r="A334" s="16" t="s">
        <v>251</v>
      </c>
      <c r="B334" s="41">
        <v>44388</v>
      </c>
      <c r="C334" s="25">
        <v>4</v>
      </c>
      <c r="D334" s="25"/>
      <c r="E334" s="25"/>
      <c r="F334" s="25"/>
      <c r="G334" s="25"/>
      <c r="H334" s="25"/>
      <c r="I334" s="42" t="s">
        <v>252</v>
      </c>
      <c r="J334" s="41">
        <v>44788</v>
      </c>
      <c r="K334" s="25">
        <v>340</v>
      </c>
      <c r="L334" s="25">
        <v>0</v>
      </c>
      <c r="M334" s="42" t="s">
        <v>253</v>
      </c>
      <c r="N334" s="41">
        <v>44972</v>
      </c>
      <c r="O334" s="25">
        <v>642</v>
      </c>
      <c r="P334" s="25">
        <v>0</v>
      </c>
      <c r="Q334" s="25"/>
      <c r="R334" s="25"/>
      <c r="S334" s="25"/>
      <c r="T334" s="10"/>
    </row>
    <row r="335" s="35" customFormat="1" ht="18.5" customHeight="1" spans="1:20">
      <c r="A335" s="16" t="s">
        <v>251</v>
      </c>
      <c r="B335" s="41">
        <v>45241</v>
      </c>
      <c r="C335" s="25">
        <v>8</v>
      </c>
      <c r="D335" s="25"/>
      <c r="E335" s="25"/>
      <c r="F335" s="25"/>
      <c r="G335" s="25"/>
      <c r="H335" s="25"/>
      <c r="I335" s="42" t="s">
        <v>252</v>
      </c>
      <c r="J335" s="41">
        <v>44740</v>
      </c>
      <c r="K335" s="25">
        <v>336</v>
      </c>
      <c r="L335" s="25">
        <v>0</v>
      </c>
      <c r="M335" s="42" t="s">
        <v>253</v>
      </c>
      <c r="N335" s="41">
        <v>45275</v>
      </c>
      <c r="O335" s="25">
        <v>113</v>
      </c>
      <c r="P335" s="25">
        <v>0</v>
      </c>
      <c r="Q335" s="25"/>
      <c r="R335" s="25"/>
      <c r="S335" s="25"/>
      <c r="T335" s="10"/>
    </row>
    <row r="336" s="35" customFormat="1" ht="18.5" customHeight="1" spans="1:20">
      <c r="A336" s="16" t="s">
        <v>251</v>
      </c>
      <c r="B336" s="41">
        <v>44435</v>
      </c>
      <c r="C336" s="25">
        <v>0</v>
      </c>
      <c r="D336" s="25"/>
      <c r="E336" s="25"/>
      <c r="F336" s="25"/>
      <c r="G336" s="25"/>
      <c r="H336" s="25"/>
      <c r="I336" s="42" t="s">
        <v>252</v>
      </c>
      <c r="J336" s="41">
        <v>44757</v>
      </c>
      <c r="K336" s="25">
        <v>321</v>
      </c>
      <c r="L336" s="25">
        <v>0</v>
      </c>
      <c r="M336" s="42" t="s">
        <v>253</v>
      </c>
      <c r="N336" s="41">
        <v>45036</v>
      </c>
      <c r="O336" s="25">
        <v>628</v>
      </c>
      <c r="P336" s="25">
        <v>0</v>
      </c>
      <c r="Q336" s="25"/>
      <c r="R336" s="25"/>
      <c r="S336" s="25"/>
      <c r="T336" s="10"/>
    </row>
    <row r="337" s="35" customFormat="1" ht="18.5" customHeight="1" spans="1:20">
      <c r="A337" s="16" t="s">
        <v>251</v>
      </c>
      <c r="B337" s="41">
        <v>44503</v>
      </c>
      <c r="C337" s="25">
        <v>3</v>
      </c>
      <c r="D337" s="25"/>
      <c r="E337" s="25"/>
      <c r="F337" s="25"/>
      <c r="G337" s="25"/>
      <c r="H337" s="25"/>
      <c r="I337" s="42" t="s">
        <v>252</v>
      </c>
      <c r="J337" s="41">
        <v>44664</v>
      </c>
      <c r="K337" s="25">
        <v>320</v>
      </c>
      <c r="L337" s="25">
        <v>0</v>
      </c>
      <c r="M337" s="42" t="s">
        <v>253</v>
      </c>
      <c r="N337" s="41">
        <v>44969</v>
      </c>
      <c r="O337" s="25">
        <v>623</v>
      </c>
      <c r="P337" s="25">
        <v>0</v>
      </c>
      <c r="Q337" s="25"/>
      <c r="R337" s="25"/>
      <c r="S337" s="25"/>
      <c r="T337" s="10"/>
    </row>
    <row r="338" s="35" customFormat="1" ht="18.5" customHeight="1" spans="1:20">
      <c r="A338" s="16" t="s">
        <v>251</v>
      </c>
      <c r="B338" s="41">
        <v>44404</v>
      </c>
      <c r="C338" s="25">
        <v>3</v>
      </c>
      <c r="D338" s="25"/>
      <c r="E338" s="25"/>
      <c r="F338" s="25"/>
      <c r="G338" s="25"/>
      <c r="H338" s="25"/>
      <c r="I338" s="42" t="s">
        <v>252</v>
      </c>
      <c r="J338" s="41">
        <v>44861</v>
      </c>
      <c r="K338" s="25">
        <v>318</v>
      </c>
      <c r="L338" s="25">
        <v>0</v>
      </c>
      <c r="M338" s="42" t="s">
        <v>253</v>
      </c>
      <c r="N338" s="41">
        <v>45041</v>
      </c>
      <c r="O338" s="25">
        <v>616</v>
      </c>
      <c r="P338" s="25">
        <v>0</v>
      </c>
      <c r="Q338" s="25"/>
      <c r="R338" s="25"/>
      <c r="S338" s="25"/>
      <c r="T338" s="10"/>
    </row>
    <row r="339" s="35" customFormat="1" ht="18.5" customHeight="1" spans="1:20">
      <c r="A339" s="16" t="s">
        <v>251</v>
      </c>
      <c r="B339" s="41">
        <v>44399</v>
      </c>
      <c r="C339" s="25">
        <v>3</v>
      </c>
      <c r="D339" s="25"/>
      <c r="E339" s="25"/>
      <c r="F339" s="25"/>
      <c r="G339" s="25"/>
      <c r="H339" s="25"/>
      <c r="I339" s="42" t="s">
        <v>252</v>
      </c>
      <c r="J339" s="41">
        <v>44721</v>
      </c>
      <c r="K339" s="25">
        <v>308</v>
      </c>
      <c r="L339" s="25">
        <v>0</v>
      </c>
      <c r="M339" s="42" t="s">
        <v>253</v>
      </c>
      <c r="N339" s="41">
        <v>45252</v>
      </c>
      <c r="O339" s="25">
        <v>109</v>
      </c>
      <c r="P339" s="25">
        <v>0</v>
      </c>
      <c r="Q339" s="25"/>
      <c r="R339" s="25"/>
      <c r="S339" s="25"/>
      <c r="T339" s="10"/>
    </row>
    <row r="340" s="35" customFormat="1" ht="18.5" customHeight="1" spans="1:20">
      <c r="A340" s="16" t="s">
        <v>251</v>
      </c>
      <c r="B340" s="41">
        <v>45294</v>
      </c>
      <c r="C340" s="25">
        <v>2</v>
      </c>
      <c r="D340" s="25"/>
      <c r="E340" s="25"/>
      <c r="F340" s="25"/>
      <c r="G340" s="25"/>
      <c r="H340" s="25"/>
      <c r="I340" s="42" t="s">
        <v>252</v>
      </c>
      <c r="J340" s="41">
        <v>44885</v>
      </c>
      <c r="K340" s="25">
        <v>294</v>
      </c>
      <c r="L340" s="25">
        <v>0</v>
      </c>
      <c r="M340" s="42" t="s">
        <v>253</v>
      </c>
      <c r="N340" s="41">
        <v>45064</v>
      </c>
      <c r="O340" s="25">
        <v>609</v>
      </c>
      <c r="P340" s="25">
        <v>0</v>
      </c>
      <c r="Q340" s="25"/>
      <c r="R340" s="25"/>
      <c r="S340" s="25"/>
      <c r="T340" s="10"/>
    </row>
    <row r="341" s="35" customFormat="1" ht="18.5" customHeight="1" spans="1:20">
      <c r="A341" s="16" t="s">
        <v>251</v>
      </c>
      <c r="B341" s="41">
        <v>44344</v>
      </c>
      <c r="C341" s="25">
        <v>5</v>
      </c>
      <c r="D341" s="25"/>
      <c r="E341" s="25"/>
      <c r="F341" s="25"/>
      <c r="G341" s="25"/>
      <c r="H341" s="25"/>
      <c r="I341" s="42" t="s">
        <v>252</v>
      </c>
      <c r="J341" s="41">
        <v>44697</v>
      </c>
      <c r="K341" s="25">
        <v>294</v>
      </c>
      <c r="L341" s="25">
        <v>0</v>
      </c>
      <c r="M341" s="42" t="s">
        <v>253</v>
      </c>
      <c r="N341" s="41">
        <v>45238</v>
      </c>
      <c r="O341" s="25">
        <v>608</v>
      </c>
      <c r="P341" s="25">
        <v>0</v>
      </c>
      <c r="Q341" s="25"/>
      <c r="R341" s="25"/>
      <c r="S341" s="25"/>
      <c r="T341" s="10"/>
    </row>
    <row r="342" s="35" customFormat="1" ht="18.5" customHeight="1" spans="1:20">
      <c r="A342" s="16" t="s">
        <v>251</v>
      </c>
      <c r="B342" s="41">
        <v>44350</v>
      </c>
      <c r="C342" s="25">
        <v>6</v>
      </c>
      <c r="D342" s="25"/>
      <c r="E342" s="25"/>
      <c r="F342" s="25"/>
      <c r="G342" s="25"/>
      <c r="H342" s="25"/>
      <c r="I342" s="42" t="s">
        <v>252</v>
      </c>
      <c r="J342" s="41">
        <v>44834</v>
      </c>
      <c r="K342" s="25">
        <v>285</v>
      </c>
      <c r="L342" s="25">
        <v>0</v>
      </c>
      <c r="M342" s="42" t="s">
        <v>253</v>
      </c>
      <c r="N342" s="41">
        <v>45040</v>
      </c>
      <c r="O342" s="25">
        <v>605</v>
      </c>
      <c r="P342" s="25">
        <v>0</v>
      </c>
      <c r="Q342" s="25"/>
      <c r="R342" s="25"/>
      <c r="S342" s="25"/>
      <c r="T342" s="10"/>
    </row>
    <row r="343" s="35" customFormat="1" ht="18.5" customHeight="1" spans="1:20">
      <c r="A343" s="16" t="s">
        <v>251</v>
      </c>
      <c r="B343" s="41">
        <v>44435</v>
      </c>
      <c r="C343" s="25">
        <v>0</v>
      </c>
      <c r="D343" s="25"/>
      <c r="E343" s="25"/>
      <c r="F343" s="25"/>
      <c r="G343" s="25"/>
      <c r="H343" s="25"/>
      <c r="I343" s="42" t="s">
        <v>252</v>
      </c>
      <c r="J343" s="41">
        <v>44677</v>
      </c>
      <c r="K343" s="25">
        <v>285</v>
      </c>
      <c r="L343" s="25">
        <v>0</v>
      </c>
      <c r="M343" s="42" t="s">
        <v>253</v>
      </c>
      <c r="N343" s="41">
        <v>44931</v>
      </c>
      <c r="O343" s="25">
        <v>601</v>
      </c>
      <c r="P343" s="25">
        <v>0</v>
      </c>
      <c r="Q343" s="25"/>
      <c r="R343" s="25"/>
      <c r="S343" s="25"/>
      <c r="T343" s="10"/>
    </row>
    <row r="344" s="35" customFormat="1" ht="18.5" customHeight="1" spans="1:20">
      <c r="A344" s="16" t="s">
        <v>251</v>
      </c>
      <c r="B344" s="41">
        <v>45287</v>
      </c>
      <c r="C344" s="25">
        <v>5</v>
      </c>
      <c r="D344" s="25"/>
      <c r="E344" s="25"/>
      <c r="F344" s="25"/>
      <c r="G344" s="25"/>
      <c r="H344" s="25"/>
      <c r="I344" s="42" t="s">
        <v>252</v>
      </c>
      <c r="J344" s="41">
        <v>44582</v>
      </c>
      <c r="K344" s="25">
        <v>280</v>
      </c>
      <c r="L344" s="25">
        <v>0</v>
      </c>
      <c r="M344" s="42" t="s">
        <v>253</v>
      </c>
      <c r="N344" s="41">
        <v>45104</v>
      </c>
      <c r="O344" s="25">
        <v>598</v>
      </c>
      <c r="P344" s="25">
        <v>0</v>
      </c>
      <c r="Q344" s="25"/>
      <c r="R344" s="25"/>
      <c r="S344" s="25"/>
      <c r="T344" s="10"/>
    </row>
    <row r="345" s="35" customFormat="1" ht="18.5" customHeight="1" spans="1:20">
      <c r="A345" s="16" t="s">
        <v>251</v>
      </c>
      <c r="B345" s="41">
        <v>44452</v>
      </c>
      <c r="C345" s="25">
        <v>7</v>
      </c>
      <c r="D345" s="25"/>
      <c r="E345" s="25"/>
      <c r="F345" s="25"/>
      <c r="G345" s="25"/>
      <c r="H345" s="25"/>
      <c r="I345" s="42" t="s">
        <v>252</v>
      </c>
      <c r="J345" s="41">
        <v>44858</v>
      </c>
      <c r="K345" s="25">
        <v>273</v>
      </c>
      <c r="L345" s="25">
        <v>0</v>
      </c>
      <c r="M345" s="42" t="s">
        <v>253</v>
      </c>
      <c r="N345" s="41">
        <v>44987</v>
      </c>
      <c r="O345" s="25">
        <v>598</v>
      </c>
      <c r="P345" s="25">
        <v>0</v>
      </c>
      <c r="Q345" s="25"/>
      <c r="R345" s="25"/>
      <c r="S345" s="25"/>
      <c r="T345" s="10"/>
    </row>
    <row r="346" s="35" customFormat="1" ht="18.5" customHeight="1" spans="1:20">
      <c r="A346" s="16" t="s">
        <v>251</v>
      </c>
      <c r="B346" s="41">
        <v>44445</v>
      </c>
      <c r="C346" s="25">
        <v>1</v>
      </c>
      <c r="D346" s="25"/>
      <c r="E346" s="25"/>
      <c r="F346" s="25"/>
      <c r="G346" s="25"/>
      <c r="H346" s="25"/>
      <c r="I346" s="42" t="s">
        <v>252</v>
      </c>
      <c r="J346" s="41">
        <v>44698</v>
      </c>
      <c r="K346" s="25">
        <v>273</v>
      </c>
      <c r="L346" s="25">
        <v>0</v>
      </c>
      <c r="M346" s="42" t="s">
        <v>253</v>
      </c>
      <c r="N346" s="41">
        <v>44938</v>
      </c>
      <c r="O346" s="25">
        <v>585</v>
      </c>
      <c r="P346" s="25">
        <v>0</v>
      </c>
      <c r="Q346" s="25"/>
      <c r="R346" s="25"/>
      <c r="S346" s="25"/>
      <c r="T346" s="10"/>
    </row>
    <row r="347" s="35" customFormat="1" ht="18.5" customHeight="1" spans="1:20">
      <c r="A347" s="16" t="s">
        <v>251</v>
      </c>
      <c r="B347" s="41">
        <v>45277</v>
      </c>
      <c r="C347" s="25">
        <v>4</v>
      </c>
      <c r="D347" s="25"/>
      <c r="E347" s="25"/>
      <c r="F347" s="25"/>
      <c r="G347" s="25"/>
      <c r="H347" s="25"/>
      <c r="I347" s="42" t="s">
        <v>252</v>
      </c>
      <c r="J347" s="41">
        <v>44907</v>
      </c>
      <c r="K347" s="25">
        <v>262</v>
      </c>
      <c r="L347" s="25">
        <v>0</v>
      </c>
      <c r="M347" s="42" t="s">
        <v>253</v>
      </c>
      <c r="N347" s="41">
        <v>45080</v>
      </c>
      <c r="O347" s="25">
        <v>584</v>
      </c>
      <c r="P347" s="25">
        <v>0</v>
      </c>
      <c r="Q347" s="25"/>
      <c r="R347" s="25"/>
      <c r="S347" s="25"/>
      <c r="T347" s="10"/>
    </row>
    <row r="348" s="35" customFormat="1" ht="18.5" customHeight="1" spans="1:20">
      <c r="A348" s="16" t="s">
        <v>251</v>
      </c>
      <c r="B348" s="41">
        <v>44443</v>
      </c>
      <c r="C348" s="25">
        <v>6</v>
      </c>
      <c r="D348" s="25"/>
      <c r="E348" s="25"/>
      <c r="F348" s="25"/>
      <c r="G348" s="25"/>
      <c r="H348" s="25"/>
      <c r="I348" s="42" t="s">
        <v>252</v>
      </c>
      <c r="J348" s="41">
        <v>44644</v>
      </c>
      <c r="K348" s="25">
        <v>261</v>
      </c>
      <c r="L348" s="25">
        <v>0</v>
      </c>
      <c r="M348" s="42" t="s">
        <v>253</v>
      </c>
      <c r="N348" s="41">
        <v>44974</v>
      </c>
      <c r="O348" s="25">
        <v>583</v>
      </c>
      <c r="P348" s="25">
        <v>0</v>
      </c>
      <c r="Q348" s="25"/>
      <c r="R348" s="25"/>
      <c r="S348" s="25"/>
      <c r="T348" s="10"/>
    </row>
    <row r="349" s="35" customFormat="1" ht="18.5" customHeight="1" spans="1:20">
      <c r="A349" s="16" t="s">
        <v>251</v>
      </c>
      <c r="B349" s="41">
        <v>45294</v>
      </c>
      <c r="C349" s="25">
        <v>3</v>
      </c>
      <c r="D349" s="25"/>
      <c r="E349" s="25"/>
      <c r="F349" s="25"/>
      <c r="G349" s="25"/>
      <c r="H349" s="25"/>
      <c r="I349" s="42" t="s">
        <v>252</v>
      </c>
      <c r="J349" s="41">
        <v>44757</v>
      </c>
      <c r="K349" s="25">
        <v>260</v>
      </c>
      <c r="L349" s="25">
        <v>0</v>
      </c>
      <c r="M349" s="42" t="s">
        <v>253</v>
      </c>
      <c r="N349" s="41">
        <v>44940</v>
      </c>
      <c r="O349" s="25">
        <v>583</v>
      </c>
      <c r="P349" s="25">
        <v>0</v>
      </c>
      <c r="Q349" s="25"/>
      <c r="R349" s="25"/>
      <c r="S349" s="25"/>
      <c r="T349" s="10"/>
    </row>
    <row r="350" s="35" customFormat="1" ht="18.5" customHeight="1" spans="1:20">
      <c r="A350" s="16" t="s">
        <v>251</v>
      </c>
      <c r="B350" s="41">
        <v>45277</v>
      </c>
      <c r="C350" s="25">
        <v>5</v>
      </c>
      <c r="D350" s="25"/>
      <c r="E350" s="25"/>
      <c r="F350" s="25"/>
      <c r="G350" s="25"/>
      <c r="H350" s="25"/>
      <c r="I350" s="42" t="s">
        <v>252</v>
      </c>
      <c r="J350" s="41">
        <v>44711</v>
      </c>
      <c r="K350" s="25">
        <v>255</v>
      </c>
      <c r="L350" s="25">
        <v>0</v>
      </c>
      <c r="M350" s="42" t="s">
        <v>253</v>
      </c>
      <c r="N350" s="41">
        <v>45250</v>
      </c>
      <c r="O350" s="25">
        <v>103</v>
      </c>
      <c r="P350" s="25">
        <v>0</v>
      </c>
      <c r="Q350" s="25"/>
      <c r="R350" s="25"/>
      <c r="S350" s="25"/>
      <c r="T350" s="10"/>
    </row>
    <row r="351" s="35" customFormat="1" ht="18.5" customHeight="1" spans="1:20">
      <c r="A351" s="16" t="s">
        <v>251</v>
      </c>
      <c r="B351" s="41">
        <v>45275</v>
      </c>
      <c r="C351" s="25">
        <v>8</v>
      </c>
      <c r="D351" s="25"/>
      <c r="E351" s="25"/>
      <c r="F351" s="25"/>
      <c r="G351" s="25"/>
      <c r="H351" s="25"/>
      <c r="I351" s="42" t="s">
        <v>252</v>
      </c>
      <c r="J351" s="41">
        <v>44646</v>
      </c>
      <c r="K351" s="25">
        <v>253</v>
      </c>
      <c r="L351" s="25">
        <v>0</v>
      </c>
      <c r="M351" s="42" t="s">
        <v>253</v>
      </c>
      <c r="N351" s="41">
        <v>45188</v>
      </c>
      <c r="O351" s="25">
        <v>577</v>
      </c>
      <c r="P351" s="25">
        <v>0</v>
      </c>
      <c r="Q351" s="25"/>
      <c r="R351" s="25"/>
      <c r="S351" s="25"/>
      <c r="T351" s="10"/>
    </row>
    <row r="352" s="35" customFormat="1" ht="18.5" customHeight="1" spans="1:20">
      <c r="A352" s="16" t="s">
        <v>251</v>
      </c>
      <c r="B352" s="41">
        <v>45102</v>
      </c>
      <c r="C352" s="25">
        <v>2</v>
      </c>
      <c r="D352" s="25"/>
      <c r="E352" s="25"/>
      <c r="F352" s="25"/>
      <c r="G352" s="25"/>
      <c r="H352" s="25"/>
      <c r="I352" s="42" t="s">
        <v>252</v>
      </c>
      <c r="J352" s="41">
        <v>44831</v>
      </c>
      <c r="K352" s="25">
        <v>248</v>
      </c>
      <c r="L352" s="25">
        <v>0</v>
      </c>
      <c r="M352" s="42" t="s">
        <v>253</v>
      </c>
      <c r="N352" s="41">
        <v>45254</v>
      </c>
      <c r="O352" s="25">
        <v>102</v>
      </c>
      <c r="P352" s="25">
        <v>0</v>
      </c>
      <c r="Q352" s="25"/>
      <c r="R352" s="25"/>
      <c r="S352" s="25"/>
      <c r="T352" s="10"/>
    </row>
    <row r="353" s="35" customFormat="1" ht="18.5" customHeight="1" spans="1:20">
      <c r="A353" s="16" t="s">
        <v>251</v>
      </c>
      <c r="B353" s="41">
        <v>44328</v>
      </c>
      <c r="C353" s="25">
        <v>4</v>
      </c>
      <c r="D353" s="25"/>
      <c r="E353" s="25"/>
      <c r="F353" s="25"/>
      <c r="G353" s="25"/>
      <c r="H353" s="25"/>
      <c r="I353" s="42" t="s">
        <v>252</v>
      </c>
      <c r="J353" s="41">
        <v>44697</v>
      </c>
      <c r="K353" s="25">
        <v>248</v>
      </c>
      <c r="L353" s="25">
        <v>0</v>
      </c>
      <c r="M353" s="42" t="s">
        <v>253</v>
      </c>
      <c r="N353" s="41">
        <v>45037</v>
      </c>
      <c r="O353" s="25">
        <v>573</v>
      </c>
      <c r="P353" s="25">
        <v>0</v>
      </c>
      <c r="Q353" s="25"/>
      <c r="R353" s="25"/>
      <c r="S353" s="25"/>
      <c r="T353" s="10"/>
    </row>
    <row r="354" s="35" customFormat="1" ht="18.5" customHeight="1" spans="1:20">
      <c r="A354" s="16" t="s">
        <v>251</v>
      </c>
      <c r="B354" s="41">
        <v>44359</v>
      </c>
      <c r="C354" s="25">
        <v>4</v>
      </c>
      <c r="D354" s="25"/>
      <c r="E354" s="25"/>
      <c r="F354" s="25"/>
      <c r="G354" s="25"/>
      <c r="H354" s="25"/>
      <c r="I354" s="42" t="s">
        <v>252</v>
      </c>
      <c r="J354" s="41">
        <v>44666</v>
      </c>
      <c r="K354" s="25">
        <v>248</v>
      </c>
      <c r="L354" s="25">
        <v>0</v>
      </c>
      <c r="M354" s="42" t="s">
        <v>253</v>
      </c>
      <c r="N354" s="41">
        <v>45239</v>
      </c>
      <c r="O354" s="25">
        <v>567</v>
      </c>
      <c r="P354" s="25">
        <v>0</v>
      </c>
      <c r="Q354" s="25"/>
      <c r="R354" s="25"/>
      <c r="S354" s="25"/>
      <c r="T354" s="10"/>
    </row>
    <row r="355" s="35" customFormat="1" ht="18.5" customHeight="1" spans="1:20">
      <c r="A355" s="16" t="s">
        <v>251</v>
      </c>
      <c r="B355" s="41">
        <v>44435</v>
      </c>
      <c r="C355" s="25">
        <v>5</v>
      </c>
      <c r="D355" s="25"/>
      <c r="E355" s="25"/>
      <c r="F355" s="25"/>
      <c r="G355" s="25"/>
      <c r="H355" s="25"/>
      <c r="I355" s="42" t="s">
        <v>252</v>
      </c>
      <c r="J355" s="41">
        <v>44774</v>
      </c>
      <c r="K355" s="25">
        <v>233</v>
      </c>
      <c r="L355" s="25">
        <v>0</v>
      </c>
      <c r="M355" s="42" t="s">
        <v>253</v>
      </c>
      <c r="N355" s="41">
        <v>45244</v>
      </c>
      <c r="O355" s="25">
        <v>565</v>
      </c>
      <c r="P355" s="25">
        <v>0</v>
      </c>
      <c r="Q355" s="25"/>
      <c r="R355" s="25"/>
      <c r="S355" s="25"/>
      <c r="T355" s="10"/>
    </row>
    <row r="356" s="35" customFormat="1" ht="18.5" customHeight="1" spans="1:20">
      <c r="A356" s="16" t="s">
        <v>251</v>
      </c>
      <c r="B356" s="41">
        <v>44330</v>
      </c>
      <c r="C356" s="25">
        <v>2</v>
      </c>
      <c r="D356" s="25"/>
      <c r="E356" s="25"/>
      <c r="F356" s="25"/>
      <c r="G356" s="25"/>
      <c r="H356" s="25"/>
      <c r="I356" s="42" t="s">
        <v>252</v>
      </c>
      <c r="J356" s="41">
        <v>44781</v>
      </c>
      <c r="K356" s="25">
        <v>215</v>
      </c>
      <c r="L356" s="25">
        <v>0</v>
      </c>
      <c r="M356" s="42" t="s">
        <v>253</v>
      </c>
      <c r="N356" s="41">
        <v>44992</v>
      </c>
      <c r="O356" s="25">
        <v>564</v>
      </c>
      <c r="P356" s="25">
        <v>0</v>
      </c>
      <c r="Q356" s="25"/>
      <c r="R356" s="25"/>
      <c r="S356" s="25"/>
      <c r="T356" s="10"/>
    </row>
    <row r="357" s="35" customFormat="1" ht="18.5" customHeight="1" spans="1:20">
      <c r="A357" s="16" t="s">
        <v>251</v>
      </c>
      <c r="B357" s="41">
        <v>45278</v>
      </c>
      <c r="C357" s="25">
        <v>1</v>
      </c>
      <c r="D357" s="25"/>
      <c r="E357" s="25"/>
      <c r="F357" s="25"/>
      <c r="G357" s="25"/>
      <c r="H357" s="25"/>
      <c r="I357" s="42" t="s">
        <v>252</v>
      </c>
      <c r="J357" s="41">
        <v>44587</v>
      </c>
      <c r="K357" s="25">
        <v>214</v>
      </c>
      <c r="L357" s="25">
        <v>0</v>
      </c>
      <c r="M357" s="42" t="s">
        <v>253</v>
      </c>
      <c r="N357" s="41">
        <v>45184</v>
      </c>
      <c r="O357" s="25">
        <v>559</v>
      </c>
      <c r="P357" s="25">
        <v>0</v>
      </c>
      <c r="Q357" s="25"/>
      <c r="R357" s="25"/>
      <c r="S357" s="25"/>
      <c r="T357" s="10"/>
    </row>
    <row r="358" s="35" customFormat="1" ht="18.5" customHeight="1" spans="1:20">
      <c r="A358" s="16" t="s">
        <v>251</v>
      </c>
      <c r="B358" s="41">
        <v>44488</v>
      </c>
      <c r="C358" s="25">
        <v>0</v>
      </c>
      <c r="D358" s="25"/>
      <c r="E358" s="25"/>
      <c r="F358" s="25"/>
      <c r="G358" s="25"/>
      <c r="H358" s="25"/>
      <c r="I358" s="42" t="s">
        <v>252</v>
      </c>
      <c r="J358" s="41">
        <v>44920</v>
      </c>
      <c r="K358" s="25">
        <v>194</v>
      </c>
      <c r="L358" s="25">
        <v>0</v>
      </c>
      <c r="M358" s="42" t="s">
        <v>253</v>
      </c>
      <c r="N358" s="41">
        <v>44935</v>
      </c>
      <c r="O358" s="25">
        <v>557</v>
      </c>
      <c r="P358" s="25">
        <v>0</v>
      </c>
      <c r="Q358" s="25"/>
      <c r="R358" s="25"/>
      <c r="S358" s="25"/>
      <c r="T358" s="10"/>
    </row>
    <row r="359" s="35" customFormat="1" ht="18.5" customHeight="1" spans="1:20">
      <c r="A359" s="16" t="s">
        <v>251</v>
      </c>
      <c r="B359" s="41">
        <v>44426</v>
      </c>
      <c r="C359" s="25">
        <v>0</v>
      </c>
      <c r="D359" s="25"/>
      <c r="E359" s="25"/>
      <c r="F359" s="25"/>
      <c r="G359" s="25"/>
      <c r="H359" s="25"/>
      <c r="I359" s="42" t="s">
        <v>252</v>
      </c>
      <c r="J359" s="41">
        <v>44918</v>
      </c>
      <c r="K359" s="25">
        <v>193</v>
      </c>
      <c r="L359" s="25">
        <v>0</v>
      </c>
      <c r="M359" s="42" t="s">
        <v>253</v>
      </c>
      <c r="N359" s="41">
        <v>45266</v>
      </c>
      <c r="O359" s="25">
        <v>99</v>
      </c>
      <c r="P359" s="25">
        <v>0</v>
      </c>
      <c r="Q359" s="25"/>
      <c r="R359" s="25"/>
      <c r="S359" s="25"/>
      <c r="T359" s="10"/>
    </row>
    <row r="360" s="35" customFormat="1" ht="18.5" customHeight="1" spans="1:20">
      <c r="A360" s="16" t="s">
        <v>251</v>
      </c>
      <c r="B360" s="41">
        <v>45280</v>
      </c>
      <c r="C360" s="25">
        <v>5</v>
      </c>
      <c r="D360" s="25"/>
      <c r="E360" s="25"/>
      <c r="F360" s="25"/>
      <c r="G360" s="25"/>
      <c r="H360" s="25"/>
      <c r="I360" s="42" t="s">
        <v>252</v>
      </c>
      <c r="J360" s="41">
        <v>44926</v>
      </c>
      <c r="K360" s="25">
        <v>1728</v>
      </c>
      <c r="L360" s="25">
        <v>0</v>
      </c>
      <c r="M360" s="42" t="s">
        <v>253</v>
      </c>
      <c r="N360" s="41">
        <v>45241</v>
      </c>
      <c r="O360" s="25">
        <v>99</v>
      </c>
      <c r="P360" s="25">
        <v>0</v>
      </c>
      <c r="Q360" s="25"/>
      <c r="R360" s="25"/>
      <c r="S360" s="25"/>
      <c r="T360" s="10"/>
    </row>
    <row r="361" s="35" customFormat="1" ht="18.5" customHeight="1" spans="1:20">
      <c r="A361" s="16" t="s">
        <v>251</v>
      </c>
      <c r="B361" s="41">
        <v>44475</v>
      </c>
      <c r="C361" s="25">
        <v>3</v>
      </c>
      <c r="D361" s="25"/>
      <c r="E361" s="25"/>
      <c r="F361" s="25"/>
      <c r="G361" s="25"/>
      <c r="H361" s="25"/>
      <c r="I361" s="42" t="s">
        <v>252</v>
      </c>
      <c r="J361" s="41">
        <v>44612</v>
      </c>
      <c r="K361" s="25">
        <v>439</v>
      </c>
      <c r="L361" s="25">
        <v>0</v>
      </c>
      <c r="M361" s="42" t="s">
        <v>253</v>
      </c>
      <c r="N361" s="41">
        <v>45240</v>
      </c>
      <c r="O361" s="25">
        <v>99</v>
      </c>
      <c r="P361" s="25">
        <v>0</v>
      </c>
      <c r="Q361" s="25"/>
      <c r="R361" s="25"/>
      <c r="S361" s="25"/>
      <c r="T361" s="10"/>
    </row>
    <row r="362" s="35" customFormat="1" ht="18.5" customHeight="1" spans="1:20">
      <c r="A362" s="16" t="s">
        <v>251</v>
      </c>
      <c r="B362" s="41">
        <v>45285</v>
      </c>
      <c r="C362" s="25">
        <v>3</v>
      </c>
      <c r="D362" s="25"/>
      <c r="E362" s="25"/>
      <c r="F362" s="25"/>
      <c r="G362" s="25"/>
      <c r="H362" s="25"/>
      <c r="I362" s="42" t="s">
        <v>252</v>
      </c>
      <c r="J362" s="41">
        <v>44671</v>
      </c>
      <c r="K362" s="25">
        <v>728</v>
      </c>
      <c r="L362" s="25">
        <v>0</v>
      </c>
      <c r="M362" s="42" t="s">
        <v>253</v>
      </c>
      <c r="N362" s="41">
        <v>45243</v>
      </c>
      <c r="O362" s="25">
        <v>554</v>
      </c>
      <c r="P362" s="25">
        <v>0</v>
      </c>
      <c r="Q362" s="25"/>
      <c r="R362" s="25"/>
      <c r="S362" s="25"/>
      <c r="T362" s="10"/>
    </row>
    <row r="363" s="35" customFormat="1" ht="18.5" customHeight="1" spans="1:20">
      <c r="A363" s="16" t="s">
        <v>251</v>
      </c>
      <c r="B363" s="41">
        <v>45287</v>
      </c>
      <c r="C363" s="25">
        <v>1</v>
      </c>
      <c r="D363" s="25"/>
      <c r="E363" s="25"/>
      <c r="F363" s="25"/>
      <c r="G363" s="25"/>
      <c r="H363" s="25"/>
      <c r="I363" s="42" t="s">
        <v>252</v>
      </c>
      <c r="J363" s="41">
        <v>44689</v>
      </c>
      <c r="K363" s="25">
        <v>508</v>
      </c>
      <c r="L363" s="25">
        <v>0</v>
      </c>
      <c r="M363" s="42" t="s">
        <v>253</v>
      </c>
      <c r="N363" s="41">
        <v>45005</v>
      </c>
      <c r="O363" s="25">
        <v>549</v>
      </c>
      <c r="P363" s="25">
        <v>0</v>
      </c>
      <c r="Q363" s="25"/>
      <c r="R363" s="25"/>
      <c r="S363" s="25"/>
      <c r="T363" s="10"/>
    </row>
    <row r="364" s="35" customFormat="1" ht="18.5" customHeight="1" spans="1:20">
      <c r="A364" s="16" t="s">
        <v>251</v>
      </c>
      <c r="B364" s="41">
        <v>44434</v>
      </c>
      <c r="C364" s="25">
        <v>1</v>
      </c>
      <c r="D364" s="25"/>
      <c r="E364" s="25"/>
      <c r="F364" s="25"/>
      <c r="G364" s="25"/>
      <c r="H364" s="25"/>
      <c r="I364" s="42" t="s">
        <v>252</v>
      </c>
      <c r="J364" s="41">
        <v>44701</v>
      </c>
      <c r="K364" s="25">
        <v>506</v>
      </c>
      <c r="L364" s="25">
        <v>0</v>
      </c>
      <c r="M364" s="42" t="s">
        <v>253</v>
      </c>
      <c r="N364" s="41">
        <v>44999</v>
      </c>
      <c r="O364" s="25">
        <v>549</v>
      </c>
      <c r="P364" s="25">
        <v>0</v>
      </c>
      <c r="Q364" s="25"/>
      <c r="R364" s="25"/>
      <c r="S364" s="25"/>
      <c r="T364" s="10"/>
    </row>
    <row r="365" s="35" customFormat="1" ht="18.5" customHeight="1" spans="1:20">
      <c r="A365" s="16" t="s">
        <v>251</v>
      </c>
      <c r="B365" s="41">
        <v>44349</v>
      </c>
      <c r="C365" s="25">
        <v>3</v>
      </c>
      <c r="D365" s="25"/>
      <c r="E365" s="25"/>
      <c r="F365" s="25"/>
      <c r="G365" s="25"/>
      <c r="H365" s="25"/>
      <c r="I365" s="42" t="s">
        <v>252</v>
      </c>
      <c r="J365" s="41">
        <v>44768</v>
      </c>
      <c r="K365" s="25">
        <v>423</v>
      </c>
      <c r="L365" s="25">
        <v>0</v>
      </c>
      <c r="M365" s="42" t="s">
        <v>253</v>
      </c>
      <c r="N365" s="41">
        <v>45056</v>
      </c>
      <c r="O365" s="25">
        <v>546</v>
      </c>
      <c r="P365" s="25">
        <v>0</v>
      </c>
      <c r="Q365" s="25"/>
      <c r="R365" s="25"/>
      <c r="S365" s="25"/>
      <c r="T365" s="10"/>
    </row>
    <row r="366" s="35" customFormat="1" ht="18.5" customHeight="1" spans="1:20">
      <c r="A366" s="16" t="s">
        <v>251</v>
      </c>
      <c r="B366" s="41">
        <v>44438</v>
      </c>
      <c r="C366" s="25">
        <v>2</v>
      </c>
      <c r="D366" s="25"/>
      <c r="E366" s="25"/>
      <c r="F366" s="25"/>
      <c r="G366" s="25"/>
      <c r="H366" s="25"/>
      <c r="I366" s="42" t="s">
        <v>252</v>
      </c>
      <c r="J366" s="41">
        <v>44674</v>
      </c>
      <c r="K366" s="25">
        <v>416</v>
      </c>
      <c r="L366" s="25">
        <v>0</v>
      </c>
      <c r="M366" s="42" t="s">
        <v>253</v>
      </c>
      <c r="N366" s="41">
        <v>45216</v>
      </c>
      <c r="O366" s="25">
        <v>545</v>
      </c>
      <c r="P366" s="25">
        <v>0</v>
      </c>
      <c r="Q366" s="25"/>
      <c r="R366" s="25"/>
      <c r="S366" s="25"/>
      <c r="T366" s="10"/>
    </row>
    <row r="367" s="35" customFormat="1" ht="18.5" customHeight="1" spans="1:20">
      <c r="A367" s="16" t="s">
        <v>251</v>
      </c>
      <c r="B367" s="41">
        <v>44502</v>
      </c>
      <c r="C367" s="25">
        <v>4</v>
      </c>
      <c r="D367" s="25"/>
      <c r="E367" s="25"/>
      <c r="F367" s="25"/>
      <c r="G367" s="25"/>
      <c r="H367" s="25"/>
      <c r="I367" s="42" t="s">
        <v>252</v>
      </c>
      <c r="J367" s="41">
        <v>44877</v>
      </c>
      <c r="K367" s="25">
        <v>746</v>
      </c>
      <c r="L367" s="25">
        <v>0</v>
      </c>
      <c r="M367" s="42" t="s">
        <v>253</v>
      </c>
      <c r="N367" s="41">
        <v>45146</v>
      </c>
      <c r="O367" s="25">
        <v>542</v>
      </c>
      <c r="P367" s="25">
        <v>0</v>
      </c>
      <c r="Q367" s="25"/>
      <c r="R367" s="25"/>
      <c r="S367" s="25"/>
      <c r="T367" s="10"/>
    </row>
    <row r="368" s="35" customFormat="1" ht="18.5" customHeight="1" spans="1:20">
      <c r="A368" s="16" t="s">
        <v>251</v>
      </c>
      <c r="B368" s="41">
        <v>44487</v>
      </c>
      <c r="C368" s="25">
        <v>3</v>
      </c>
      <c r="D368" s="25"/>
      <c r="E368" s="25"/>
      <c r="F368" s="25"/>
      <c r="G368" s="25"/>
      <c r="H368" s="25"/>
      <c r="I368" s="42" t="s">
        <v>252</v>
      </c>
      <c r="J368" s="41">
        <v>44685</v>
      </c>
      <c r="K368" s="25">
        <v>465</v>
      </c>
      <c r="L368" s="25">
        <v>0</v>
      </c>
      <c r="M368" s="42" t="s">
        <v>253</v>
      </c>
      <c r="N368" s="41">
        <v>45267</v>
      </c>
      <c r="O368" s="25">
        <v>96</v>
      </c>
      <c r="P368" s="25">
        <v>0</v>
      </c>
      <c r="Q368" s="25"/>
      <c r="R368" s="25"/>
      <c r="S368" s="25"/>
      <c r="T368" s="10"/>
    </row>
    <row r="369" s="35" customFormat="1" ht="18.5" customHeight="1" spans="1:20">
      <c r="A369" s="16" t="s">
        <v>251</v>
      </c>
      <c r="B369" s="41">
        <v>44424</v>
      </c>
      <c r="C369" s="25">
        <v>1</v>
      </c>
      <c r="D369" s="25"/>
      <c r="E369" s="25"/>
      <c r="F369" s="25"/>
      <c r="G369" s="25"/>
      <c r="H369" s="25"/>
      <c r="I369" s="42" t="s">
        <v>252</v>
      </c>
      <c r="J369" s="41">
        <v>44691</v>
      </c>
      <c r="K369" s="25">
        <v>422</v>
      </c>
      <c r="L369" s="25">
        <v>0</v>
      </c>
      <c r="M369" s="42" t="s">
        <v>253</v>
      </c>
      <c r="N369" s="41">
        <v>45279</v>
      </c>
      <c r="O369" s="25">
        <v>95</v>
      </c>
      <c r="P369" s="25">
        <v>0</v>
      </c>
      <c r="Q369" s="25"/>
      <c r="R369" s="25"/>
      <c r="S369" s="25"/>
      <c r="T369" s="10"/>
    </row>
    <row r="370" s="35" customFormat="1" ht="18.5" customHeight="1" spans="1:20">
      <c r="A370" s="16" t="s">
        <v>251</v>
      </c>
      <c r="B370" s="41">
        <v>44438</v>
      </c>
      <c r="C370" s="25">
        <v>3</v>
      </c>
      <c r="D370" s="25"/>
      <c r="E370" s="25"/>
      <c r="F370" s="25"/>
      <c r="G370" s="25"/>
      <c r="H370" s="25"/>
      <c r="I370" s="42" t="s">
        <v>252</v>
      </c>
      <c r="J370" s="41">
        <v>44842</v>
      </c>
      <c r="K370" s="25">
        <v>366</v>
      </c>
      <c r="L370" s="25">
        <v>0</v>
      </c>
      <c r="M370" s="42" t="s">
        <v>253</v>
      </c>
      <c r="N370" s="41">
        <v>45048</v>
      </c>
      <c r="O370" s="25">
        <v>530</v>
      </c>
      <c r="P370" s="25">
        <v>0</v>
      </c>
      <c r="Q370" s="25"/>
      <c r="R370" s="25"/>
      <c r="S370" s="25"/>
      <c r="T370" s="10"/>
    </row>
    <row r="371" s="35" customFormat="1" ht="18.5" customHeight="1" spans="1:20">
      <c r="A371" s="16" t="s">
        <v>251</v>
      </c>
      <c r="B371" s="41">
        <v>44490</v>
      </c>
      <c r="C371" s="25">
        <v>3</v>
      </c>
      <c r="D371" s="25"/>
      <c r="E371" s="25"/>
      <c r="F371" s="25"/>
      <c r="G371" s="25"/>
      <c r="H371" s="25"/>
      <c r="I371" s="42" t="s">
        <v>252</v>
      </c>
      <c r="J371" s="41">
        <v>44694</v>
      </c>
      <c r="K371" s="25">
        <v>342</v>
      </c>
      <c r="L371" s="25">
        <v>0</v>
      </c>
      <c r="M371" s="42" t="s">
        <v>253</v>
      </c>
      <c r="N371" s="41">
        <v>45063</v>
      </c>
      <c r="O371" s="25">
        <v>528</v>
      </c>
      <c r="P371" s="25">
        <v>0</v>
      </c>
      <c r="Q371" s="25"/>
      <c r="R371" s="25"/>
      <c r="S371" s="25"/>
      <c r="T371" s="10"/>
    </row>
    <row r="372" s="35" customFormat="1" ht="18.5" customHeight="1" spans="1:20">
      <c r="A372" s="16" t="s">
        <v>251</v>
      </c>
      <c r="B372" s="41">
        <v>45294</v>
      </c>
      <c r="C372" s="25">
        <v>6</v>
      </c>
      <c r="D372" s="25"/>
      <c r="E372" s="25"/>
      <c r="F372" s="25"/>
      <c r="G372" s="25"/>
      <c r="H372" s="25"/>
      <c r="I372" s="42" t="s">
        <v>252</v>
      </c>
      <c r="J372" s="41">
        <v>44613</v>
      </c>
      <c r="K372" s="25">
        <v>282</v>
      </c>
      <c r="L372" s="25">
        <v>0</v>
      </c>
      <c r="M372" s="42" t="s">
        <v>253</v>
      </c>
      <c r="N372" s="41">
        <v>45033</v>
      </c>
      <c r="O372" s="25">
        <v>519</v>
      </c>
      <c r="P372" s="25">
        <v>0</v>
      </c>
      <c r="Q372" s="25"/>
      <c r="R372" s="25"/>
      <c r="S372" s="25"/>
      <c r="T372" s="10"/>
    </row>
    <row r="373" s="35" customFormat="1" ht="18.5" customHeight="1" spans="1:20">
      <c r="A373" s="16" t="s">
        <v>251</v>
      </c>
      <c r="B373" s="41">
        <v>44354</v>
      </c>
      <c r="C373" s="25">
        <v>1</v>
      </c>
      <c r="D373" s="25"/>
      <c r="E373" s="25"/>
      <c r="F373" s="25"/>
      <c r="G373" s="25"/>
      <c r="H373" s="25"/>
      <c r="I373" s="42" t="s">
        <v>252</v>
      </c>
      <c r="J373" s="41">
        <v>44919</v>
      </c>
      <c r="K373" s="25">
        <v>403</v>
      </c>
      <c r="L373" s="25">
        <v>0</v>
      </c>
      <c r="M373" s="42" t="s">
        <v>253</v>
      </c>
      <c r="N373" s="41">
        <v>45058</v>
      </c>
      <c r="O373" s="25">
        <v>517</v>
      </c>
      <c r="P373" s="25">
        <v>0</v>
      </c>
      <c r="Q373" s="25"/>
      <c r="R373" s="25"/>
      <c r="S373" s="25"/>
      <c r="T373" s="10"/>
    </row>
    <row r="374" s="35" customFormat="1" ht="18.5" customHeight="1" spans="1:20">
      <c r="A374" s="16" t="s">
        <v>251</v>
      </c>
      <c r="B374" s="41">
        <v>44502</v>
      </c>
      <c r="C374" s="25">
        <v>8</v>
      </c>
      <c r="D374" s="25"/>
      <c r="E374" s="25"/>
      <c r="F374" s="25"/>
      <c r="G374" s="25"/>
      <c r="H374" s="25"/>
      <c r="I374" s="42" t="s">
        <v>252</v>
      </c>
      <c r="J374" s="41">
        <v>44874</v>
      </c>
      <c r="K374" s="25">
        <v>842</v>
      </c>
      <c r="L374" s="25">
        <v>0</v>
      </c>
      <c r="M374" s="42" t="s">
        <v>253</v>
      </c>
      <c r="N374" s="41">
        <v>45058</v>
      </c>
      <c r="O374" s="25">
        <v>516</v>
      </c>
      <c r="P374" s="25">
        <v>0</v>
      </c>
      <c r="Q374" s="25"/>
      <c r="R374" s="25"/>
      <c r="S374" s="25"/>
      <c r="T374" s="10"/>
    </row>
    <row r="375" s="35" customFormat="1" ht="18.5" customHeight="1" spans="1:20">
      <c r="A375" s="16" t="s">
        <v>251</v>
      </c>
      <c r="B375" s="41">
        <v>44530</v>
      </c>
      <c r="C375" s="25">
        <v>2</v>
      </c>
      <c r="D375" s="25"/>
      <c r="E375" s="25"/>
      <c r="F375" s="25"/>
      <c r="G375" s="25"/>
      <c r="H375" s="25"/>
      <c r="I375" s="42" t="s">
        <v>252</v>
      </c>
      <c r="J375" s="41">
        <v>44713</v>
      </c>
      <c r="K375" s="25">
        <v>610</v>
      </c>
      <c r="L375" s="25">
        <v>0</v>
      </c>
      <c r="M375" s="42" t="s">
        <v>253</v>
      </c>
      <c r="N375" s="41">
        <v>45047</v>
      </c>
      <c r="O375" s="25">
        <v>510</v>
      </c>
      <c r="P375" s="25">
        <v>0</v>
      </c>
      <c r="Q375" s="25"/>
      <c r="R375" s="25"/>
      <c r="S375" s="25"/>
      <c r="T375" s="10"/>
    </row>
    <row r="376" s="35" customFormat="1" ht="18.5" customHeight="1" spans="1:20">
      <c r="A376" s="16" t="s">
        <v>251</v>
      </c>
      <c r="B376" s="41">
        <v>45128</v>
      </c>
      <c r="C376" s="25">
        <v>5</v>
      </c>
      <c r="D376" s="25"/>
      <c r="E376" s="25"/>
      <c r="F376" s="25"/>
      <c r="G376" s="25"/>
      <c r="H376" s="25"/>
      <c r="I376" s="42" t="s">
        <v>252</v>
      </c>
      <c r="J376" s="41">
        <v>44642</v>
      </c>
      <c r="K376" s="25">
        <v>521</v>
      </c>
      <c r="L376" s="25">
        <v>0</v>
      </c>
      <c r="M376" s="42" t="s">
        <v>253</v>
      </c>
      <c r="N376" s="41">
        <v>45014</v>
      </c>
      <c r="O376" s="25">
        <v>509</v>
      </c>
      <c r="P376" s="25">
        <v>0</v>
      </c>
      <c r="Q376" s="25"/>
      <c r="R376" s="25"/>
      <c r="S376" s="25"/>
      <c r="T376" s="10"/>
    </row>
    <row r="377" s="35" customFormat="1" ht="18.5" customHeight="1" spans="1:20">
      <c r="A377" s="16" t="s">
        <v>251</v>
      </c>
      <c r="B377" s="41">
        <v>45275</v>
      </c>
      <c r="C377" s="25">
        <v>1</v>
      </c>
      <c r="D377" s="25"/>
      <c r="E377" s="25"/>
      <c r="F377" s="25"/>
      <c r="G377" s="25"/>
      <c r="H377" s="25"/>
      <c r="I377" s="42" t="s">
        <v>252</v>
      </c>
      <c r="J377" s="41">
        <v>44749</v>
      </c>
      <c r="K377" s="25">
        <v>2060</v>
      </c>
      <c r="L377" s="25">
        <v>0</v>
      </c>
      <c r="M377" s="42" t="s">
        <v>253</v>
      </c>
      <c r="N377" s="41">
        <v>44942</v>
      </c>
      <c r="O377" s="25">
        <v>509</v>
      </c>
      <c r="P377" s="25">
        <v>0</v>
      </c>
      <c r="Q377" s="25"/>
      <c r="R377" s="25"/>
      <c r="S377" s="25"/>
      <c r="T377" s="10"/>
    </row>
    <row r="378" s="35" customFormat="1" ht="18.5" customHeight="1" spans="1:20">
      <c r="A378" s="16" t="s">
        <v>251</v>
      </c>
      <c r="B378" s="41">
        <v>44474</v>
      </c>
      <c r="C378" s="25">
        <v>2</v>
      </c>
      <c r="D378" s="25"/>
      <c r="E378" s="25"/>
      <c r="F378" s="25"/>
      <c r="G378" s="25"/>
      <c r="H378" s="25"/>
      <c r="I378" s="42" t="s">
        <v>252</v>
      </c>
      <c r="J378" s="41">
        <v>44578</v>
      </c>
      <c r="K378" s="25">
        <v>493</v>
      </c>
      <c r="L378" s="25">
        <v>0</v>
      </c>
      <c r="M378" s="42" t="s">
        <v>253</v>
      </c>
      <c r="N378" s="41">
        <v>45002</v>
      </c>
      <c r="O378" s="25">
        <v>508</v>
      </c>
      <c r="P378" s="25">
        <v>0</v>
      </c>
      <c r="Q378" s="25"/>
      <c r="R378" s="25"/>
      <c r="S378" s="25"/>
      <c r="T378" s="10"/>
    </row>
    <row r="379" s="35" customFormat="1" ht="18.5" customHeight="1" spans="1:20">
      <c r="A379" s="16" t="s">
        <v>251</v>
      </c>
      <c r="B379" s="41">
        <v>44420</v>
      </c>
      <c r="C379" s="25">
        <v>0</v>
      </c>
      <c r="D379" s="25"/>
      <c r="E379" s="25"/>
      <c r="F379" s="25"/>
      <c r="G379" s="25"/>
      <c r="H379" s="25"/>
      <c r="I379" s="42" t="s">
        <v>252</v>
      </c>
      <c r="J379" s="41">
        <v>44617</v>
      </c>
      <c r="K379" s="25">
        <v>920</v>
      </c>
      <c r="L379" s="25">
        <v>0</v>
      </c>
      <c r="M379" s="42" t="s">
        <v>253</v>
      </c>
      <c r="N379" s="41">
        <v>44976</v>
      </c>
      <c r="O379" s="25">
        <v>508</v>
      </c>
      <c r="P379" s="25">
        <v>0</v>
      </c>
      <c r="Q379" s="25"/>
      <c r="R379" s="25"/>
      <c r="S379" s="25"/>
      <c r="T379" s="10"/>
    </row>
    <row r="380" s="35" customFormat="1" ht="18.5" customHeight="1" spans="1:20">
      <c r="A380" s="16" t="s">
        <v>251</v>
      </c>
      <c r="B380" s="41">
        <v>45294</v>
      </c>
      <c r="C380" s="25">
        <v>4</v>
      </c>
      <c r="D380" s="25"/>
      <c r="E380" s="25"/>
      <c r="F380" s="25"/>
      <c r="G380" s="25"/>
      <c r="H380" s="25"/>
      <c r="I380" s="42" t="s">
        <v>252</v>
      </c>
      <c r="J380" s="41">
        <v>44795</v>
      </c>
      <c r="K380" s="25">
        <v>662</v>
      </c>
      <c r="L380" s="25">
        <v>0</v>
      </c>
      <c r="M380" s="42" t="s">
        <v>253</v>
      </c>
      <c r="N380" s="41">
        <v>45229</v>
      </c>
      <c r="O380" s="25">
        <v>90</v>
      </c>
      <c r="P380" s="25">
        <v>0</v>
      </c>
      <c r="Q380" s="25"/>
      <c r="R380" s="25"/>
      <c r="S380" s="25"/>
      <c r="T380" s="10"/>
    </row>
    <row r="381" s="35" customFormat="1" ht="18.5" customHeight="1" spans="1:20">
      <c r="A381" s="16" t="s">
        <v>251</v>
      </c>
      <c r="B381" s="41">
        <v>44399</v>
      </c>
      <c r="C381" s="25">
        <v>4</v>
      </c>
      <c r="D381" s="25"/>
      <c r="E381" s="25"/>
      <c r="F381" s="25"/>
      <c r="G381" s="25"/>
      <c r="H381" s="25"/>
      <c r="I381" s="42" t="s">
        <v>252</v>
      </c>
      <c r="J381" s="41">
        <v>44811</v>
      </c>
      <c r="K381" s="25">
        <v>554</v>
      </c>
      <c r="L381" s="25">
        <v>0</v>
      </c>
      <c r="M381" s="42" t="s">
        <v>253</v>
      </c>
      <c r="N381" s="41">
        <v>45238</v>
      </c>
      <c r="O381" s="25">
        <v>502</v>
      </c>
      <c r="P381" s="25">
        <v>0</v>
      </c>
      <c r="Q381" s="25"/>
      <c r="R381" s="25"/>
      <c r="S381" s="25"/>
      <c r="T381" s="10"/>
    </row>
    <row r="382" s="35" customFormat="1" ht="18.5" customHeight="1" spans="1:20">
      <c r="A382" s="16" t="s">
        <v>251</v>
      </c>
      <c r="B382" s="41">
        <v>45295</v>
      </c>
      <c r="C382" s="25">
        <v>3</v>
      </c>
      <c r="D382" s="25"/>
      <c r="E382" s="25"/>
      <c r="F382" s="25"/>
      <c r="G382" s="25"/>
      <c r="H382" s="25"/>
      <c r="I382" s="42" t="s">
        <v>252</v>
      </c>
      <c r="J382" s="41">
        <v>44895</v>
      </c>
      <c r="K382" s="25">
        <v>544</v>
      </c>
      <c r="L382" s="25">
        <v>0</v>
      </c>
      <c r="M382" s="42" t="s">
        <v>253</v>
      </c>
      <c r="N382" s="41">
        <v>45099</v>
      </c>
      <c r="O382" s="25">
        <v>502</v>
      </c>
      <c r="P382" s="25">
        <v>0</v>
      </c>
      <c r="Q382" s="25"/>
      <c r="R382" s="25"/>
      <c r="S382" s="25"/>
      <c r="T382" s="10"/>
    </row>
    <row r="383" s="35" customFormat="1" ht="18.5" customHeight="1" spans="1:20">
      <c r="A383" s="16" t="s">
        <v>251</v>
      </c>
      <c r="B383" s="41">
        <v>44371</v>
      </c>
      <c r="C383" s="25">
        <v>1</v>
      </c>
      <c r="D383" s="25"/>
      <c r="E383" s="25"/>
      <c r="F383" s="25"/>
      <c r="G383" s="25"/>
      <c r="H383" s="25"/>
      <c r="I383" s="42" t="s">
        <v>252</v>
      </c>
      <c r="J383" s="41">
        <v>44896</v>
      </c>
      <c r="K383" s="25">
        <v>518</v>
      </c>
      <c r="L383" s="25">
        <v>0</v>
      </c>
      <c r="M383" s="42" t="s">
        <v>253</v>
      </c>
      <c r="N383" s="41">
        <v>45237</v>
      </c>
      <c r="O383" s="25">
        <v>502</v>
      </c>
      <c r="P383" s="25">
        <v>0</v>
      </c>
      <c r="Q383" s="25"/>
      <c r="R383" s="25"/>
      <c r="S383" s="25"/>
      <c r="T383" s="10"/>
    </row>
    <row r="384" s="35" customFormat="1" ht="18.5" customHeight="1" spans="1:20">
      <c r="A384" s="16" t="s">
        <v>251</v>
      </c>
      <c r="B384" s="41">
        <v>44432</v>
      </c>
      <c r="C384" s="25">
        <v>1</v>
      </c>
      <c r="D384" s="25"/>
      <c r="E384" s="25"/>
      <c r="F384" s="25"/>
      <c r="G384" s="25"/>
      <c r="H384" s="25"/>
      <c r="I384" s="42" t="s">
        <v>252</v>
      </c>
      <c r="J384" s="41">
        <v>44921</v>
      </c>
      <c r="K384" s="25">
        <v>2804</v>
      </c>
      <c r="L384" s="25">
        <v>0</v>
      </c>
      <c r="M384" s="42" t="s">
        <v>253</v>
      </c>
      <c r="N384" s="41">
        <v>44966</v>
      </c>
      <c r="O384" s="25">
        <v>497</v>
      </c>
      <c r="P384" s="25">
        <v>0</v>
      </c>
      <c r="Q384" s="25"/>
      <c r="R384" s="25"/>
      <c r="S384" s="25"/>
      <c r="T384" s="10"/>
    </row>
    <row r="385" s="35" customFormat="1" ht="18.5" customHeight="1" spans="1:20">
      <c r="A385" s="16" t="s">
        <v>251</v>
      </c>
      <c r="B385" s="41">
        <v>45294</v>
      </c>
      <c r="C385" s="25">
        <v>5</v>
      </c>
      <c r="D385" s="25"/>
      <c r="E385" s="25"/>
      <c r="F385" s="25"/>
      <c r="G385" s="25"/>
      <c r="H385" s="25"/>
      <c r="I385" s="42" t="s">
        <v>252</v>
      </c>
      <c r="J385" s="41">
        <v>44693</v>
      </c>
      <c r="K385" s="25">
        <v>446</v>
      </c>
      <c r="L385" s="25">
        <v>0</v>
      </c>
      <c r="M385" s="42" t="s">
        <v>253</v>
      </c>
      <c r="N385" s="41">
        <v>45259</v>
      </c>
      <c r="O385" s="25">
        <v>88</v>
      </c>
      <c r="P385" s="25">
        <v>0</v>
      </c>
      <c r="Q385" s="25"/>
      <c r="R385" s="25"/>
      <c r="S385" s="25"/>
      <c r="T385" s="10"/>
    </row>
    <row r="386" s="35" customFormat="1" ht="18.5" customHeight="1" spans="1:20">
      <c r="A386" s="16" t="s">
        <v>251</v>
      </c>
      <c r="B386" s="41">
        <v>44407</v>
      </c>
      <c r="C386" s="25">
        <v>0</v>
      </c>
      <c r="D386" s="25"/>
      <c r="E386" s="25"/>
      <c r="F386" s="25"/>
      <c r="G386" s="25"/>
      <c r="H386" s="25"/>
      <c r="I386" s="42" t="s">
        <v>252</v>
      </c>
      <c r="J386" s="41">
        <v>44920</v>
      </c>
      <c r="K386" s="25">
        <v>438</v>
      </c>
      <c r="L386" s="25">
        <v>0</v>
      </c>
      <c r="M386" s="42" t="s">
        <v>253</v>
      </c>
      <c r="N386" s="41">
        <v>45159</v>
      </c>
      <c r="O386" s="25">
        <v>493</v>
      </c>
      <c r="P386" s="25">
        <v>0</v>
      </c>
      <c r="Q386" s="25"/>
      <c r="R386" s="25"/>
      <c r="S386" s="25"/>
      <c r="T386" s="10"/>
    </row>
    <row r="387" s="35" customFormat="1" ht="18.5" customHeight="1" spans="1:20">
      <c r="A387" s="16" t="s">
        <v>251</v>
      </c>
      <c r="B387" s="41">
        <v>45280</v>
      </c>
      <c r="C387" s="25">
        <v>3</v>
      </c>
      <c r="D387" s="25"/>
      <c r="E387" s="25"/>
      <c r="F387" s="25"/>
      <c r="G387" s="25"/>
      <c r="H387" s="25"/>
      <c r="I387" s="42" t="s">
        <v>252</v>
      </c>
      <c r="J387" s="41">
        <v>44872</v>
      </c>
      <c r="K387" s="25">
        <v>393</v>
      </c>
      <c r="L387" s="25">
        <v>0</v>
      </c>
      <c r="M387" s="42" t="s">
        <v>253</v>
      </c>
      <c r="N387" s="41">
        <v>45002</v>
      </c>
      <c r="O387" s="25">
        <v>488</v>
      </c>
      <c r="P387" s="25">
        <v>0</v>
      </c>
      <c r="Q387" s="25"/>
      <c r="R387" s="25"/>
      <c r="S387" s="25"/>
      <c r="T387" s="10"/>
    </row>
    <row r="388" s="35" customFormat="1" ht="18.5" customHeight="1" spans="1:20">
      <c r="A388" s="16" t="s">
        <v>251</v>
      </c>
      <c r="B388" s="41">
        <v>44560</v>
      </c>
      <c r="C388" s="25">
        <v>3</v>
      </c>
      <c r="D388" s="25"/>
      <c r="E388" s="25"/>
      <c r="F388" s="25"/>
      <c r="G388" s="25"/>
      <c r="H388" s="25"/>
      <c r="I388" s="42" t="s">
        <v>252</v>
      </c>
      <c r="J388" s="41">
        <v>44883</v>
      </c>
      <c r="K388" s="25">
        <v>382</v>
      </c>
      <c r="L388" s="25">
        <v>0</v>
      </c>
      <c r="M388" s="42" t="s">
        <v>253</v>
      </c>
      <c r="N388" s="41">
        <v>45072</v>
      </c>
      <c r="O388" s="25">
        <v>483</v>
      </c>
      <c r="P388" s="25">
        <v>0</v>
      </c>
      <c r="Q388" s="25"/>
      <c r="R388" s="25"/>
      <c r="S388" s="25"/>
      <c r="T388" s="10"/>
    </row>
    <row r="389" s="35" customFormat="1" ht="18.5" customHeight="1" spans="1:20">
      <c r="A389" s="16" t="s">
        <v>251</v>
      </c>
      <c r="B389" s="41">
        <v>45021</v>
      </c>
      <c r="C389" s="25">
        <v>1</v>
      </c>
      <c r="D389" s="25"/>
      <c r="E389" s="25"/>
      <c r="F389" s="25"/>
      <c r="G389" s="25"/>
      <c r="H389" s="25"/>
      <c r="I389" s="42" t="s">
        <v>252</v>
      </c>
      <c r="J389" s="41">
        <v>44716</v>
      </c>
      <c r="K389" s="25">
        <v>296</v>
      </c>
      <c r="L389" s="25">
        <v>0</v>
      </c>
      <c r="M389" s="42" t="s">
        <v>253</v>
      </c>
      <c r="N389" s="41">
        <v>45082</v>
      </c>
      <c r="O389" s="25">
        <v>482</v>
      </c>
      <c r="P389" s="25">
        <v>0</v>
      </c>
      <c r="Q389" s="25"/>
      <c r="R389" s="25"/>
      <c r="S389" s="25"/>
      <c r="T389" s="10"/>
    </row>
    <row r="390" s="35" customFormat="1" ht="18.5" customHeight="1" spans="1:20">
      <c r="A390" s="16" t="s">
        <v>251</v>
      </c>
      <c r="B390" s="41">
        <v>44988</v>
      </c>
      <c r="C390" s="25">
        <v>8</v>
      </c>
      <c r="D390" s="25"/>
      <c r="E390" s="25"/>
      <c r="F390" s="25"/>
      <c r="G390" s="25"/>
      <c r="H390" s="25"/>
      <c r="I390" s="42" t="s">
        <v>252</v>
      </c>
      <c r="J390" s="41">
        <v>44662</v>
      </c>
      <c r="K390" s="25">
        <v>264</v>
      </c>
      <c r="L390" s="25">
        <v>0</v>
      </c>
      <c r="M390" s="42" t="s">
        <v>253</v>
      </c>
      <c r="N390" s="41">
        <v>45258</v>
      </c>
      <c r="O390" s="25">
        <v>478</v>
      </c>
      <c r="P390" s="25">
        <v>0</v>
      </c>
      <c r="Q390" s="25"/>
      <c r="R390" s="25"/>
      <c r="S390" s="25"/>
      <c r="T390" s="10"/>
    </row>
    <row r="391" s="35" customFormat="1" ht="18.5" customHeight="1" spans="1:20">
      <c r="A391" s="16" t="s">
        <v>251</v>
      </c>
      <c r="B391" s="41">
        <v>44392</v>
      </c>
      <c r="C391" s="25">
        <v>2</v>
      </c>
      <c r="D391" s="25"/>
      <c r="E391" s="25"/>
      <c r="F391" s="25"/>
      <c r="G391" s="25"/>
      <c r="H391" s="25"/>
      <c r="I391" s="42" t="s">
        <v>252</v>
      </c>
      <c r="J391" s="41">
        <v>44572</v>
      </c>
      <c r="K391" s="25">
        <v>394</v>
      </c>
      <c r="L391" s="25">
        <v>0</v>
      </c>
      <c r="M391" s="42" t="s">
        <v>253</v>
      </c>
      <c r="N391" s="41">
        <v>45250</v>
      </c>
      <c r="O391" s="25">
        <v>468</v>
      </c>
      <c r="P391" s="25">
        <v>0</v>
      </c>
      <c r="Q391" s="25"/>
      <c r="R391" s="25"/>
      <c r="S391" s="25"/>
      <c r="T391" s="10"/>
    </row>
    <row r="392" s="35" customFormat="1" ht="18.5" customHeight="1" spans="1:20">
      <c r="A392" s="16" t="s">
        <v>251</v>
      </c>
      <c r="B392" s="41">
        <v>44484</v>
      </c>
      <c r="C392" s="25">
        <v>0</v>
      </c>
      <c r="D392" s="25"/>
      <c r="E392" s="25"/>
      <c r="F392" s="25"/>
      <c r="G392" s="25"/>
      <c r="H392" s="25"/>
      <c r="I392" s="42" t="s">
        <v>252</v>
      </c>
      <c r="J392" s="41">
        <v>44565</v>
      </c>
      <c r="K392" s="25">
        <v>214</v>
      </c>
      <c r="L392" s="25">
        <v>0</v>
      </c>
      <c r="M392" s="42" t="s">
        <v>253</v>
      </c>
      <c r="N392" s="41">
        <v>45069</v>
      </c>
      <c r="O392" s="25">
        <v>469</v>
      </c>
      <c r="P392" s="25">
        <v>0</v>
      </c>
      <c r="Q392" s="25"/>
      <c r="R392" s="25"/>
      <c r="S392" s="25"/>
      <c r="T392" s="10"/>
    </row>
    <row r="393" s="35" customFormat="1" ht="18.5" customHeight="1" spans="1:20">
      <c r="A393" s="16" t="s">
        <v>251</v>
      </c>
      <c r="B393" s="41">
        <v>44601</v>
      </c>
      <c r="C393" s="25">
        <v>3</v>
      </c>
      <c r="D393" s="25"/>
      <c r="E393" s="25"/>
      <c r="F393" s="25"/>
      <c r="G393" s="25"/>
      <c r="H393" s="25"/>
      <c r="I393" s="42" t="s">
        <v>252</v>
      </c>
      <c r="J393" s="41">
        <v>44804</v>
      </c>
      <c r="K393" s="25">
        <v>1139</v>
      </c>
      <c r="L393" s="25">
        <v>0</v>
      </c>
      <c r="M393" s="42" t="s">
        <v>253</v>
      </c>
      <c r="N393" s="41">
        <v>44985</v>
      </c>
      <c r="O393" s="25">
        <v>468</v>
      </c>
      <c r="P393" s="25">
        <v>0</v>
      </c>
      <c r="Q393" s="25"/>
      <c r="R393" s="25"/>
      <c r="S393" s="25"/>
      <c r="T393" s="10"/>
    </row>
    <row r="394" s="35" customFormat="1" ht="18.5" customHeight="1" spans="1:20">
      <c r="A394" s="16" t="s">
        <v>251</v>
      </c>
      <c r="B394" s="41">
        <v>44409</v>
      </c>
      <c r="C394" s="25">
        <v>0</v>
      </c>
      <c r="D394" s="25"/>
      <c r="E394" s="25"/>
      <c r="F394" s="25"/>
      <c r="G394" s="25"/>
      <c r="H394" s="25"/>
      <c r="I394" s="42" t="s">
        <v>252</v>
      </c>
      <c r="J394" s="41">
        <v>44857</v>
      </c>
      <c r="K394" s="25">
        <v>648</v>
      </c>
      <c r="L394" s="25">
        <v>0</v>
      </c>
      <c r="M394" s="42" t="s">
        <v>253</v>
      </c>
      <c r="N394" s="41">
        <v>45244</v>
      </c>
      <c r="O394" s="25">
        <v>466</v>
      </c>
      <c r="P394" s="25">
        <v>0</v>
      </c>
      <c r="Q394" s="25"/>
      <c r="R394" s="25"/>
      <c r="S394" s="25"/>
      <c r="T394" s="10"/>
    </row>
    <row r="395" s="35" customFormat="1" ht="18.5" customHeight="1" spans="1:20">
      <c r="A395" s="16" t="s">
        <v>251</v>
      </c>
      <c r="B395" s="41">
        <v>45275</v>
      </c>
      <c r="C395" s="25">
        <v>1</v>
      </c>
      <c r="D395" s="25"/>
      <c r="E395" s="25"/>
      <c r="F395" s="25"/>
      <c r="G395" s="25"/>
      <c r="H395" s="25"/>
      <c r="I395" s="42" t="s">
        <v>252</v>
      </c>
      <c r="J395" s="41">
        <v>44809</v>
      </c>
      <c r="K395" s="25">
        <v>604</v>
      </c>
      <c r="L395" s="25">
        <v>0</v>
      </c>
      <c r="M395" s="42" t="s">
        <v>253</v>
      </c>
      <c r="N395" s="41">
        <v>45145</v>
      </c>
      <c r="O395" s="25">
        <v>464</v>
      </c>
      <c r="P395" s="25">
        <v>0</v>
      </c>
      <c r="Q395" s="25"/>
      <c r="R395" s="25"/>
      <c r="S395" s="25"/>
      <c r="T395" s="10"/>
    </row>
    <row r="396" s="35" customFormat="1" ht="18.5" customHeight="1" spans="1:20">
      <c r="A396" s="16" t="s">
        <v>251</v>
      </c>
      <c r="B396" s="41">
        <v>44497</v>
      </c>
      <c r="C396" s="25">
        <v>5</v>
      </c>
      <c r="D396" s="25"/>
      <c r="E396" s="25"/>
      <c r="F396" s="25"/>
      <c r="G396" s="25"/>
      <c r="H396" s="25"/>
      <c r="I396" s="42" t="s">
        <v>252</v>
      </c>
      <c r="J396" s="41">
        <v>44902</v>
      </c>
      <c r="K396" s="25">
        <v>558</v>
      </c>
      <c r="L396" s="25">
        <v>0</v>
      </c>
      <c r="M396" s="42" t="s">
        <v>253</v>
      </c>
      <c r="N396" s="41">
        <v>45058</v>
      </c>
      <c r="O396" s="25">
        <v>464</v>
      </c>
      <c r="P396" s="25">
        <v>0</v>
      </c>
      <c r="Q396" s="25"/>
      <c r="R396" s="25"/>
      <c r="S396" s="25"/>
      <c r="T396" s="10"/>
    </row>
    <row r="397" s="35" customFormat="1" ht="18.5" customHeight="1" spans="1:20">
      <c r="A397" s="16" t="s">
        <v>251</v>
      </c>
      <c r="B397" s="41">
        <v>44479</v>
      </c>
      <c r="C397" s="25">
        <v>1</v>
      </c>
      <c r="D397" s="25"/>
      <c r="E397" s="25"/>
      <c r="F397" s="25"/>
      <c r="G397" s="25"/>
      <c r="H397" s="25"/>
      <c r="I397" s="42" t="s">
        <v>252</v>
      </c>
      <c r="J397" s="41">
        <v>44826</v>
      </c>
      <c r="K397" s="25">
        <v>541</v>
      </c>
      <c r="L397" s="25">
        <v>0</v>
      </c>
      <c r="M397" s="42" t="s">
        <v>253</v>
      </c>
      <c r="N397" s="41">
        <v>45254</v>
      </c>
      <c r="O397" s="25">
        <v>463</v>
      </c>
      <c r="P397" s="25">
        <v>0</v>
      </c>
      <c r="Q397" s="25"/>
      <c r="R397" s="25"/>
      <c r="S397" s="25"/>
      <c r="T397" s="10"/>
    </row>
    <row r="398" s="35" customFormat="1" ht="18.5" customHeight="1" spans="1:20">
      <c r="A398" s="16" t="s">
        <v>251</v>
      </c>
      <c r="B398" s="41">
        <v>44401</v>
      </c>
      <c r="C398" s="25">
        <v>2</v>
      </c>
      <c r="D398" s="25"/>
      <c r="E398" s="25"/>
      <c r="F398" s="25"/>
      <c r="G398" s="25"/>
      <c r="H398" s="25"/>
      <c r="I398" s="42" t="s">
        <v>252</v>
      </c>
      <c r="J398" s="41">
        <v>44923</v>
      </c>
      <c r="K398" s="25">
        <v>534</v>
      </c>
      <c r="L398" s="25">
        <v>0</v>
      </c>
      <c r="M398" s="42" t="s">
        <v>253</v>
      </c>
      <c r="N398" s="41">
        <v>45007</v>
      </c>
      <c r="O398" s="25">
        <v>461</v>
      </c>
      <c r="P398" s="25">
        <v>0</v>
      </c>
      <c r="Q398" s="25"/>
      <c r="R398" s="25"/>
      <c r="S398" s="25"/>
      <c r="T398" s="10"/>
    </row>
    <row r="399" s="35" customFormat="1" ht="18.5" customHeight="1" spans="1:20">
      <c r="A399" s="16" t="s">
        <v>251</v>
      </c>
      <c r="B399" s="41">
        <v>44495</v>
      </c>
      <c r="C399" s="25">
        <v>3</v>
      </c>
      <c r="D399" s="25"/>
      <c r="E399" s="25"/>
      <c r="F399" s="25"/>
      <c r="G399" s="25"/>
      <c r="H399" s="25"/>
      <c r="I399" s="42" t="s">
        <v>252</v>
      </c>
      <c r="J399" s="41">
        <v>44841</v>
      </c>
      <c r="K399" s="25">
        <v>530</v>
      </c>
      <c r="L399" s="25">
        <v>0</v>
      </c>
      <c r="M399" s="42" t="s">
        <v>253</v>
      </c>
      <c r="N399" s="41">
        <v>45236</v>
      </c>
      <c r="O399" s="25">
        <v>461</v>
      </c>
      <c r="P399" s="25">
        <v>0</v>
      </c>
      <c r="Q399" s="25"/>
      <c r="R399" s="25"/>
      <c r="S399" s="25"/>
      <c r="T399" s="10"/>
    </row>
    <row r="400" s="35" customFormat="1" ht="18.5" customHeight="1" spans="1:20">
      <c r="A400" s="16" t="s">
        <v>251</v>
      </c>
      <c r="B400" s="41">
        <v>44998</v>
      </c>
      <c r="C400" s="25">
        <v>2</v>
      </c>
      <c r="D400" s="25"/>
      <c r="E400" s="25"/>
      <c r="F400" s="25"/>
      <c r="G400" s="25"/>
      <c r="H400" s="25"/>
      <c r="I400" s="42" t="s">
        <v>252</v>
      </c>
      <c r="J400" s="41">
        <v>44798</v>
      </c>
      <c r="K400" s="25">
        <v>517</v>
      </c>
      <c r="L400" s="25">
        <v>0</v>
      </c>
      <c r="M400" s="42" t="s">
        <v>253</v>
      </c>
      <c r="N400" s="41">
        <v>45239</v>
      </c>
      <c r="O400" s="25">
        <v>458</v>
      </c>
      <c r="P400" s="25">
        <v>0</v>
      </c>
      <c r="Q400" s="25"/>
      <c r="R400" s="25"/>
      <c r="S400" s="25"/>
      <c r="T400" s="10"/>
    </row>
    <row r="401" s="35" customFormat="1" ht="18.5" customHeight="1" spans="1:20">
      <c r="A401" s="16" t="s">
        <v>251</v>
      </c>
      <c r="B401" s="41">
        <v>44341</v>
      </c>
      <c r="C401" s="25">
        <v>2</v>
      </c>
      <c r="D401" s="25"/>
      <c r="E401" s="25"/>
      <c r="F401" s="25"/>
      <c r="G401" s="25"/>
      <c r="H401" s="25"/>
      <c r="I401" s="42" t="s">
        <v>252</v>
      </c>
      <c r="J401" s="41">
        <v>44742</v>
      </c>
      <c r="K401" s="25">
        <v>446</v>
      </c>
      <c r="L401" s="25">
        <v>0</v>
      </c>
      <c r="M401" s="42" t="s">
        <v>253</v>
      </c>
      <c r="N401" s="41">
        <v>45075</v>
      </c>
      <c r="O401" s="25">
        <v>458</v>
      </c>
      <c r="P401" s="25">
        <v>0</v>
      </c>
      <c r="Q401" s="25"/>
      <c r="R401" s="25"/>
      <c r="S401" s="25"/>
      <c r="T401" s="10"/>
    </row>
    <row r="402" s="35" customFormat="1" ht="18.5" customHeight="1" spans="1:20">
      <c r="A402" s="16" t="s">
        <v>251</v>
      </c>
      <c r="B402" s="41">
        <v>45287</v>
      </c>
      <c r="C402" s="25">
        <v>6</v>
      </c>
      <c r="D402" s="25"/>
      <c r="E402" s="25"/>
      <c r="F402" s="25"/>
      <c r="G402" s="25"/>
      <c r="H402" s="25"/>
      <c r="I402" s="42" t="s">
        <v>252</v>
      </c>
      <c r="J402" s="41">
        <v>44607</v>
      </c>
      <c r="K402" s="25">
        <v>438</v>
      </c>
      <c r="L402" s="25">
        <v>0</v>
      </c>
      <c r="M402" s="42" t="s">
        <v>253</v>
      </c>
      <c r="N402" s="41">
        <v>45016</v>
      </c>
      <c r="O402" s="25">
        <v>458</v>
      </c>
      <c r="P402" s="25">
        <v>0</v>
      </c>
      <c r="Q402" s="25"/>
      <c r="R402" s="25"/>
      <c r="S402" s="25"/>
      <c r="T402" s="10"/>
    </row>
    <row r="403" s="35" customFormat="1" ht="18.5" customHeight="1" spans="1:20">
      <c r="A403" s="16" t="s">
        <v>251</v>
      </c>
      <c r="B403" s="41">
        <v>44490</v>
      </c>
      <c r="C403" s="25">
        <v>1</v>
      </c>
      <c r="D403" s="25"/>
      <c r="E403" s="25"/>
      <c r="F403" s="25"/>
      <c r="G403" s="25"/>
      <c r="H403" s="25"/>
      <c r="I403" s="42" t="s">
        <v>252</v>
      </c>
      <c r="J403" s="41">
        <v>44831</v>
      </c>
      <c r="K403" s="25">
        <v>429</v>
      </c>
      <c r="L403" s="25">
        <v>0</v>
      </c>
      <c r="M403" s="42" t="s">
        <v>253</v>
      </c>
      <c r="N403" s="41">
        <v>45242</v>
      </c>
      <c r="O403" s="25">
        <v>454</v>
      </c>
      <c r="P403" s="25">
        <v>0</v>
      </c>
      <c r="Q403" s="25"/>
      <c r="R403" s="25"/>
      <c r="S403" s="25"/>
      <c r="T403" s="10"/>
    </row>
    <row r="404" s="35" customFormat="1" ht="18.5" customHeight="1" spans="1:20">
      <c r="A404" s="16" t="s">
        <v>251</v>
      </c>
      <c r="B404" s="41">
        <v>44419</v>
      </c>
      <c r="C404" s="25">
        <v>2</v>
      </c>
      <c r="D404" s="25"/>
      <c r="E404" s="25"/>
      <c r="F404" s="25"/>
      <c r="G404" s="25"/>
      <c r="H404" s="25"/>
      <c r="I404" s="42" t="s">
        <v>252</v>
      </c>
      <c r="J404" s="41">
        <v>44865</v>
      </c>
      <c r="K404" s="25">
        <v>411</v>
      </c>
      <c r="L404" s="25">
        <v>0</v>
      </c>
      <c r="M404" s="42" t="s">
        <v>253</v>
      </c>
      <c r="N404" s="41">
        <v>45007</v>
      </c>
      <c r="O404" s="25">
        <v>454</v>
      </c>
      <c r="P404" s="25">
        <v>0</v>
      </c>
      <c r="Q404" s="25"/>
      <c r="R404" s="25"/>
      <c r="S404" s="25"/>
      <c r="T404" s="10"/>
    </row>
    <row r="405" s="35" customFormat="1" ht="18.5" customHeight="1" spans="1:20">
      <c r="A405" s="16" t="s">
        <v>251</v>
      </c>
      <c r="B405" s="41">
        <v>44489</v>
      </c>
      <c r="C405" s="25">
        <v>0</v>
      </c>
      <c r="D405" s="25"/>
      <c r="E405" s="25"/>
      <c r="F405" s="25"/>
      <c r="G405" s="25"/>
      <c r="H405" s="25"/>
      <c r="I405" s="42" t="s">
        <v>252</v>
      </c>
      <c r="J405" s="41">
        <v>44912</v>
      </c>
      <c r="K405" s="25">
        <v>386</v>
      </c>
      <c r="L405" s="25">
        <v>0</v>
      </c>
      <c r="M405" s="42" t="s">
        <v>253</v>
      </c>
      <c r="N405" s="41">
        <v>45033</v>
      </c>
      <c r="O405" s="25">
        <v>453</v>
      </c>
      <c r="P405" s="25">
        <v>0</v>
      </c>
      <c r="Q405" s="25"/>
      <c r="R405" s="25"/>
      <c r="S405" s="25"/>
      <c r="T405" s="10"/>
    </row>
    <row r="406" s="35" customFormat="1" ht="18.5" customHeight="1" spans="1:20">
      <c r="A406" s="16" t="s">
        <v>251</v>
      </c>
      <c r="B406" s="41">
        <v>45295</v>
      </c>
      <c r="C406" s="25">
        <v>2</v>
      </c>
      <c r="D406" s="25"/>
      <c r="E406" s="25"/>
      <c r="F406" s="25"/>
      <c r="G406" s="25"/>
      <c r="H406" s="25"/>
      <c r="I406" s="42" t="s">
        <v>252</v>
      </c>
      <c r="J406" s="41">
        <v>44650</v>
      </c>
      <c r="K406" s="25">
        <v>376</v>
      </c>
      <c r="L406" s="25">
        <v>0</v>
      </c>
      <c r="M406" s="42" t="s">
        <v>253</v>
      </c>
      <c r="N406" s="41">
        <v>45274</v>
      </c>
      <c r="O406" s="25">
        <v>453</v>
      </c>
      <c r="P406" s="25">
        <v>0</v>
      </c>
      <c r="Q406" s="25"/>
      <c r="R406" s="25"/>
      <c r="S406" s="25"/>
      <c r="T406" s="10"/>
    </row>
    <row r="407" s="35" customFormat="1" ht="18.5" customHeight="1" spans="1:20">
      <c r="A407" s="16" t="s">
        <v>251</v>
      </c>
      <c r="B407" s="41">
        <v>44461</v>
      </c>
      <c r="C407" s="25">
        <v>2</v>
      </c>
      <c r="D407" s="25"/>
      <c r="E407" s="25"/>
      <c r="F407" s="25"/>
      <c r="G407" s="25"/>
      <c r="H407" s="25"/>
      <c r="I407" s="42" t="s">
        <v>252</v>
      </c>
      <c r="J407" s="41">
        <v>44785</v>
      </c>
      <c r="K407" s="25">
        <v>349</v>
      </c>
      <c r="L407" s="25">
        <v>0</v>
      </c>
      <c r="M407" s="42" t="s">
        <v>253</v>
      </c>
      <c r="N407" s="41">
        <v>45068</v>
      </c>
      <c r="O407" s="25">
        <v>451</v>
      </c>
      <c r="P407" s="25">
        <v>0</v>
      </c>
      <c r="Q407" s="25"/>
      <c r="R407" s="25"/>
      <c r="S407" s="25"/>
      <c r="T407" s="10"/>
    </row>
    <row r="408" s="35" customFormat="1" ht="18.5" customHeight="1" spans="1:20">
      <c r="A408" s="16" t="s">
        <v>251</v>
      </c>
      <c r="B408" s="41">
        <v>44468</v>
      </c>
      <c r="C408" s="25">
        <v>1</v>
      </c>
      <c r="D408" s="25"/>
      <c r="E408" s="25"/>
      <c r="F408" s="25"/>
      <c r="G408" s="25"/>
      <c r="H408" s="25"/>
      <c r="I408" s="42" t="s">
        <v>252</v>
      </c>
      <c r="J408" s="41">
        <v>44774</v>
      </c>
      <c r="K408" s="25">
        <v>346</v>
      </c>
      <c r="L408" s="25">
        <v>0</v>
      </c>
      <c r="M408" s="42" t="s">
        <v>253</v>
      </c>
      <c r="N408" s="41">
        <v>45042</v>
      </c>
      <c r="O408" s="25">
        <v>449</v>
      </c>
      <c r="P408" s="25">
        <v>0</v>
      </c>
      <c r="Q408" s="25"/>
      <c r="R408" s="25"/>
      <c r="S408" s="25"/>
      <c r="T408" s="10"/>
    </row>
    <row r="409" s="35" customFormat="1" ht="18.5" customHeight="1" spans="1:20">
      <c r="A409" s="16" t="s">
        <v>251</v>
      </c>
      <c r="B409" s="41">
        <v>44424</v>
      </c>
      <c r="C409" s="25">
        <v>0</v>
      </c>
      <c r="D409" s="25"/>
      <c r="E409" s="25"/>
      <c r="F409" s="25"/>
      <c r="G409" s="25"/>
      <c r="H409" s="25"/>
      <c r="I409" s="42" t="s">
        <v>252</v>
      </c>
      <c r="J409" s="41">
        <v>44917</v>
      </c>
      <c r="K409" s="25">
        <v>345</v>
      </c>
      <c r="L409" s="25">
        <v>0</v>
      </c>
      <c r="M409" s="42" t="s">
        <v>253</v>
      </c>
      <c r="N409" s="41">
        <v>44995</v>
      </c>
      <c r="O409" s="25">
        <v>450</v>
      </c>
      <c r="P409" s="25">
        <v>0</v>
      </c>
      <c r="Q409" s="25"/>
      <c r="R409" s="25"/>
      <c r="S409" s="25"/>
      <c r="T409" s="10"/>
    </row>
    <row r="410" s="35" customFormat="1" ht="18.5" customHeight="1" spans="1:20">
      <c r="A410" s="16" t="s">
        <v>251</v>
      </c>
      <c r="B410" s="41">
        <v>44418</v>
      </c>
      <c r="C410" s="25">
        <v>2</v>
      </c>
      <c r="D410" s="25"/>
      <c r="E410" s="25"/>
      <c r="F410" s="25"/>
      <c r="G410" s="25"/>
      <c r="H410" s="25"/>
      <c r="I410" s="42" t="s">
        <v>252</v>
      </c>
      <c r="J410" s="41">
        <v>44649</v>
      </c>
      <c r="K410" s="25">
        <v>339</v>
      </c>
      <c r="L410" s="25">
        <v>0</v>
      </c>
      <c r="M410" s="42" t="s">
        <v>253</v>
      </c>
      <c r="N410" s="41">
        <v>44935</v>
      </c>
      <c r="O410" s="25">
        <v>449</v>
      </c>
      <c r="P410" s="25">
        <v>0</v>
      </c>
      <c r="Q410" s="25"/>
      <c r="R410" s="25"/>
      <c r="S410" s="25"/>
      <c r="T410" s="10"/>
    </row>
    <row r="411" s="35" customFormat="1" ht="18.5" customHeight="1" spans="1:20">
      <c r="A411" s="16" t="s">
        <v>251</v>
      </c>
      <c r="B411" s="41">
        <v>44974</v>
      </c>
      <c r="C411" s="25">
        <v>4</v>
      </c>
      <c r="D411" s="25"/>
      <c r="E411" s="25"/>
      <c r="F411" s="25"/>
      <c r="G411" s="25"/>
      <c r="H411" s="25"/>
      <c r="I411" s="42" t="s">
        <v>252</v>
      </c>
      <c r="J411" s="41">
        <v>44810</v>
      </c>
      <c r="K411" s="25">
        <v>321</v>
      </c>
      <c r="L411" s="25">
        <v>0</v>
      </c>
      <c r="M411" s="42" t="s">
        <v>253</v>
      </c>
      <c r="N411" s="41">
        <v>45055</v>
      </c>
      <c r="O411" s="25">
        <v>447</v>
      </c>
      <c r="P411" s="25">
        <v>0</v>
      </c>
      <c r="Q411" s="25"/>
      <c r="R411" s="25"/>
      <c r="S411" s="25"/>
      <c r="T411" s="10"/>
    </row>
    <row r="412" s="35" customFormat="1" ht="18.5" customHeight="1" spans="1:20">
      <c r="A412" s="16" t="s">
        <v>251</v>
      </c>
      <c r="B412" s="41">
        <v>44396</v>
      </c>
      <c r="C412" s="25">
        <v>2</v>
      </c>
      <c r="D412" s="25"/>
      <c r="E412" s="25"/>
      <c r="F412" s="25"/>
      <c r="G412" s="25"/>
      <c r="H412" s="25"/>
      <c r="I412" s="42" t="s">
        <v>252</v>
      </c>
      <c r="J412" s="41">
        <v>44712</v>
      </c>
      <c r="K412" s="25">
        <v>314</v>
      </c>
      <c r="L412" s="25">
        <v>0</v>
      </c>
      <c r="M412" s="42" t="s">
        <v>253</v>
      </c>
      <c r="N412" s="41">
        <v>44986</v>
      </c>
      <c r="O412" s="25">
        <v>444</v>
      </c>
      <c r="P412" s="25">
        <v>0</v>
      </c>
      <c r="Q412" s="25"/>
      <c r="R412" s="25"/>
      <c r="S412" s="25"/>
      <c r="T412" s="10"/>
    </row>
    <row r="413" s="35" customFormat="1" ht="18.5" customHeight="1" spans="1:20">
      <c r="A413" s="16" t="s">
        <v>251</v>
      </c>
      <c r="B413" s="41">
        <v>45278</v>
      </c>
      <c r="C413" s="25">
        <v>7</v>
      </c>
      <c r="D413" s="25"/>
      <c r="E413" s="25"/>
      <c r="F413" s="25"/>
      <c r="G413" s="25"/>
      <c r="H413" s="25"/>
      <c r="I413" s="42" t="s">
        <v>252</v>
      </c>
      <c r="J413" s="41">
        <v>44834</v>
      </c>
      <c r="K413" s="25">
        <v>310</v>
      </c>
      <c r="L413" s="25">
        <v>0</v>
      </c>
      <c r="M413" s="42" t="s">
        <v>253</v>
      </c>
      <c r="N413" s="41">
        <v>44942</v>
      </c>
      <c r="O413" s="25">
        <v>439</v>
      </c>
      <c r="P413" s="25">
        <v>0</v>
      </c>
      <c r="Q413" s="25"/>
      <c r="R413" s="25"/>
      <c r="S413" s="25"/>
      <c r="T413" s="10"/>
    </row>
    <row r="414" s="35" customFormat="1" ht="18.5" customHeight="1" spans="1:20">
      <c r="A414" s="16" t="s">
        <v>251</v>
      </c>
      <c r="B414" s="41">
        <v>44476</v>
      </c>
      <c r="C414" s="25">
        <v>4</v>
      </c>
      <c r="D414" s="25"/>
      <c r="E414" s="25"/>
      <c r="F414" s="25"/>
      <c r="G414" s="25"/>
      <c r="H414" s="25"/>
      <c r="I414" s="42" t="s">
        <v>252</v>
      </c>
      <c r="J414" s="41">
        <v>44861</v>
      </c>
      <c r="K414" s="25">
        <v>306</v>
      </c>
      <c r="L414" s="25">
        <v>0</v>
      </c>
      <c r="M414" s="42" t="s">
        <v>253</v>
      </c>
      <c r="N414" s="41">
        <v>45240</v>
      </c>
      <c r="O414" s="25">
        <v>439</v>
      </c>
      <c r="P414" s="25">
        <v>0</v>
      </c>
      <c r="Q414" s="25"/>
      <c r="R414" s="25"/>
      <c r="S414" s="25"/>
      <c r="T414" s="10"/>
    </row>
    <row r="415" s="35" customFormat="1" ht="18.5" customHeight="1" spans="1:20">
      <c r="A415" s="16" t="s">
        <v>251</v>
      </c>
      <c r="B415" s="41">
        <v>44426</v>
      </c>
      <c r="C415" s="25">
        <v>3</v>
      </c>
      <c r="D415" s="25"/>
      <c r="E415" s="25"/>
      <c r="F415" s="25"/>
      <c r="G415" s="25"/>
      <c r="H415" s="25"/>
      <c r="I415" s="42" t="s">
        <v>252</v>
      </c>
      <c r="J415" s="41">
        <v>44787</v>
      </c>
      <c r="K415" s="25">
        <v>305</v>
      </c>
      <c r="L415" s="25">
        <v>0</v>
      </c>
      <c r="M415" s="42" t="s">
        <v>253</v>
      </c>
      <c r="N415" s="41">
        <v>45236</v>
      </c>
      <c r="O415" s="25">
        <v>436</v>
      </c>
      <c r="P415" s="25">
        <v>0</v>
      </c>
      <c r="Q415" s="25"/>
      <c r="R415" s="25"/>
      <c r="S415" s="25"/>
      <c r="T415" s="10"/>
    </row>
    <row r="416" s="35" customFormat="1" ht="18.5" customHeight="1" spans="1:20">
      <c r="A416" s="16" t="s">
        <v>251</v>
      </c>
      <c r="B416" s="41">
        <v>44489</v>
      </c>
      <c r="C416" s="25">
        <v>7</v>
      </c>
      <c r="D416" s="25"/>
      <c r="E416" s="25"/>
      <c r="F416" s="25"/>
      <c r="G416" s="25"/>
      <c r="H416" s="25"/>
      <c r="I416" s="42" t="s">
        <v>252</v>
      </c>
      <c r="J416" s="41">
        <v>44837</v>
      </c>
      <c r="K416" s="25">
        <v>302</v>
      </c>
      <c r="L416" s="25">
        <v>0</v>
      </c>
      <c r="M416" s="42" t="s">
        <v>253</v>
      </c>
      <c r="N416" s="41">
        <v>45040</v>
      </c>
      <c r="O416" s="25">
        <v>436</v>
      </c>
      <c r="P416" s="25">
        <v>0</v>
      </c>
      <c r="Q416" s="25"/>
      <c r="R416" s="25"/>
      <c r="S416" s="25"/>
      <c r="T416" s="10"/>
    </row>
    <row r="417" s="35" customFormat="1" ht="18.5" customHeight="1" spans="1:20">
      <c r="A417" s="16" t="s">
        <v>251</v>
      </c>
      <c r="B417" s="41">
        <v>45294</v>
      </c>
      <c r="C417" s="25">
        <v>7</v>
      </c>
      <c r="D417" s="25"/>
      <c r="E417" s="25"/>
      <c r="F417" s="25"/>
      <c r="G417" s="25"/>
      <c r="H417" s="25"/>
      <c r="I417" s="42" t="s">
        <v>252</v>
      </c>
      <c r="J417" s="41">
        <v>44588</v>
      </c>
      <c r="K417" s="25">
        <v>293</v>
      </c>
      <c r="L417" s="25">
        <v>0</v>
      </c>
      <c r="M417" s="42" t="s">
        <v>253</v>
      </c>
      <c r="N417" s="41">
        <v>45014</v>
      </c>
      <c r="O417" s="25">
        <v>431</v>
      </c>
      <c r="P417" s="25">
        <v>0</v>
      </c>
      <c r="Q417" s="25"/>
      <c r="R417" s="25"/>
      <c r="S417" s="25"/>
      <c r="T417" s="10"/>
    </row>
    <row r="418" s="35" customFormat="1" ht="18.5" customHeight="1" spans="1:20">
      <c r="A418" s="16" t="s">
        <v>251</v>
      </c>
      <c r="B418" s="41">
        <v>44835</v>
      </c>
      <c r="C418" s="25">
        <v>3</v>
      </c>
      <c r="D418" s="25"/>
      <c r="E418" s="25"/>
      <c r="F418" s="25"/>
      <c r="G418" s="25"/>
      <c r="H418" s="25"/>
      <c r="I418" s="42" t="s">
        <v>252</v>
      </c>
      <c r="J418" s="41">
        <v>44702</v>
      </c>
      <c r="K418" s="25">
        <v>288</v>
      </c>
      <c r="L418" s="25">
        <v>0</v>
      </c>
      <c r="M418" s="42" t="s">
        <v>253</v>
      </c>
      <c r="N418" s="41">
        <v>45036</v>
      </c>
      <c r="O418" s="25">
        <v>428</v>
      </c>
      <c r="P418" s="25">
        <v>0</v>
      </c>
      <c r="Q418" s="25"/>
      <c r="R418" s="25"/>
      <c r="S418" s="25"/>
      <c r="T418" s="10"/>
    </row>
    <row r="419" s="35" customFormat="1" ht="18.5" customHeight="1" spans="1:20">
      <c r="A419" s="16" t="s">
        <v>251</v>
      </c>
      <c r="B419" s="41">
        <v>44513</v>
      </c>
      <c r="C419" s="25">
        <v>8</v>
      </c>
      <c r="D419" s="25"/>
      <c r="E419" s="25"/>
      <c r="F419" s="25"/>
      <c r="G419" s="25"/>
      <c r="H419" s="25"/>
      <c r="I419" s="42" t="s">
        <v>252</v>
      </c>
      <c r="J419" s="41">
        <v>44768</v>
      </c>
      <c r="K419" s="25">
        <v>286</v>
      </c>
      <c r="L419" s="25">
        <v>0</v>
      </c>
      <c r="M419" s="42" t="s">
        <v>253</v>
      </c>
      <c r="N419" s="41">
        <v>45014</v>
      </c>
      <c r="O419" s="25">
        <v>426</v>
      </c>
      <c r="P419" s="25">
        <v>0</v>
      </c>
      <c r="Q419" s="25"/>
      <c r="R419" s="25"/>
      <c r="S419" s="25"/>
      <c r="T419" s="10"/>
    </row>
    <row r="420" s="35" customFormat="1" ht="18.5" customHeight="1" spans="1:20">
      <c r="A420" s="16" t="s">
        <v>251</v>
      </c>
      <c r="B420" s="41">
        <v>44441</v>
      </c>
      <c r="C420" s="25">
        <v>0</v>
      </c>
      <c r="D420" s="25"/>
      <c r="E420" s="25"/>
      <c r="F420" s="25"/>
      <c r="G420" s="25"/>
      <c r="H420" s="25"/>
      <c r="I420" s="42" t="s">
        <v>252</v>
      </c>
      <c r="J420" s="41">
        <v>44722</v>
      </c>
      <c r="K420" s="25">
        <v>266</v>
      </c>
      <c r="L420" s="25">
        <v>0</v>
      </c>
      <c r="M420" s="42" t="s">
        <v>253</v>
      </c>
      <c r="N420" s="41">
        <v>44995</v>
      </c>
      <c r="O420" s="25">
        <v>425</v>
      </c>
      <c r="P420" s="25">
        <v>0</v>
      </c>
      <c r="Q420" s="25"/>
      <c r="R420" s="25"/>
      <c r="S420" s="25"/>
      <c r="T420" s="10"/>
    </row>
    <row r="421" s="35" customFormat="1" ht="18.5" customHeight="1" spans="1:20">
      <c r="A421" s="16" t="s">
        <v>251</v>
      </c>
      <c r="B421" s="41">
        <v>45293</v>
      </c>
      <c r="C421" s="25">
        <v>4</v>
      </c>
      <c r="D421" s="25"/>
      <c r="E421" s="25"/>
      <c r="F421" s="25"/>
      <c r="G421" s="25"/>
      <c r="H421" s="25"/>
      <c r="I421" s="42" t="s">
        <v>252</v>
      </c>
      <c r="J421" s="41">
        <v>44861</v>
      </c>
      <c r="K421" s="25">
        <v>264</v>
      </c>
      <c r="L421" s="25">
        <v>0</v>
      </c>
      <c r="M421" s="42" t="s">
        <v>253</v>
      </c>
      <c r="N421" s="41">
        <v>45001</v>
      </c>
      <c r="O421" s="25">
        <v>423</v>
      </c>
      <c r="P421" s="25">
        <v>0</v>
      </c>
      <c r="Q421" s="25"/>
      <c r="R421" s="25"/>
      <c r="S421" s="25"/>
      <c r="T421" s="10"/>
    </row>
    <row r="422" s="35" customFormat="1" ht="18.5" customHeight="1" spans="1:20">
      <c r="A422" s="16" t="s">
        <v>251</v>
      </c>
      <c r="B422" s="41">
        <v>44407</v>
      </c>
      <c r="C422" s="25">
        <v>2</v>
      </c>
      <c r="D422" s="25"/>
      <c r="E422" s="25"/>
      <c r="F422" s="25"/>
      <c r="G422" s="25"/>
      <c r="H422" s="25"/>
      <c r="I422" s="42" t="s">
        <v>252</v>
      </c>
      <c r="J422" s="41">
        <v>44771</v>
      </c>
      <c r="K422" s="25">
        <v>254</v>
      </c>
      <c r="L422" s="25">
        <v>0</v>
      </c>
      <c r="M422" s="42" t="s">
        <v>253</v>
      </c>
      <c r="N422" s="41">
        <v>45021</v>
      </c>
      <c r="O422" s="25">
        <v>423</v>
      </c>
      <c r="P422" s="25">
        <v>0</v>
      </c>
      <c r="Q422" s="25"/>
      <c r="R422" s="25"/>
      <c r="S422" s="25"/>
      <c r="T422" s="10"/>
    </row>
    <row r="423" s="35" customFormat="1" ht="18.5" customHeight="1" spans="1:20">
      <c r="A423" s="16" t="s">
        <v>251</v>
      </c>
      <c r="B423" s="41">
        <v>44447</v>
      </c>
      <c r="C423" s="25">
        <v>1</v>
      </c>
      <c r="D423" s="25"/>
      <c r="E423" s="25"/>
      <c r="F423" s="25"/>
      <c r="G423" s="25"/>
      <c r="H423" s="25"/>
      <c r="I423" s="42" t="s">
        <v>252</v>
      </c>
      <c r="J423" s="41">
        <v>44665</v>
      </c>
      <c r="K423" s="25">
        <v>247</v>
      </c>
      <c r="L423" s="25">
        <v>0</v>
      </c>
      <c r="M423" s="42" t="s">
        <v>253</v>
      </c>
      <c r="N423" s="41">
        <v>44963</v>
      </c>
      <c r="O423" s="25">
        <v>421</v>
      </c>
      <c r="P423" s="25">
        <v>0</v>
      </c>
      <c r="Q423" s="25"/>
      <c r="R423" s="25"/>
      <c r="S423" s="25"/>
      <c r="T423" s="10"/>
    </row>
    <row r="424" s="35" customFormat="1" ht="18.5" customHeight="1" spans="1:20">
      <c r="A424" s="16" t="s">
        <v>251</v>
      </c>
      <c r="B424" s="41">
        <v>44358</v>
      </c>
      <c r="C424" s="25">
        <v>4</v>
      </c>
      <c r="D424" s="25"/>
      <c r="E424" s="25"/>
      <c r="F424" s="25"/>
      <c r="G424" s="25"/>
      <c r="H424" s="25"/>
      <c r="I424" s="42" t="s">
        <v>252</v>
      </c>
      <c r="J424" s="41">
        <v>44746</v>
      </c>
      <c r="K424" s="25">
        <v>242</v>
      </c>
      <c r="L424" s="25">
        <v>0</v>
      </c>
      <c r="M424" s="42" t="s">
        <v>253</v>
      </c>
      <c r="N424" s="41">
        <v>45027</v>
      </c>
      <c r="O424" s="25">
        <v>418</v>
      </c>
      <c r="P424" s="25">
        <v>0</v>
      </c>
      <c r="Q424" s="25"/>
      <c r="R424" s="25"/>
      <c r="S424" s="25"/>
      <c r="T424" s="10"/>
    </row>
    <row r="425" s="35" customFormat="1" ht="18.5" customHeight="1" spans="1:20">
      <c r="A425" s="16" t="s">
        <v>251</v>
      </c>
      <c r="B425" s="41">
        <v>44517</v>
      </c>
      <c r="C425" s="25">
        <v>1</v>
      </c>
      <c r="D425" s="25"/>
      <c r="E425" s="25"/>
      <c r="F425" s="25"/>
      <c r="G425" s="25"/>
      <c r="H425" s="25"/>
      <c r="I425" s="42" t="s">
        <v>252</v>
      </c>
      <c r="J425" s="41">
        <v>44734</v>
      </c>
      <c r="K425" s="25">
        <v>231</v>
      </c>
      <c r="L425" s="25">
        <v>0</v>
      </c>
      <c r="M425" s="42" t="s">
        <v>253</v>
      </c>
      <c r="N425" s="41">
        <v>45238</v>
      </c>
      <c r="O425" s="25">
        <v>418</v>
      </c>
      <c r="P425" s="25">
        <v>0</v>
      </c>
      <c r="Q425" s="25"/>
      <c r="R425" s="25"/>
      <c r="S425" s="25"/>
      <c r="T425" s="10"/>
    </row>
    <row r="426" s="35" customFormat="1" ht="18.5" customHeight="1" spans="1:20">
      <c r="A426" s="16" t="s">
        <v>251</v>
      </c>
      <c r="B426" s="41">
        <v>45278</v>
      </c>
      <c r="C426" s="25">
        <v>2</v>
      </c>
      <c r="D426" s="25"/>
      <c r="E426" s="25"/>
      <c r="F426" s="25"/>
      <c r="G426" s="25"/>
      <c r="H426" s="25"/>
      <c r="I426" s="42" t="s">
        <v>252</v>
      </c>
      <c r="J426" s="41">
        <v>44925</v>
      </c>
      <c r="K426" s="25">
        <v>222</v>
      </c>
      <c r="L426" s="25">
        <v>0</v>
      </c>
      <c r="M426" s="42" t="s">
        <v>253</v>
      </c>
      <c r="N426" s="41">
        <v>45151</v>
      </c>
      <c r="O426" s="25">
        <v>418</v>
      </c>
      <c r="P426" s="25">
        <v>0</v>
      </c>
      <c r="Q426" s="25"/>
      <c r="R426" s="25"/>
      <c r="S426" s="25"/>
      <c r="T426" s="10"/>
    </row>
    <row r="427" s="35" customFormat="1" ht="18.5" customHeight="1" spans="1:20">
      <c r="A427" s="16" t="s">
        <v>251</v>
      </c>
      <c r="B427" s="41">
        <v>44442</v>
      </c>
      <c r="C427" s="25">
        <v>2</v>
      </c>
      <c r="D427" s="25"/>
      <c r="E427" s="25"/>
      <c r="F427" s="25"/>
      <c r="G427" s="25"/>
      <c r="H427" s="25"/>
      <c r="I427" s="42" t="s">
        <v>252</v>
      </c>
      <c r="J427" s="41">
        <v>44572</v>
      </c>
      <c r="K427" s="25">
        <v>220</v>
      </c>
      <c r="L427" s="25">
        <v>0</v>
      </c>
      <c r="M427" s="42" t="s">
        <v>253</v>
      </c>
      <c r="N427" s="41">
        <v>44965</v>
      </c>
      <c r="O427" s="25">
        <v>414</v>
      </c>
      <c r="P427" s="25">
        <v>0</v>
      </c>
      <c r="Q427" s="25"/>
      <c r="R427" s="25"/>
      <c r="S427" s="25"/>
      <c r="T427" s="10"/>
    </row>
    <row r="428" s="35" customFormat="1" ht="18.5" customHeight="1" spans="1:20">
      <c r="A428" s="16" t="s">
        <v>251</v>
      </c>
      <c r="B428" s="41">
        <v>45287</v>
      </c>
      <c r="C428" s="25">
        <v>3</v>
      </c>
      <c r="D428" s="25"/>
      <c r="E428" s="25"/>
      <c r="F428" s="25"/>
      <c r="G428" s="25"/>
      <c r="H428" s="25"/>
      <c r="I428" s="42" t="s">
        <v>252</v>
      </c>
      <c r="J428" s="41">
        <v>44839</v>
      </c>
      <c r="K428" s="25">
        <v>215</v>
      </c>
      <c r="L428" s="25">
        <v>0</v>
      </c>
      <c r="M428" s="42" t="s">
        <v>253</v>
      </c>
      <c r="N428" s="41">
        <v>45253</v>
      </c>
      <c r="O428" s="25">
        <v>415</v>
      </c>
      <c r="P428" s="25">
        <v>0</v>
      </c>
      <c r="Q428" s="25"/>
      <c r="R428" s="25"/>
      <c r="S428" s="25"/>
      <c r="T428" s="10"/>
    </row>
    <row r="429" s="35" customFormat="1" ht="18.5" customHeight="1" spans="1:20">
      <c r="A429" s="16" t="s">
        <v>251</v>
      </c>
      <c r="B429" s="41">
        <v>44512</v>
      </c>
      <c r="C429" s="25">
        <v>1</v>
      </c>
      <c r="D429" s="25"/>
      <c r="E429" s="25"/>
      <c r="F429" s="25"/>
      <c r="G429" s="25"/>
      <c r="H429" s="25"/>
      <c r="I429" s="42" t="s">
        <v>252</v>
      </c>
      <c r="J429" s="41">
        <v>44900</v>
      </c>
      <c r="K429" s="25">
        <v>208</v>
      </c>
      <c r="L429" s="25">
        <v>0</v>
      </c>
      <c r="M429" s="42" t="s">
        <v>253</v>
      </c>
      <c r="N429" s="41">
        <v>45258</v>
      </c>
      <c r="O429" s="25">
        <v>410</v>
      </c>
      <c r="P429" s="25">
        <v>0</v>
      </c>
      <c r="Q429" s="25"/>
      <c r="R429" s="25"/>
      <c r="S429" s="25"/>
      <c r="T429" s="10"/>
    </row>
    <row r="430" s="35" customFormat="1" ht="18.5" customHeight="1" spans="1:20">
      <c r="A430" s="16" t="s">
        <v>251</v>
      </c>
      <c r="B430" s="41">
        <v>44518</v>
      </c>
      <c r="C430" s="25">
        <v>2</v>
      </c>
      <c r="D430" s="25"/>
      <c r="E430" s="25"/>
      <c r="F430" s="25"/>
      <c r="G430" s="25"/>
      <c r="H430" s="25"/>
      <c r="I430" s="42" t="s">
        <v>252</v>
      </c>
      <c r="J430" s="41">
        <v>44815</v>
      </c>
      <c r="K430" s="25">
        <v>208</v>
      </c>
      <c r="L430" s="25">
        <v>0</v>
      </c>
      <c r="M430" s="42" t="s">
        <v>253</v>
      </c>
      <c r="N430" s="41">
        <v>45051</v>
      </c>
      <c r="O430" s="25">
        <v>407</v>
      </c>
      <c r="P430" s="25">
        <v>0</v>
      </c>
      <c r="Q430" s="25"/>
      <c r="R430" s="25"/>
      <c r="S430" s="25"/>
      <c r="T430" s="10"/>
    </row>
    <row r="431" s="35" customFormat="1" ht="18.5" customHeight="1" spans="1:20">
      <c r="A431" s="16" t="s">
        <v>251</v>
      </c>
      <c r="B431" s="41">
        <v>44436</v>
      </c>
      <c r="C431" s="25">
        <v>2</v>
      </c>
      <c r="D431" s="25"/>
      <c r="E431" s="25"/>
      <c r="F431" s="25"/>
      <c r="G431" s="25"/>
      <c r="H431" s="25"/>
      <c r="I431" s="42" t="s">
        <v>252</v>
      </c>
      <c r="J431" s="41">
        <v>44847</v>
      </c>
      <c r="K431" s="25">
        <v>196</v>
      </c>
      <c r="L431" s="25">
        <v>0</v>
      </c>
      <c r="M431" s="42" t="s">
        <v>253</v>
      </c>
      <c r="N431" s="41">
        <v>45256</v>
      </c>
      <c r="O431" s="25">
        <v>128</v>
      </c>
      <c r="P431" s="25">
        <v>0</v>
      </c>
      <c r="Q431" s="25"/>
      <c r="R431" s="25"/>
      <c r="S431" s="25"/>
      <c r="T431" s="10"/>
    </row>
    <row r="432" s="35" customFormat="1" ht="18.5" customHeight="1" spans="1:20">
      <c r="A432" s="16" t="s">
        <v>251</v>
      </c>
      <c r="B432" s="41">
        <v>45068</v>
      </c>
      <c r="C432" s="25">
        <v>2</v>
      </c>
      <c r="D432" s="25"/>
      <c r="E432" s="25"/>
      <c r="F432" s="25"/>
      <c r="G432" s="25"/>
      <c r="H432" s="25"/>
      <c r="I432" s="25"/>
      <c r="J432" s="25"/>
      <c r="K432" s="25"/>
      <c r="L432" s="25"/>
      <c r="M432" s="42" t="s">
        <v>253</v>
      </c>
      <c r="N432" s="41">
        <v>45259</v>
      </c>
      <c r="O432" s="25">
        <v>404</v>
      </c>
      <c r="P432" s="25">
        <v>0</v>
      </c>
      <c r="Q432" s="25"/>
      <c r="R432" s="25"/>
      <c r="S432" s="25"/>
      <c r="T432" s="10"/>
    </row>
    <row r="433" s="35" customFormat="1" ht="18.5" customHeight="1" spans="1:20">
      <c r="A433" s="16" t="s">
        <v>251</v>
      </c>
      <c r="B433" s="41">
        <v>44480</v>
      </c>
      <c r="C433" s="25">
        <v>4</v>
      </c>
      <c r="D433" s="25"/>
      <c r="E433" s="25"/>
      <c r="F433" s="25"/>
      <c r="G433" s="25"/>
      <c r="H433" s="25"/>
      <c r="I433" s="25"/>
      <c r="J433" s="25"/>
      <c r="K433" s="25"/>
      <c r="L433" s="25"/>
      <c r="M433" s="42" t="s">
        <v>253</v>
      </c>
      <c r="N433" s="41">
        <v>45051</v>
      </c>
      <c r="O433" s="25">
        <v>401</v>
      </c>
      <c r="P433" s="25">
        <v>0</v>
      </c>
      <c r="Q433" s="25"/>
      <c r="R433" s="25"/>
      <c r="S433" s="25"/>
      <c r="T433" s="10"/>
    </row>
    <row r="434" s="35" customFormat="1" ht="18.5" customHeight="1" spans="1:20">
      <c r="A434" s="16" t="s">
        <v>251</v>
      </c>
      <c r="B434" s="41">
        <v>45279</v>
      </c>
      <c r="C434" s="25">
        <v>1</v>
      </c>
      <c r="D434" s="25"/>
      <c r="E434" s="25"/>
      <c r="F434" s="25"/>
      <c r="G434" s="25"/>
      <c r="H434" s="25"/>
      <c r="I434" s="25"/>
      <c r="J434" s="25"/>
      <c r="K434" s="25"/>
      <c r="L434" s="25"/>
      <c r="M434" s="42" t="s">
        <v>253</v>
      </c>
      <c r="N434" s="41">
        <v>45259</v>
      </c>
      <c r="O434" s="25">
        <v>400</v>
      </c>
      <c r="P434" s="25">
        <v>0</v>
      </c>
      <c r="Q434" s="25"/>
      <c r="R434" s="25"/>
      <c r="S434" s="25"/>
      <c r="T434" s="10"/>
    </row>
    <row r="435" s="35" customFormat="1" ht="18.5" customHeight="1" spans="1:20">
      <c r="A435" s="16" t="s">
        <v>251</v>
      </c>
      <c r="B435" s="41">
        <v>44330</v>
      </c>
      <c r="C435" s="25">
        <v>1</v>
      </c>
      <c r="D435" s="25"/>
      <c r="E435" s="25"/>
      <c r="F435" s="25"/>
      <c r="G435" s="25"/>
      <c r="H435" s="25"/>
      <c r="I435" s="25"/>
      <c r="J435" s="25"/>
      <c r="K435" s="25"/>
      <c r="L435" s="25"/>
      <c r="M435" s="42" t="s">
        <v>253</v>
      </c>
      <c r="N435" s="41">
        <v>45026</v>
      </c>
      <c r="O435" s="25">
        <v>400</v>
      </c>
      <c r="P435" s="25">
        <v>0</v>
      </c>
      <c r="Q435" s="25"/>
      <c r="R435" s="25"/>
      <c r="S435" s="25"/>
      <c r="T435" s="10"/>
    </row>
    <row r="436" s="35" customFormat="1" ht="18.5" customHeight="1" spans="1:20">
      <c r="A436" s="16" t="s">
        <v>251</v>
      </c>
      <c r="B436" s="41">
        <v>44360</v>
      </c>
      <c r="C436" s="25">
        <v>1</v>
      </c>
      <c r="D436" s="25"/>
      <c r="E436" s="25"/>
      <c r="F436" s="25"/>
      <c r="G436" s="25"/>
      <c r="H436" s="25"/>
      <c r="I436" s="25"/>
      <c r="J436" s="25"/>
      <c r="K436" s="25"/>
      <c r="L436" s="25"/>
      <c r="M436" s="42" t="s">
        <v>253</v>
      </c>
      <c r="N436" s="41">
        <v>44969</v>
      </c>
      <c r="O436" s="25">
        <v>398</v>
      </c>
      <c r="P436" s="25">
        <v>0</v>
      </c>
      <c r="Q436" s="25"/>
      <c r="R436" s="25"/>
      <c r="S436" s="25"/>
      <c r="T436" s="10"/>
    </row>
    <row r="437" s="35" customFormat="1" ht="18.5" customHeight="1" spans="1:20">
      <c r="A437" s="16" t="s">
        <v>251</v>
      </c>
      <c r="B437" s="41">
        <v>45285</v>
      </c>
      <c r="C437" s="25">
        <v>7</v>
      </c>
      <c r="D437" s="25"/>
      <c r="E437" s="25"/>
      <c r="F437" s="25"/>
      <c r="G437" s="25"/>
      <c r="H437" s="25"/>
      <c r="I437" s="25"/>
      <c r="J437" s="25"/>
      <c r="K437" s="25"/>
      <c r="L437" s="25"/>
      <c r="M437" s="42" t="s">
        <v>253</v>
      </c>
      <c r="N437" s="41">
        <v>45246</v>
      </c>
      <c r="O437" s="25">
        <v>396</v>
      </c>
      <c r="P437" s="25">
        <v>0</v>
      </c>
      <c r="Q437" s="25"/>
      <c r="R437" s="25"/>
      <c r="S437" s="25"/>
      <c r="T437" s="10"/>
    </row>
    <row r="438" s="35" customFormat="1" ht="18.5" customHeight="1" spans="1:20">
      <c r="A438" s="16" t="s">
        <v>251</v>
      </c>
      <c r="B438" s="41">
        <v>44371</v>
      </c>
      <c r="C438" s="25">
        <v>3</v>
      </c>
      <c r="D438" s="25"/>
      <c r="E438" s="25"/>
      <c r="F438" s="25"/>
      <c r="G438" s="25"/>
      <c r="H438" s="25"/>
      <c r="I438" s="25"/>
      <c r="J438" s="25"/>
      <c r="K438" s="25"/>
      <c r="L438" s="25"/>
      <c r="M438" s="42" t="s">
        <v>253</v>
      </c>
      <c r="N438" s="41">
        <v>45077</v>
      </c>
      <c r="O438" s="25">
        <v>396</v>
      </c>
      <c r="P438" s="25">
        <v>0</v>
      </c>
      <c r="Q438" s="25"/>
      <c r="R438" s="25"/>
      <c r="S438" s="25"/>
      <c r="T438" s="10"/>
    </row>
    <row r="439" s="35" customFormat="1" ht="18.5" customHeight="1" spans="1:20">
      <c r="A439" s="16" t="s">
        <v>251</v>
      </c>
      <c r="B439" s="41">
        <v>44444</v>
      </c>
      <c r="C439" s="25">
        <v>5</v>
      </c>
      <c r="D439" s="25"/>
      <c r="E439" s="25"/>
      <c r="F439" s="25"/>
      <c r="G439" s="25"/>
      <c r="H439" s="25"/>
      <c r="I439" s="25"/>
      <c r="J439" s="25"/>
      <c r="K439" s="25"/>
      <c r="L439" s="25"/>
      <c r="M439" s="42" t="s">
        <v>253</v>
      </c>
      <c r="N439" s="41">
        <v>45008</v>
      </c>
      <c r="O439" s="25">
        <v>395</v>
      </c>
      <c r="P439" s="25">
        <v>0</v>
      </c>
      <c r="Q439" s="25"/>
      <c r="R439" s="25"/>
      <c r="S439" s="25"/>
      <c r="T439" s="10"/>
    </row>
    <row r="440" s="35" customFormat="1" ht="18.5" customHeight="1" spans="1:20">
      <c r="A440" s="16" t="s">
        <v>251</v>
      </c>
      <c r="B440" s="41">
        <v>44525</v>
      </c>
      <c r="C440" s="25">
        <v>1</v>
      </c>
      <c r="D440" s="25"/>
      <c r="E440" s="25"/>
      <c r="F440" s="25"/>
      <c r="G440" s="25"/>
      <c r="H440" s="25"/>
      <c r="I440" s="25"/>
      <c r="J440" s="25"/>
      <c r="K440" s="25"/>
      <c r="L440" s="25"/>
      <c r="M440" s="42" t="s">
        <v>253</v>
      </c>
      <c r="N440" s="41">
        <v>45088</v>
      </c>
      <c r="O440" s="25">
        <v>394</v>
      </c>
      <c r="P440" s="25">
        <v>0</v>
      </c>
      <c r="Q440" s="25"/>
      <c r="R440" s="25"/>
      <c r="S440" s="25"/>
      <c r="T440" s="10"/>
    </row>
    <row r="441" s="35" customFormat="1" ht="18.5" customHeight="1" spans="1:20">
      <c r="A441" s="16" t="s">
        <v>251</v>
      </c>
      <c r="B441" s="41">
        <v>44950</v>
      </c>
      <c r="C441" s="25">
        <v>3</v>
      </c>
      <c r="D441" s="25"/>
      <c r="E441" s="25"/>
      <c r="F441" s="25"/>
      <c r="G441" s="25"/>
      <c r="H441" s="25"/>
      <c r="I441" s="25"/>
      <c r="J441" s="25"/>
      <c r="K441" s="25"/>
      <c r="L441" s="25"/>
      <c r="M441" s="42" t="s">
        <v>253</v>
      </c>
      <c r="N441" s="41">
        <v>44940</v>
      </c>
      <c r="O441" s="25">
        <v>394</v>
      </c>
      <c r="P441" s="25">
        <v>0</v>
      </c>
      <c r="Q441" s="25"/>
      <c r="R441" s="25"/>
      <c r="S441" s="25"/>
      <c r="T441" s="10"/>
    </row>
    <row r="442" s="35" customFormat="1" ht="18.5" customHeight="1" spans="1:20">
      <c r="A442" s="16" t="s">
        <v>251</v>
      </c>
      <c r="B442" s="41">
        <v>44439</v>
      </c>
      <c r="C442" s="25">
        <v>1</v>
      </c>
      <c r="D442" s="25"/>
      <c r="E442" s="25"/>
      <c r="F442" s="25"/>
      <c r="G442" s="25"/>
      <c r="H442" s="25"/>
      <c r="I442" s="25"/>
      <c r="J442" s="25"/>
      <c r="K442" s="25"/>
      <c r="L442" s="25"/>
      <c r="M442" s="42" t="s">
        <v>253</v>
      </c>
      <c r="N442" s="41">
        <v>45237</v>
      </c>
      <c r="O442" s="25">
        <v>392</v>
      </c>
      <c r="P442" s="25">
        <v>0</v>
      </c>
      <c r="Q442" s="25"/>
      <c r="R442" s="25"/>
      <c r="S442" s="25"/>
      <c r="T442" s="10"/>
    </row>
    <row r="443" s="35" customFormat="1" ht="18.5" customHeight="1" spans="1:20">
      <c r="A443" s="16" t="s">
        <v>251</v>
      </c>
      <c r="B443" s="41">
        <v>44422</v>
      </c>
      <c r="C443" s="25">
        <v>2</v>
      </c>
      <c r="D443" s="25"/>
      <c r="E443" s="25"/>
      <c r="F443" s="25"/>
      <c r="G443" s="25"/>
      <c r="H443" s="25"/>
      <c r="I443" s="25"/>
      <c r="J443" s="25"/>
      <c r="K443" s="25"/>
      <c r="L443" s="25"/>
      <c r="M443" s="42" t="s">
        <v>253</v>
      </c>
      <c r="N443" s="41">
        <v>45008</v>
      </c>
      <c r="O443" s="25">
        <v>391</v>
      </c>
      <c r="P443" s="25">
        <v>0</v>
      </c>
      <c r="Q443" s="25"/>
      <c r="R443" s="25"/>
      <c r="S443" s="25"/>
      <c r="T443" s="10"/>
    </row>
    <row r="444" s="35" customFormat="1" ht="18.5" customHeight="1" spans="1:20">
      <c r="A444" s="16" t="s">
        <v>251</v>
      </c>
      <c r="B444" s="41">
        <v>45278</v>
      </c>
      <c r="C444" s="25">
        <v>5</v>
      </c>
      <c r="D444" s="25"/>
      <c r="E444" s="25"/>
      <c r="F444" s="25"/>
      <c r="G444" s="25"/>
      <c r="H444" s="25"/>
      <c r="I444" s="25"/>
      <c r="J444" s="25"/>
      <c r="K444" s="25"/>
      <c r="L444" s="25"/>
      <c r="M444" s="42" t="s">
        <v>253</v>
      </c>
      <c r="N444" s="41">
        <v>45248</v>
      </c>
      <c r="O444" s="25">
        <v>389</v>
      </c>
      <c r="P444" s="25">
        <v>0</v>
      </c>
      <c r="Q444" s="25"/>
      <c r="R444" s="25"/>
      <c r="S444" s="25"/>
      <c r="T444" s="10"/>
    </row>
    <row r="445" s="35" customFormat="1" ht="18.5" customHeight="1" spans="1:20">
      <c r="A445" s="16" t="s">
        <v>251</v>
      </c>
      <c r="B445" s="41">
        <v>44365</v>
      </c>
      <c r="C445" s="25">
        <v>2</v>
      </c>
      <c r="D445" s="25"/>
      <c r="E445" s="25"/>
      <c r="F445" s="25"/>
      <c r="G445" s="25"/>
      <c r="H445" s="25"/>
      <c r="I445" s="25"/>
      <c r="J445" s="25"/>
      <c r="K445" s="25"/>
      <c r="L445" s="25"/>
      <c r="M445" s="42" t="s">
        <v>253</v>
      </c>
      <c r="N445" s="41">
        <v>44963</v>
      </c>
      <c r="O445" s="25">
        <v>387</v>
      </c>
      <c r="P445" s="25">
        <v>0</v>
      </c>
      <c r="Q445" s="25"/>
      <c r="R445" s="25"/>
      <c r="S445" s="25"/>
      <c r="T445" s="10"/>
    </row>
    <row r="446" s="35" customFormat="1" ht="18.5" customHeight="1" spans="1:20">
      <c r="A446" s="16" t="s">
        <v>251</v>
      </c>
      <c r="B446" s="41">
        <v>44494</v>
      </c>
      <c r="C446" s="25">
        <v>1</v>
      </c>
      <c r="D446" s="25"/>
      <c r="E446" s="25"/>
      <c r="F446" s="25"/>
      <c r="G446" s="25"/>
      <c r="H446" s="25"/>
      <c r="I446" s="25"/>
      <c r="J446" s="25"/>
      <c r="K446" s="25"/>
      <c r="L446" s="25"/>
      <c r="M446" s="42" t="s">
        <v>253</v>
      </c>
      <c r="N446" s="41">
        <v>45086</v>
      </c>
      <c r="O446" s="25">
        <v>384</v>
      </c>
      <c r="P446" s="25">
        <v>0</v>
      </c>
      <c r="Q446" s="25"/>
      <c r="R446" s="25"/>
      <c r="S446" s="25"/>
      <c r="T446" s="10"/>
    </row>
    <row r="447" s="35" customFormat="1" ht="18.5" customHeight="1" spans="1:20">
      <c r="A447" s="16" t="s">
        <v>251</v>
      </c>
      <c r="B447" s="41">
        <v>44502</v>
      </c>
      <c r="C447" s="25">
        <v>2</v>
      </c>
      <c r="D447" s="25"/>
      <c r="E447" s="25"/>
      <c r="F447" s="25"/>
      <c r="G447" s="25"/>
      <c r="H447" s="25"/>
      <c r="I447" s="25"/>
      <c r="J447" s="25"/>
      <c r="K447" s="25"/>
      <c r="L447" s="25"/>
      <c r="M447" s="42" t="s">
        <v>253</v>
      </c>
      <c r="N447" s="41">
        <v>45120</v>
      </c>
      <c r="O447" s="25">
        <v>383</v>
      </c>
      <c r="P447" s="25">
        <v>0</v>
      </c>
      <c r="Q447" s="25"/>
      <c r="R447" s="25"/>
      <c r="S447" s="25"/>
      <c r="T447" s="10"/>
    </row>
    <row r="448" s="35" customFormat="1" ht="18.5" customHeight="1" spans="1:20">
      <c r="A448" s="16" t="s">
        <v>251</v>
      </c>
      <c r="B448" s="41">
        <v>44399</v>
      </c>
      <c r="C448" s="25">
        <v>1</v>
      </c>
      <c r="D448" s="25"/>
      <c r="E448" s="25"/>
      <c r="F448" s="25"/>
      <c r="G448" s="25"/>
      <c r="H448" s="25"/>
      <c r="I448" s="25"/>
      <c r="J448" s="25"/>
      <c r="K448" s="25"/>
      <c r="L448" s="25"/>
      <c r="M448" s="42" t="s">
        <v>253</v>
      </c>
      <c r="N448" s="41">
        <v>45247</v>
      </c>
      <c r="O448" s="25">
        <v>382</v>
      </c>
      <c r="P448" s="25">
        <v>0</v>
      </c>
      <c r="Q448" s="25"/>
      <c r="R448" s="25"/>
      <c r="S448" s="25"/>
      <c r="T448" s="10"/>
    </row>
    <row r="449" s="35" customFormat="1" ht="18.5" customHeight="1" spans="1:20">
      <c r="A449" s="16" t="s">
        <v>251</v>
      </c>
      <c r="B449" s="41">
        <v>44438</v>
      </c>
      <c r="C449" s="25">
        <v>0</v>
      </c>
      <c r="D449" s="25"/>
      <c r="E449" s="25"/>
      <c r="F449" s="25"/>
      <c r="G449" s="25"/>
      <c r="H449" s="25"/>
      <c r="I449" s="25"/>
      <c r="J449" s="25"/>
      <c r="K449" s="25"/>
      <c r="L449" s="25"/>
      <c r="M449" s="42" t="s">
        <v>253</v>
      </c>
      <c r="N449" s="41">
        <v>45240</v>
      </c>
      <c r="O449" s="25">
        <v>382</v>
      </c>
      <c r="P449" s="25">
        <v>0</v>
      </c>
      <c r="Q449" s="25"/>
      <c r="R449" s="25"/>
      <c r="S449" s="25"/>
      <c r="T449" s="10"/>
    </row>
    <row r="450" s="35" customFormat="1" ht="18.5" customHeight="1" spans="1:20">
      <c r="A450" s="16" t="s">
        <v>251</v>
      </c>
      <c r="B450" s="41">
        <v>45295</v>
      </c>
      <c r="C450" s="25">
        <v>8</v>
      </c>
      <c r="D450" s="25"/>
      <c r="E450" s="25"/>
      <c r="F450" s="25"/>
      <c r="G450" s="25"/>
      <c r="H450" s="25"/>
      <c r="I450" s="25"/>
      <c r="J450" s="25"/>
      <c r="K450" s="25"/>
      <c r="L450" s="25"/>
      <c r="M450" s="42" t="s">
        <v>253</v>
      </c>
      <c r="N450" s="41">
        <v>44992</v>
      </c>
      <c r="O450" s="25">
        <v>383</v>
      </c>
      <c r="P450" s="25">
        <v>0</v>
      </c>
      <c r="Q450" s="25"/>
      <c r="R450" s="25"/>
      <c r="S450" s="25"/>
      <c r="T450" s="10"/>
    </row>
    <row r="451" s="35" customFormat="1" ht="18.5" customHeight="1" spans="1:20">
      <c r="A451" s="16" t="s">
        <v>251</v>
      </c>
      <c r="B451" s="41">
        <v>44455</v>
      </c>
      <c r="C451" s="25">
        <v>3</v>
      </c>
      <c r="D451" s="25"/>
      <c r="E451" s="25"/>
      <c r="F451" s="25"/>
      <c r="G451" s="25"/>
      <c r="H451" s="25"/>
      <c r="I451" s="25"/>
      <c r="J451" s="25"/>
      <c r="K451" s="25"/>
      <c r="L451" s="25"/>
      <c r="M451" s="42" t="s">
        <v>253</v>
      </c>
      <c r="N451" s="41">
        <v>45242</v>
      </c>
      <c r="O451" s="25">
        <v>379</v>
      </c>
      <c r="P451" s="25">
        <v>0</v>
      </c>
      <c r="Q451" s="25"/>
      <c r="R451" s="25"/>
      <c r="S451" s="25"/>
      <c r="T451" s="10"/>
    </row>
    <row r="452" s="35" customFormat="1" ht="18.5" customHeight="1" spans="1:20">
      <c r="A452" s="16" t="s">
        <v>251</v>
      </c>
      <c r="B452" s="41">
        <v>44369</v>
      </c>
      <c r="C452" s="25">
        <v>1</v>
      </c>
      <c r="D452" s="25"/>
      <c r="E452" s="25"/>
      <c r="F452" s="25"/>
      <c r="G452" s="25"/>
      <c r="H452" s="25"/>
      <c r="I452" s="25"/>
      <c r="J452" s="25"/>
      <c r="K452" s="25"/>
      <c r="L452" s="25"/>
      <c r="M452" s="42" t="s">
        <v>253</v>
      </c>
      <c r="N452" s="41">
        <v>44988</v>
      </c>
      <c r="O452" s="25">
        <v>379</v>
      </c>
      <c r="P452" s="25">
        <v>0</v>
      </c>
      <c r="Q452" s="25"/>
      <c r="R452" s="25"/>
      <c r="S452" s="25"/>
      <c r="T452" s="10"/>
    </row>
    <row r="453" s="35" customFormat="1" ht="18.5" customHeight="1" spans="1:20">
      <c r="A453" s="16" t="s">
        <v>251</v>
      </c>
      <c r="B453" s="41">
        <v>44468</v>
      </c>
      <c r="C453" s="25">
        <v>3</v>
      </c>
      <c r="D453" s="25"/>
      <c r="E453" s="25"/>
      <c r="F453" s="25"/>
      <c r="G453" s="25"/>
      <c r="H453" s="25"/>
      <c r="I453" s="25"/>
      <c r="J453" s="25"/>
      <c r="K453" s="25"/>
      <c r="L453" s="25"/>
      <c r="M453" s="42" t="s">
        <v>253</v>
      </c>
      <c r="N453" s="41">
        <v>45063</v>
      </c>
      <c r="O453" s="25">
        <v>377</v>
      </c>
      <c r="P453" s="25">
        <v>0</v>
      </c>
      <c r="Q453" s="25"/>
      <c r="R453" s="25"/>
      <c r="S453" s="25"/>
      <c r="T453" s="10"/>
    </row>
    <row r="454" s="35" customFormat="1" ht="18.5" customHeight="1" spans="1:20">
      <c r="A454" s="16" t="s">
        <v>251</v>
      </c>
      <c r="B454" s="41">
        <v>44469</v>
      </c>
      <c r="C454" s="25">
        <v>1</v>
      </c>
      <c r="D454" s="25"/>
      <c r="E454" s="25"/>
      <c r="F454" s="25"/>
      <c r="G454" s="25"/>
      <c r="H454" s="25"/>
      <c r="I454" s="25"/>
      <c r="J454" s="25"/>
      <c r="K454" s="25"/>
      <c r="L454" s="25"/>
      <c r="M454" s="42" t="s">
        <v>253</v>
      </c>
      <c r="N454" s="41">
        <v>44986</v>
      </c>
      <c r="O454" s="25">
        <v>376</v>
      </c>
      <c r="P454" s="25">
        <v>0</v>
      </c>
      <c r="Q454" s="25"/>
      <c r="R454" s="25"/>
      <c r="S454" s="25"/>
      <c r="T454" s="10"/>
    </row>
    <row r="455" s="35" customFormat="1" ht="18.5" customHeight="1" spans="1:20">
      <c r="A455" s="16" t="s">
        <v>251</v>
      </c>
      <c r="B455" s="41">
        <v>44431</v>
      </c>
      <c r="C455" s="25">
        <v>6</v>
      </c>
      <c r="D455" s="25"/>
      <c r="E455" s="25"/>
      <c r="F455" s="25"/>
      <c r="G455" s="25"/>
      <c r="H455" s="25"/>
      <c r="I455" s="25"/>
      <c r="J455" s="25"/>
      <c r="K455" s="25"/>
      <c r="L455" s="25"/>
      <c r="M455" s="42" t="s">
        <v>253</v>
      </c>
      <c r="N455" s="41">
        <v>45194</v>
      </c>
      <c r="O455" s="25">
        <v>375</v>
      </c>
      <c r="P455" s="25">
        <v>0</v>
      </c>
      <c r="Q455" s="25"/>
      <c r="R455" s="25"/>
      <c r="S455" s="25"/>
      <c r="T455" s="10"/>
    </row>
    <row r="456" s="35" customFormat="1" ht="18.5" customHeight="1" spans="1:20">
      <c r="A456" s="16" t="s">
        <v>251</v>
      </c>
      <c r="B456" s="41">
        <v>44372</v>
      </c>
      <c r="C456" s="25">
        <v>1</v>
      </c>
      <c r="D456" s="25"/>
      <c r="E456" s="25"/>
      <c r="F456" s="25"/>
      <c r="G456" s="25"/>
      <c r="H456" s="25"/>
      <c r="I456" s="25"/>
      <c r="J456" s="25"/>
      <c r="K456" s="25"/>
      <c r="L456" s="25"/>
      <c r="M456" s="42" t="s">
        <v>253</v>
      </c>
      <c r="N456" s="41">
        <v>45090</v>
      </c>
      <c r="O456" s="25">
        <v>375</v>
      </c>
      <c r="P456" s="25">
        <v>0</v>
      </c>
      <c r="Q456" s="25"/>
      <c r="R456" s="25"/>
      <c r="S456" s="25"/>
      <c r="T456" s="10"/>
    </row>
    <row r="457" s="35" customFormat="1" ht="18.5" customHeight="1" spans="1:20">
      <c r="A457" s="16" t="s">
        <v>251</v>
      </c>
      <c r="B457" s="41">
        <v>45284</v>
      </c>
      <c r="C457" s="25">
        <v>2</v>
      </c>
      <c r="D457" s="25"/>
      <c r="E457" s="25"/>
      <c r="F457" s="25"/>
      <c r="G457" s="25"/>
      <c r="H457" s="25"/>
      <c r="I457" s="25"/>
      <c r="J457" s="25"/>
      <c r="K457" s="25"/>
      <c r="L457" s="25"/>
      <c r="M457" s="42" t="s">
        <v>253</v>
      </c>
      <c r="N457" s="41">
        <v>45120</v>
      </c>
      <c r="O457" s="25">
        <v>374</v>
      </c>
      <c r="P457" s="25">
        <v>0</v>
      </c>
      <c r="Q457" s="25"/>
      <c r="R457" s="25"/>
      <c r="S457" s="25"/>
      <c r="T457" s="10"/>
    </row>
    <row r="458" s="35" customFormat="1" ht="18.5" customHeight="1" spans="1:20">
      <c r="A458" s="16" t="s">
        <v>251</v>
      </c>
      <c r="B458" s="41">
        <v>44392</v>
      </c>
      <c r="C458" s="25">
        <v>5</v>
      </c>
      <c r="D458" s="25"/>
      <c r="E458" s="25"/>
      <c r="F458" s="25"/>
      <c r="G458" s="25"/>
      <c r="H458" s="25"/>
      <c r="I458" s="25"/>
      <c r="J458" s="25"/>
      <c r="K458" s="25"/>
      <c r="L458" s="25"/>
      <c r="M458" s="42" t="s">
        <v>253</v>
      </c>
      <c r="N458" s="41">
        <v>45245</v>
      </c>
      <c r="O458" s="25">
        <v>373</v>
      </c>
      <c r="P458" s="25">
        <v>0</v>
      </c>
      <c r="Q458" s="25"/>
      <c r="R458" s="25"/>
      <c r="S458" s="25"/>
      <c r="T458" s="10"/>
    </row>
    <row r="459" s="35" customFormat="1" ht="18.5" customHeight="1" spans="1:20">
      <c r="A459" s="16" t="s">
        <v>251</v>
      </c>
      <c r="B459" s="41">
        <v>44444</v>
      </c>
      <c r="C459" s="25">
        <v>0</v>
      </c>
      <c r="D459" s="25"/>
      <c r="E459" s="25"/>
      <c r="F459" s="25"/>
      <c r="G459" s="25"/>
      <c r="H459" s="25"/>
      <c r="I459" s="25"/>
      <c r="J459" s="25"/>
      <c r="K459" s="25"/>
      <c r="L459" s="25"/>
      <c r="M459" s="42" t="s">
        <v>253</v>
      </c>
      <c r="N459" s="41">
        <v>45018</v>
      </c>
      <c r="O459" s="25">
        <v>372</v>
      </c>
      <c r="P459" s="25">
        <v>0</v>
      </c>
      <c r="Q459" s="25"/>
      <c r="R459" s="25"/>
      <c r="S459" s="25"/>
      <c r="T459" s="10"/>
    </row>
    <row r="460" s="35" customFormat="1" ht="18.5" customHeight="1" spans="1:20">
      <c r="A460" s="16" t="s">
        <v>251</v>
      </c>
      <c r="B460" s="41">
        <v>44517</v>
      </c>
      <c r="C460" s="25">
        <v>1</v>
      </c>
      <c r="D460" s="25"/>
      <c r="E460" s="25"/>
      <c r="F460" s="25"/>
      <c r="G460" s="25"/>
      <c r="H460" s="25"/>
      <c r="I460" s="25"/>
      <c r="J460" s="25"/>
      <c r="K460" s="25"/>
      <c r="L460" s="25"/>
      <c r="M460" s="42" t="s">
        <v>253</v>
      </c>
      <c r="N460" s="41">
        <v>45239</v>
      </c>
      <c r="O460" s="25">
        <v>371</v>
      </c>
      <c r="P460" s="25">
        <v>0</v>
      </c>
      <c r="Q460" s="25"/>
      <c r="R460" s="25"/>
      <c r="S460" s="25"/>
      <c r="T460" s="10"/>
    </row>
    <row r="461" s="35" customFormat="1" ht="18.5" customHeight="1" spans="1:20">
      <c r="A461" s="16" t="s">
        <v>251</v>
      </c>
      <c r="B461" s="41">
        <v>44372</v>
      </c>
      <c r="C461" s="25">
        <v>1</v>
      </c>
      <c r="D461" s="25"/>
      <c r="E461" s="25"/>
      <c r="F461" s="25"/>
      <c r="G461" s="25"/>
      <c r="H461" s="25"/>
      <c r="I461" s="25"/>
      <c r="J461" s="25"/>
      <c r="K461" s="25"/>
      <c r="L461" s="25"/>
      <c r="M461" s="42" t="s">
        <v>253</v>
      </c>
      <c r="N461" s="41">
        <v>44975</v>
      </c>
      <c r="O461" s="25">
        <v>371</v>
      </c>
      <c r="P461" s="25">
        <v>0</v>
      </c>
      <c r="Q461" s="25"/>
      <c r="R461" s="25"/>
      <c r="S461" s="25"/>
      <c r="T461" s="10"/>
    </row>
    <row r="462" s="35" customFormat="1" ht="18.5" customHeight="1" spans="1:20">
      <c r="A462" s="16" t="s">
        <v>251</v>
      </c>
      <c r="B462" s="41">
        <v>44477</v>
      </c>
      <c r="C462" s="25">
        <v>1</v>
      </c>
      <c r="D462" s="25"/>
      <c r="E462" s="25"/>
      <c r="F462" s="25"/>
      <c r="G462" s="25"/>
      <c r="H462" s="25"/>
      <c r="I462" s="25"/>
      <c r="J462" s="25"/>
      <c r="K462" s="25"/>
      <c r="L462" s="25"/>
      <c r="M462" s="42" t="s">
        <v>253</v>
      </c>
      <c r="N462" s="41">
        <v>45034</v>
      </c>
      <c r="O462" s="25">
        <v>370</v>
      </c>
      <c r="P462" s="25">
        <v>0</v>
      </c>
      <c r="Q462" s="25"/>
      <c r="R462" s="25"/>
      <c r="S462" s="25"/>
      <c r="T462" s="10"/>
    </row>
    <row r="463" s="35" customFormat="1" ht="18.5" customHeight="1" spans="1:20">
      <c r="A463" s="16" t="s">
        <v>251</v>
      </c>
      <c r="B463" s="41">
        <v>44517</v>
      </c>
      <c r="C463" s="25">
        <v>2</v>
      </c>
      <c r="D463" s="25"/>
      <c r="E463" s="25"/>
      <c r="F463" s="25"/>
      <c r="G463" s="25"/>
      <c r="H463" s="25"/>
      <c r="I463" s="25"/>
      <c r="J463" s="25"/>
      <c r="K463" s="25"/>
      <c r="L463" s="25"/>
      <c r="M463" s="42" t="s">
        <v>253</v>
      </c>
      <c r="N463" s="41">
        <v>44983</v>
      </c>
      <c r="O463" s="25">
        <v>370</v>
      </c>
      <c r="P463" s="25">
        <v>0</v>
      </c>
      <c r="Q463" s="25"/>
      <c r="R463" s="25"/>
      <c r="S463" s="25"/>
      <c r="T463" s="10"/>
    </row>
    <row r="464" s="35" customFormat="1" ht="18.5" customHeight="1" spans="1:20">
      <c r="A464" s="16" t="s">
        <v>251</v>
      </c>
      <c r="B464" s="41">
        <v>44423</v>
      </c>
      <c r="C464" s="25">
        <v>2</v>
      </c>
      <c r="D464" s="25"/>
      <c r="E464" s="25"/>
      <c r="F464" s="25"/>
      <c r="G464" s="25"/>
      <c r="H464" s="25"/>
      <c r="I464" s="25"/>
      <c r="J464" s="25"/>
      <c r="K464" s="25"/>
      <c r="L464" s="25"/>
      <c r="M464" s="42" t="s">
        <v>253</v>
      </c>
      <c r="N464" s="41">
        <v>44936</v>
      </c>
      <c r="O464" s="25">
        <v>369</v>
      </c>
      <c r="P464" s="25">
        <v>0</v>
      </c>
      <c r="Q464" s="25"/>
      <c r="R464" s="25"/>
      <c r="S464" s="25"/>
      <c r="T464" s="10"/>
    </row>
    <row r="465" s="35" customFormat="1" ht="18.5" customHeight="1" spans="1:20">
      <c r="A465" s="16" t="s">
        <v>251</v>
      </c>
      <c r="B465" s="41">
        <v>44328</v>
      </c>
      <c r="C465" s="25">
        <v>4</v>
      </c>
      <c r="D465" s="25"/>
      <c r="E465" s="25"/>
      <c r="F465" s="25"/>
      <c r="G465" s="25"/>
      <c r="H465" s="25"/>
      <c r="I465" s="25"/>
      <c r="J465" s="25"/>
      <c r="K465" s="25"/>
      <c r="L465" s="25"/>
      <c r="M465" s="42" t="s">
        <v>253</v>
      </c>
      <c r="N465" s="41">
        <v>45251</v>
      </c>
      <c r="O465" s="25">
        <v>366</v>
      </c>
      <c r="P465" s="25">
        <v>0</v>
      </c>
      <c r="Q465" s="25"/>
      <c r="R465" s="25"/>
      <c r="S465" s="25"/>
      <c r="T465" s="10"/>
    </row>
    <row r="466" s="35" customFormat="1" ht="18.5" customHeight="1" spans="1:20">
      <c r="A466" s="16" t="s">
        <v>251</v>
      </c>
      <c r="B466" s="41">
        <v>44451</v>
      </c>
      <c r="C466" s="25">
        <v>0</v>
      </c>
      <c r="D466" s="25"/>
      <c r="E466" s="25"/>
      <c r="F466" s="25"/>
      <c r="G466" s="25"/>
      <c r="H466" s="25"/>
      <c r="I466" s="25"/>
      <c r="J466" s="25"/>
      <c r="K466" s="25"/>
      <c r="L466" s="25"/>
      <c r="M466" s="42" t="s">
        <v>253</v>
      </c>
      <c r="N466" s="41">
        <v>45126</v>
      </c>
      <c r="O466" s="25">
        <v>365</v>
      </c>
      <c r="P466" s="25">
        <v>0</v>
      </c>
      <c r="Q466" s="25"/>
      <c r="R466" s="25"/>
      <c r="S466" s="25"/>
      <c r="T466" s="10"/>
    </row>
    <row r="467" s="35" customFormat="1" ht="18.5" customHeight="1" spans="1:20">
      <c r="A467" s="16" t="s">
        <v>251</v>
      </c>
      <c r="B467" s="41">
        <v>44450</v>
      </c>
      <c r="C467" s="25">
        <v>0</v>
      </c>
      <c r="D467" s="25"/>
      <c r="E467" s="25"/>
      <c r="F467" s="25"/>
      <c r="G467" s="25"/>
      <c r="H467" s="25"/>
      <c r="I467" s="25"/>
      <c r="J467" s="25"/>
      <c r="K467" s="25"/>
      <c r="L467" s="25"/>
      <c r="M467" s="42" t="s">
        <v>253</v>
      </c>
      <c r="N467" s="41">
        <v>45000</v>
      </c>
      <c r="O467" s="25">
        <v>365</v>
      </c>
      <c r="P467" s="25">
        <v>0</v>
      </c>
      <c r="Q467" s="25"/>
      <c r="R467" s="25"/>
      <c r="S467" s="25"/>
      <c r="T467" s="10"/>
    </row>
    <row r="468" s="35" customFormat="1" ht="18.5" customHeight="1" spans="1:20">
      <c r="A468" s="16" t="s">
        <v>251</v>
      </c>
      <c r="B468" s="41">
        <v>44483</v>
      </c>
      <c r="C468" s="25">
        <v>4</v>
      </c>
      <c r="D468" s="25"/>
      <c r="E468" s="25"/>
      <c r="F468" s="25"/>
      <c r="G468" s="25"/>
      <c r="H468" s="25"/>
      <c r="I468" s="25"/>
      <c r="J468" s="25"/>
      <c r="K468" s="25"/>
      <c r="L468" s="25"/>
      <c r="M468" s="42" t="s">
        <v>253</v>
      </c>
      <c r="N468" s="41">
        <v>45199</v>
      </c>
      <c r="O468" s="25">
        <v>365</v>
      </c>
      <c r="P468" s="25">
        <v>0</v>
      </c>
      <c r="Q468" s="25"/>
      <c r="R468" s="25"/>
      <c r="S468" s="25"/>
      <c r="T468" s="10"/>
    </row>
    <row r="469" s="35" customFormat="1" ht="18.5" customHeight="1" spans="1:20">
      <c r="A469" s="16" t="s">
        <v>251</v>
      </c>
      <c r="B469" s="41">
        <v>44461</v>
      </c>
      <c r="C469" s="25">
        <v>3</v>
      </c>
      <c r="D469" s="25"/>
      <c r="E469" s="25"/>
      <c r="F469" s="25"/>
      <c r="G469" s="25"/>
      <c r="H469" s="25"/>
      <c r="I469" s="25"/>
      <c r="J469" s="25"/>
      <c r="K469" s="25"/>
      <c r="L469" s="25"/>
      <c r="M469" s="42" t="s">
        <v>253</v>
      </c>
      <c r="N469" s="41">
        <v>45009</v>
      </c>
      <c r="O469" s="25">
        <v>364</v>
      </c>
      <c r="P469" s="25">
        <v>0</v>
      </c>
      <c r="Q469" s="25"/>
      <c r="R469" s="25"/>
      <c r="S469" s="25"/>
      <c r="T469" s="10"/>
    </row>
    <row r="470" s="35" customFormat="1" ht="18.5" customHeight="1" spans="1:20">
      <c r="A470" s="16" t="s">
        <v>251</v>
      </c>
      <c r="B470" s="41">
        <v>44403</v>
      </c>
      <c r="C470" s="25">
        <v>2</v>
      </c>
      <c r="D470" s="25"/>
      <c r="E470" s="25"/>
      <c r="F470" s="25"/>
      <c r="G470" s="25"/>
      <c r="H470" s="25"/>
      <c r="I470" s="25"/>
      <c r="J470" s="25"/>
      <c r="K470" s="25"/>
      <c r="L470" s="25"/>
      <c r="M470" s="42" t="s">
        <v>253</v>
      </c>
      <c r="N470" s="41">
        <v>45041</v>
      </c>
      <c r="O470" s="25">
        <v>363</v>
      </c>
      <c r="P470" s="25">
        <v>0</v>
      </c>
      <c r="Q470" s="25"/>
      <c r="R470" s="25"/>
      <c r="S470" s="25"/>
      <c r="T470" s="10"/>
    </row>
    <row r="471" s="35" customFormat="1" ht="18.5" customHeight="1" spans="1:20">
      <c r="A471" s="16" t="s">
        <v>251</v>
      </c>
      <c r="B471" s="41">
        <v>45292</v>
      </c>
      <c r="C471" s="25">
        <v>5</v>
      </c>
      <c r="D471" s="25"/>
      <c r="E471" s="25"/>
      <c r="F471" s="25"/>
      <c r="G471" s="25"/>
      <c r="H471" s="25"/>
      <c r="I471" s="25"/>
      <c r="J471" s="25"/>
      <c r="K471" s="25"/>
      <c r="L471" s="25"/>
      <c r="M471" s="42" t="s">
        <v>253</v>
      </c>
      <c r="N471" s="41">
        <v>44967</v>
      </c>
      <c r="O471" s="25">
        <v>363</v>
      </c>
      <c r="P471" s="25">
        <v>0</v>
      </c>
      <c r="Q471" s="25"/>
      <c r="R471" s="25"/>
      <c r="S471" s="25"/>
      <c r="T471" s="10"/>
    </row>
    <row r="472" s="35" customFormat="1" ht="18.5" customHeight="1" spans="1:20">
      <c r="A472" s="16" t="s">
        <v>251</v>
      </c>
      <c r="B472" s="41">
        <v>45294</v>
      </c>
      <c r="C472" s="25">
        <v>5</v>
      </c>
      <c r="D472" s="25"/>
      <c r="E472" s="25"/>
      <c r="F472" s="25"/>
      <c r="G472" s="25"/>
      <c r="H472" s="25"/>
      <c r="I472" s="25"/>
      <c r="J472" s="25"/>
      <c r="K472" s="25"/>
      <c r="L472" s="25"/>
      <c r="M472" s="42" t="s">
        <v>253</v>
      </c>
      <c r="N472" s="41">
        <v>44987</v>
      </c>
      <c r="O472" s="25">
        <v>360</v>
      </c>
      <c r="P472" s="25">
        <v>0</v>
      </c>
      <c r="Q472" s="25"/>
      <c r="R472" s="25"/>
      <c r="S472" s="25"/>
      <c r="T472" s="10"/>
    </row>
    <row r="473" s="35" customFormat="1" ht="18.5" customHeight="1" spans="1:20">
      <c r="A473" s="16" t="s">
        <v>251</v>
      </c>
      <c r="B473" s="41">
        <v>44442</v>
      </c>
      <c r="C473" s="25">
        <v>3</v>
      </c>
      <c r="D473" s="25"/>
      <c r="E473" s="25"/>
      <c r="F473" s="25"/>
      <c r="G473" s="25"/>
      <c r="H473" s="25"/>
      <c r="I473" s="25"/>
      <c r="J473" s="25"/>
      <c r="K473" s="25"/>
      <c r="L473" s="25"/>
      <c r="M473" s="42" t="s">
        <v>253</v>
      </c>
      <c r="N473" s="41">
        <v>44966</v>
      </c>
      <c r="O473" s="25">
        <v>362</v>
      </c>
      <c r="P473" s="25">
        <v>0</v>
      </c>
      <c r="Q473" s="25"/>
      <c r="R473" s="25"/>
      <c r="S473" s="25"/>
      <c r="T473" s="10"/>
    </row>
    <row r="474" s="35" customFormat="1" ht="18.5" customHeight="1" spans="1:20">
      <c r="A474" s="16" t="s">
        <v>251</v>
      </c>
      <c r="B474" s="41">
        <v>45295</v>
      </c>
      <c r="C474" s="25">
        <v>3</v>
      </c>
      <c r="D474" s="25"/>
      <c r="E474" s="25"/>
      <c r="F474" s="25"/>
      <c r="G474" s="25"/>
      <c r="H474" s="25"/>
      <c r="I474" s="25"/>
      <c r="J474" s="25"/>
      <c r="K474" s="25"/>
      <c r="L474" s="25"/>
      <c r="M474" s="42" t="s">
        <v>253</v>
      </c>
      <c r="N474" s="41">
        <v>45118</v>
      </c>
      <c r="O474" s="25">
        <v>360</v>
      </c>
      <c r="P474" s="25">
        <v>0</v>
      </c>
      <c r="Q474" s="25"/>
      <c r="R474" s="25"/>
      <c r="S474" s="25"/>
      <c r="T474" s="10"/>
    </row>
    <row r="475" s="35" customFormat="1" ht="18.5" customHeight="1" spans="1:20">
      <c r="A475" s="16" t="s">
        <v>251</v>
      </c>
      <c r="B475" s="41">
        <v>45277</v>
      </c>
      <c r="C475" s="25">
        <v>5</v>
      </c>
      <c r="D475" s="25"/>
      <c r="E475" s="25"/>
      <c r="F475" s="25"/>
      <c r="G475" s="25"/>
      <c r="H475" s="25"/>
      <c r="I475" s="25"/>
      <c r="J475" s="25"/>
      <c r="K475" s="25"/>
      <c r="L475" s="25"/>
      <c r="M475" s="42" t="s">
        <v>253</v>
      </c>
      <c r="N475" s="41">
        <v>45069</v>
      </c>
      <c r="O475" s="25">
        <v>360</v>
      </c>
      <c r="P475" s="25">
        <v>0</v>
      </c>
      <c r="Q475" s="25"/>
      <c r="R475" s="25"/>
      <c r="S475" s="25"/>
      <c r="T475" s="10"/>
    </row>
    <row r="476" s="35" customFormat="1" ht="18.5" customHeight="1" spans="1:20">
      <c r="A476" s="16" t="s">
        <v>251</v>
      </c>
      <c r="B476" s="41">
        <v>44635</v>
      </c>
      <c r="C476" s="25">
        <v>1</v>
      </c>
      <c r="D476" s="25"/>
      <c r="E476" s="25"/>
      <c r="F476" s="25"/>
      <c r="G476" s="25"/>
      <c r="H476" s="25"/>
      <c r="I476" s="25"/>
      <c r="J476" s="25"/>
      <c r="K476" s="25"/>
      <c r="L476" s="25"/>
      <c r="M476" s="42" t="s">
        <v>253</v>
      </c>
      <c r="N476" s="41">
        <v>45054</v>
      </c>
      <c r="O476" s="25">
        <v>359</v>
      </c>
      <c r="P476" s="25">
        <v>0</v>
      </c>
      <c r="Q476" s="25"/>
      <c r="R476" s="25"/>
      <c r="S476" s="25"/>
      <c r="T476" s="10"/>
    </row>
    <row r="477" s="35" customFormat="1" ht="18.5" customHeight="1" spans="1:20">
      <c r="A477" s="16" t="s">
        <v>251</v>
      </c>
      <c r="B477" s="41">
        <v>45294</v>
      </c>
      <c r="C477" s="25">
        <v>4</v>
      </c>
      <c r="D477" s="25"/>
      <c r="E477" s="25"/>
      <c r="F477" s="25"/>
      <c r="G477" s="25"/>
      <c r="H477" s="25"/>
      <c r="I477" s="25"/>
      <c r="J477" s="25"/>
      <c r="K477" s="25"/>
      <c r="L477" s="25"/>
      <c r="M477" s="42" t="s">
        <v>253</v>
      </c>
      <c r="N477" s="41">
        <v>45040</v>
      </c>
      <c r="O477" s="25">
        <v>358</v>
      </c>
      <c r="P477" s="25">
        <v>0</v>
      </c>
      <c r="Q477" s="25"/>
      <c r="R477" s="25"/>
      <c r="S477" s="25"/>
      <c r="T477" s="10"/>
    </row>
    <row r="478" s="35" customFormat="1" ht="18.5" customHeight="1" spans="1:20">
      <c r="A478" s="16" t="s">
        <v>251</v>
      </c>
      <c r="B478" s="41">
        <v>44355</v>
      </c>
      <c r="C478" s="25">
        <v>2</v>
      </c>
      <c r="D478" s="25"/>
      <c r="E478" s="25"/>
      <c r="F478" s="25"/>
      <c r="G478" s="25"/>
      <c r="H478" s="25"/>
      <c r="I478" s="25"/>
      <c r="J478" s="25"/>
      <c r="K478" s="25"/>
      <c r="L478" s="25"/>
      <c r="M478" s="42" t="s">
        <v>253</v>
      </c>
      <c r="N478" s="41">
        <v>45018</v>
      </c>
      <c r="O478" s="25">
        <v>359</v>
      </c>
      <c r="P478" s="25">
        <v>0</v>
      </c>
      <c r="Q478" s="25"/>
      <c r="R478" s="25"/>
      <c r="S478" s="25"/>
      <c r="T478" s="10"/>
    </row>
    <row r="479" s="35" customFormat="1" ht="18.5" customHeight="1" spans="1:20">
      <c r="A479" s="16" t="s">
        <v>251</v>
      </c>
      <c r="B479" s="41">
        <v>45281</v>
      </c>
      <c r="C479" s="25">
        <v>2</v>
      </c>
      <c r="D479" s="25"/>
      <c r="E479" s="25"/>
      <c r="F479" s="25"/>
      <c r="G479" s="25"/>
      <c r="H479" s="25"/>
      <c r="I479" s="25"/>
      <c r="J479" s="25"/>
      <c r="K479" s="25"/>
      <c r="L479" s="25"/>
      <c r="M479" s="42" t="s">
        <v>253</v>
      </c>
      <c r="N479" s="41">
        <v>44980</v>
      </c>
      <c r="O479" s="25">
        <v>358</v>
      </c>
      <c r="P479" s="25">
        <v>0</v>
      </c>
      <c r="Q479" s="25"/>
      <c r="R479" s="25"/>
      <c r="S479" s="25"/>
      <c r="T479" s="10"/>
    </row>
    <row r="480" s="35" customFormat="1" ht="18.5" customHeight="1" spans="1:20">
      <c r="A480" s="16" t="s">
        <v>251</v>
      </c>
      <c r="B480" s="41">
        <v>44435</v>
      </c>
      <c r="C480" s="25">
        <v>4</v>
      </c>
      <c r="D480" s="25"/>
      <c r="E480" s="25"/>
      <c r="F480" s="25"/>
      <c r="G480" s="25"/>
      <c r="H480" s="25"/>
      <c r="I480" s="25"/>
      <c r="J480" s="25"/>
      <c r="K480" s="25"/>
      <c r="L480" s="25"/>
      <c r="M480" s="42" t="s">
        <v>253</v>
      </c>
      <c r="N480" s="41">
        <v>45237</v>
      </c>
      <c r="O480" s="25">
        <v>357</v>
      </c>
      <c r="P480" s="25">
        <v>0</v>
      </c>
      <c r="Q480" s="25"/>
      <c r="R480" s="25"/>
      <c r="S480" s="25"/>
      <c r="T480" s="10"/>
    </row>
    <row r="481" s="35" customFormat="1" ht="18.5" customHeight="1" spans="1:20">
      <c r="A481" s="16" t="s">
        <v>251</v>
      </c>
      <c r="B481" s="41">
        <v>44511</v>
      </c>
      <c r="C481" s="25">
        <v>1</v>
      </c>
      <c r="D481" s="25"/>
      <c r="E481" s="25"/>
      <c r="F481" s="25"/>
      <c r="G481" s="25"/>
      <c r="H481" s="25"/>
      <c r="I481" s="25"/>
      <c r="J481" s="25"/>
      <c r="K481" s="25"/>
      <c r="L481" s="25"/>
      <c r="M481" s="42" t="s">
        <v>253</v>
      </c>
      <c r="N481" s="41">
        <v>45230</v>
      </c>
      <c r="O481" s="25">
        <v>357</v>
      </c>
      <c r="P481" s="25">
        <v>0</v>
      </c>
      <c r="Q481" s="25"/>
      <c r="R481" s="25"/>
      <c r="S481" s="25"/>
      <c r="T481" s="10"/>
    </row>
    <row r="482" s="35" customFormat="1" ht="18.5" customHeight="1" spans="1:20">
      <c r="A482" s="16" t="s">
        <v>251</v>
      </c>
      <c r="B482" s="41">
        <v>44474</v>
      </c>
      <c r="C482" s="25">
        <v>0</v>
      </c>
      <c r="D482" s="25"/>
      <c r="E482" s="25"/>
      <c r="F482" s="25"/>
      <c r="G482" s="25"/>
      <c r="H482" s="25"/>
      <c r="I482" s="25"/>
      <c r="J482" s="25"/>
      <c r="K482" s="25"/>
      <c r="L482" s="25"/>
      <c r="M482" s="42" t="s">
        <v>253</v>
      </c>
      <c r="N482" s="41">
        <v>45220</v>
      </c>
      <c r="O482" s="25">
        <v>356</v>
      </c>
      <c r="P482" s="25">
        <v>0</v>
      </c>
      <c r="Q482" s="25"/>
      <c r="R482" s="25"/>
      <c r="S482" s="25"/>
      <c r="T482" s="10"/>
    </row>
    <row r="483" s="35" customFormat="1" ht="18.5" customHeight="1" spans="1:20">
      <c r="A483" s="16" t="s">
        <v>251</v>
      </c>
      <c r="B483" s="41">
        <v>44348</v>
      </c>
      <c r="C483" s="25">
        <v>0</v>
      </c>
      <c r="D483" s="25"/>
      <c r="E483" s="25"/>
      <c r="F483" s="25"/>
      <c r="G483" s="25"/>
      <c r="H483" s="25"/>
      <c r="I483" s="25"/>
      <c r="J483" s="25"/>
      <c r="K483" s="25"/>
      <c r="L483" s="25"/>
      <c r="M483" s="42" t="s">
        <v>253</v>
      </c>
      <c r="N483" s="41">
        <v>44988</v>
      </c>
      <c r="O483" s="25">
        <v>355</v>
      </c>
      <c r="P483" s="25">
        <v>0</v>
      </c>
      <c r="Q483" s="25"/>
      <c r="R483" s="25"/>
      <c r="S483" s="25"/>
      <c r="T483" s="10"/>
    </row>
    <row r="484" s="35" customFormat="1" ht="18.5" customHeight="1" spans="1:20">
      <c r="A484" s="16" t="s">
        <v>251</v>
      </c>
      <c r="B484" s="41">
        <v>45280</v>
      </c>
      <c r="C484" s="25">
        <v>4</v>
      </c>
      <c r="D484" s="25"/>
      <c r="E484" s="25"/>
      <c r="F484" s="25"/>
      <c r="G484" s="25"/>
      <c r="H484" s="25"/>
      <c r="I484" s="25"/>
      <c r="J484" s="25"/>
      <c r="K484" s="25"/>
      <c r="L484" s="25"/>
      <c r="M484" s="42" t="s">
        <v>253</v>
      </c>
      <c r="N484" s="41">
        <v>45060</v>
      </c>
      <c r="O484" s="25">
        <v>353</v>
      </c>
      <c r="P484" s="25">
        <v>0</v>
      </c>
      <c r="Q484" s="25"/>
      <c r="R484" s="25"/>
      <c r="S484" s="25"/>
      <c r="T484" s="10"/>
    </row>
    <row r="485" s="35" customFormat="1" ht="18.5" customHeight="1" spans="1:20">
      <c r="A485" s="16" t="s">
        <v>251</v>
      </c>
      <c r="B485" s="41">
        <v>45130</v>
      </c>
      <c r="C485" s="25">
        <v>5</v>
      </c>
      <c r="D485" s="25"/>
      <c r="E485" s="25"/>
      <c r="F485" s="25"/>
      <c r="G485" s="25"/>
      <c r="H485" s="25"/>
      <c r="I485" s="25"/>
      <c r="J485" s="25"/>
      <c r="K485" s="25"/>
      <c r="L485" s="25"/>
      <c r="M485" s="42" t="s">
        <v>253</v>
      </c>
      <c r="N485" s="41">
        <v>45048</v>
      </c>
      <c r="O485" s="25">
        <v>353</v>
      </c>
      <c r="P485" s="25">
        <v>0</v>
      </c>
      <c r="Q485" s="25"/>
      <c r="R485" s="25"/>
      <c r="S485" s="25"/>
      <c r="T485" s="10"/>
    </row>
    <row r="486" s="35" customFormat="1" ht="18.5" customHeight="1" spans="1:20">
      <c r="A486" s="16" t="s">
        <v>251</v>
      </c>
      <c r="B486" s="41">
        <v>44467</v>
      </c>
      <c r="C486" s="25">
        <v>0</v>
      </c>
      <c r="D486" s="25"/>
      <c r="E486" s="25"/>
      <c r="F486" s="25"/>
      <c r="G486" s="25"/>
      <c r="H486" s="25"/>
      <c r="I486" s="25"/>
      <c r="J486" s="25"/>
      <c r="K486" s="25"/>
      <c r="L486" s="25"/>
      <c r="M486" s="42" t="s">
        <v>253</v>
      </c>
      <c r="N486" s="41">
        <v>44982</v>
      </c>
      <c r="O486" s="25">
        <v>353</v>
      </c>
      <c r="P486" s="25">
        <v>0</v>
      </c>
      <c r="Q486" s="25"/>
      <c r="R486" s="25"/>
      <c r="S486" s="25"/>
      <c r="T486" s="10"/>
    </row>
    <row r="487" s="35" customFormat="1" ht="18.5" customHeight="1" spans="1:20">
      <c r="A487" s="16" t="s">
        <v>251</v>
      </c>
      <c r="B487" s="41">
        <v>44558</v>
      </c>
      <c r="C487" s="25">
        <v>0</v>
      </c>
      <c r="D487" s="25"/>
      <c r="E487" s="25"/>
      <c r="F487" s="25"/>
      <c r="G487" s="25"/>
      <c r="H487" s="25"/>
      <c r="I487" s="25"/>
      <c r="J487" s="25"/>
      <c r="K487" s="25"/>
      <c r="L487" s="25"/>
      <c r="M487" s="42" t="s">
        <v>253</v>
      </c>
      <c r="N487" s="41">
        <v>44936</v>
      </c>
      <c r="O487" s="25">
        <v>352</v>
      </c>
      <c r="P487" s="25">
        <v>0</v>
      </c>
      <c r="Q487" s="25"/>
      <c r="R487" s="25"/>
      <c r="S487" s="25"/>
      <c r="T487" s="10"/>
    </row>
    <row r="488" s="35" customFormat="1" ht="18.5" customHeight="1" spans="1:20">
      <c r="A488" s="16" t="s">
        <v>251</v>
      </c>
      <c r="B488" s="41">
        <v>45277</v>
      </c>
      <c r="C488" s="25">
        <v>4</v>
      </c>
      <c r="D488" s="25"/>
      <c r="E488" s="25"/>
      <c r="F488" s="25"/>
      <c r="G488" s="25"/>
      <c r="H488" s="25"/>
      <c r="I488" s="25"/>
      <c r="J488" s="25"/>
      <c r="K488" s="25"/>
      <c r="L488" s="25"/>
      <c r="M488" s="42" t="s">
        <v>253</v>
      </c>
      <c r="N488" s="41">
        <v>44932</v>
      </c>
      <c r="O488" s="25">
        <v>352</v>
      </c>
      <c r="P488" s="25">
        <v>0</v>
      </c>
      <c r="Q488" s="25"/>
      <c r="R488" s="25"/>
      <c r="S488" s="25"/>
      <c r="T488" s="10"/>
    </row>
    <row r="489" s="35" customFormat="1" ht="18.5" customHeight="1" spans="1:20">
      <c r="A489" s="16" t="s">
        <v>251</v>
      </c>
      <c r="B489" s="41">
        <v>44377</v>
      </c>
      <c r="C489" s="25">
        <v>0</v>
      </c>
      <c r="D489" s="25"/>
      <c r="E489" s="25"/>
      <c r="F489" s="25"/>
      <c r="G489" s="25"/>
      <c r="H489" s="25"/>
      <c r="I489" s="25"/>
      <c r="J489" s="25"/>
      <c r="K489" s="25"/>
      <c r="L489" s="25"/>
      <c r="M489" s="42" t="s">
        <v>253</v>
      </c>
      <c r="N489" s="41">
        <v>45092</v>
      </c>
      <c r="O489" s="25">
        <v>350</v>
      </c>
      <c r="P489" s="25">
        <v>0</v>
      </c>
      <c r="Q489" s="25"/>
      <c r="R489" s="25"/>
      <c r="S489" s="25"/>
      <c r="T489" s="10"/>
    </row>
    <row r="490" s="35" customFormat="1" ht="18.5" customHeight="1" spans="1:20">
      <c r="A490" s="16" t="s">
        <v>251</v>
      </c>
      <c r="B490" s="41">
        <v>44408</v>
      </c>
      <c r="C490" s="25">
        <v>2</v>
      </c>
      <c r="D490" s="25"/>
      <c r="E490" s="25"/>
      <c r="F490" s="25"/>
      <c r="G490" s="25"/>
      <c r="H490" s="25"/>
      <c r="I490" s="25"/>
      <c r="J490" s="25"/>
      <c r="K490" s="25"/>
      <c r="L490" s="25"/>
      <c r="M490" s="42" t="s">
        <v>253</v>
      </c>
      <c r="N490" s="41">
        <v>44948</v>
      </c>
      <c r="O490" s="25">
        <v>350</v>
      </c>
      <c r="P490" s="25">
        <v>0</v>
      </c>
      <c r="Q490" s="25"/>
      <c r="R490" s="25"/>
      <c r="S490" s="25"/>
      <c r="T490" s="10"/>
    </row>
    <row r="491" s="35" customFormat="1" ht="18.5" customHeight="1" spans="1:20">
      <c r="A491" s="16" t="s">
        <v>251</v>
      </c>
      <c r="B491" s="41">
        <v>44518</v>
      </c>
      <c r="C491" s="25">
        <v>1</v>
      </c>
      <c r="D491" s="25"/>
      <c r="E491" s="25"/>
      <c r="F491" s="25"/>
      <c r="G491" s="25"/>
      <c r="H491" s="25"/>
      <c r="I491" s="25"/>
      <c r="J491" s="25"/>
      <c r="K491" s="25"/>
      <c r="L491" s="25"/>
      <c r="M491" s="42" t="s">
        <v>253</v>
      </c>
      <c r="N491" s="41">
        <v>45237</v>
      </c>
      <c r="O491" s="25">
        <v>349</v>
      </c>
      <c r="P491" s="25">
        <v>0</v>
      </c>
      <c r="Q491" s="25"/>
      <c r="R491" s="25"/>
      <c r="S491" s="25"/>
      <c r="T491" s="10"/>
    </row>
    <row r="492" s="35" customFormat="1" ht="18.5" customHeight="1" spans="1:20">
      <c r="A492" s="16" t="s">
        <v>251</v>
      </c>
      <c r="B492" s="41">
        <v>45294</v>
      </c>
      <c r="C492" s="25">
        <v>7</v>
      </c>
      <c r="D492" s="25"/>
      <c r="E492" s="25"/>
      <c r="F492" s="25"/>
      <c r="G492" s="25"/>
      <c r="H492" s="25"/>
      <c r="I492" s="25"/>
      <c r="J492" s="25"/>
      <c r="K492" s="25"/>
      <c r="L492" s="25"/>
      <c r="M492" s="42" t="s">
        <v>253</v>
      </c>
      <c r="N492" s="41">
        <v>45075</v>
      </c>
      <c r="O492" s="25">
        <v>349</v>
      </c>
      <c r="P492" s="25">
        <v>0</v>
      </c>
      <c r="Q492" s="25"/>
      <c r="R492" s="25"/>
      <c r="S492" s="25"/>
      <c r="T492" s="10"/>
    </row>
    <row r="493" s="35" customFormat="1" ht="18.5" customHeight="1" spans="1:20">
      <c r="A493" s="16" t="s">
        <v>251</v>
      </c>
      <c r="B493" s="41">
        <v>45131</v>
      </c>
      <c r="C493" s="25">
        <v>3</v>
      </c>
      <c r="D493" s="25"/>
      <c r="E493" s="25"/>
      <c r="F493" s="25"/>
      <c r="G493" s="25"/>
      <c r="H493" s="25"/>
      <c r="I493" s="25"/>
      <c r="J493" s="25"/>
      <c r="K493" s="25"/>
      <c r="L493" s="25"/>
      <c r="M493" s="42" t="s">
        <v>253</v>
      </c>
      <c r="N493" s="41">
        <v>45237</v>
      </c>
      <c r="O493" s="25">
        <v>347</v>
      </c>
      <c r="P493" s="25">
        <v>0</v>
      </c>
      <c r="Q493" s="25"/>
      <c r="R493" s="25"/>
      <c r="S493" s="25"/>
      <c r="T493" s="10"/>
    </row>
    <row r="494" s="35" customFormat="1" ht="18.5" customHeight="1" spans="1:20">
      <c r="A494" s="16" t="s">
        <v>251</v>
      </c>
      <c r="B494" s="41">
        <v>45277</v>
      </c>
      <c r="C494" s="25">
        <v>2</v>
      </c>
      <c r="D494" s="25"/>
      <c r="E494" s="25"/>
      <c r="F494" s="25"/>
      <c r="G494" s="25"/>
      <c r="H494" s="25"/>
      <c r="I494" s="25"/>
      <c r="J494" s="25"/>
      <c r="K494" s="25"/>
      <c r="L494" s="25"/>
      <c r="M494" s="42" t="s">
        <v>253</v>
      </c>
      <c r="N494" s="41">
        <v>45259</v>
      </c>
      <c r="O494" s="25">
        <v>346</v>
      </c>
      <c r="P494" s="25">
        <v>0</v>
      </c>
      <c r="Q494" s="25"/>
      <c r="R494" s="25"/>
      <c r="S494" s="25"/>
      <c r="T494" s="10"/>
    </row>
    <row r="495" s="35" customFormat="1" ht="18.5" customHeight="1" spans="1:20">
      <c r="A495" s="16" t="s">
        <v>251</v>
      </c>
      <c r="B495" s="41">
        <v>44421</v>
      </c>
      <c r="C495" s="25">
        <v>1</v>
      </c>
      <c r="D495" s="25"/>
      <c r="E495" s="25"/>
      <c r="F495" s="25"/>
      <c r="G495" s="25"/>
      <c r="H495" s="25"/>
      <c r="I495" s="25"/>
      <c r="J495" s="25"/>
      <c r="K495" s="25"/>
      <c r="L495" s="25"/>
      <c r="M495" s="42" t="s">
        <v>253</v>
      </c>
      <c r="N495" s="41">
        <v>45023</v>
      </c>
      <c r="O495" s="25">
        <v>344</v>
      </c>
      <c r="P495" s="25">
        <v>0</v>
      </c>
      <c r="Q495" s="25"/>
      <c r="R495" s="25"/>
      <c r="S495" s="25"/>
      <c r="T495" s="10"/>
    </row>
    <row r="496" s="35" customFormat="1" ht="18.5" customHeight="1" spans="1:20">
      <c r="A496" s="16" t="s">
        <v>251</v>
      </c>
      <c r="B496" s="41">
        <v>44357</v>
      </c>
      <c r="C496" s="25">
        <v>3</v>
      </c>
      <c r="D496" s="25"/>
      <c r="E496" s="25"/>
      <c r="F496" s="25"/>
      <c r="G496" s="25"/>
      <c r="H496" s="25"/>
      <c r="I496" s="25"/>
      <c r="J496" s="25"/>
      <c r="K496" s="25"/>
      <c r="L496" s="25"/>
      <c r="M496" s="42" t="s">
        <v>253</v>
      </c>
      <c r="N496" s="41">
        <v>45096</v>
      </c>
      <c r="O496" s="25">
        <v>343</v>
      </c>
      <c r="P496" s="25">
        <v>0</v>
      </c>
      <c r="Q496" s="25"/>
      <c r="R496" s="25"/>
      <c r="S496" s="25"/>
      <c r="T496" s="10"/>
    </row>
    <row r="497" s="35" customFormat="1" ht="18.5" customHeight="1" spans="1:20">
      <c r="A497" s="16" t="s">
        <v>251</v>
      </c>
      <c r="B497" s="41">
        <v>44395</v>
      </c>
      <c r="C497" s="25">
        <v>0</v>
      </c>
      <c r="D497" s="25"/>
      <c r="E497" s="25"/>
      <c r="F497" s="25"/>
      <c r="G497" s="25"/>
      <c r="H497" s="25"/>
      <c r="I497" s="25"/>
      <c r="J497" s="25"/>
      <c r="K497" s="25"/>
      <c r="L497" s="25"/>
      <c r="M497" s="42" t="s">
        <v>253</v>
      </c>
      <c r="N497" s="41">
        <v>44937</v>
      </c>
      <c r="O497" s="25">
        <v>343</v>
      </c>
      <c r="P497" s="25">
        <v>0</v>
      </c>
      <c r="Q497" s="25"/>
      <c r="R497" s="25"/>
      <c r="S497" s="25"/>
      <c r="T497" s="10"/>
    </row>
    <row r="498" s="35" customFormat="1" ht="18.5" customHeight="1" spans="1:20">
      <c r="A498" s="16" t="s">
        <v>251</v>
      </c>
      <c r="B498" s="41">
        <v>44349</v>
      </c>
      <c r="C498" s="25">
        <v>4</v>
      </c>
      <c r="D498" s="25"/>
      <c r="E498" s="25"/>
      <c r="F498" s="25"/>
      <c r="G498" s="25"/>
      <c r="H498" s="25"/>
      <c r="I498" s="25"/>
      <c r="J498" s="25"/>
      <c r="K498" s="25"/>
      <c r="L498" s="25"/>
      <c r="M498" s="42" t="s">
        <v>253</v>
      </c>
      <c r="N498" s="41">
        <v>45264</v>
      </c>
      <c r="O498" s="25">
        <v>341</v>
      </c>
      <c r="P498" s="25">
        <v>0</v>
      </c>
      <c r="Q498" s="25"/>
      <c r="R498" s="25"/>
      <c r="S498" s="25"/>
      <c r="T498" s="10"/>
    </row>
    <row r="499" s="35" customFormat="1" ht="18.5" customHeight="1" spans="1:20">
      <c r="A499" s="16" t="s">
        <v>251</v>
      </c>
      <c r="B499" s="41">
        <v>44344</v>
      </c>
      <c r="C499" s="25">
        <v>2</v>
      </c>
      <c r="D499" s="25"/>
      <c r="E499" s="25"/>
      <c r="F499" s="25"/>
      <c r="G499" s="25"/>
      <c r="H499" s="25"/>
      <c r="I499" s="25"/>
      <c r="J499" s="25"/>
      <c r="K499" s="25"/>
      <c r="L499" s="25"/>
      <c r="M499" s="42" t="s">
        <v>253</v>
      </c>
      <c r="N499" s="41">
        <v>45239</v>
      </c>
      <c r="O499" s="25">
        <v>342</v>
      </c>
      <c r="P499" s="25">
        <v>0</v>
      </c>
      <c r="Q499" s="25"/>
      <c r="R499" s="25"/>
      <c r="S499" s="25"/>
      <c r="T499" s="10"/>
    </row>
    <row r="500" s="35" customFormat="1" ht="18.5" customHeight="1" spans="1:20">
      <c r="A500" s="16" t="s">
        <v>251</v>
      </c>
      <c r="B500" s="41">
        <v>44534</v>
      </c>
      <c r="C500" s="25">
        <v>8</v>
      </c>
      <c r="D500" s="25"/>
      <c r="E500" s="25"/>
      <c r="F500" s="25"/>
      <c r="G500" s="25"/>
      <c r="H500" s="25"/>
      <c r="I500" s="25"/>
      <c r="J500" s="25"/>
      <c r="K500" s="25"/>
      <c r="L500" s="25"/>
      <c r="M500" s="42" t="s">
        <v>253</v>
      </c>
      <c r="N500" s="41">
        <v>44995</v>
      </c>
      <c r="O500" s="25">
        <v>340</v>
      </c>
      <c r="P500" s="25">
        <v>0</v>
      </c>
      <c r="Q500" s="25"/>
      <c r="R500" s="25"/>
      <c r="S500" s="25"/>
      <c r="T500" s="10"/>
    </row>
    <row r="501" s="35" customFormat="1" ht="18.5" customHeight="1" spans="1:20">
      <c r="A501" s="16" t="s">
        <v>251</v>
      </c>
      <c r="B501" s="41">
        <v>44382</v>
      </c>
      <c r="C501" s="25">
        <v>3</v>
      </c>
      <c r="D501" s="25"/>
      <c r="E501" s="25"/>
      <c r="F501" s="25"/>
      <c r="G501" s="25"/>
      <c r="H501" s="25"/>
      <c r="I501" s="25"/>
      <c r="J501" s="25"/>
      <c r="K501" s="25"/>
      <c r="L501" s="25"/>
      <c r="M501" s="42" t="s">
        <v>253</v>
      </c>
      <c r="N501" s="41">
        <v>45190</v>
      </c>
      <c r="O501" s="25">
        <v>338</v>
      </c>
      <c r="P501" s="25">
        <v>0</v>
      </c>
      <c r="Q501" s="25"/>
      <c r="R501" s="25"/>
      <c r="S501" s="25"/>
      <c r="T501" s="10"/>
    </row>
    <row r="502" s="35" customFormat="1" ht="18.5" customHeight="1" spans="1:20">
      <c r="A502" s="16" t="s">
        <v>251</v>
      </c>
      <c r="B502" s="41">
        <v>44431</v>
      </c>
      <c r="C502" s="25">
        <v>7</v>
      </c>
      <c r="D502" s="25"/>
      <c r="E502" s="25"/>
      <c r="F502" s="25"/>
      <c r="G502" s="25"/>
      <c r="H502" s="25"/>
      <c r="I502" s="25"/>
      <c r="J502" s="25"/>
      <c r="K502" s="25"/>
      <c r="L502" s="25"/>
      <c r="M502" s="42" t="s">
        <v>253</v>
      </c>
      <c r="N502" s="41">
        <v>45094</v>
      </c>
      <c r="O502" s="25">
        <v>338</v>
      </c>
      <c r="P502" s="25">
        <v>0</v>
      </c>
      <c r="Q502" s="25"/>
      <c r="R502" s="25"/>
      <c r="S502" s="25"/>
      <c r="T502" s="10"/>
    </row>
    <row r="503" s="35" customFormat="1" ht="18.5" customHeight="1" spans="1:20">
      <c r="A503" s="16" t="s">
        <v>251</v>
      </c>
      <c r="B503" s="41">
        <v>44434</v>
      </c>
      <c r="C503" s="25">
        <v>0</v>
      </c>
      <c r="D503" s="25"/>
      <c r="E503" s="25"/>
      <c r="F503" s="25"/>
      <c r="G503" s="25"/>
      <c r="H503" s="25"/>
      <c r="I503" s="25"/>
      <c r="J503" s="25"/>
      <c r="K503" s="25"/>
      <c r="L503" s="25"/>
      <c r="M503" s="42" t="s">
        <v>253</v>
      </c>
      <c r="N503" s="41">
        <v>45028</v>
      </c>
      <c r="O503" s="25">
        <v>338</v>
      </c>
      <c r="P503" s="25">
        <v>0</v>
      </c>
      <c r="Q503" s="25"/>
      <c r="R503" s="25"/>
      <c r="S503" s="25"/>
      <c r="T503" s="10"/>
    </row>
    <row r="504" s="35" customFormat="1" ht="18.5" customHeight="1" spans="1:20">
      <c r="A504" s="16" t="s">
        <v>251</v>
      </c>
      <c r="B504" s="41">
        <v>44401</v>
      </c>
      <c r="C504" s="25">
        <v>0</v>
      </c>
      <c r="D504" s="25"/>
      <c r="E504" s="25"/>
      <c r="F504" s="25"/>
      <c r="G504" s="25"/>
      <c r="H504" s="25"/>
      <c r="I504" s="25"/>
      <c r="J504" s="25"/>
      <c r="K504" s="25"/>
      <c r="L504" s="25"/>
      <c r="M504" s="42" t="s">
        <v>253</v>
      </c>
      <c r="N504" s="41">
        <v>45258</v>
      </c>
      <c r="O504" s="25">
        <v>336</v>
      </c>
      <c r="P504" s="25">
        <v>0</v>
      </c>
      <c r="Q504" s="25"/>
      <c r="R504" s="25"/>
      <c r="S504" s="25"/>
      <c r="T504" s="10"/>
    </row>
    <row r="505" s="35" customFormat="1" ht="18.5" customHeight="1" spans="1:20">
      <c r="A505" s="16" t="s">
        <v>251</v>
      </c>
      <c r="B505" s="41">
        <v>44560</v>
      </c>
      <c r="C505" s="25">
        <v>4</v>
      </c>
      <c r="D505" s="25"/>
      <c r="E505" s="25"/>
      <c r="F505" s="25"/>
      <c r="G505" s="25"/>
      <c r="H505" s="25"/>
      <c r="I505" s="25"/>
      <c r="J505" s="25"/>
      <c r="K505" s="25"/>
      <c r="L505" s="25"/>
      <c r="M505" s="42" t="s">
        <v>253</v>
      </c>
      <c r="N505" s="41">
        <v>45046</v>
      </c>
      <c r="O505" s="25">
        <v>336</v>
      </c>
      <c r="P505" s="25">
        <v>0</v>
      </c>
      <c r="Q505" s="25"/>
      <c r="R505" s="25"/>
      <c r="S505" s="25"/>
      <c r="T505" s="10"/>
    </row>
    <row r="506" s="35" customFormat="1" ht="18.5" customHeight="1" spans="1:20">
      <c r="A506" s="16" t="s">
        <v>251</v>
      </c>
      <c r="B506" s="41">
        <v>44466</v>
      </c>
      <c r="C506" s="25">
        <v>4</v>
      </c>
      <c r="D506" s="25"/>
      <c r="E506" s="25"/>
      <c r="F506" s="25"/>
      <c r="G506" s="25"/>
      <c r="H506" s="25"/>
      <c r="I506" s="25"/>
      <c r="J506" s="25"/>
      <c r="K506" s="25"/>
      <c r="L506" s="25"/>
      <c r="M506" s="42" t="s">
        <v>253</v>
      </c>
      <c r="N506" s="41">
        <v>45052</v>
      </c>
      <c r="O506" s="25">
        <v>335</v>
      </c>
      <c r="P506" s="25">
        <v>0</v>
      </c>
      <c r="Q506" s="25"/>
      <c r="R506" s="25"/>
      <c r="S506" s="25"/>
      <c r="T506" s="10"/>
    </row>
    <row r="507" s="35" customFormat="1" ht="18.5" customHeight="1" spans="1:20">
      <c r="A507" s="16" t="s">
        <v>251</v>
      </c>
      <c r="B507" s="41">
        <v>44379</v>
      </c>
      <c r="C507" s="25">
        <v>2</v>
      </c>
      <c r="D507" s="25"/>
      <c r="E507" s="25"/>
      <c r="F507" s="25"/>
      <c r="G507" s="25"/>
      <c r="H507" s="25"/>
      <c r="I507" s="25"/>
      <c r="J507" s="25"/>
      <c r="K507" s="25"/>
      <c r="L507" s="25"/>
      <c r="M507" s="42" t="s">
        <v>253</v>
      </c>
      <c r="N507" s="41">
        <v>45238</v>
      </c>
      <c r="O507" s="25">
        <v>334</v>
      </c>
      <c r="P507" s="25">
        <v>0</v>
      </c>
      <c r="Q507" s="25"/>
      <c r="R507" s="25"/>
      <c r="S507" s="25"/>
      <c r="T507" s="10"/>
    </row>
    <row r="508" s="35" customFormat="1" ht="18.5" customHeight="1" spans="1:20">
      <c r="A508" s="16" t="s">
        <v>251</v>
      </c>
      <c r="B508" s="41">
        <v>45294</v>
      </c>
      <c r="C508" s="25">
        <v>2</v>
      </c>
      <c r="D508" s="25"/>
      <c r="E508" s="25"/>
      <c r="F508" s="25"/>
      <c r="G508" s="25"/>
      <c r="H508" s="25"/>
      <c r="I508" s="25"/>
      <c r="J508" s="25"/>
      <c r="K508" s="25"/>
      <c r="L508" s="25"/>
      <c r="M508" s="42" t="s">
        <v>253</v>
      </c>
      <c r="N508" s="41">
        <v>45024</v>
      </c>
      <c r="O508" s="25">
        <v>334</v>
      </c>
      <c r="P508" s="25">
        <v>0</v>
      </c>
      <c r="Q508" s="25"/>
      <c r="R508" s="25"/>
      <c r="S508" s="25"/>
      <c r="T508" s="10"/>
    </row>
    <row r="509" s="35" customFormat="1" ht="18.5" customHeight="1" spans="1:20">
      <c r="A509" s="16" t="s">
        <v>251</v>
      </c>
      <c r="B509" s="41">
        <v>44459</v>
      </c>
      <c r="C509" s="25">
        <v>2</v>
      </c>
      <c r="D509" s="25"/>
      <c r="E509" s="25"/>
      <c r="F509" s="25"/>
      <c r="G509" s="25"/>
      <c r="H509" s="25"/>
      <c r="I509" s="25"/>
      <c r="J509" s="25"/>
      <c r="K509" s="25"/>
      <c r="L509" s="25"/>
      <c r="M509" s="42" t="s">
        <v>253</v>
      </c>
      <c r="N509" s="41">
        <v>45023</v>
      </c>
      <c r="O509" s="25">
        <v>333</v>
      </c>
      <c r="P509" s="25">
        <v>0</v>
      </c>
      <c r="Q509" s="25"/>
      <c r="R509" s="25"/>
      <c r="S509" s="25"/>
      <c r="T509" s="10"/>
    </row>
    <row r="510" s="35" customFormat="1" ht="18.5" customHeight="1" spans="1:20">
      <c r="A510" s="16" t="s">
        <v>251</v>
      </c>
      <c r="B510" s="41">
        <v>45279</v>
      </c>
      <c r="C510" s="25">
        <v>4</v>
      </c>
      <c r="D510" s="25"/>
      <c r="E510" s="25"/>
      <c r="F510" s="25"/>
      <c r="G510" s="25"/>
      <c r="H510" s="25"/>
      <c r="I510" s="25"/>
      <c r="J510" s="25"/>
      <c r="K510" s="25"/>
      <c r="L510" s="25"/>
      <c r="M510" s="42" t="s">
        <v>253</v>
      </c>
      <c r="N510" s="41">
        <v>45007</v>
      </c>
      <c r="O510" s="25">
        <v>330</v>
      </c>
      <c r="P510" s="25">
        <v>0</v>
      </c>
      <c r="Q510" s="25"/>
      <c r="R510" s="25"/>
      <c r="S510" s="25"/>
      <c r="T510" s="10"/>
    </row>
    <row r="511" s="35" customFormat="1" ht="18.5" customHeight="1" spans="1:20">
      <c r="A511" s="16" t="s">
        <v>251</v>
      </c>
      <c r="B511" s="41">
        <v>45294</v>
      </c>
      <c r="C511" s="25">
        <v>5</v>
      </c>
      <c r="D511" s="25"/>
      <c r="E511" s="25"/>
      <c r="F511" s="25"/>
      <c r="G511" s="25"/>
      <c r="H511" s="25"/>
      <c r="I511" s="25"/>
      <c r="J511" s="25"/>
      <c r="K511" s="25"/>
      <c r="L511" s="25"/>
      <c r="M511" s="42" t="s">
        <v>253</v>
      </c>
      <c r="N511" s="41">
        <v>44977</v>
      </c>
      <c r="O511" s="25">
        <v>330</v>
      </c>
      <c r="P511" s="25">
        <v>0</v>
      </c>
      <c r="Q511" s="25"/>
      <c r="R511" s="25"/>
      <c r="S511" s="25"/>
      <c r="T511" s="10"/>
    </row>
    <row r="512" s="35" customFormat="1" ht="18.5" customHeight="1" spans="1:20">
      <c r="A512" s="16" t="s">
        <v>251</v>
      </c>
      <c r="B512" s="41">
        <v>44413</v>
      </c>
      <c r="C512" s="25">
        <v>0</v>
      </c>
      <c r="D512" s="25"/>
      <c r="E512" s="25"/>
      <c r="F512" s="25"/>
      <c r="G512" s="25"/>
      <c r="H512" s="25"/>
      <c r="I512" s="25"/>
      <c r="J512" s="25"/>
      <c r="K512" s="25"/>
      <c r="L512" s="25"/>
      <c r="M512" s="42" t="s">
        <v>253</v>
      </c>
      <c r="N512" s="41">
        <v>44978</v>
      </c>
      <c r="O512" s="25">
        <v>329</v>
      </c>
      <c r="P512" s="25">
        <v>0</v>
      </c>
      <c r="Q512" s="25"/>
      <c r="R512" s="25"/>
      <c r="S512" s="25"/>
      <c r="T512" s="10"/>
    </row>
    <row r="513" s="35" customFormat="1" ht="18.5" customHeight="1" spans="1:20">
      <c r="A513" s="16" t="s">
        <v>251</v>
      </c>
      <c r="B513" s="41">
        <v>45294</v>
      </c>
      <c r="C513" s="25">
        <v>4</v>
      </c>
      <c r="D513" s="25"/>
      <c r="E513" s="25"/>
      <c r="F513" s="25"/>
      <c r="G513" s="25"/>
      <c r="H513" s="25"/>
      <c r="I513" s="25"/>
      <c r="J513" s="25"/>
      <c r="K513" s="25"/>
      <c r="L513" s="25"/>
      <c r="M513" s="42" t="s">
        <v>253</v>
      </c>
      <c r="N513" s="41">
        <v>45086</v>
      </c>
      <c r="O513" s="25">
        <v>328</v>
      </c>
      <c r="P513" s="25">
        <v>0</v>
      </c>
      <c r="Q513" s="25"/>
      <c r="R513" s="25"/>
      <c r="S513" s="25"/>
      <c r="T513" s="10"/>
    </row>
    <row r="514" s="35" customFormat="1" ht="18.5" customHeight="1" spans="1:20">
      <c r="A514" s="16" t="s">
        <v>251</v>
      </c>
      <c r="B514" s="41">
        <v>44678</v>
      </c>
      <c r="C514" s="25">
        <v>1</v>
      </c>
      <c r="D514" s="25"/>
      <c r="E514" s="25"/>
      <c r="F514" s="25"/>
      <c r="G514" s="25"/>
      <c r="H514" s="25"/>
      <c r="I514" s="25"/>
      <c r="J514" s="25"/>
      <c r="K514" s="25"/>
      <c r="L514" s="25"/>
      <c r="M514" s="42" t="s">
        <v>253</v>
      </c>
      <c r="N514" s="41">
        <v>45041</v>
      </c>
      <c r="O514" s="25">
        <v>326</v>
      </c>
      <c r="P514" s="25">
        <v>0</v>
      </c>
      <c r="Q514" s="25"/>
      <c r="R514" s="25"/>
      <c r="S514" s="25"/>
      <c r="T514" s="10"/>
    </row>
    <row r="515" s="35" customFormat="1" ht="18.5" customHeight="1" spans="1:20">
      <c r="A515" s="16" t="s">
        <v>251</v>
      </c>
      <c r="B515" s="41">
        <v>44483</v>
      </c>
      <c r="C515" s="25">
        <v>2</v>
      </c>
      <c r="D515" s="25"/>
      <c r="E515" s="25"/>
      <c r="F515" s="25"/>
      <c r="G515" s="25"/>
      <c r="H515" s="25"/>
      <c r="I515" s="25"/>
      <c r="J515" s="25"/>
      <c r="K515" s="25"/>
      <c r="L515" s="25"/>
      <c r="M515" s="42" t="s">
        <v>253</v>
      </c>
      <c r="N515" s="41">
        <v>45044</v>
      </c>
      <c r="O515" s="25">
        <v>325</v>
      </c>
      <c r="P515" s="25">
        <v>0</v>
      </c>
      <c r="Q515" s="25"/>
      <c r="R515" s="25"/>
      <c r="S515" s="25"/>
      <c r="T515" s="10"/>
    </row>
    <row r="516" s="35" customFormat="1" ht="18.5" customHeight="1" spans="1:20">
      <c r="A516" s="16" t="s">
        <v>251</v>
      </c>
      <c r="B516" s="41">
        <v>45129</v>
      </c>
      <c r="C516" s="25">
        <v>5</v>
      </c>
      <c r="D516" s="25"/>
      <c r="E516" s="25"/>
      <c r="F516" s="25"/>
      <c r="G516" s="25"/>
      <c r="H516" s="25"/>
      <c r="I516" s="25"/>
      <c r="J516" s="25"/>
      <c r="K516" s="25"/>
      <c r="L516" s="25"/>
      <c r="M516" s="42" t="s">
        <v>253</v>
      </c>
      <c r="N516" s="41">
        <v>45012</v>
      </c>
      <c r="O516" s="25">
        <v>325</v>
      </c>
      <c r="P516" s="25">
        <v>0</v>
      </c>
      <c r="Q516" s="25"/>
      <c r="R516" s="25"/>
      <c r="S516" s="25"/>
      <c r="T516" s="10"/>
    </row>
    <row r="517" s="35" customFormat="1" ht="18.5" customHeight="1" spans="1:20">
      <c r="A517" s="16" t="s">
        <v>251</v>
      </c>
      <c r="B517" s="41">
        <v>45294</v>
      </c>
      <c r="C517" s="25">
        <v>4</v>
      </c>
      <c r="D517" s="25"/>
      <c r="E517" s="25"/>
      <c r="F517" s="25"/>
      <c r="G517" s="25"/>
      <c r="H517" s="25"/>
      <c r="I517" s="25"/>
      <c r="J517" s="25"/>
      <c r="K517" s="25"/>
      <c r="L517" s="25"/>
      <c r="M517" s="42" t="s">
        <v>253</v>
      </c>
      <c r="N517" s="41">
        <v>45006</v>
      </c>
      <c r="O517" s="25">
        <v>323</v>
      </c>
      <c r="P517" s="25">
        <v>0</v>
      </c>
      <c r="Q517" s="25"/>
      <c r="R517" s="25"/>
      <c r="S517" s="25"/>
      <c r="T517" s="10"/>
    </row>
    <row r="518" s="35" customFormat="1" ht="18.5" customHeight="1" spans="1:20">
      <c r="A518" s="16" t="s">
        <v>251</v>
      </c>
      <c r="B518" s="41">
        <v>44481</v>
      </c>
      <c r="C518" s="25">
        <v>0</v>
      </c>
      <c r="D518" s="25"/>
      <c r="E518" s="25"/>
      <c r="F518" s="25"/>
      <c r="G518" s="25"/>
      <c r="H518" s="25"/>
      <c r="I518" s="25"/>
      <c r="J518" s="25"/>
      <c r="K518" s="25"/>
      <c r="L518" s="25"/>
      <c r="M518" s="42" t="s">
        <v>253</v>
      </c>
      <c r="N518" s="41">
        <v>44930</v>
      </c>
      <c r="O518" s="25">
        <v>323</v>
      </c>
      <c r="P518" s="25">
        <v>0</v>
      </c>
      <c r="Q518" s="25"/>
      <c r="R518" s="25"/>
      <c r="S518" s="25"/>
      <c r="T518" s="10"/>
    </row>
    <row r="519" s="35" customFormat="1" ht="18.5" customHeight="1" spans="1:20">
      <c r="A519" s="16" t="s">
        <v>251</v>
      </c>
      <c r="B519" s="41">
        <v>44559</v>
      </c>
      <c r="C519" s="25">
        <v>0</v>
      </c>
      <c r="D519" s="25"/>
      <c r="E519" s="25"/>
      <c r="F519" s="25"/>
      <c r="G519" s="25"/>
      <c r="H519" s="25"/>
      <c r="I519" s="25"/>
      <c r="J519" s="25"/>
      <c r="K519" s="25"/>
      <c r="L519" s="25"/>
      <c r="M519" s="42" t="s">
        <v>253</v>
      </c>
      <c r="N519" s="41">
        <v>45267</v>
      </c>
      <c r="O519" s="25">
        <v>321</v>
      </c>
      <c r="P519" s="25">
        <v>0</v>
      </c>
      <c r="Q519" s="25"/>
      <c r="R519" s="25"/>
      <c r="S519" s="25"/>
      <c r="T519" s="10"/>
    </row>
    <row r="520" s="35" customFormat="1" ht="18.5" customHeight="1" spans="1:20">
      <c r="A520" s="16" t="s">
        <v>251</v>
      </c>
      <c r="B520" s="41">
        <v>44329</v>
      </c>
      <c r="C520" s="25">
        <v>0</v>
      </c>
      <c r="D520" s="25"/>
      <c r="E520" s="25"/>
      <c r="F520" s="25"/>
      <c r="G520" s="25"/>
      <c r="H520" s="25"/>
      <c r="I520" s="25"/>
      <c r="J520" s="25"/>
      <c r="K520" s="25"/>
      <c r="L520" s="25"/>
      <c r="M520" s="42" t="s">
        <v>253</v>
      </c>
      <c r="N520" s="41">
        <v>45069</v>
      </c>
      <c r="O520" s="25">
        <v>320</v>
      </c>
      <c r="P520" s="25">
        <v>0</v>
      </c>
      <c r="Q520" s="25"/>
      <c r="R520" s="25"/>
      <c r="S520" s="25"/>
      <c r="T520" s="10"/>
    </row>
    <row r="521" s="35" customFormat="1" ht="18.5" customHeight="1" spans="1:20">
      <c r="A521" s="16" t="s">
        <v>251</v>
      </c>
      <c r="B521" s="41">
        <v>44497</v>
      </c>
      <c r="C521" s="25">
        <v>0</v>
      </c>
      <c r="D521" s="25"/>
      <c r="E521" s="25"/>
      <c r="F521" s="25"/>
      <c r="G521" s="25"/>
      <c r="H521" s="25"/>
      <c r="I521" s="25"/>
      <c r="J521" s="25"/>
      <c r="K521" s="25"/>
      <c r="L521" s="25"/>
      <c r="M521" s="42" t="s">
        <v>253</v>
      </c>
      <c r="N521" s="41">
        <v>45051</v>
      </c>
      <c r="O521" s="25">
        <v>320</v>
      </c>
      <c r="P521" s="25">
        <v>0</v>
      </c>
      <c r="Q521" s="25"/>
      <c r="R521" s="25"/>
      <c r="S521" s="25"/>
      <c r="T521" s="10"/>
    </row>
    <row r="522" s="35" customFormat="1" ht="18.5" customHeight="1" spans="1:20">
      <c r="A522" s="16" t="s">
        <v>251</v>
      </c>
      <c r="B522" s="41">
        <v>44372</v>
      </c>
      <c r="C522" s="25">
        <v>3</v>
      </c>
      <c r="D522" s="25"/>
      <c r="E522" s="25"/>
      <c r="F522" s="25"/>
      <c r="G522" s="25"/>
      <c r="H522" s="25"/>
      <c r="I522" s="25"/>
      <c r="J522" s="25"/>
      <c r="K522" s="25"/>
      <c r="L522" s="25"/>
      <c r="M522" s="42" t="s">
        <v>253</v>
      </c>
      <c r="N522" s="41">
        <v>45264</v>
      </c>
      <c r="O522" s="25">
        <v>320</v>
      </c>
      <c r="P522" s="25">
        <v>0</v>
      </c>
      <c r="Q522" s="25"/>
      <c r="R522" s="25"/>
      <c r="S522" s="25"/>
      <c r="T522" s="10"/>
    </row>
    <row r="523" s="35" customFormat="1" ht="18.5" customHeight="1" spans="1:20">
      <c r="A523" s="16" t="s">
        <v>251</v>
      </c>
      <c r="B523" s="41">
        <v>44432</v>
      </c>
      <c r="C523" s="25">
        <v>2</v>
      </c>
      <c r="D523" s="25"/>
      <c r="E523" s="25"/>
      <c r="F523" s="25"/>
      <c r="G523" s="25"/>
      <c r="H523" s="25"/>
      <c r="I523" s="25"/>
      <c r="J523" s="25"/>
      <c r="K523" s="25"/>
      <c r="L523" s="25"/>
      <c r="M523" s="42" t="s">
        <v>253</v>
      </c>
      <c r="N523" s="41">
        <v>45000</v>
      </c>
      <c r="O523" s="25">
        <v>319</v>
      </c>
      <c r="P523" s="25">
        <v>0</v>
      </c>
      <c r="Q523" s="25"/>
      <c r="R523" s="25"/>
      <c r="S523" s="25"/>
      <c r="T523" s="10"/>
    </row>
    <row r="524" s="35" customFormat="1" ht="18.5" customHeight="1" spans="1:20">
      <c r="A524" s="16" t="s">
        <v>251</v>
      </c>
      <c r="B524" s="41">
        <v>45128</v>
      </c>
      <c r="C524" s="25">
        <v>5</v>
      </c>
      <c r="D524" s="25"/>
      <c r="E524" s="25"/>
      <c r="F524" s="25"/>
      <c r="G524" s="25"/>
      <c r="H524" s="25"/>
      <c r="I524" s="25"/>
      <c r="J524" s="25"/>
      <c r="K524" s="25"/>
      <c r="L524" s="25"/>
      <c r="M524" s="42" t="s">
        <v>253</v>
      </c>
      <c r="N524" s="41">
        <v>44939</v>
      </c>
      <c r="O524" s="25">
        <v>319</v>
      </c>
      <c r="P524" s="25">
        <v>0</v>
      </c>
      <c r="Q524" s="25"/>
      <c r="R524" s="25"/>
      <c r="S524" s="25"/>
      <c r="T524" s="10"/>
    </row>
    <row r="525" s="35" customFormat="1" ht="18.5" customHeight="1" spans="1:20">
      <c r="A525" s="16" t="s">
        <v>251</v>
      </c>
      <c r="B525" s="41">
        <v>45294</v>
      </c>
      <c r="C525" s="25">
        <v>3</v>
      </c>
      <c r="D525" s="25"/>
      <c r="E525" s="25"/>
      <c r="F525" s="25"/>
      <c r="G525" s="25"/>
      <c r="H525" s="25"/>
      <c r="I525" s="25"/>
      <c r="J525" s="25"/>
      <c r="K525" s="25"/>
      <c r="L525" s="25"/>
      <c r="M525" s="42" t="s">
        <v>253</v>
      </c>
      <c r="N525" s="41">
        <v>45218</v>
      </c>
      <c r="O525" s="25">
        <v>319</v>
      </c>
      <c r="P525" s="25">
        <v>0</v>
      </c>
      <c r="Q525" s="25"/>
      <c r="R525" s="25"/>
      <c r="S525" s="25"/>
      <c r="T525" s="10"/>
    </row>
    <row r="526" s="35" customFormat="1" ht="18.5" customHeight="1" spans="1:20">
      <c r="A526" s="16" t="s">
        <v>251</v>
      </c>
      <c r="B526" s="41">
        <v>44348</v>
      </c>
      <c r="C526" s="25">
        <v>5</v>
      </c>
      <c r="D526" s="25"/>
      <c r="E526" s="25"/>
      <c r="F526" s="25"/>
      <c r="G526" s="25"/>
      <c r="H526" s="25"/>
      <c r="I526" s="25"/>
      <c r="J526" s="25"/>
      <c r="K526" s="25"/>
      <c r="L526" s="25"/>
      <c r="M526" s="42" t="s">
        <v>253</v>
      </c>
      <c r="N526" s="41">
        <v>45022</v>
      </c>
      <c r="O526" s="25">
        <v>319</v>
      </c>
      <c r="P526" s="25">
        <v>0</v>
      </c>
      <c r="Q526" s="25"/>
      <c r="R526" s="25"/>
      <c r="S526" s="25"/>
      <c r="T526" s="10"/>
    </row>
    <row r="527" s="35" customFormat="1" ht="18.5" customHeight="1" spans="1:20">
      <c r="A527" s="16" t="s">
        <v>251</v>
      </c>
      <c r="B527" s="41">
        <v>45131</v>
      </c>
      <c r="C527" s="25">
        <v>3</v>
      </c>
      <c r="D527" s="25"/>
      <c r="E527" s="25"/>
      <c r="F527" s="25"/>
      <c r="G527" s="25"/>
      <c r="H527" s="25"/>
      <c r="I527" s="25"/>
      <c r="J527" s="25"/>
      <c r="K527" s="25"/>
      <c r="L527" s="25"/>
      <c r="M527" s="42" t="s">
        <v>253</v>
      </c>
      <c r="N527" s="41">
        <v>45019</v>
      </c>
      <c r="O527" s="25">
        <v>318</v>
      </c>
      <c r="P527" s="25">
        <v>0</v>
      </c>
      <c r="Q527" s="25"/>
      <c r="R527" s="25"/>
      <c r="S527" s="25"/>
      <c r="T527" s="10"/>
    </row>
    <row r="528" s="35" customFormat="1" ht="18.5" customHeight="1" spans="1:20">
      <c r="A528" s="16" t="s">
        <v>251</v>
      </c>
      <c r="B528" s="41">
        <v>45276</v>
      </c>
      <c r="C528" s="25">
        <v>5</v>
      </c>
      <c r="D528" s="25"/>
      <c r="E528" s="25"/>
      <c r="F528" s="25"/>
      <c r="G528" s="25"/>
      <c r="H528" s="25"/>
      <c r="I528" s="25"/>
      <c r="J528" s="25"/>
      <c r="K528" s="25"/>
      <c r="L528" s="25"/>
      <c r="M528" s="42" t="s">
        <v>253</v>
      </c>
      <c r="N528" s="41">
        <v>45018</v>
      </c>
      <c r="O528" s="25">
        <v>318</v>
      </c>
      <c r="P528" s="25">
        <v>0</v>
      </c>
      <c r="Q528" s="25"/>
      <c r="R528" s="25"/>
      <c r="S528" s="25"/>
      <c r="T528" s="10"/>
    </row>
    <row r="529" s="35" customFormat="1" ht="18.5" customHeight="1" spans="1:20">
      <c r="A529" s="16" t="s">
        <v>251</v>
      </c>
      <c r="B529" s="41">
        <v>45276</v>
      </c>
      <c r="C529" s="25">
        <v>3</v>
      </c>
      <c r="D529" s="25"/>
      <c r="E529" s="25"/>
      <c r="F529" s="25"/>
      <c r="G529" s="25"/>
      <c r="H529" s="25"/>
      <c r="I529" s="25"/>
      <c r="J529" s="25"/>
      <c r="K529" s="25"/>
      <c r="L529" s="25"/>
      <c r="M529" s="42" t="s">
        <v>253</v>
      </c>
      <c r="N529" s="41">
        <v>44942</v>
      </c>
      <c r="O529" s="25">
        <v>317</v>
      </c>
      <c r="P529" s="25">
        <v>0</v>
      </c>
      <c r="Q529" s="25"/>
      <c r="R529" s="25"/>
      <c r="S529" s="25"/>
      <c r="T529" s="10"/>
    </row>
    <row r="530" s="35" customFormat="1" ht="18.5" customHeight="1" spans="1:20">
      <c r="A530" s="16" t="s">
        <v>251</v>
      </c>
      <c r="B530" s="41">
        <v>44441</v>
      </c>
      <c r="C530" s="25">
        <v>0</v>
      </c>
      <c r="D530" s="25"/>
      <c r="E530" s="25"/>
      <c r="F530" s="25"/>
      <c r="G530" s="25"/>
      <c r="H530" s="25"/>
      <c r="I530" s="25"/>
      <c r="J530" s="25"/>
      <c r="K530" s="25"/>
      <c r="L530" s="25"/>
      <c r="M530" s="42" t="s">
        <v>253</v>
      </c>
      <c r="N530" s="41">
        <v>45242</v>
      </c>
      <c r="O530" s="25">
        <v>316</v>
      </c>
      <c r="P530" s="25">
        <v>0</v>
      </c>
      <c r="Q530" s="25"/>
      <c r="R530" s="25"/>
      <c r="S530" s="25"/>
      <c r="T530" s="10"/>
    </row>
    <row r="531" s="35" customFormat="1" ht="18.5" customHeight="1" spans="1:20">
      <c r="A531" s="16" t="s">
        <v>251</v>
      </c>
      <c r="B531" s="41">
        <v>45176</v>
      </c>
      <c r="C531" s="25">
        <v>3</v>
      </c>
      <c r="D531" s="25"/>
      <c r="E531" s="25"/>
      <c r="F531" s="25"/>
      <c r="G531" s="25"/>
      <c r="H531" s="25"/>
      <c r="I531" s="25"/>
      <c r="J531" s="25"/>
      <c r="K531" s="25"/>
      <c r="L531" s="25"/>
      <c r="M531" s="42" t="s">
        <v>253</v>
      </c>
      <c r="N531" s="41">
        <v>45061</v>
      </c>
      <c r="O531" s="25">
        <v>316</v>
      </c>
      <c r="P531" s="25">
        <v>0</v>
      </c>
      <c r="Q531" s="25"/>
      <c r="R531" s="25"/>
      <c r="S531" s="25"/>
      <c r="T531" s="10"/>
    </row>
    <row r="532" s="35" customFormat="1" ht="18.5" customHeight="1" spans="1:20">
      <c r="A532" s="16" t="s">
        <v>251</v>
      </c>
      <c r="B532" s="41">
        <v>44469</v>
      </c>
      <c r="C532" s="25">
        <v>2</v>
      </c>
      <c r="D532" s="25"/>
      <c r="E532" s="25"/>
      <c r="F532" s="25"/>
      <c r="G532" s="25"/>
      <c r="H532" s="25"/>
      <c r="I532" s="25"/>
      <c r="J532" s="25"/>
      <c r="K532" s="25"/>
      <c r="L532" s="25"/>
      <c r="M532" s="42" t="s">
        <v>253</v>
      </c>
      <c r="N532" s="41">
        <v>45049</v>
      </c>
      <c r="O532" s="25">
        <v>316</v>
      </c>
      <c r="P532" s="25">
        <v>0</v>
      </c>
      <c r="Q532" s="25"/>
      <c r="R532" s="25"/>
      <c r="S532" s="25"/>
      <c r="T532" s="10"/>
    </row>
    <row r="533" s="35" customFormat="1" ht="18.5" customHeight="1" spans="1:20">
      <c r="A533" s="16" t="s">
        <v>251</v>
      </c>
      <c r="B533" s="41">
        <v>45130</v>
      </c>
      <c r="C533" s="25">
        <v>4</v>
      </c>
      <c r="D533" s="25"/>
      <c r="E533" s="25"/>
      <c r="F533" s="25"/>
      <c r="G533" s="25"/>
      <c r="H533" s="25"/>
      <c r="I533" s="25"/>
      <c r="J533" s="25"/>
      <c r="K533" s="25"/>
      <c r="L533" s="25"/>
      <c r="M533" s="42" t="s">
        <v>253</v>
      </c>
      <c r="N533" s="41">
        <v>45228</v>
      </c>
      <c r="O533" s="25">
        <v>316</v>
      </c>
      <c r="P533" s="25">
        <v>0</v>
      </c>
      <c r="Q533" s="25"/>
      <c r="R533" s="25"/>
      <c r="S533" s="25"/>
      <c r="T533" s="10"/>
    </row>
    <row r="534" s="35" customFormat="1" ht="18.5" customHeight="1" spans="1:20">
      <c r="A534" s="16" t="s">
        <v>251</v>
      </c>
      <c r="B534" s="41">
        <v>45276</v>
      </c>
      <c r="C534" s="25">
        <v>1</v>
      </c>
      <c r="D534" s="25"/>
      <c r="E534" s="25"/>
      <c r="F534" s="25"/>
      <c r="G534" s="25"/>
      <c r="H534" s="25"/>
      <c r="I534" s="25"/>
      <c r="J534" s="25"/>
      <c r="K534" s="25"/>
      <c r="L534" s="25"/>
      <c r="M534" s="42" t="s">
        <v>253</v>
      </c>
      <c r="N534" s="41">
        <v>45144</v>
      </c>
      <c r="O534" s="25">
        <v>314</v>
      </c>
      <c r="P534" s="25">
        <v>0</v>
      </c>
      <c r="Q534" s="25"/>
      <c r="R534" s="25"/>
      <c r="S534" s="25"/>
      <c r="T534" s="10"/>
    </row>
    <row r="535" s="35" customFormat="1" ht="18.5" customHeight="1" spans="1:20">
      <c r="A535" s="16" t="s">
        <v>251</v>
      </c>
      <c r="B535" s="41">
        <v>45131</v>
      </c>
      <c r="C535" s="25">
        <v>3</v>
      </c>
      <c r="D535" s="25"/>
      <c r="E535" s="25"/>
      <c r="F535" s="25"/>
      <c r="G535" s="25"/>
      <c r="H535" s="25"/>
      <c r="I535" s="25"/>
      <c r="J535" s="25"/>
      <c r="K535" s="25"/>
      <c r="L535" s="25"/>
      <c r="M535" s="42" t="s">
        <v>253</v>
      </c>
      <c r="N535" s="41">
        <v>45007</v>
      </c>
      <c r="O535" s="25">
        <v>314</v>
      </c>
      <c r="P535" s="25">
        <v>0</v>
      </c>
      <c r="Q535" s="25"/>
      <c r="R535" s="25"/>
      <c r="S535" s="25"/>
      <c r="T535" s="10"/>
    </row>
    <row r="536" s="35" customFormat="1" ht="18.5" customHeight="1" spans="1:20">
      <c r="A536" s="16" t="s">
        <v>251</v>
      </c>
      <c r="B536" s="41">
        <v>44519</v>
      </c>
      <c r="C536" s="25">
        <v>2</v>
      </c>
      <c r="D536" s="25"/>
      <c r="E536" s="25"/>
      <c r="F536" s="25"/>
      <c r="G536" s="25"/>
      <c r="H536" s="25"/>
      <c r="I536" s="25"/>
      <c r="J536" s="25"/>
      <c r="K536" s="25"/>
      <c r="L536" s="25"/>
      <c r="M536" s="42" t="s">
        <v>253</v>
      </c>
      <c r="N536" s="41">
        <v>44988</v>
      </c>
      <c r="O536" s="25">
        <v>314</v>
      </c>
      <c r="P536" s="25">
        <v>0</v>
      </c>
      <c r="Q536" s="25"/>
      <c r="R536" s="25"/>
      <c r="S536" s="25"/>
      <c r="T536" s="10"/>
    </row>
    <row r="537" s="35" customFormat="1" ht="18.5" customHeight="1" spans="1:20">
      <c r="A537" s="16" t="s">
        <v>251</v>
      </c>
      <c r="B537" s="41">
        <v>44421</v>
      </c>
      <c r="C537" s="25">
        <v>2</v>
      </c>
      <c r="D537" s="25"/>
      <c r="E537" s="25"/>
      <c r="F537" s="25"/>
      <c r="G537" s="25"/>
      <c r="H537" s="25"/>
      <c r="I537" s="25"/>
      <c r="J537" s="25"/>
      <c r="K537" s="25"/>
      <c r="L537" s="25"/>
      <c r="M537" s="42" t="s">
        <v>253</v>
      </c>
      <c r="N537" s="41">
        <v>44933</v>
      </c>
      <c r="O537" s="25">
        <v>314</v>
      </c>
      <c r="P537" s="25">
        <v>0</v>
      </c>
      <c r="Q537" s="25"/>
      <c r="R537" s="25"/>
      <c r="S537" s="25"/>
      <c r="T537" s="10"/>
    </row>
    <row r="538" s="35" customFormat="1" ht="18.5" customHeight="1" spans="1:20">
      <c r="A538" s="16" t="s">
        <v>251</v>
      </c>
      <c r="B538" s="41">
        <v>44352</v>
      </c>
      <c r="C538" s="25">
        <v>1</v>
      </c>
      <c r="D538" s="25"/>
      <c r="E538" s="25"/>
      <c r="F538" s="25"/>
      <c r="G538" s="25"/>
      <c r="H538" s="25"/>
      <c r="I538" s="25"/>
      <c r="J538" s="25"/>
      <c r="K538" s="25"/>
      <c r="L538" s="25"/>
      <c r="M538" s="42" t="s">
        <v>253</v>
      </c>
      <c r="N538" s="41">
        <v>45238</v>
      </c>
      <c r="O538" s="25">
        <v>313</v>
      </c>
      <c r="P538" s="25">
        <v>0</v>
      </c>
      <c r="Q538" s="25"/>
      <c r="R538" s="25"/>
      <c r="S538" s="25"/>
      <c r="T538" s="10"/>
    </row>
    <row r="539" s="35" customFormat="1" ht="18.5" customHeight="1" spans="1:20">
      <c r="A539" s="16" t="s">
        <v>251</v>
      </c>
      <c r="B539" s="41">
        <v>44466</v>
      </c>
      <c r="C539" s="25">
        <v>2</v>
      </c>
      <c r="D539" s="25"/>
      <c r="E539" s="25"/>
      <c r="F539" s="25"/>
      <c r="G539" s="25"/>
      <c r="H539" s="25"/>
      <c r="I539" s="25"/>
      <c r="J539" s="25"/>
      <c r="K539" s="25"/>
      <c r="L539" s="25"/>
      <c r="M539" s="42" t="s">
        <v>253</v>
      </c>
      <c r="N539" s="41">
        <v>44993</v>
      </c>
      <c r="O539" s="25">
        <v>313</v>
      </c>
      <c r="P539" s="25">
        <v>0</v>
      </c>
      <c r="Q539" s="25"/>
      <c r="R539" s="25"/>
      <c r="S539" s="25"/>
      <c r="T539" s="10"/>
    </row>
    <row r="540" s="35" customFormat="1" ht="18.5" customHeight="1" spans="1:20">
      <c r="A540" s="16" t="s">
        <v>251</v>
      </c>
      <c r="B540" s="41">
        <v>44460</v>
      </c>
      <c r="C540" s="25">
        <v>2</v>
      </c>
      <c r="D540" s="25"/>
      <c r="E540" s="25"/>
      <c r="F540" s="25"/>
      <c r="G540" s="25"/>
      <c r="H540" s="25"/>
      <c r="I540" s="25"/>
      <c r="J540" s="25"/>
      <c r="K540" s="25"/>
      <c r="L540" s="25"/>
      <c r="M540" s="42" t="s">
        <v>253</v>
      </c>
      <c r="N540" s="41">
        <v>45153</v>
      </c>
      <c r="O540" s="25">
        <v>312</v>
      </c>
      <c r="P540" s="25">
        <v>0</v>
      </c>
      <c r="Q540" s="25"/>
      <c r="R540" s="25"/>
      <c r="S540" s="25"/>
      <c r="T540" s="10"/>
    </row>
    <row r="541" s="35" customFormat="1" ht="18.5" customHeight="1" spans="1:20">
      <c r="A541" s="16" t="s">
        <v>251</v>
      </c>
      <c r="B541" s="41">
        <v>44499</v>
      </c>
      <c r="C541" s="25">
        <v>1</v>
      </c>
      <c r="D541" s="25"/>
      <c r="E541" s="25"/>
      <c r="F541" s="25"/>
      <c r="G541" s="25"/>
      <c r="H541" s="25"/>
      <c r="I541" s="25"/>
      <c r="J541" s="25"/>
      <c r="K541" s="25"/>
      <c r="L541" s="25"/>
      <c r="M541" s="42" t="s">
        <v>253</v>
      </c>
      <c r="N541" s="41">
        <v>44940</v>
      </c>
      <c r="O541" s="25">
        <v>311</v>
      </c>
      <c r="P541" s="25">
        <v>0</v>
      </c>
      <c r="Q541" s="25"/>
      <c r="R541" s="25"/>
      <c r="S541" s="25"/>
      <c r="T541" s="10"/>
    </row>
    <row r="542" s="35" customFormat="1" ht="18.5" customHeight="1" spans="1:20">
      <c r="A542" s="16" t="s">
        <v>251</v>
      </c>
      <c r="B542" s="41">
        <v>45280</v>
      </c>
      <c r="C542" s="25">
        <v>3</v>
      </c>
      <c r="D542" s="25"/>
      <c r="E542" s="25"/>
      <c r="F542" s="25"/>
      <c r="G542" s="25"/>
      <c r="H542" s="25"/>
      <c r="I542" s="25"/>
      <c r="J542" s="25"/>
      <c r="K542" s="25"/>
      <c r="L542" s="25"/>
      <c r="M542" s="42" t="s">
        <v>253</v>
      </c>
      <c r="N542" s="41">
        <v>45210</v>
      </c>
      <c r="O542" s="25">
        <v>310</v>
      </c>
      <c r="P542" s="25">
        <v>0</v>
      </c>
      <c r="Q542" s="25"/>
      <c r="R542" s="25"/>
      <c r="S542" s="25"/>
      <c r="T542" s="10"/>
    </row>
    <row r="543" s="35" customFormat="1" ht="18.5" customHeight="1" spans="1:20">
      <c r="A543" s="16" t="s">
        <v>251</v>
      </c>
      <c r="B543" s="41">
        <v>44553</v>
      </c>
      <c r="C543" s="25">
        <v>0</v>
      </c>
      <c r="D543" s="25"/>
      <c r="E543" s="25"/>
      <c r="F543" s="25"/>
      <c r="G543" s="25"/>
      <c r="H543" s="25"/>
      <c r="I543" s="25"/>
      <c r="J543" s="25"/>
      <c r="K543" s="25"/>
      <c r="L543" s="25"/>
      <c r="M543" s="42" t="s">
        <v>253</v>
      </c>
      <c r="N543" s="41">
        <v>45076</v>
      </c>
      <c r="O543" s="25">
        <v>310</v>
      </c>
      <c r="P543" s="25">
        <v>0</v>
      </c>
      <c r="Q543" s="25"/>
      <c r="R543" s="25"/>
      <c r="S543" s="25"/>
      <c r="T543" s="10"/>
    </row>
    <row r="544" s="35" customFormat="1" ht="18.5" customHeight="1" spans="1:20">
      <c r="A544" s="16" t="s">
        <v>251</v>
      </c>
      <c r="B544" s="41">
        <v>44348</v>
      </c>
      <c r="C544" s="25">
        <v>4</v>
      </c>
      <c r="D544" s="25"/>
      <c r="E544" s="25"/>
      <c r="F544" s="25"/>
      <c r="G544" s="25"/>
      <c r="H544" s="25"/>
      <c r="I544" s="25"/>
      <c r="J544" s="25"/>
      <c r="K544" s="25"/>
      <c r="L544" s="25"/>
      <c r="M544" s="42" t="s">
        <v>253</v>
      </c>
      <c r="N544" s="41">
        <v>45241</v>
      </c>
      <c r="O544" s="25">
        <v>310</v>
      </c>
      <c r="P544" s="25">
        <v>0</v>
      </c>
      <c r="Q544" s="25"/>
      <c r="R544" s="25"/>
      <c r="S544" s="25"/>
      <c r="T544" s="10"/>
    </row>
    <row r="545" s="35" customFormat="1" ht="18.5" customHeight="1" spans="1:20">
      <c r="A545" s="16" t="s">
        <v>251</v>
      </c>
      <c r="B545" s="41">
        <v>44494</v>
      </c>
      <c r="C545" s="25">
        <v>0</v>
      </c>
      <c r="D545" s="25"/>
      <c r="E545" s="25"/>
      <c r="F545" s="25"/>
      <c r="G545" s="25"/>
      <c r="H545" s="25"/>
      <c r="I545" s="25"/>
      <c r="J545" s="25"/>
      <c r="K545" s="25"/>
      <c r="L545" s="25"/>
      <c r="M545" s="42" t="s">
        <v>253</v>
      </c>
      <c r="N545" s="41">
        <v>44946</v>
      </c>
      <c r="O545" s="25">
        <v>309</v>
      </c>
      <c r="P545" s="25">
        <v>0</v>
      </c>
      <c r="Q545" s="25"/>
      <c r="R545" s="25"/>
      <c r="S545" s="25"/>
      <c r="T545" s="10"/>
    </row>
    <row r="546" s="35" customFormat="1" ht="18.5" customHeight="1" spans="1:20">
      <c r="A546" s="16" t="s">
        <v>251</v>
      </c>
      <c r="B546" s="41">
        <v>45294</v>
      </c>
      <c r="C546" s="25">
        <v>3</v>
      </c>
      <c r="D546" s="25"/>
      <c r="E546" s="25"/>
      <c r="F546" s="25"/>
      <c r="G546" s="25"/>
      <c r="H546" s="25"/>
      <c r="I546" s="25"/>
      <c r="J546" s="25"/>
      <c r="K546" s="25"/>
      <c r="L546" s="25"/>
      <c r="M546" s="42" t="s">
        <v>253</v>
      </c>
      <c r="N546" s="41">
        <v>45260</v>
      </c>
      <c r="O546" s="25">
        <v>307</v>
      </c>
      <c r="P546" s="25">
        <v>0</v>
      </c>
      <c r="Q546" s="25"/>
      <c r="R546" s="25"/>
      <c r="S546" s="25"/>
      <c r="T546" s="10"/>
    </row>
    <row r="547" s="35" customFormat="1" ht="18.5" customHeight="1" spans="1:20">
      <c r="A547" s="16" t="s">
        <v>251</v>
      </c>
      <c r="B547" s="41">
        <v>45279</v>
      </c>
      <c r="C547" s="25">
        <v>6</v>
      </c>
      <c r="D547" s="25"/>
      <c r="E547" s="25"/>
      <c r="F547" s="25"/>
      <c r="G547" s="25"/>
      <c r="H547" s="25"/>
      <c r="I547" s="25"/>
      <c r="J547" s="25"/>
      <c r="K547" s="25"/>
      <c r="L547" s="25"/>
      <c r="M547" s="42" t="s">
        <v>253</v>
      </c>
      <c r="N547" s="41">
        <v>45133</v>
      </c>
      <c r="O547" s="25">
        <v>306</v>
      </c>
      <c r="P547" s="25">
        <v>0</v>
      </c>
      <c r="Q547" s="25"/>
      <c r="R547" s="25"/>
      <c r="S547" s="25"/>
      <c r="T547" s="10"/>
    </row>
    <row r="548" s="35" customFormat="1" ht="18.5" customHeight="1" spans="1:20">
      <c r="A548" s="16" t="s">
        <v>251</v>
      </c>
      <c r="B548" s="41">
        <v>45295</v>
      </c>
      <c r="C548" s="25">
        <v>2</v>
      </c>
      <c r="D548" s="25"/>
      <c r="E548" s="25"/>
      <c r="F548" s="25"/>
      <c r="G548" s="25"/>
      <c r="H548" s="25"/>
      <c r="I548" s="25"/>
      <c r="J548" s="25"/>
      <c r="K548" s="25"/>
      <c r="L548" s="25"/>
      <c r="M548" s="42" t="s">
        <v>253</v>
      </c>
      <c r="N548" s="41">
        <v>45046</v>
      </c>
      <c r="O548" s="25">
        <v>306</v>
      </c>
      <c r="P548" s="25">
        <v>0</v>
      </c>
      <c r="Q548" s="25"/>
      <c r="R548" s="25"/>
      <c r="S548" s="25"/>
      <c r="T548" s="10"/>
    </row>
    <row r="549" s="35" customFormat="1" ht="18.5" customHeight="1" spans="1:20">
      <c r="A549" s="16" t="s">
        <v>251</v>
      </c>
      <c r="B549" s="41">
        <v>44472</v>
      </c>
      <c r="C549" s="25">
        <v>3</v>
      </c>
      <c r="D549" s="25"/>
      <c r="E549" s="25"/>
      <c r="F549" s="25"/>
      <c r="G549" s="25"/>
      <c r="H549" s="25"/>
      <c r="I549" s="25"/>
      <c r="J549" s="25"/>
      <c r="K549" s="25"/>
      <c r="L549" s="25"/>
      <c r="M549" s="42" t="s">
        <v>253</v>
      </c>
      <c r="N549" s="41">
        <v>45238</v>
      </c>
      <c r="O549" s="25">
        <v>305</v>
      </c>
      <c r="P549" s="25">
        <v>0</v>
      </c>
      <c r="Q549" s="25"/>
      <c r="R549" s="25"/>
      <c r="S549" s="25"/>
      <c r="T549" s="10"/>
    </row>
    <row r="550" s="35" customFormat="1" ht="18.5" customHeight="1" spans="1:20">
      <c r="A550" s="16" t="s">
        <v>251</v>
      </c>
      <c r="B550" s="41">
        <v>44369</v>
      </c>
      <c r="C550" s="25">
        <v>4</v>
      </c>
      <c r="D550" s="25"/>
      <c r="E550" s="25"/>
      <c r="F550" s="25"/>
      <c r="G550" s="25"/>
      <c r="H550" s="25"/>
      <c r="I550" s="25"/>
      <c r="J550" s="25"/>
      <c r="K550" s="25"/>
      <c r="L550" s="25"/>
      <c r="M550" s="42" t="s">
        <v>253</v>
      </c>
      <c r="N550" s="41">
        <v>45049</v>
      </c>
      <c r="O550" s="25">
        <v>305</v>
      </c>
      <c r="P550" s="25">
        <v>0</v>
      </c>
      <c r="Q550" s="25"/>
      <c r="R550" s="25"/>
      <c r="S550" s="25"/>
      <c r="T550" s="10"/>
    </row>
    <row r="551" s="35" customFormat="1" ht="18.5" customHeight="1" spans="1:20">
      <c r="A551" s="16" t="s">
        <v>251</v>
      </c>
      <c r="B551" s="41">
        <v>44430</v>
      </c>
      <c r="C551" s="25">
        <v>1</v>
      </c>
      <c r="D551" s="25"/>
      <c r="E551" s="25"/>
      <c r="F551" s="25"/>
      <c r="G551" s="25"/>
      <c r="H551" s="25"/>
      <c r="I551" s="25"/>
      <c r="J551" s="25"/>
      <c r="K551" s="25"/>
      <c r="L551" s="25"/>
      <c r="M551" s="42" t="s">
        <v>253</v>
      </c>
      <c r="N551" s="41">
        <v>45139</v>
      </c>
      <c r="O551" s="25">
        <v>304</v>
      </c>
      <c r="P551" s="25">
        <v>0</v>
      </c>
      <c r="Q551" s="25"/>
      <c r="R551" s="25"/>
      <c r="S551" s="25"/>
      <c r="T551" s="10"/>
    </row>
    <row r="552" s="35" customFormat="1" ht="18.5" customHeight="1" spans="1:20">
      <c r="A552" s="16" t="s">
        <v>251</v>
      </c>
      <c r="B552" s="41">
        <v>45129</v>
      </c>
      <c r="C552" s="25">
        <v>2</v>
      </c>
      <c r="D552" s="25"/>
      <c r="E552" s="25"/>
      <c r="F552" s="25"/>
      <c r="G552" s="25"/>
      <c r="H552" s="25"/>
      <c r="I552" s="25"/>
      <c r="J552" s="25"/>
      <c r="K552" s="25"/>
      <c r="L552" s="25"/>
      <c r="M552" s="42" t="s">
        <v>253</v>
      </c>
      <c r="N552" s="41">
        <v>45079</v>
      </c>
      <c r="O552" s="25">
        <v>304</v>
      </c>
      <c r="P552" s="25">
        <v>0</v>
      </c>
      <c r="Q552" s="25"/>
      <c r="R552" s="25"/>
      <c r="S552" s="25"/>
      <c r="T552" s="10"/>
    </row>
    <row r="553" s="35" customFormat="1" ht="18.5" customHeight="1" spans="1:20">
      <c r="A553" s="16" t="s">
        <v>251</v>
      </c>
      <c r="B553" s="41">
        <v>44762</v>
      </c>
      <c r="C553" s="25">
        <v>1</v>
      </c>
      <c r="D553" s="25"/>
      <c r="E553" s="25"/>
      <c r="F553" s="25"/>
      <c r="G553" s="25"/>
      <c r="H553" s="25"/>
      <c r="I553" s="25"/>
      <c r="J553" s="25"/>
      <c r="K553" s="25"/>
      <c r="L553" s="25"/>
      <c r="M553" s="42" t="s">
        <v>253</v>
      </c>
      <c r="N553" s="41">
        <v>45250</v>
      </c>
      <c r="O553" s="25">
        <v>303</v>
      </c>
      <c r="P553" s="25">
        <v>0</v>
      </c>
      <c r="Q553" s="25"/>
      <c r="R553" s="25"/>
      <c r="S553" s="25"/>
      <c r="T553" s="10"/>
    </row>
    <row r="554" s="35" customFormat="1" ht="18.5" customHeight="1" spans="1:20">
      <c r="A554" s="16" t="s">
        <v>251</v>
      </c>
      <c r="B554" s="41">
        <v>44454</v>
      </c>
      <c r="C554" s="25">
        <v>1</v>
      </c>
      <c r="D554" s="25"/>
      <c r="E554" s="25"/>
      <c r="F554" s="25"/>
      <c r="G554" s="25"/>
      <c r="H554" s="25"/>
      <c r="I554" s="25"/>
      <c r="J554" s="25"/>
      <c r="K554" s="25"/>
      <c r="L554" s="25"/>
      <c r="M554" s="42" t="s">
        <v>253</v>
      </c>
      <c r="N554" s="41">
        <v>45062</v>
      </c>
      <c r="O554" s="25">
        <v>303</v>
      </c>
      <c r="P554" s="25">
        <v>0</v>
      </c>
      <c r="Q554" s="25"/>
      <c r="R554" s="25"/>
      <c r="S554" s="25"/>
      <c r="T554" s="10"/>
    </row>
    <row r="555" s="35" customFormat="1" ht="18.5" customHeight="1" spans="1:20">
      <c r="A555" s="16" t="s">
        <v>251</v>
      </c>
      <c r="B555" s="41">
        <v>44455</v>
      </c>
      <c r="C555" s="25">
        <v>1</v>
      </c>
      <c r="D555" s="25"/>
      <c r="E555" s="25"/>
      <c r="F555" s="25"/>
      <c r="G555" s="25"/>
      <c r="H555" s="25"/>
      <c r="I555" s="25"/>
      <c r="J555" s="25"/>
      <c r="K555" s="25"/>
      <c r="L555" s="25"/>
      <c r="M555" s="42" t="s">
        <v>253</v>
      </c>
      <c r="N555" s="41">
        <v>45055</v>
      </c>
      <c r="O555" s="25">
        <v>302</v>
      </c>
      <c r="P555" s="25">
        <v>0</v>
      </c>
      <c r="Q555" s="25"/>
      <c r="R555" s="25"/>
      <c r="S555" s="25"/>
      <c r="T555" s="10"/>
    </row>
    <row r="556" s="35" customFormat="1" ht="18.5" customHeight="1" spans="1:20">
      <c r="A556" s="16" t="s">
        <v>251</v>
      </c>
      <c r="B556" s="41">
        <v>45283</v>
      </c>
      <c r="C556" s="25">
        <v>2</v>
      </c>
      <c r="D556" s="25"/>
      <c r="E556" s="25"/>
      <c r="F556" s="25"/>
      <c r="G556" s="25"/>
      <c r="H556" s="25"/>
      <c r="I556" s="25"/>
      <c r="J556" s="25"/>
      <c r="K556" s="25"/>
      <c r="L556" s="25"/>
      <c r="M556" s="42" t="s">
        <v>253</v>
      </c>
      <c r="N556" s="41">
        <v>45013</v>
      </c>
      <c r="O556" s="25">
        <v>302</v>
      </c>
      <c r="P556" s="25">
        <v>0</v>
      </c>
      <c r="Q556" s="25"/>
      <c r="R556" s="25"/>
      <c r="S556" s="25"/>
      <c r="T556" s="10"/>
    </row>
    <row r="557" s="35" customFormat="1" ht="18.5" customHeight="1" spans="1:20">
      <c r="A557" s="16" t="s">
        <v>251</v>
      </c>
      <c r="B557" s="41">
        <v>45295</v>
      </c>
      <c r="C557" s="25">
        <v>2</v>
      </c>
      <c r="D557" s="25"/>
      <c r="E557" s="25"/>
      <c r="F557" s="25"/>
      <c r="G557" s="25"/>
      <c r="H557" s="25"/>
      <c r="I557" s="25"/>
      <c r="J557" s="25"/>
      <c r="K557" s="25"/>
      <c r="L557" s="25"/>
      <c r="M557" s="42" t="s">
        <v>253</v>
      </c>
      <c r="N557" s="41">
        <v>44930</v>
      </c>
      <c r="O557" s="25">
        <v>302</v>
      </c>
      <c r="P557" s="25">
        <v>0</v>
      </c>
      <c r="Q557" s="25"/>
      <c r="R557" s="25"/>
      <c r="S557" s="25"/>
      <c r="T557" s="10"/>
    </row>
    <row r="558" s="35" customFormat="1" ht="18.5" customHeight="1" spans="1:20">
      <c r="A558" s="16" t="s">
        <v>251</v>
      </c>
      <c r="B558" s="41">
        <v>44411</v>
      </c>
      <c r="C558" s="25">
        <v>6</v>
      </c>
      <c r="D558" s="25"/>
      <c r="E558" s="25"/>
      <c r="F558" s="25"/>
      <c r="G558" s="25"/>
      <c r="H558" s="25"/>
      <c r="I558" s="25"/>
      <c r="J558" s="25"/>
      <c r="K558" s="25"/>
      <c r="L558" s="25"/>
      <c r="M558" s="42" t="s">
        <v>253</v>
      </c>
      <c r="N558" s="41">
        <v>45243</v>
      </c>
      <c r="O558" s="25">
        <v>301</v>
      </c>
      <c r="P558" s="25">
        <v>0</v>
      </c>
      <c r="Q558" s="25"/>
      <c r="R558" s="25"/>
      <c r="S558" s="25"/>
      <c r="T558" s="10"/>
    </row>
    <row r="559" s="35" customFormat="1" ht="18.5" customHeight="1" spans="1:20">
      <c r="A559" s="16" t="s">
        <v>251</v>
      </c>
      <c r="B559" s="41">
        <v>44424</v>
      </c>
      <c r="C559" s="25">
        <v>4</v>
      </c>
      <c r="D559" s="25"/>
      <c r="E559" s="25"/>
      <c r="F559" s="25"/>
      <c r="G559" s="25"/>
      <c r="H559" s="25"/>
      <c r="I559" s="25"/>
      <c r="J559" s="25"/>
      <c r="K559" s="25"/>
      <c r="L559" s="25"/>
      <c r="M559" s="42" t="s">
        <v>253</v>
      </c>
      <c r="N559" s="41">
        <v>44986</v>
      </c>
      <c r="O559" s="25">
        <v>301</v>
      </c>
      <c r="P559" s="25">
        <v>0</v>
      </c>
      <c r="Q559" s="25"/>
      <c r="R559" s="25"/>
      <c r="S559" s="25"/>
      <c r="T559" s="10"/>
    </row>
    <row r="560" s="35" customFormat="1" ht="18.5" customHeight="1" spans="1:20">
      <c r="A560" s="16" t="s">
        <v>251</v>
      </c>
      <c r="B560" s="41">
        <v>44435</v>
      </c>
      <c r="C560" s="25">
        <v>0</v>
      </c>
      <c r="D560" s="25"/>
      <c r="E560" s="25"/>
      <c r="F560" s="25"/>
      <c r="G560" s="25"/>
      <c r="H560" s="25"/>
      <c r="I560" s="25"/>
      <c r="J560" s="25"/>
      <c r="K560" s="25"/>
      <c r="L560" s="25"/>
      <c r="M560" s="42" t="s">
        <v>253</v>
      </c>
      <c r="N560" s="41">
        <v>45219</v>
      </c>
      <c r="O560" s="25">
        <v>300</v>
      </c>
      <c r="P560" s="25">
        <v>0</v>
      </c>
      <c r="Q560" s="25"/>
      <c r="R560" s="25"/>
      <c r="S560" s="25"/>
      <c r="T560" s="10"/>
    </row>
    <row r="561" s="35" customFormat="1" ht="18.5" customHeight="1" spans="1:20">
      <c r="A561" s="16" t="s">
        <v>251</v>
      </c>
      <c r="B561" s="41">
        <v>45287</v>
      </c>
      <c r="C561" s="25">
        <v>2</v>
      </c>
      <c r="D561" s="25"/>
      <c r="E561" s="25"/>
      <c r="F561" s="25"/>
      <c r="G561" s="25"/>
      <c r="H561" s="25"/>
      <c r="I561" s="25"/>
      <c r="J561" s="25"/>
      <c r="K561" s="25"/>
      <c r="L561" s="25"/>
      <c r="M561" s="42" t="s">
        <v>253</v>
      </c>
      <c r="N561" s="41">
        <v>45240</v>
      </c>
      <c r="O561" s="25">
        <v>300</v>
      </c>
      <c r="P561" s="25">
        <v>0</v>
      </c>
      <c r="Q561" s="25"/>
      <c r="R561" s="25"/>
      <c r="S561" s="25"/>
      <c r="T561" s="10"/>
    </row>
    <row r="562" s="35" customFormat="1" ht="18.5" customHeight="1" spans="1:20">
      <c r="A562" s="16" t="s">
        <v>251</v>
      </c>
      <c r="B562" s="41">
        <v>45130</v>
      </c>
      <c r="C562" s="25">
        <v>4</v>
      </c>
      <c r="D562" s="25"/>
      <c r="E562" s="25"/>
      <c r="F562" s="25"/>
      <c r="G562" s="25"/>
      <c r="H562" s="25"/>
      <c r="I562" s="25"/>
      <c r="J562" s="25"/>
      <c r="K562" s="25"/>
      <c r="L562" s="25"/>
      <c r="M562" s="42" t="s">
        <v>253</v>
      </c>
      <c r="N562" s="41">
        <v>45079</v>
      </c>
      <c r="O562" s="25">
        <v>299</v>
      </c>
      <c r="P562" s="25">
        <v>0</v>
      </c>
      <c r="Q562" s="25"/>
      <c r="R562" s="25"/>
      <c r="S562" s="25"/>
      <c r="T562" s="10"/>
    </row>
    <row r="563" s="35" customFormat="1" ht="18.5" customHeight="1" spans="1:20">
      <c r="A563" s="16" t="s">
        <v>251</v>
      </c>
      <c r="B563" s="41">
        <v>44397</v>
      </c>
      <c r="C563" s="25">
        <v>3</v>
      </c>
      <c r="D563" s="25"/>
      <c r="E563" s="25"/>
      <c r="F563" s="25"/>
      <c r="G563" s="25"/>
      <c r="H563" s="25"/>
      <c r="I563" s="25"/>
      <c r="J563" s="25"/>
      <c r="K563" s="25"/>
      <c r="L563" s="25"/>
      <c r="M563" s="42" t="s">
        <v>253</v>
      </c>
      <c r="N563" s="41">
        <v>44993</v>
      </c>
      <c r="O563" s="25">
        <v>299</v>
      </c>
      <c r="P563" s="25">
        <v>0</v>
      </c>
      <c r="Q563" s="25"/>
      <c r="R563" s="25"/>
      <c r="S563" s="25"/>
      <c r="T563" s="10"/>
    </row>
    <row r="564" s="35" customFormat="1" ht="18.5" customHeight="1" spans="1:20">
      <c r="A564" s="16" t="s">
        <v>251</v>
      </c>
      <c r="B564" s="41">
        <v>44454</v>
      </c>
      <c r="C564" s="25">
        <v>1</v>
      </c>
      <c r="D564" s="25"/>
      <c r="E564" s="25"/>
      <c r="F564" s="25"/>
      <c r="G564" s="25"/>
      <c r="H564" s="25"/>
      <c r="I564" s="25"/>
      <c r="J564" s="25"/>
      <c r="K564" s="25"/>
      <c r="L564" s="25"/>
      <c r="M564" s="42" t="s">
        <v>253</v>
      </c>
      <c r="N564" s="41">
        <v>45264</v>
      </c>
      <c r="O564" s="25">
        <v>298</v>
      </c>
      <c r="P564" s="25">
        <v>0</v>
      </c>
      <c r="Q564" s="25"/>
      <c r="R564" s="25"/>
      <c r="S564" s="25"/>
      <c r="T564" s="10"/>
    </row>
    <row r="565" s="35" customFormat="1" ht="18.5" customHeight="1" spans="1:20">
      <c r="A565" s="16" t="s">
        <v>251</v>
      </c>
      <c r="B565" s="41">
        <v>44469</v>
      </c>
      <c r="C565" s="25">
        <v>2</v>
      </c>
      <c r="D565" s="25"/>
      <c r="E565" s="25"/>
      <c r="F565" s="25"/>
      <c r="G565" s="25"/>
      <c r="H565" s="25"/>
      <c r="I565" s="25"/>
      <c r="J565" s="25"/>
      <c r="K565" s="25"/>
      <c r="L565" s="25"/>
      <c r="M565" s="42" t="s">
        <v>253</v>
      </c>
      <c r="N565" s="41">
        <v>45083</v>
      </c>
      <c r="O565" s="25">
        <v>298</v>
      </c>
      <c r="P565" s="25">
        <v>0</v>
      </c>
      <c r="Q565" s="25"/>
      <c r="R565" s="25"/>
      <c r="S565" s="25"/>
      <c r="T565" s="10"/>
    </row>
    <row r="566" s="35" customFormat="1" ht="18.5" customHeight="1" spans="1:20">
      <c r="A566" s="16" t="s">
        <v>251</v>
      </c>
      <c r="B566" s="41">
        <v>44986</v>
      </c>
      <c r="C566" s="25">
        <v>1</v>
      </c>
      <c r="D566" s="25"/>
      <c r="E566" s="25"/>
      <c r="F566" s="25"/>
      <c r="G566" s="25"/>
      <c r="H566" s="25"/>
      <c r="I566" s="25"/>
      <c r="J566" s="25"/>
      <c r="K566" s="25"/>
      <c r="L566" s="25"/>
      <c r="M566" s="42" t="s">
        <v>253</v>
      </c>
      <c r="N566" s="41">
        <v>45011</v>
      </c>
      <c r="O566" s="25">
        <v>298</v>
      </c>
      <c r="P566" s="25">
        <v>0</v>
      </c>
      <c r="Q566" s="25"/>
      <c r="R566" s="25"/>
      <c r="S566" s="25"/>
      <c r="T566" s="10"/>
    </row>
    <row r="567" s="35" customFormat="1" ht="18.5" customHeight="1" spans="1:20">
      <c r="A567" s="16" t="s">
        <v>251</v>
      </c>
      <c r="B567" s="41">
        <v>44447</v>
      </c>
      <c r="C567" s="25">
        <v>1</v>
      </c>
      <c r="D567" s="25"/>
      <c r="E567" s="25"/>
      <c r="F567" s="25"/>
      <c r="G567" s="25"/>
      <c r="H567" s="25"/>
      <c r="I567" s="25"/>
      <c r="J567" s="25"/>
      <c r="K567" s="25"/>
      <c r="L567" s="25"/>
      <c r="M567" s="42" t="s">
        <v>253</v>
      </c>
      <c r="N567" s="41">
        <v>44963</v>
      </c>
      <c r="O567" s="25">
        <v>298</v>
      </c>
      <c r="P567" s="25">
        <v>0</v>
      </c>
      <c r="Q567" s="25"/>
      <c r="R567" s="25"/>
      <c r="S567" s="25"/>
      <c r="T567" s="10"/>
    </row>
    <row r="568" s="35" customFormat="1" ht="18.5" customHeight="1" spans="1:20">
      <c r="A568" s="16" t="s">
        <v>251</v>
      </c>
      <c r="B568" s="41">
        <v>44379</v>
      </c>
      <c r="C568" s="25">
        <v>3</v>
      </c>
      <c r="D568" s="25"/>
      <c r="E568" s="25"/>
      <c r="F568" s="25"/>
      <c r="G568" s="25"/>
      <c r="H568" s="25"/>
      <c r="I568" s="25"/>
      <c r="J568" s="25"/>
      <c r="K568" s="25"/>
      <c r="L568" s="25"/>
      <c r="M568" s="42" t="s">
        <v>253</v>
      </c>
      <c r="N568" s="41">
        <v>44963</v>
      </c>
      <c r="O568" s="25">
        <v>298</v>
      </c>
      <c r="P568" s="25">
        <v>0</v>
      </c>
      <c r="Q568" s="25"/>
      <c r="R568" s="25"/>
      <c r="S568" s="25"/>
      <c r="T568" s="10"/>
    </row>
    <row r="569" s="35" customFormat="1" ht="18.5" customHeight="1" spans="1:20">
      <c r="A569" s="16" t="s">
        <v>251</v>
      </c>
      <c r="B569" s="41">
        <v>44343</v>
      </c>
      <c r="C569" s="25">
        <v>1</v>
      </c>
      <c r="D569" s="25"/>
      <c r="E569" s="25"/>
      <c r="F569" s="25"/>
      <c r="G569" s="25"/>
      <c r="H569" s="25"/>
      <c r="I569" s="25"/>
      <c r="J569" s="25"/>
      <c r="K569" s="25"/>
      <c r="L569" s="25"/>
      <c r="M569" s="42" t="s">
        <v>253</v>
      </c>
      <c r="N569" s="41">
        <v>45170</v>
      </c>
      <c r="O569" s="25">
        <v>297</v>
      </c>
      <c r="P569" s="25">
        <v>0</v>
      </c>
      <c r="Q569" s="25"/>
      <c r="R569" s="25"/>
      <c r="S569" s="25"/>
      <c r="T569" s="10"/>
    </row>
    <row r="570" s="35" customFormat="1" ht="18.5" customHeight="1" spans="1:20">
      <c r="A570" s="16" t="s">
        <v>251</v>
      </c>
      <c r="B570" s="41">
        <v>44455</v>
      </c>
      <c r="C570" s="25">
        <v>1</v>
      </c>
      <c r="D570" s="25"/>
      <c r="E570" s="25"/>
      <c r="F570" s="25"/>
      <c r="G570" s="25"/>
      <c r="H570" s="25"/>
      <c r="I570" s="25"/>
      <c r="J570" s="25"/>
      <c r="K570" s="25"/>
      <c r="L570" s="25"/>
      <c r="M570" s="42" t="s">
        <v>253</v>
      </c>
      <c r="N570" s="41">
        <v>45162</v>
      </c>
      <c r="O570" s="25">
        <v>295</v>
      </c>
      <c r="P570" s="25">
        <v>0</v>
      </c>
      <c r="Q570" s="25"/>
      <c r="R570" s="25"/>
      <c r="S570" s="25"/>
      <c r="T570" s="10"/>
    </row>
    <row r="571" s="35" customFormat="1" ht="18.5" customHeight="1" spans="1:20">
      <c r="A571" s="16" t="s">
        <v>251</v>
      </c>
      <c r="B571" s="41">
        <v>44816</v>
      </c>
      <c r="C571" s="25">
        <v>4</v>
      </c>
      <c r="D571" s="25"/>
      <c r="E571" s="25"/>
      <c r="F571" s="25"/>
      <c r="G571" s="25"/>
      <c r="H571" s="25"/>
      <c r="I571" s="25"/>
      <c r="J571" s="25"/>
      <c r="K571" s="25"/>
      <c r="L571" s="25"/>
      <c r="M571" s="42" t="s">
        <v>253</v>
      </c>
      <c r="N571" s="41">
        <v>45240</v>
      </c>
      <c r="O571" s="25">
        <v>294</v>
      </c>
      <c r="P571" s="25">
        <v>0</v>
      </c>
      <c r="Q571" s="25"/>
      <c r="R571" s="25"/>
      <c r="S571" s="25"/>
      <c r="T571" s="10"/>
    </row>
    <row r="572" s="35" customFormat="1" ht="18.5" customHeight="1" spans="1:20">
      <c r="A572" s="16" t="s">
        <v>251</v>
      </c>
      <c r="B572" s="41">
        <v>45279</v>
      </c>
      <c r="C572" s="25">
        <v>2</v>
      </c>
      <c r="D572" s="25"/>
      <c r="E572" s="25"/>
      <c r="F572" s="25"/>
      <c r="G572" s="25"/>
      <c r="H572" s="25"/>
      <c r="I572" s="25"/>
      <c r="J572" s="25"/>
      <c r="K572" s="25"/>
      <c r="L572" s="25"/>
      <c r="M572" s="42" t="s">
        <v>253</v>
      </c>
      <c r="N572" s="41">
        <v>45237</v>
      </c>
      <c r="O572" s="25">
        <v>294</v>
      </c>
      <c r="P572" s="25">
        <v>0</v>
      </c>
      <c r="Q572" s="25"/>
      <c r="R572" s="25"/>
      <c r="S572" s="25"/>
      <c r="T572" s="10"/>
    </row>
    <row r="573" s="35" customFormat="1" ht="18.5" customHeight="1" spans="1:20">
      <c r="A573" s="16" t="s">
        <v>251</v>
      </c>
      <c r="B573" s="41">
        <v>45294</v>
      </c>
      <c r="C573" s="25">
        <v>3</v>
      </c>
      <c r="D573" s="25"/>
      <c r="E573" s="25"/>
      <c r="F573" s="25"/>
      <c r="G573" s="25"/>
      <c r="H573" s="25"/>
      <c r="I573" s="25"/>
      <c r="J573" s="25"/>
      <c r="K573" s="25"/>
      <c r="L573" s="25"/>
      <c r="M573" s="42" t="s">
        <v>253</v>
      </c>
      <c r="N573" s="41">
        <v>45242</v>
      </c>
      <c r="O573" s="25">
        <v>293</v>
      </c>
      <c r="P573" s="25">
        <v>0</v>
      </c>
      <c r="Q573" s="25"/>
      <c r="R573" s="25"/>
      <c r="S573" s="25"/>
      <c r="T573" s="10"/>
    </row>
    <row r="574" s="35" customFormat="1" ht="18.5" customHeight="1" spans="1:20">
      <c r="A574" s="16" t="s">
        <v>251</v>
      </c>
      <c r="B574" s="41">
        <v>44489</v>
      </c>
      <c r="C574" s="25">
        <v>5</v>
      </c>
      <c r="D574" s="25"/>
      <c r="E574" s="25"/>
      <c r="F574" s="25"/>
      <c r="G574" s="25"/>
      <c r="H574" s="25"/>
      <c r="I574" s="25"/>
      <c r="J574" s="25"/>
      <c r="K574" s="25"/>
      <c r="L574" s="25"/>
      <c r="M574" s="42" t="s">
        <v>253</v>
      </c>
      <c r="N574" s="41">
        <v>45071</v>
      </c>
      <c r="O574" s="25">
        <v>294</v>
      </c>
      <c r="P574" s="25">
        <v>0</v>
      </c>
      <c r="Q574" s="25"/>
      <c r="R574" s="25"/>
      <c r="S574" s="25"/>
      <c r="T574" s="10"/>
    </row>
    <row r="575" s="35" customFormat="1" ht="18.5" customHeight="1" spans="1:20">
      <c r="A575" s="16" t="s">
        <v>251</v>
      </c>
      <c r="B575" s="41">
        <v>44490</v>
      </c>
      <c r="C575" s="25">
        <v>1</v>
      </c>
      <c r="D575" s="25"/>
      <c r="E575" s="25"/>
      <c r="F575" s="25"/>
      <c r="G575" s="25"/>
      <c r="H575" s="25"/>
      <c r="I575" s="25"/>
      <c r="J575" s="25"/>
      <c r="K575" s="25"/>
      <c r="L575" s="25"/>
      <c r="M575" s="42" t="s">
        <v>253</v>
      </c>
      <c r="N575" s="41">
        <v>45023</v>
      </c>
      <c r="O575" s="25">
        <v>293</v>
      </c>
      <c r="P575" s="25">
        <v>0</v>
      </c>
      <c r="Q575" s="25"/>
      <c r="R575" s="25"/>
      <c r="S575" s="25"/>
      <c r="T575" s="10"/>
    </row>
    <row r="576" s="35" customFormat="1" ht="18.5" customHeight="1" spans="1:20">
      <c r="A576" s="16" t="s">
        <v>251</v>
      </c>
      <c r="B576" s="41">
        <v>44402</v>
      </c>
      <c r="C576" s="25">
        <v>2</v>
      </c>
      <c r="D576" s="25"/>
      <c r="E576" s="25"/>
      <c r="F576" s="25"/>
      <c r="G576" s="25"/>
      <c r="H576" s="25"/>
      <c r="I576" s="25"/>
      <c r="J576" s="25"/>
      <c r="K576" s="25"/>
      <c r="L576" s="25"/>
      <c r="M576" s="42" t="s">
        <v>253</v>
      </c>
      <c r="N576" s="41">
        <v>45010</v>
      </c>
      <c r="O576" s="25">
        <v>292</v>
      </c>
      <c r="P576" s="25">
        <v>0</v>
      </c>
      <c r="Q576" s="25"/>
      <c r="R576" s="25"/>
      <c r="S576" s="25"/>
      <c r="T576" s="10"/>
    </row>
    <row r="577" s="35" customFormat="1" ht="18.5" customHeight="1" spans="1:20">
      <c r="A577" s="16" t="s">
        <v>251</v>
      </c>
      <c r="B577" s="41">
        <v>45295</v>
      </c>
      <c r="C577" s="25">
        <v>2</v>
      </c>
      <c r="D577" s="25"/>
      <c r="E577" s="25"/>
      <c r="F577" s="25"/>
      <c r="G577" s="25"/>
      <c r="H577" s="25"/>
      <c r="I577" s="25"/>
      <c r="J577" s="25"/>
      <c r="K577" s="25"/>
      <c r="L577" s="25"/>
      <c r="M577" s="42" t="s">
        <v>253</v>
      </c>
      <c r="N577" s="41">
        <v>44935</v>
      </c>
      <c r="O577" s="25">
        <v>292</v>
      </c>
      <c r="P577" s="25">
        <v>0</v>
      </c>
      <c r="Q577" s="25"/>
      <c r="R577" s="25"/>
      <c r="S577" s="25"/>
      <c r="T577" s="10"/>
    </row>
    <row r="578" s="35" customFormat="1" ht="18.5" customHeight="1" spans="1:20">
      <c r="A578" s="16" t="s">
        <v>251</v>
      </c>
      <c r="B578" s="41">
        <v>44560</v>
      </c>
      <c r="C578" s="25">
        <v>3</v>
      </c>
      <c r="D578" s="25"/>
      <c r="E578" s="25"/>
      <c r="F578" s="25"/>
      <c r="G578" s="25"/>
      <c r="H578" s="25"/>
      <c r="I578" s="25"/>
      <c r="J578" s="25"/>
      <c r="K578" s="25"/>
      <c r="L578" s="25"/>
      <c r="M578" s="42" t="s">
        <v>253</v>
      </c>
      <c r="N578" s="41">
        <v>45240</v>
      </c>
      <c r="O578" s="25">
        <v>291</v>
      </c>
      <c r="P578" s="25">
        <v>0</v>
      </c>
      <c r="Q578" s="25"/>
      <c r="R578" s="25"/>
      <c r="S578" s="25"/>
      <c r="T578" s="10"/>
    </row>
    <row r="579" s="35" customFormat="1" ht="18.5" customHeight="1" spans="1:20">
      <c r="A579" s="16" t="s">
        <v>251</v>
      </c>
      <c r="B579" s="41">
        <v>44472</v>
      </c>
      <c r="C579" s="25">
        <v>1</v>
      </c>
      <c r="D579" s="25"/>
      <c r="E579" s="25"/>
      <c r="F579" s="25"/>
      <c r="G579" s="25"/>
      <c r="H579" s="25"/>
      <c r="I579" s="25"/>
      <c r="J579" s="25"/>
      <c r="K579" s="25"/>
      <c r="L579" s="25"/>
      <c r="M579" s="42" t="s">
        <v>253</v>
      </c>
      <c r="N579" s="41">
        <v>44997</v>
      </c>
      <c r="O579" s="25">
        <v>291</v>
      </c>
      <c r="P579" s="25">
        <v>0</v>
      </c>
      <c r="Q579" s="25"/>
      <c r="R579" s="25"/>
      <c r="S579" s="25"/>
      <c r="T579" s="10"/>
    </row>
    <row r="580" s="35" customFormat="1" ht="18.5" customHeight="1" spans="1:20">
      <c r="A580" s="16" t="s">
        <v>251</v>
      </c>
      <c r="B580" s="41">
        <v>44951</v>
      </c>
      <c r="C580" s="25">
        <v>2</v>
      </c>
      <c r="D580" s="25"/>
      <c r="E580" s="25"/>
      <c r="F580" s="25"/>
      <c r="G580" s="25"/>
      <c r="H580" s="25"/>
      <c r="I580" s="25"/>
      <c r="J580" s="25"/>
      <c r="K580" s="25"/>
      <c r="L580" s="25"/>
      <c r="M580" s="42" t="s">
        <v>253</v>
      </c>
      <c r="N580" s="41">
        <v>44937</v>
      </c>
      <c r="O580" s="25">
        <v>291</v>
      </c>
      <c r="P580" s="25">
        <v>0</v>
      </c>
      <c r="Q580" s="25"/>
      <c r="R580" s="25"/>
      <c r="S580" s="25"/>
      <c r="T580" s="10"/>
    </row>
    <row r="581" s="35" customFormat="1" ht="18.5" customHeight="1" spans="1:20">
      <c r="A581" s="16" t="s">
        <v>251</v>
      </c>
      <c r="B581" s="41">
        <v>45131</v>
      </c>
      <c r="C581" s="25">
        <v>1</v>
      </c>
      <c r="D581" s="25"/>
      <c r="E581" s="25"/>
      <c r="F581" s="25"/>
      <c r="G581" s="25"/>
      <c r="H581" s="25"/>
      <c r="I581" s="25"/>
      <c r="J581" s="25"/>
      <c r="K581" s="25"/>
      <c r="L581" s="25"/>
      <c r="M581" s="42" t="s">
        <v>253</v>
      </c>
      <c r="N581" s="41">
        <v>45239</v>
      </c>
      <c r="O581" s="25">
        <v>291</v>
      </c>
      <c r="P581" s="25">
        <v>0</v>
      </c>
      <c r="Q581" s="25"/>
      <c r="R581" s="25"/>
      <c r="S581" s="25"/>
      <c r="T581" s="10"/>
    </row>
    <row r="582" s="35" customFormat="1" ht="18.5" customHeight="1" spans="1:20">
      <c r="A582" s="16" t="s">
        <v>251</v>
      </c>
      <c r="B582" s="41">
        <v>44634</v>
      </c>
      <c r="C582" s="25">
        <v>1</v>
      </c>
      <c r="D582" s="25"/>
      <c r="E582" s="25"/>
      <c r="F582" s="25"/>
      <c r="G582" s="25"/>
      <c r="H582" s="25"/>
      <c r="I582" s="25"/>
      <c r="J582" s="25"/>
      <c r="K582" s="25"/>
      <c r="L582" s="25"/>
      <c r="M582" s="42" t="s">
        <v>253</v>
      </c>
      <c r="N582" s="41">
        <v>45229</v>
      </c>
      <c r="O582" s="25">
        <v>290</v>
      </c>
      <c r="P582" s="25">
        <v>0</v>
      </c>
      <c r="Q582" s="25"/>
      <c r="R582" s="25"/>
      <c r="S582" s="25"/>
      <c r="T582" s="10"/>
    </row>
    <row r="583" s="35" customFormat="1" ht="18.5" customHeight="1" spans="1:20">
      <c r="A583" s="16" t="s">
        <v>251</v>
      </c>
      <c r="B583" s="41">
        <v>45295</v>
      </c>
      <c r="C583" s="25">
        <v>3</v>
      </c>
      <c r="D583" s="25"/>
      <c r="E583" s="25"/>
      <c r="F583" s="25"/>
      <c r="G583" s="25"/>
      <c r="H583" s="25"/>
      <c r="I583" s="25"/>
      <c r="J583" s="25"/>
      <c r="K583" s="25"/>
      <c r="L583" s="25"/>
      <c r="M583" s="42" t="s">
        <v>253</v>
      </c>
      <c r="N583" s="41">
        <v>44976</v>
      </c>
      <c r="O583" s="25">
        <v>290</v>
      </c>
      <c r="P583" s="25">
        <v>0</v>
      </c>
      <c r="Q583" s="25"/>
      <c r="R583" s="25"/>
      <c r="S583" s="25"/>
      <c r="T583" s="10"/>
    </row>
    <row r="584" s="35" customFormat="1" ht="18.5" customHeight="1" spans="1:20">
      <c r="A584" s="16" t="s">
        <v>251</v>
      </c>
      <c r="B584" s="41">
        <v>45284</v>
      </c>
      <c r="C584" s="25">
        <v>2</v>
      </c>
      <c r="D584" s="25"/>
      <c r="E584" s="25"/>
      <c r="F584" s="25"/>
      <c r="G584" s="25"/>
      <c r="H584" s="25"/>
      <c r="I584" s="25"/>
      <c r="J584" s="25"/>
      <c r="K584" s="25"/>
      <c r="L584" s="25"/>
      <c r="M584" s="42" t="s">
        <v>253</v>
      </c>
      <c r="N584" s="41">
        <v>44960</v>
      </c>
      <c r="O584" s="25">
        <v>290</v>
      </c>
      <c r="P584" s="25">
        <v>0</v>
      </c>
      <c r="Q584" s="25"/>
      <c r="R584" s="25"/>
      <c r="S584" s="25"/>
      <c r="T584" s="10"/>
    </row>
    <row r="585" s="35" customFormat="1" ht="18.5" customHeight="1" spans="1:20">
      <c r="A585" s="16" t="s">
        <v>251</v>
      </c>
      <c r="B585" s="41">
        <v>44482</v>
      </c>
      <c r="C585" s="25">
        <v>1</v>
      </c>
      <c r="D585" s="25"/>
      <c r="E585" s="25"/>
      <c r="F585" s="25"/>
      <c r="G585" s="25"/>
      <c r="H585" s="25"/>
      <c r="I585" s="25"/>
      <c r="J585" s="25"/>
      <c r="K585" s="25"/>
      <c r="L585" s="25"/>
      <c r="M585" s="42" t="s">
        <v>253</v>
      </c>
      <c r="N585" s="41">
        <v>45141</v>
      </c>
      <c r="O585" s="25">
        <v>288</v>
      </c>
      <c r="P585" s="25">
        <v>0</v>
      </c>
      <c r="Q585" s="25"/>
      <c r="R585" s="25"/>
      <c r="S585" s="25"/>
      <c r="T585" s="10"/>
    </row>
    <row r="586" s="35" customFormat="1" ht="18.5" customHeight="1" spans="1:20">
      <c r="A586" s="16" t="s">
        <v>251</v>
      </c>
      <c r="B586" s="41">
        <v>44436</v>
      </c>
      <c r="C586" s="25">
        <v>2</v>
      </c>
      <c r="D586" s="25"/>
      <c r="E586" s="25"/>
      <c r="F586" s="25"/>
      <c r="G586" s="25"/>
      <c r="H586" s="25"/>
      <c r="I586" s="25"/>
      <c r="J586" s="25"/>
      <c r="K586" s="25"/>
      <c r="L586" s="25"/>
      <c r="M586" s="42" t="s">
        <v>253</v>
      </c>
      <c r="N586" s="41">
        <v>45031</v>
      </c>
      <c r="O586" s="25">
        <v>288</v>
      </c>
      <c r="P586" s="25">
        <v>0</v>
      </c>
      <c r="Q586" s="25"/>
      <c r="R586" s="25"/>
      <c r="S586" s="25"/>
      <c r="T586" s="10"/>
    </row>
    <row r="587" s="35" customFormat="1" ht="18.5" customHeight="1" spans="1:20">
      <c r="A587" s="16" t="s">
        <v>251</v>
      </c>
      <c r="B587" s="41">
        <v>44407</v>
      </c>
      <c r="C587" s="25">
        <v>4</v>
      </c>
      <c r="D587" s="25"/>
      <c r="E587" s="25"/>
      <c r="F587" s="25"/>
      <c r="G587" s="25"/>
      <c r="H587" s="25"/>
      <c r="I587" s="25"/>
      <c r="J587" s="25"/>
      <c r="K587" s="25"/>
      <c r="L587" s="25"/>
      <c r="M587" s="42" t="s">
        <v>253</v>
      </c>
      <c r="N587" s="41">
        <v>44970</v>
      </c>
      <c r="O587" s="25">
        <v>289</v>
      </c>
      <c r="P587" s="25">
        <v>0</v>
      </c>
      <c r="Q587" s="25"/>
      <c r="R587" s="25"/>
      <c r="S587" s="25"/>
      <c r="T587" s="10"/>
    </row>
    <row r="588" s="35" customFormat="1" ht="18.5" customHeight="1" spans="1:20">
      <c r="A588" s="16" t="s">
        <v>251</v>
      </c>
      <c r="B588" s="41">
        <v>44465</v>
      </c>
      <c r="C588" s="25">
        <v>3</v>
      </c>
      <c r="D588" s="25"/>
      <c r="E588" s="25"/>
      <c r="F588" s="25"/>
      <c r="G588" s="25"/>
      <c r="H588" s="25"/>
      <c r="I588" s="25"/>
      <c r="J588" s="25"/>
      <c r="K588" s="25"/>
      <c r="L588" s="25"/>
      <c r="M588" s="42" t="s">
        <v>253</v>
      </c>
      <c r="N588" s="41">
        <v>45247</v>
      </c>
      <c r="O588" s="25">
        <v>287</v>
      </c>
      <c r="P588" s="25">
        <v>0</v>
      </c>
      <c r="Q588" s="25"/>
      <c r="R588" s="25"/>
      <c r="S588" s="25"/>
      <c r="T588" s="10"/>
    </row>
    <row r="589" s="35" customFormat="1" ht="18.5" customHeight="1" spans="1:20">
      <c r="A589" s="16" t="s">
        <v>251</v>
      </c>
      <c r="B589" s="41">
        <v>45128</v>
      </c>
      <c r="C589" s="25">
        <v>2</v>
      </c>
      <c r="D589" s="25"/>
      <c r="E589" s="25"/>
      <c r="F589" s="25"/>
      <c r="G589" s="25"/>
      <c r="H589" s="25"/>
      <c r="I589" s="25"/>
      <c r="J589" s="25"/>
      <c r="K589" s="25"/>
      <c r="L589" s="25"/>
      <c r="M589" s="42" t="s">
        <v>253</v>
      </c>
      <c r="N589" s="41">
        <v>45243</v>
      </c>
      <c r="O589" s="25">
        <v>288</v>
      </c>
      <c r="P589" s="25">
        <v>0</v>
      </c>
      <c r="Q589" s="25"/>
      <c r="R589" s="25"/>
      <c r="S589" s="25"/>
      <c r="T589" s="10"/>
    </row>
    <row r="590" s="35" customFormat="1" ht="18.5" customHeight="1" spans="1:20">
      <c r="A590" s="16" t="s">
        <v>251</v>
      </c>
      <c r="B590" s="41">
        <v>44372</v>
      </c>
      <c r="C590" s="25">
        <v>1</v>
      </c>
      <c r="D590" s="25"/>
      <c r="E590" s="25"/>
      <c r="F590" s="25"/>
      <c r="G590" s="25"/>
      <c r="H590" s="25"/>
      <c r="I590" s="25"/>
      <c r="J590" s="25"/>
      <c r="K590" s="25"/>
      <c r="L590" s="25"/>
      <c r="M590" s="42" t="s">
        <v>253</v>
      </c>
      <c r="N590" s="41">
        <v>45056</v>
      </c>
      <c r="O590" s="25">
        <v>287</v>
      </c>
      <c r="P590" s="25">
        <v>0</v>
      </c>
      <c r="Q590" s="25"/>
      <c r="R590" s="25"/>
      <c r="S590" s="25"/>
      <c r="T590" s="10"/>
    </row>
    <row r="591" s="35" customFormat="1" ht="18.5" customHeight="1" spans="1:20">
      <c r="A591" s="16" t="s">
        <v>251</v>
      </c>
      <c r="B591" s="41">
        <v>44355</v>
      </c>
      <c r="C591" s="25">
        <v>3</v>
      </c>
      <c r="D591" s="25"/>
      <c r="E591" s="25"/>
      <c r="F591" s="25"/>
      <c r="G591" s="25"/>
      <c r="H591" s="25"/>
      <c r="I591" s="25"/>
      <c r="J591" s="25"/>
      <c r="K591" s="25"/>
      <c r="L591" s="25"/>
      <c r="M591" s="42" t="s">
        <v>253</v>
      </c>
      <c r="N591" s="41">
        <v>45081</v>
      </c>
      <c r="O591" s="25">
        <v>287</v>
      </c>
      <c r="P591" s="25">
        <v>0</v>
      </c>
      <c r="Q591" s="25"/>
      <c r="R591" s="25"/>
      <c r="S591" s="25"/>
      <c r="T591" s="10"/>
    </row>
    <row r="592" s="35" customFormat="1" ht="18.5" customHeight="1" spans="1:20">
      <c r="A592" s="16" t="s">
        <v>251</v>
      </c>
      <c r="B592" s="41">
        <v>44495</v>
      </c>
      <c r="C592" s="25">
        <v>2</v>
      </c>
      <c r="D592" s="25"/>
      <c r="E592" s="25"/>
      <c r="F592" s="25"/>
      <c r="G592" s="25"/>
      <c r="H592" s="25"/>
      <c r="I592" s="25"/>
      <c r="J592" s="25"/>
      <c r="K592" s="25"/>
      <c r="L592" s="25"/>
      <c r="M592" s="42" t="s">
        <v>253</v>
      </c>
      <c r="N592" s="41">
        <v>45029</v>
      </c>
      <c r="O592" s="25">
        <v>287</v>
      </c>
      <c r="P592" s="25">
        <v>0</v>
      </c>
      <c r="Q592" s="25"/>
      <c r="R592" s="25"/>
      <c r="S592" s="25"/>
      <c r="T592" s="10"/>
    </row>
    <row r="593" s="35" customFormat="1" ht="18.5" customHeight="1" spans="1:20">
      <c r="A593" s="16" t="s">
        <v>251</v>
      </c>
      <c r="B593" s="41">
        <v>45275</v>
      </c>
      <c r="C593" s="25">
        <v>2</v>
      </c>
      <c r="D593" s="25"/>
      <c r="E593" s="25"/>
      <c r="F593" s="25"/>
      <c r="G593" s="25"/>
      <c r="H593" s="25"/>
      <c r="I593" s="25"/>
      <c r="J593" s="25"/>
      <c r="K593" s="25"/>
      <c r="L593" s="25"/>
      <c r="M593" s="42" t="s">
        <v>253</v>
      </c>
      <c r="N593" s="41">
        <v>44977</v>
      </c>
      <c r="O593" s="25">
        <v>285</v>
      </c>
      <c r="P593" s="25">
        <v>0</v>
      </c>
      <c r="Q593" s="25"/>
      <c r="R593" s="25"/>
      <c r="S593" s="25"/>
      <c r="T593" s="10"/>
    </row>
    <row r="594" s="35" customFormat="1" ht="18.5" customHeight="1" spans="1:20">
      <c r="A594" s="16" t="s">
        <v>251</v>
      </c>
      <c r="B594" s="41">
        <v>45295</v>
      </c>
      <c r="C594" s="25">
        <v>4</v>
      </c>
      <c r="D594" s="25"/>
      <c r="E594" s="25"/>
      <c r="F594" s="25"/>
      <c r="G594" s="25"/>
      <c r="H594" s="25"/>
      <c r="I594" s="25"/>
      <c r="J594" s="25"/>
      <c r="K594" s="25"/>
      <c r="L594" s="25"/>
      <c r="M594" s="42" t="s">
        <v>253</v>
      </c>
      <c r="N594" s="41">
        <v>45252</v>
      </c>
      <c r="O594" s="25">
        <v>284</v>
      </c>
      <c r="P594" s="25">
        <v>0</v>
      </c>
      <c r="Q594" s="25"/>
      <c r="R594" s="25"/>
      <c r="S594" s="25"/>
      <c r="T594" s="10"/>
    </row>
    <row r="595" s="35" customFormat="1" ht="18.5" customHeight="1" spans="1:20">
      <c r="A595" s="16" t="s">
        <v>251</v>
      </c>
      <c r="B595" s="41">
        <v>44472</v>
      </c>
      <c r="C595" s="25">
        <v>2</v>
      </c>
      <c r="D595" s="25"/>
      <c r="E595" s="25"/>
      <c r="F595" s="25"/>
      <c r="G595" s="25"/>
      <c r="H595" s="25"/>
      <c r="I595" s="25"/>
      <c r="J595" s="25"/>
      <c r="K595" s="25"/>
      <c r="L595" s="25"/>
      <c r="M595" s="42" t="s">
        <v>253</v>
      </c>
      <c r="N595" s="41">
        <v>45251</v>
      </c>
      <c r="O595" s="25">
        <v>284</v>
      </c>
      <c r="P595" s="25">
        <v>0</v>
      </c>
      <c r="Q595" s="25"/>
      <c r="R595" s="25"/>
      <c r="S595" s="25"/>
      <c r="T595" s="10"/>
    </row>
    <row r="596" s="35" customFormat="1" ht="18.5" customHeight="1" spans="1:20">
      <c r="A596" s="16" t="s">
        <v>251</v>
      </c>
      <c r="B596" s="41">
        <v>44463</v>
      </c>
      <c r="C596" s="25">
        <v>2</v>
      </c>
      <c r="D596" s="25"/>
      <c r="E596" s="25"/>
      <c r="F596" s="25"/>
      <c r="G596" s="25"/>
      <c r="H596" s="25"/>
      <c r="I596" s="25"/>
      <c r="J596" s="25"/>
      <c r="K596" s="25"/>
      <c r="L596" s="25"/>
      <c r="M596" s="42" t="s">
        <v>253</v>
      </c>
      <c r="N596" s="41">
        <v>45240</v>
      </c>
      <c r="O596" s="25">
        <v>286</v>
      </c>
      <c r="P596" s="25">
        <v>0</v>
      </c>
      <c r="Q596" s="25"/>
      <c r="R596" s="25"/>
      <c r="S596" s="25"/>
      <c r="T596" s="10"/>
    </row>
    <row r="597" s="35" customFormat="1" ht="18.5" customHeight="1" spans="1:20">
      <c r="A597" s="16" t="s">
        <v>251</v>
      </c>
      <c r="B597" s="41">
        <v>44481</v>
      </c>
      <c r="C597" s="25">
        <v>1</v>
      </c>
      <c r="D597" s="25"/>
      <c r="E597" s="25"/>
      <c r="F597" s="25"/>
      <c r="G597" s="25"/>
      <c r="H597" s="25"/>
      <c r="I597" s="25"/>
      <c r="J597" s="25"/>
      <c r="K597" s="25"/>
      <c r="L597" s="25"/>
      <c r="M597" s="42" t="s">
        <v>253</v>
      </c>
      <c r="N597" s="41">
        <v>45238</v>
      </c>
      <c r="O597" s="25">
        <v>285</v>
      </c>
      <c r="P597" s="25">
        <v>0</v>
      </c>
      <c r="Q597" s="25"/>
      <c r="R597" s="25"/>
      <c r="S597" s="25"/>
      <c r="T597" s="10"/>
    </row>
    <row r="598" s="35" customFormat="1" ht="18.5" customHeight="1" spans="1:20">
      <c r="A598" s="16" t="s">
        <v>251</v>
      </c>
      <c r="B598" s="41">
        <v>45294</v>
      </c>
      <c r="C598" s="25">
        <v>3</v>
      </c>
      <c r="D598" s="25"/>
      <c r="E598" s="25"/>
      <c r="F598" s="25"/>
      <c r="G598" s="25"/>
      <c r="H598" s="25"/>
      <c r="I598" s="25"/>
      <c r="J598" s="25"/>
      <c r="K598" s="25"/>
      <c r="L598" s="25"/>
      <c r="M598" s="42" t="s">
        <v>253</v>
      </c>
      <c r="N598" s="41">
        <v>45040</v>
      </c>
      <c r="O598" s="25">
        <v>283</v>
      </c>
      <c r="P598" s="25">
        <v>0</v>
      </c>
      <c r="Q598" s="25"/>
      <c r="R598" s="25"/>
      <c r="S598" s="25"/>
      <c r="T598" s="10"/>
    </row>
    <row r="599" s="35" customFormat="1" ht="18.5" customHeight="1" spans="1:20">
      <c r="A599" s="16" t="s">
        <v>251</v>
      </c>
      <c r="B599" s="41">
        <v>44449</v>
      </c>
      <c r="C599" s="25">
        <v>0</v>
      </c>
      <c r="D599" s="25"/>
      <c r="E599" s="25"/>
      <c r="F599" s="25"/>
      <c r="G599" s="25"/>
      <c r="H599" s="25"/>
      <c r="I599" s="25"/>
      <c r="J599" s="25"/>
      <c r="K599" s="25"/>
      <c r="L599" s="25"/>
      <c r="M599" s="42" t="s">
        <v>253</v>
      </c>
      <c r="N599" s="41">
        <v>44939</v>
      </c>
      <c r="O599" s="25">
        <v>283</v>
      </c>
      <c r="P599" s="25">
        <v>0</v>
      </c>
      <c r="Q599" s="25"/>
      <c r="R599" s="25"/>
      <c r="S599" s="25"/>
      <c r="T599" s="10"/>
    </row>
    <row r="600" s="35" customFormat="1" ht="18.5" customHeight="1" spans="1:20">
      <c r="A600" s="16" t="s">
        <v>251</v>
      </c>
      <c r="B600" s="41">
        <v>44443</v>
      </c>
      <c r="C600" s="25">
        <v>1</v>
      </c>
      <c r="D600" s="25"/>
      <c r="E600" s="25"/>
      <c r="F600" s="25"/>
      <c r="G600" s="25"/>
      <c r="H600" s="25"/>
      <c r="I600" s="25"/>
      <c r="J600" s="25"/>
      <c r="K600" s="25"/>
      <c r="L600" s="25"/>
      <c r="M600" s="42" t="s">
        <v>253</v>
      </c>
      <c r="N600" s="41">
        <v>45241</v>
      </c>
      <c r="O600" s="25">
        <v>282</v>
      </c>
      <c r="P600" s="25">
        <v>0</v>
      </c>
      <c r="Q600" s="25"/>
      <c r="R600" s="25"/>
      <c r="S600" s="25"/>
      <c r="T600" s="10"/>
    </row>
    <row r="601" s="35" customFormat="1" ht="18.5" customHeight="1" spans="1:20">
      <c r="A601" s="16" t="s">
        <v>251</v>
      </c>
      <c r="B601" s="41">
        <v>44467</v>
      </c>
      <c r="C601" s="25">
        <v>1</v>
      </c>
      <c r="D601" s="25"/>
      <c r="E601" s="25"/>
      <c r="F601" s="25"/>
      <c r="G601" s="25"/>
      <c r="H601" s="25"/>
      <c r="I601" s="25"/>
      <c r="J601" s="25"/>
      <c r="K601" s="25"/>
      <c r="L601" s="25"/>
      <c r="M601" s="42" t="s">
        <v>253</v>
      </c>
      <c r="N601" s="41">
        <v>45081</v>
      </c>
      <c r="O601" s="25">
        <v>283</v>
      </c>
      <c r="P601" s="25">
        <v>0</v>
      </c>
      <c r="Q601" s="25"/>
      <c r="R601" s="25"/>
      <c r="S601" s="25"/>
      <c r="T601" s="10"/>
    </row>
    <row r="602" s="35" customFormat="1" ht="18.5" customHeight="1" spans="1:20">
      <c r="A602" s="16" t="s">
        <v>251</v>
      </c>
      <c r="B602" s="41">
        <v>44419</v>
      </c>
      <c r="C602" s="25">
        <v>1</v>
      </c>
      <c r="D602" s="25"/>
      <c r="E602" s="25"/>
      <c r="F602" s="25"/>
      <c r="G602" s="25"/>
      <c r="H602" s="25"/>
      <c r="I602" s="25"/>
      <c r="J602" s="25"/>
      <c r="K602" s="25"/>
      <c r="L602" s="25"/>
      <c r="M602" s="42" t="s">
        <v>253</v>
      </c>
      <c r="N602" s="41">
        <v>45052</v>
      </c>
      <c r="O602" s="25">
        <v>283</v>
      </c>
      <c r="P602" s="25">
        <v>0</v>
      </c>
      <c r="Q602" s="25"/>
      <c r="R602" s="25"/>
      <c r="S602" s="25"/>
      <c r="T602" s="10"/>
    </row>
    <row r="603" s="35" customFormat="1" ht="18.5" customHeight="1" spans="1:20">
      <c r="A603" s="16" t="s">
        <v>251</v>
      </c>
      <c r="B603" s="41">
        <v>44514</v>
      </c>
      <c r="C603" s="25">
        <v>1</v>
      </c>
      <c r="D603" s="25"/>
      <c r="E603" s="25"/>
      <c r="F603" s="25"/>
      <c r="G603" s="25"/>
      <c r="H603" s="25"/>
      <c r="I603" s="25"/>
      <c r="J603" s="25"/>
      <c r="K603" s="25"/>
      <c r="L603" s="25"/>
      <c r="M603" s="42" t="s">
        <v>253</v>
      </c>
      <c r="N603" s="41">
        <v>45233</v>
      </c>
      <c r="O603" s="25">
        <v>281</v>
      </c>
      <c r="P603" s="25">
        <v>0</v>
      </c>
      <c r="Q603" s="25"/>
      <c r="R603" s="25"/>
      <c r="S603" s="25"/>
      <c r="T603" s="10"/>
    </row>
    <row r="604" s="35" customFormat="1" ht="18.5" customHeight="1" spans="1:20">
      <c r="A604" s="16" t="s">
        <v>251</v>
      </c>
      <c r="B604" s="41">
        <v>44432</v>
      </c>
      <c r="C604" s="25">
        <v>2</v>
      </c>
      <c r="D604" s="25"/>
      <c r="E604" s="25"/>
      <c r="F604" s="25"/>
      <c r="G604" s="25"/>
      <c r="H604" s="25"/>
      <c r="I604" s="25"/>
      <c r="J604" s="25"/>
      <c r="K604" s="25"/>
      <c r="L604" s="25"/>
      <c r="M604" s="42" t="s">
        <v>253</v>
      </c>
      <c r="N604" s="41">
        <v>45104</v>
      </c>
      <c r="O604" s="25">
        <v>281</v>
      </c>
      <c r="P604" s="25">
        <v>0</v>
      </c>
      <c r="Q604" s="25"/>
      <c r="R604" s="25"/>
      <c r="S604" s="25"/>
      <c r="T604" s="10"/>
    </row>
    <row r="605" s="35" customFormat="1" ht="18.5" customHeight="1" spans="1:20">
      <c r="A605" s="16" t="s">
        <v>251</v>
      </c>
      <c r="B605" s="41">
        <v>44455</v>
      </c>
      <c r="C605" s="25">
        <v>1</v>
      </c>
      <c r="D605" s="25"/>
      <c r="E605" s="25"/>
      <c r="F605" s="25"/>
      <c r="G605" s="25"/>
      <c r="H605" s="25"/>
      <c r="I605" s="25"/>
      <c r="J605" s="25"/>
      <c r="K605" s="25"/>
      <c r="L605" s="25"/>
      <c r="M605" s="42" t="s">
        <v>253</v>
      </c>
      <c r="N605" s="41">
        <v>45048</v>
      </c>
      <c r="O605" s="25">
        <v>280</v>
      </c>
      <c r="P605" s="25">
        <v>0</v>
      </c>
      <c r="Q605" s="25"/>
      <c r="R605" s="25"/>
      <c r="S605" s="25"/>
      <c r="T605" s="10"/>
    </row>
    <row r="606" s="35" customFormat="1" ht="18.5" customHeight="1" spans="1:20">
      <c r="A606" s="16" t="s">
        <v>251</v>
      </c>
      <c r="B606" s="41">
        <v>44567</v>
      </c>
      <c r="C606" s="25">
        <v>3</v>
      </c>
      <c r="D606" s="25"/>
      <c r="E606" s="25"/>
      <c r="F606" s="25"/>
      <c r="G606" s="25"/>
      <c r="H606" s="25"/>
      <c r="I606" s="25"/>
      <c r="J606" s="25"/>
      <c r="K606" s="25"/>
      <c r="L606" s="25"/>
      <c r="M606" s="42" t="s">
        <v>253</v>
      </c>
      <c r="N606" s="41">
        <v>45266</v>
      </c>
      <c r="O606" s="25">
        <v>279</v>
      </c>
      <c r="P606" s="25">
        <v>0</v>
      </c>
      <c r="Q606" s="25"/>
      <c r="R606" s="25"/>
      <c r="S606" s="25"/>
      <c r="T606" s="10"/>
    </row>
    <row r="607" s="35" customFormat="1" ht="18.5" customHeight="1" spans="1:20">
      <c r="A607" s="16" t="s">
        <v>251</v>
      </c>
      <c r="B607" s="41">
        <v>44372</v>
      </c>
      <c r="C607" s="25">
        <v>1</v>
      </c>
      <c r="D607" s="25"/>
      <c r="E607" s="25"/>
      <c r="F607" s="25"/>
      <c r="G607" s="25"/>
      <c r="H607" s="25"/>
      <c r="I607" s="25"/>
      <c r="J607" s="25"/>
      <c r="K607" s="25"/>
      <c r="L607" s="25"/>
      <c r="M607" s="42" t="s">
        <v>253</v>
      </c>
      <c r="N607" s="41">
        <v>44952</v>
      </c>
      <c r="O607" s="25">
        <v>279</v>
      </c>
      <c r="P607" s="25">
        <v>0</v>
      </c>
      <c r="Q607" s="25"/>
      <c r="R607" s="25"/>
      <c r="S607" s="25"/>
      <c r="T607" s="10"/>
    </row>
    <row r="608" s="35" customFormat="1" ht="18.5" customHeight="1" spans="1:20">
      <c r="A608" s="16" t="s">
        <v>251</v>
      </c>
      <c r="B608" s="41">
        <v>44424</v>
      </c>
      <c r="C608" s="25">
        <v>1</v>
      </c>
      <c r="D608" s="25"/>
      <c r="E608" s="25"/>
      <c r="F608" s="25"/>
      <c r="G608" s="25"/>
      <c r="H608" s="25"/>
      <c r="I608" s="25"/>
      <c r="J608" s="25"/>
      <c r="K608" s="25"/>
      <c r="L608" s="25"/>
      <c r="M608" s="42" t="s">
        <v>253</v>
      </c>
      <c r="N608" s="41">
        <v>45242</v>
      </c>
      <c r="O608" s="25">
        <v>278</v>
      </c>
      <c r="P608" s="25">
        <v>0</v>
      </c>
      <c r="Q608" s="25"/>
      <c r="R608" s="25"/>
      <c r="S608" s="25"/>
      <c r="T608" s="10"/>
    </row>
    <row r="609" s="35" customFormat="1" ht="18.5" customHeight="1" spans="1:20">
      <c r="A609" s="16" t="s">
        <v>251</v>
      </c>
      <c r="B609" s="41">
        <v>44341</v>
      </c>
      <c r="C609" s="25">
        <v>1</v>
      </c>
      <c r="D609" s="25"/>
      <c r="E609" s="25"/>
      <c r="F609" s="25"/>
      <c r="G609" s="25"/>
      <c r="H609" s="25"/>
      <c r="I609" s="25"/>
      <c r="J609" s="25"/>
      <c r="K609" s="25"/>
      <c r="L609" s="25"/>
      <c r="M609" s="42" t="s">
        <v>253</v>
      </c>
      <c r="N609" s="41">
        <v>45045</v>
      </c>
      <c r="O609" s="25">
        <v>278</v>
      </c>
      <c r="P609" s="25">
        <v>0</v>
      </c>
      <c r="Q609" s="25"/>
      <c r="R609" s="25"/>
      <c r="S609" s="25"/>
      <c r="T609" s="10"/>
    </row>
    <row r="610" s="35" customFormat="1" ht="18.5" customHeight="1" spans="1:20">
      <c r="A610" s="16" t="s">
        <v>251</v>
      </c>
      <c r="B610" s="41">
        <v>44449</v>
      </c>
      <c r="C610" s="25">
        <v>1</v>
      </c>
      <c r="D610" s="25"/>
      <c r="E610" s="25"/>
      <c r="F610" s="25"/>
      <c r="G610" s="25"/>
      <c r="H610" s="25"/>
      <c r="I610" s="25"/>
      <c r="J610" s="25"/>
      <c r="K610" s="25"/>
      <c r="L610" s="25"/>
      <c r="M610" s="42" t="s">
        <v>253</v>
      </c>
      <c r="N610" s="41">
        <v>45016</v>
      </c>
      <c r="O610" s="25">
        <v>278</v>
      </c>
      <c r="P610" s="25">
        <v>0</v>
      </c>
      <c r="Q610" s="25"/>
      <c r="R610" s="25"/>
      <c r="S610" s="25"/>
      <c r="T610" s="10"/>
    </row>
    <row r="611" s="35" customFormat="1" ht="18.5" customHeight="1" spans="1:20">
      <c r="A611" s="16" t="s">
        <v>251</v>
      </c>
      <c r="B611" s="41">
        <v>44388</v>
      </c>
      <c r="C611" s="25">
        <v>1</v>
      </c>
      <c r="D611" s="25"/>
      <c r="E611" s="25"/>
      <c r="F611" s="25"/>
      <c r="G611" s="25"/>
      <c r="H611" s="25"/>
      <c r="I611" s="25"/>
      <c r="J611" s="25"/>
      <c r="K611" s="25"/>
      <c r="L611" s="25"/>
      <c r="M611" s="42" t="s">
        <v>253</v>
      </c>
      <c r="N611" s="41">
        <v>44986</v>
      </c>
      <c r="O611" s="25">
        <v>278</v>
      </c>
      <c r="P611" s="25">
        <v>0</v>
      </c>
      <c r="Q611" s="25"/>
      <c r="R611" s="25"/>
      <c r="S611" s="25"/>
      <c r="T611" s="10"/>
    </row>
    <row r="612" s="35" customFormat="1" ht="18.5" customHeight="1" spans="1:20">
      <c r="A612" s="16" t="s">
        <v>251</v>
      </c>
      <c r="B612" s="41">
        <v>44406</v>
      </c>
      <c r="C612" s="25">
        <v>2</v>
      </c>
      <c r="D612" s="25"/>
      <c r="E612" s="25"/>
      <c r="F612" s="25"/>
      <c r="G612" s="25"/>
      <c r="H612" s="25"/>
      <c r="I612" s="25"/>
      <c r="J612" s="25"/>
      <c r="K612" s="25"/>
      <c r="L612" s="25"/>
      <c r="M612" s="42" t="s">
        <v>253</v>
      </c>
      <c r="N612" s="41">
        <v>44971</v>
      </c>
      <c r="O612" s="25">
        <v>278</v>
      </c>
      <c r="P612" s="25">
        <v>0</v>
      </c>
      <c r="Q612" s="25"/>
      <c r="R612" s="25"/>
      <c r="S612" s="25"/>
      <c r="T612" s="10"/>
    </row>
    <row r="613" s="35" customFormat="1" ht="18.5" customHeight="1" spans="1:20">
      <c r="A613" s="16" t="s">
        <v>251</v>
      </c>
      <c r="B613" s="41">
        <v>44478</v>
      </c>
      <c r="C613" s="25">
        <v>0</v>
      </c>
      <c r="D613" s="25"/>
      <c r="E613" s="25"/>
      <c r="F613" s="25"/>
      <c r="G613" s="25"/>
      <c r="H613" s="25"/>
      <c r="I613" s="25"/>
      <c r="J613" s="25"/>
      <c r="K613" s="25"/>
      <c r="L613" s="25"/>
      <c r="M613" s="42" t="s">
        <v>253</v>
      </c>
      <c r="N613" s="41">
        <v>45210</v>
      </c>
      <c r="O613" s="25">
        <v>278</v>
      </c>
      <c r="P613" s="25">
        <v>0</v>
      </c>
      <c r="Q613" s="25"/>
      <c r="R613" s="25"/>
      <c r="S613" s="25"/>
      <c r="T613" s="10"/>
    </row>
    <row r="614" s="35" customFormat="1" ht="18.5" customHeight="1" spans="1:20">
      <c r="A614" s="16" t="s">
        <v>251</v>
      </c>
      <c r="B614" s="41">
        <v>45295</v>
      </c>
      <c r="C614" s="25">
        <v>3</v>
      </c>
      <c r="D614" s="25"/>
      <c r="E614" s="25"/>
      <c r="F614" s="25"/>
      <c r="G614" s="25"/>
      <c r="H614" s="25"/>
      <c r="I614" s="25"/>
      <c r="J614" s="25"/>
      <c r="K614" s="25"/>
      <c r="L614" s="25"/>
      <c r="M614" s="42" t="s">
        <v>253</v>
      </c>
      <c r="N614" s="41">
        <v>45209</v>
      </c>
      <c r="O614" s="25">
        <v>277</v>
      </c>
      <c r="P614" s="25">
        <v>0</v>
      </c>
      <c r="Q614" s="25"/>
      <c r="R614" s="25"/>
      <c r="S614" s="25"/>
      <c r="T614" s="10"/>
    </row>
    <row r="615" s="35" customFormat="1" ht="18.5" customHeight="1" spans="1:20">
      <c r="A615" s="16" t="s">
        <v>251</v>
      </c>
      <c r="B615" s="41">
        <v>44559</v>
      </c>
      <c r="C615" s="25">
        <v>1</v>
      </c>
      <c r="D615" s="25"/>
      <c r="E615" s="25"/>
      <c r="F615" s="25"/>
      <c r="G615" s="25"/>
      <c r="H615" s="25"/>
      <c r="I615" s="25"/>
      <c r="J615" s="25"/>
      <c r="K615" s="25"/>
      <c r="L615" s="25"/>
      <c r="M615" s="42" t="s">
        <v>253</v>
      </c>
      <c r="N615" s="41">
        <v>44937</v>
      </c>
      <c r="O615" s="25">
        <v>277</v>
      </c>
      <c r="P615" s="25">
        <v>0</v>
      </c>
      <c r="Q615" s="25"/>
      <c r="R615" s="25"/>
      <c r="S615" s="25"/>
      <c r="T615" s="10"/>
    </row>
    <row r="616" s="35" customFormat="1" ht="18.5" customHeight="1" spans="1:20">
      <c r="A616" s="16" t="s">
        <v>251</v>
      </c>
      <c r="B616" s="41">
        <v>44348</v>
      </c>
      <c r="C616" s="25">
        <v>1</v>
      </c>
      <c r="D616" s="25"/>
      <c r="E616" s="25"/>
      <c r="F616" s="25"/>
      <c r="G616" s="25"/>
      <c r="H616" s="25"/>
      <c r="I616" s="25"/>
      <c r="J616" s="25"/>
      <c r="K616" s="25"/>
      <c r="L616" s="25"/>
      <c r="M616" s="42" t="s">
        <v>253</v>
      </c>
      <c r="N616" s="41">
        <v>45147</v>
      </c>
      <c r="O616" s="25">
        <v>276</v>
      </c>
      <c r="P616" s="25">
        <v>0</v>
      </c>
      <c r="Q616" s="25"/>
      <c r="R616" s="25"/>
      <c r="S616" s="25"/>
      <c r="T616" s="10"/>
    </row>
    <row r="617" s="35" customFormat="1" ht="18.5" customHeight="1" spans="1:20">
      <c r="A617" s="16" t="s">
        <v>251</v>
      </c>
      <c r="B617" s="41">
        <v>45277</v>
      </c>
      <c r="C617" s="25">
        <v>1</v>
      </c>
      <c r="D617" s="25"/>
      <c r="E617" s="25"/>
      <c r="F617" s="25"/>
      <c r="G617" s="25"/>
      <c r="H617" s="25"/>
      <c r="I617" s="25"/>
      <c r="J617" s="25"/>
      <c r="K617" s="25"/>
      <c r="L617" s="25"/>
      <c r="M617" s="42" t="s">
        <v>253</v>
      </c>
      <c r="N617" s="41">
        <v>45058</v>
      </c>
      <c r="O617" s="25">
        <v>274</v>
      </c>
      <c r="P617" s="25">
        <v>0</v>
      </c>
      <c r="Q617" s="25"/>
      <c r="R617" s="25"/>
      <c r="S617" s="25"/>
      <c r="T617" s="10"/>
    </row>
    <row r="618" s="35" customFormat="1" ht="18.5" customHeight="1" spans="1:20">
      <c r="A618" s="16" t="s">
        <v>251</v>
      </c>
      <c r="B618" s="41">
        <v>44446</v>
      </c>
      <c r="C618" s="25">
        <v>0</v>
      </c>
      <c r="D618" s="25"/>
      <c r="E618" s="25"/>
      <c r="F618" s="25"/>
      <c r="G618" s="25"/>
      <c r="H618" s="25"/>
      <c r="I618" s="25"/>
      <c r="J618" s="25"/>
      <c r="K618" s="25"/>
      <c r="L618" s="25"/>
      <c r="M618" s="42" t="s">
        <v>253</v>
      </c>
      <c r="N618" s="41">
        <v>45035</v>
      </c>
      <c r="O618" s="25">
        <v>273</v>
      </c>
      <c r="P618" s="25">
        <v>0</v>
      </c>
      <c r="Q618" s="25"/>
      <c r="R618" s="25"/>
      <c r="S618" s="25"/>
      <c r="T618" s="10"/>
    </row>
    <row r="619" s="35" customFormat="1" ht="18.5" customHeight="1" spans="1:20">
      <c r="A619" s="16" t="s">
        <v>251</v>
      </c>
      <c r="B619" s="41">
        <v>45294</v>
      </c>
      <c r="C619" s="25">
        <v>2</v>
      </c>
      <c r="D619" s="25"/>
      <c r="E619" s="25"/>
      <c r="F619" s="25"/>
      <c r="G619" s="25"/>
      <c r="H619" s="25"/>
      <c r="I619" s="25"/>
      <c r="J619" s="25"/>
      <c r="K619" s="25"/>
      <c r="L619" s="25"/>
      <c r="M619" s="42" t="s">
        <v>253</v>
      </c>
      <c r="N619" s="41">
        <v>44945</v>
      </c>
      <c r="O619" s="25">
        <v>273</v>
      </c>
      <c r="P619" s="25">
        <v>0</v>
      </c>
      <c r="Q619" s="25"/>
      <c r="R619" s="25"/>
      <c r="S619" s="25"/>
      <c r="T619" s="10"/>
    </row>
    <row r="620" s="35" customFormat="1" ht="18.5" customHeight="1" spans="1:20">
      <c r="A620" s="16" t="s">
        <v>251</v>
      </c>
      <c r="B620" s="41">
        <v>44497</v>
      </c>
      <c r="C620" s="25">
        <v>1</v>
      </c>
      <c r="D620" s="25"/>
      <c r="E620" s="25"/>
      <c r="F620" s="25"/>
      <c r="G620" s="25"/>
      <c r="H620" s="25"/>
      <c r="I620" s="25"/>
      <c r="J620" s="25"/>
      <c r="K620" s="25"/>
      <c r="L620" s="25"/>
      <c r="M620" s="42" t="s">
        <v>253</v>
      </c>
      <c r="N620" s="41">
        <v>45112</v>
      </c>
      <c r="O620" s="25">
        <v>271</v>
      </c>
      <c r="P620" s="25">
        <v>0</v>
      </c>
      <c r="Q620" s="25"/>
      <c r="R620" s="25"/>
      <c r="S620" s="25"/>
      <c r="T620" s="10"/>
    </row>
    <row r="621" s="35" customFormat="1" ht="18.5" customHeight="1" spans="1:20">
      <c r="A621" s="16" t="s">
        <v>251</v>
      </c>
      <c r="B621" s="41">
        <v>44356</v>
      </c>
      <c r="C621" s="25">
        <v>1</v>
      </c>
      <c r="D621" s="25"/>
      <c r="E621" s="25"/>
      <c r="F621" s="25"/>
      <c r="G621" s="25"/>
      <c r="H621" s="25"/>
      <c r="I621" s="25"/>
      <c r="J621" s="25"/>
      <c r="K621" s="25"/>
      <c r="L621" s="25"/>
      <c r="M621" s="42" t="s">
        <v>253</v>
      </c>
      <c r="N621" s="41">
        <v>45084</v>
      </c>
      <c r="O621" s="25">
        <v>271</v>
      </c>
      <c r="P621" s="25">
        <v>0</v>
      </c>
      <c r="Q621" s="25"/>
      <c r="R621" s="25"/>
      <c r="S621" s="25"/>
      <c r="T621" s="10"/>
    </row>
    <row r="622" s="35" customFormat="1" ht="18.5" customHeight="1" spans="1:20">
      <c r="A622" s="16" t="s">
        <v>251</v>
      </c>
      <c r="B622" s="41">
        <v>44330</v>
      </c>
      <c r="C622" s="25">
        <v>1</v>
      </c>
      <c r="D622" s="25"/>
      <c r="E622" s="25"/>
      <c r="F622" s="25"/>
      <c r="G622" s="25"/>
      <c r="H622" s="25"/>
      <c r="I622" s="25"/>
      <c r="J622" s="25"/>
      <c r="K622" s="25"/>
      <c r="L622" s="25"/>
      <c r="M622" s="42" t="s">
        <v>253</v>
      </c>
      <c r="N622" s="41">
        <v>45106</v>
      </c>
      <c r="O622" s="25">
        <v>270</v>
      </c>
      <c r="P622" s="25">
        <v>0</v>
      </c>
      <c r="Q622" s="25"/>
      <c r="R622" s="25"/>
      <c r="S622" s="25"/>
      <c r="T622" s="10"/>
    </row>
    <row r="623" s="35" customFormat="1" ht="18.5" customHeight="1" spans="1:20">
      <c r="A623" s="16" t="s">
        <v>251</v>
      </c>
      <c r="B623" s="41">
        <v>44463</v>
      </c>
      <c r="C623" s="25">
        <v>1</v>
      </c>
      <c r="D623" s="25"/>
      <c r="E623" s="25"/>
      <c r="F623" s="25"/>
      <c r="G623" s="25"/>
      <c r="H623" s="25"/>
      <c r="I623" s="25"/>
      <c r="J623" s="25"/>
      <c r="K623" s="25"/>
      <c r="L623" s="25"/>
      <c r="M623" s="42" t="s">
        <v>253</v>
      </c>
      <c r="N623" s="41">
        <v>45019</v>
      </c>
      <c r="O623" s="25">
        <v>270</v>
      </c>
      <c r="P623" s="25">
        <v>0</v>
      </c>
      <c r="Q623" s="25"/>
      <c r="R623" s="25"/>
      <c r="S623" s="25"/>
      <c r="T623" s="10"/>
    </row>
    <row r="624" s="35" customFormat="1" ht="18.5" customHeight="1" spans="1:20">
      <c r="A624" s="16" t="s">
        <v>251</v>
      </c>
      <c r="B624" s="41">
        <v>44555</v>
      </c>
      <c r="C624" s="25">
        <v>0</v>
      </c>
      <c r="D624" s="25"/>
      <c r="E624" s="25"/>
      <c r="F624" s="25"/>
      <c r="G624" s="25"/>
      <c r="H624" s="25"/>
      <c r="I624" s="25"/>
      <c r="J624" s="25"/>
      <c r="K624" s="25"/>
      <c r="L624" s="25"/>
      <c r="M624" s="42" t="s">
        <v>253</v>
      </c>
      <c r="N624" s="41">
        <v>45192</v>
      </c>
      <c r="O624" s="25">
        <v>270</v>
      </c>
      <c r="P624" s="25">
        <v>0</v>
      </c>
      <c r="Q624" s="25"/>
      <c r="R624" s="25"/>
      <c r="S624" s="25"/>
      <c r="T624" s="10"/>
    </row>
    <row r="625" s="35" customFormat="1" ht="18.5" customHeight="1" spans="1:20">
      <c r="A625" s="16" t="s">
        <v>251</v>
      </c>
      <c r="B625" s="41">
        <v>44441</v>
      </c>
      <c r="C625" s="25">
        <v>0</v>
      </c>
      <c r="D625" s="25"/>
      <c r="E625" s="25"/>
      <c r="F625" s="25"/>
      <c r="G625" s="25"/>
      <c r="H625" s="25"/>
      <c r="I625" s="25"/>
      <c r="J625" s="25"/>
      <c r="K625" s="25"/>
      <c r="L625" s="25"/>
      <c r="M625" s="42" t="s">
        <v>253</v>
      </c>
      <c r="N625" s="41">
        <v>45142</v>
      </c>
      <c r="O625" s="25">
        <v>269</v>
      </c>
      <c r="P625" s="25">
        <v>0</v>
      </c>
      <c r="Q625" s="25"/>
      <c r="R625" s="25"/>
      <c r="S625" s="25"/>
      <c r="T625" s="10"/>
    </row>
    <row r="626" s="35" customFormat="1" ht="18.5" customHeight="1" spans="1:20">
      <c r="A626" s="16" t="s">
        <v>251</v>
      </c>
      <c r="B626" s="41">
        <v>44545</v>
      </c>
      <c r="C626" s="25">
        <v>0</v>
      </c>
      <c r="D626" s="25"/>
      <c r="E626" s="25"/>
      <c r="F626" s="25"/>
      <c r="G626" s="25"/>
      <c r="H626" s="25"/>
      <c r="I626" s="25"/>
      <c r="J626" s="25"/>
      <c r="K626" s="25"/>
      <c r="L626" s="25"/>
      <c r="M626" s="42" t="s">
        <v>253</v>
      </c>
      <c r="N626" s="41">
        <v>45134</v>
      </c>
      <c r="O626" s="25">
        <v>269</v>
      </c>
      <c r="P626" s="25">
        <v>0</v>
      </c>
      <c r="Q626" s="25"/>
      <c r="R626" s="25"/>
      <c r="S626" s="25"/>
      <c r="T626" s="10"/>
    </row>
    <row r="627" s="35" customFormat="1" ht="18.5" customHeight="1" spans="1:20">
      <c r="A627" s="16" t="s">
        <v>251</v>
      </c>
      <c r="B627" s="41">
        <v>44522</v>
      </c>
      <c r="C627" s="25">
        <v>2</v>
      </c>
      <c r="D627" s="25"/>
      <c r="E627" s="25"/>
      <c r="F627" s="25"/>
      <c r="G627" s="25"/>
      <c r="H627" s="25"/>
      <c r="I627" s="25"/>
      <c r="J627" s="25"/>
      <c r="K627" s="25"/>
      <c r="L627" s="25"/>
      <c r="M627" s="42" t="s">
        <v>253</v>
      </c>
      <c r="N627" s="41">
        <v>44971</v>
      </c>
      <c r="O627" s="25">
        <v>269</v>
      </c>
      <c r="P627" s="25">
        <v>0</v>
      </c>
      <c r="Q627" s="25"/>
      <c r="R627" s="25"/>
      <c r="S627" s="25"/>
      <c r="T627" s="10"/>
    </row>
    <row r="628" s="35" customFormat="1" ht="18.5" customHeight="1" spans="1:20">
      <c r="A628" s="16" t="s">
        <v>251</v>
      </c>
      <c r="B628" s="41">
        <v>44464</v>
      </c>
      <c r="C628" s="25">
        <v>0</v>
      </c>
      <c r="D628" s="25"/>
      <c r="E628" s="25"/>
      <c r="F628" s="25"/>
      <c r="G628" s="25"/>
      <c r="H628" s="25"/>
      <c r="I628" s="25"/>
      <c r="J628" s="25"/>
      <c r="K628" s="25"/>
      <c r="L628" s="25"/>
      <c r="M628" s="42" t="s">
        <v>253</v>
      </c>
      <c r="N628" s="41">
        <v>44966</v>
      </c>
      <c r="O628" s="25">
        <v>269</v>
      </c>
      <c r="P628" s="25">
        <v>0</v>
      </c>
      <c r="Q628" s="25"/>
      <c r="R628" s="25"/>
      <c r="S628" s="25"/>
      <c r="T628" s="10"/>
    </row>
    <row r="629" s="35" customFormat="1" ht="18.5" customHeight="1" spans="1:20">
      <c r="A629" s="16" t="s">
        <v>251</v>
      </c>
      <c r="B629" s="41">
        <v>44452</v>
      </c>
      <c r="C629" s="25">
        <v>0</v>
      </c>
      <c r="D629" s="25"/>
      <c r="E629" s="25"/>
      <c r="F629" s="25"/>
      <c r="G629" s="25"/>
      <c r="H629" s="25"/>
      <c r="I629" s="25"/>
      <c r="J629" s="25"/>
      <c r="K629" s="25"/>
      <c r="L629" s="25"/>
      <c r="M629" s="42" t="s">
        <v>253</v>
      </c>
      <c r="N629" s="41">
        <v>45218</v>
      </c>
      <c r="O629" s="25">
        <v>268</v>
      </c>
      <c r="P629" s="25">
        <v>0</v>
      </c>
      <c r="Q629" s="25"/>
      <c r="R629" s="25"/>
      <c r="S629" s="25"/>
      <c r="T629" s="10"/>
    </row>
    <row r="630" s="35" customFormat="1" ht="18.5" customHeight="1" spans="1:20">
      <c r="A630" s="16" t="s">
        <v>251</v>
      </c>
      <c r="B630" s="41">
        <v>44345</v>
      </c>
      <c r="C630" s="25">
        <v>1</v>
      </c>
      <c r="D630" s="25"/>
      <c r="E630" s="25"/>
      <c r="F630" s="25"/>
      <c r="G630" s="25"/>
      <c r="H630" s="25"/>
      <c r="I630" s="25"/>
      <c r="J630" s="25"/>
      <c r="K630" s="25"/>
      <c r="L630" s="25"/>
      <c r="M630" s="42" t="s">
        <v>253</v>
      </c>
      <c r="N630" s="41">
        <v>45007</v>
      </c>
      <c r="O630" s="25">
        <v>268</v>
      </c>
      <c r="P630" s="25">
        <v>0</v>
      </c>
      <c r="Q630" s="25"/>
      <c r="R630" s="25"/>
      <c r="S630" s="25"/>
      <c r="T630" s="10"/>
    </row>
    <row r="631" s="35" customFormat="1" ht="18.5" customHeight="1" spans="1:20">
      <c r="A631" s="16" t="s">
        <v>251</v>
      </c>
      <c r="B631" s="41">
        <v>44478</v>
      </c>
      <c r="C631" s="25">
        <v>0</v>
      </c>
      <c r="D631" s="25"/>
      <c r="E631" s="25"/>
      <c r="F631" s="25"/>
      <c r="G631" s="25"/>
      <c r="H631" s="25"/>
      <c r="I631" s="25"/>
      <c r="J631" s="25"/>
      <c r="K631" s="25"/>
      <c r="L631" s="25"/>
      <c r="M631" s="42" t="s">
        <v>253</v>
      </c>
      <c r="N631" s="41">
        <v>45262</v>
      </c>
      <c r="O631" s="25">
        <v>267</v>
      </c>
      <c r="P631" s="25">
        <v>0</v>
      </c>
      <c r="Q631" s="25"/>
      <c r="R631" s="25"/>
      <c r="S631" s="25"/>
      <c r="T631" s="10"/>
    </row>
    <row r="632" s="35" customFormat="1" ht="18.5" customHeight="1" spans="1:20">
      <c r="A632" s="16" t="s">
        <v>251</v>
      </c>
      <c r="B632" s="41">
        <v>44379</v>
      </c>
      <c r="C632" s="25">
        <v>1</v>
      </c>
      <c r="D632" s="25"/>
      <c r="E632" s="25"/>
      <c r="F632" s="25"/>
      <c r="G632" s="25"/>
      <c r="H632" s="25"/>
      <c r="I632" s="25"/>
      <c r="J632" s="25"/>
      <c r="K632" s="25"/>
      <c r="L632" s="25"/>
      <c r="M632" s="42" t="s">
        <v>253</v>
      </c>
      <c r="N632" s="41">
        <v>45077</v>
      </c>
      <c r="O632" s="25">
        <v>268</v>
      </c>
      <c r="P632" s="25">
        <v>0</v>
      </c>
      <c r="Q632" s="25"/>
      <c r="R632" s="25"/>
      <c r="S632" s="25"/>
      <c r="T632" s="10"/>
    </row>
    <row r="633" s="35" customFormat="1" ht="18.5" customHeight="1" spans="1:20">
      <c r="A633" s="16" t="s">
        <v>251</v>
      </c>
      <c r="B633" s="41">
        <v>44529</v>
      </c>
      <c r="C633" s="25">
        <v>0</v>
      </c>
      <c r="D633" s="25"/>
      <c r="E633" s="25"/>
      <c r="F633" s="25"/>
      <c r="G633" s="25"/>
      <c r="H633" s="25"/>
      <c r="I633" s="25"/>
      <c r="J633" s="25"/>
      <c r="K633" s="25"/>
      <c r="L633" s="25"/>
      <c r="M633" s="42" t="s">
        <v>253</v>
      </c>
      <c r="N633" s="41">
        <v>45286</v>
      </c>
      <c r="O633" s="25">
        <v>267</v>
      </c>
      <c r="P633" s="25">
        <v>0</v>
      </c>
      <c r="Q633" s="25"/>
      <c r="R633" s="25"/>
      <c r="S633" s="25"/>
      <c r="T633" s="10"/>
    </row>
    <row r="634" s="35" customFormat="1" ht="18.5" customHeight="1" spans="1:20">
      <c r="A634" s="16" t="s">
        <v>251</v>
      </c>
      <c r="B634" s="41">
        <v>44462</v>
      </c>
      <c r="C634" s="25">
        <v>1</v>
      </c>
      <c r="D634" s="25"/>
      <c r="E634" s="25"/>
      <c r="F634" s="25"/>
      <c r="G634" s="25"/>
      <c r="H634" s="25"/>
      <c r="I634" s="25"/>
      <c r="J634" s="25"/>
      <c r="K634" s="25"/>
      <c r="L634" s="25"/>
      <c r="M634" s="42" t="s">
        <v>253</v>
      </c>
      <c r="N634" s="41">
        <v>45241</v>
      </c>
      <c r="O634" s="25">
        <v>265</v>
      </c>
      <c r="P634" s="25">
        <v>0</v>
      </c>
      <c r="Q634" s="25"/>
      <c r="R634" s="25"/>
      <c r="S634" s="25"/>
      <c r="T634" s="10"/>
    </row>
    <row r="635" s="35" customFormat="1" ht="18.5" customHeight="1" spans="1:20">
      <c r="A635" s="16" t="s">
        <v>251</v>
      </c>
      <c r="B635" s="41">
        <v>44444</v>
      </c>
      <c r="C635" s="25">
        <v>1</v>
      </c>
      <c r="D635" s="25"/>
      <c r="E635" s="25"/>
      <c r="F635" s="25"/>
      <c r="G635" s="25"/>
      <c r="H635" s="25"/>
      <c r="I635" s="25"/>
      <c r="J635" s="25"/>
      <c r="K635" s="25"/>
      <c r="L635" s="25"/>
      <c r="M635" s="42" t="s">
        <v>253</v>
      </c>
      <c r="N635" s="41">
        <v>45198</v>
      </c>
      <c r="O635" s="25">
        <v>265</v>
      </c>
      <c r="P635" s="25">
        <v>0</v>
      </c>
      <c r="Q635" s="25"/>
      <c r="R635" s="25"/>
      <c r="S635" s="25"/>
      <c r="T635" s="10"/>
    </row>
    <row r="636" s="35" customFormat="1" ht="18.5" customHeight="1" spans="1:20">
      <c r="A636" s="16" t="s">
        <v>251</v>
      </c>
      <c r="B636" s="41">
        <v>44517</v>
      </c>
      <c r="C636" s="25">
        <v>0</v>
      </c>
      <c r="D636" s="25"/>
      <c r="E636" s="25"/>
      <c r="F636" s="25"/>
      <c r="G636" s="25"/>
      <c r="H636" s="25"/>
      <c r="I636" s="25"/>
      <c r="J636" s="25"/>
      <c r="K636" s="25"/>
      <c r="L636" s="25"/>
      <c r="M636" s="42" t="s">
        <v>253</v>
      </c>
      <c r="N636" s="41">
        <v>45078</v>
      </c>
      <c r="O636" s="25">
        <v>265</v>
      </c>
      <c r="P636" s="25">
        <v>0</v>
      </c>
      <c r="Q636" s="25"/>
      <c r="R636" s="25"/>
      <c r="S636" s="25"/>
      <c r="T636" s="10"/>
    </row>
    <row r="637" s="35" customFormat="1" ht="18.5" customHeight="1" spans="1:20">
      <c r="A637" s="16" t="s">
        <v>251</v>
      </c>
      <c r="B637" s="41">
        <v>44473</v>
      </c>
      <c r="C637" s="25">
        <v>0</v>
      </c>
      <c r="D637" s="25"/>
      <c r="E637" s="25"/>
      <c r="F637" s="25"/>
      <c r="G637" s="25"/>
      <c r="H637" s="25"/>
      <c r="I637" s="25"/>
      <c r="J637" s="25"/>
      <c r="K637" s="25"/>
      <c r="L637" s="25"/>
      <c r="M637" s="42" t="s">
        <v>253</v>
      </c>
      <c r="N637" s="41">
        <v>45044</v>
      </c>
      <c r="O637" s="25">
        <v>265</v>
      </c>
      <c r="P637" s="25">
        <v>0</v>
      </c>
      <c r="Q637" s="25"/>
      <c r="R637" s="25"/>
      <c r="S637" s="25"/>
      <c r="T637" s="10"/>
    </row>
    <row r="638" s="35" customFormat="1" ht="18.5" customHeight="1" spans="1:20">
      <c r="A638" s="16" t="s">
        <v>251</v>
      </c>
      <c r="B638" s="41">
        <v>44468</v>
      </c>
      <c r="C638" s="25">
        <v>0</v>
      </c>
      <c r="D638" s="25"/>
      <c r="E638" s="25"/>
      <c r="F638" s="25"/>
      <c r="G638" s="25"/>
      <c r="H638" s="25"/>
      <c r="I638" s="25"/>
      <c r="J638" s="25"/>
      <c r="K638" s="25"/>
      <c r="L638" s="25"/>
      <c r="M638" s="42" t="s">
        <v>253</v>
      </c>
      <c r="N638" s="41">
        <v>44979</v>
      </c>
      <c r="O638" s="25">
        <v>265</v>
      </c>
      <c r="P638" s="25">
        <v>0</v>
      </c>
      <c r="Q638" s="25"/>
      <c r="R638" s="25"/>
      <c r="S638" s="25"/>
      <c r="T638" s="10"/>
    </row>
    <row r="639" s="35" customFormat="1" ht="18.5" customHeight="1" spans="1:20">
      <c r="A639" s="16" t="s">
        <v>251</v>
      </c>
      <c r="B639" s="41">
        <v>44461</v>
      </c>
      <c r="C639" s="25">
        <v>0</v>
      </c>
      <c r="D639" s="25"/>
      <c r="E639" s="25"/>
      <c r="F639" s="25"/>
      <c r="G639" s="25"/>
      <c r="H639" s="25"/>
      <c r="I639" s="25"/>
      <c r="J639" s="25"/>
      <c r="K639" s="25"/>
      <c r="L639" s="25"/>
      <c r="M639" s="42" t="s">
        <v>253</v>
      </c>
      <c r="N639" s="41">
        <v>45245</v>
      </c>
      <c r="O639" s="25">
        <v>264</v>
      </c>
      <c r="P639" s="25">
        <v>0</v>
      </c>
      <c r="Q639" s="25"/>
      <c r="R639" s="25"/>
      <c r="S639" s="25"/>
      <c r="T639" s="10"/>
    </row>
    <row r="640" s="35" customFormat="1" ht="18.5" customHeight="1" spans="1:20">
      <c r="A640" s="16" t="s">
        <v>251</v>
      </c>
      <c r="B640" s="41">
        <v>44453</v>
      </c>
      <c r="C640" s="25">
        <v>0</v>
      </c>
      <c r="D640" s="25"/>
      <c r="E640" s="25"/>
      <c r="F640" s="25"/>
      <c r="G640" s="25"/>
      <c r="H640" s="25"/>
      <c r="I640" s="25"/>
      <c r="J640" s="25"/>
      <c r="K640" s="25"/>
      <c r="L640" s="25"/>
      <c r="M640" s="42" t="s">
        <v>253</v>
      </c>
      <c r="N640" s="41">
        <v>45120</v>
      </c>
      <c r="O640" s="25">
        <v>261</v>
      </c>
      <c r="P640" s="25">
        <v>0</v>
      </c>
      <c r="Q640" s="25"/>
      <c r="R640" s="25"/>
      <c r="S640" s="25"/>
      <c r="T640" s="10"/>
    </row>
    <row r="641" s="35" customFormat="1" ht="18.5" customHeight="1" spans="1:20">
      <c r="A641" s="16" t="s">
        <v>251</v>
      </c>
      <c r="B641" s="41">
        <v>44345</v>
      </c>
      <c r="C641" s="25">
        <v>1</v>
      </c>
      <c r="D641" s="25"/>
      <c r="E641" s="25"/>
      <c r="F641" s="25"/>
      <c r="G641" s="25"/>
      <c r="H641" s="25"/>
      <c r="I641" s="25"/>
      <c r="J641" s="25"/>
      <c r="K641" s="25"/>
      <c r="L641" s="25"/>
      <c r="M641" s="42" t="s">
        <v>253</v>
      </c>
      <c r="N641" s="41">
        <v>44988</v>
      </c>
      <c r="O641" s="25">
        <v>259</v>
      </c>
      <c r="P641" s="25">
        <v>0</v>
      </c>
      <c r="Q641" s="25"/>
      <c r="R641" s="25"/>
      <c r="S641" s="25"/>
      <c r="T641" s="10"/>
    </row>
    <row r="642" s="35" customFormat="1" ht="18.5" customHeight="1" spans="1:20">
      <c r="A642" s="16" t="s">
        <v>251</v>
      </c>
      <c r="B642" s="41">
        <v>44452</v>
      </c>
      <c r="C642" s="25">
        <v>0</v>
      </c>
      <c r="D642" s="25"/>
      <c r="E642" s="25"/>
      <c r="F642" s="25"/>
      <c r="G642" s="25"/>
      <c r="H642" s="25"/>
      <c r="I642" s="25"/>
      <c r="J642" s="25"/>
      <c r="K642" s="25"/>
      <c r="L642" s="25"/>
      <c r="M642" s="42" t="s">
        <v>253</v>
      </c>
      <c r="N642" s="41">
        <v>45242</v>
      </c>
      <c r="O642" s="25">
        <v>258</v>
      </c>
      <c r="P642" s="25">
        <v>0</v>
      </c>
      <c r="Q642" s="25"/>
      <c r="R642" s="25"/>
      <c r="S642" s="25"/>
      <c r="T642" s="10"/>
    </row>
    <row r="643" s="35" customFormat="1" ht="18.5" customHeight="1" spans="1:20">
      <c r="A643" s="16" t="s">
        <v>251</v>
      </c>
      <c r="B643" s="41">
        <v>44468</v>
      </c>
      <c r="C643" s="25">
        <v>0</v>
      </c>
      <c r="D643" s="25"/>
      <c r="E643" s="25"/>
      <c r="F643" s="25"/>
      <c r="G643" s="25"/>
      <c r="H643" s="25"/>
      <c r="I643" s="25"/>
      <c r="J643" s="25"/>
      <c r="K643" s="25"/>
      <c r="L643" s="25"/>
      <c r="M643" s="42" t="s">
        <v>253</v>
      </c>
      <c r="N643" s="41">
        <v>45154</v>
      </c>
      <c r="O643" s="25">
        <v>258</v>
      </c>
      <c r="P643" s="25">
        <v>0</v>
      </c>
      <c r="Q643" s="25"/>
      <c r="R643" s="25"/>
      <c r="S643" s="25"/>
      <c r="T643" s="10"/>
    </row>
    <row r="644" s="35" customFormat="1" ht="18.5" customHeight="1" spans="1:20">
      <c r="A644" s="16" t="s">
        <v>251</v>
      </c>
      <c r="B644" s="41">
        <v>44467</v>
      </c>
      <c r="C644" s="25">
        <v>1</v>
      </c>
      <c r="D644" s="25"/>
      <c r="E644" s="25"/>
      <c r="F644" s="25"/>
      <c r="G644" s="25"/>
      <c r="H644" s="25"/>
      <c r="I644" s="25"/>
      <c r="J644" s="25"/>
      <c r="K644" s="25"/>
      <c r="L644" s="25"/>
      <c r="M644" s="42" t="s">
        <v>253</v>
      </c>
      <c r="N644" s="41">
        <v>45100</v>
      </c>
      <c r="O644" s="25">
        <v>258</v>
      </c>
      <c r="P644" s="25">
        <v>0</v>
      </c>
      <c r="Q644" s="25"/>
      <c r="R644" s="25"/>
      <c r="S644" s="25"/>
      <c r="T644" s="10"/>
    </row>
    <row r="645" s="35" customFormat="1" ht="18.5" customHeight="1" spans="1:20">
      <c r="A645" s="16" t="s">
        <v>251</v>
      </c>
      <c r="B645" s="41">
        <v>44556</v>
      </c>
      <c r="C645" s="25">
        <v>0</v>
      </c>
      <c r="D645" s="25"/>
      <c r="E645" s="25"/>
      <c r="F645" s="25"/>
      <c r="G645" s="25"/>
      <c r="H645" s="25"/>
      <c r="I645" s="25"/>
      <c r="J645" s="25"/>
      <c r="K645" s="25"/>
      <c r="L645" s="25"/>
      <c r="M645" s="42" t="s">
        <v>253</v>
      </c>
      <c r="N645" s="41">
        <v>45077</v>
      </c>
      <c r="O645" s="25">
        <v>258</v>
      </c>
      <c r="P645" s="25">
        <v>0</v>
      </c>
      <c r="Q645" s="25"/>
      <c r="R645" s="25"/>
      <c r="S645" s="25"/>
      <c r="T645" s="10"/>
    </row>
    <row r="646" s="35" customFormat="1" ht="18.5" customHeight="1" spans="1:20">
      <c r="A646" s="16" t="s">
        <v>251</v>
      </c>
      <c r="B646" s="41">
        <v>44445</v>
      </c>
      <c r="C646" s="25">
        <v>0</v>
      </c>
      <c r="D646" s="25"/>
      <c r="E646" s="25"/>
      <c r="F646" s="25"/>
      <c r="G646" s="25"/>
      <c r="H646" s="25"/>
      <c r="I646" s="25"/>
      <c r="J646" s="25"/>
      <c r="K646" s="25"/>
      <c r="L646" s="25"/>
      <c r="M646" s="42" t="s">
        <v>253</v>
      </c>
      <c r="N646" s="41">
        <v>45063</v>
      </c>
      <c r="O646" s="25">
        <v>258</v>
      </c>
      <c r="P646" s="25">
        <v>0</v>
      </c>
      <c r="Q646" s="25"/>
      <c r="R646" s="25"/>
      <c r="S646" s="25"/>
      <c r="T646" s="10"/>
    </row>
    <row r="647" s="35" customFormat="1" ht="18.5" customHeight="1" spans="1:20">
      <c r="A647" s="16" t="s">
        <v>251</v>
      </c>
      <c r="B647" s="41">
        <v>44407</v>
      </c>
      <c r="C647" s="25">
        <v>0</v>
      </c>
      <c r="D647" s="25"/>
      <c r="E647" s="25"/>
      <c r="F647" s="25"/>
      <c r="G647" s="25"/>
      <c r="H647" s="25"/>
      <c r="I647" s="25"/>
      <c r="J647" s="25"/>
      <c r="K647" s="25"/>
      <c r="L647" s="25"/>
      <c r="M647" s="42" t="s">
        <v>253</v>
      </c>
      <c r="N647" s="41">
        <v>45058</v>
      </c>
      <c r="O647" s="25">
        <v>258</v>
      </c>
      <c r="P647" s="25">
        <v>0</v>
      </c>
      <c r="Q647" s="25"/>
      <c r="R647" s="25"/>
      <c r="S647" s="25"/>
      <c r="T647" s="10"/>
    </row>
    <row r="648" s="35" customFormat="1" ht="18.5" customHeight="1" spans="1:20">
      <c r="A648" s="16" t="s">
        <v>251</v>
      </c>
      <c r="B648" s="41">
        <v>44446</v>
      </c>
      <c r="C648" s="25">
        <v>0</v>
      </c>
      <c r="D648" s="25"/>
      <c r="E648" s="25"/>
      <c r="F648" s="25"/>
      <c r="G648" s="25"/>
      <c r="H648" s="25"/>
      <c r="I648" s="25"/>
      <c r="J648" s="25"/>
      <c r="K648" s="25"/>
      <c r="L648" s="25"/>
      <c r="M648" s="42" t="s">
        <v>253</v>
      </c>
      <c r="N648" s="41">
        <v>44943</v>
      </c>
      <c r="O648" s="25">
        <v>258</v>
      </c>
      <c r="P648" s="25">
        <v>0</v>
      </c>
      <c r="Q648" s="25"/>
      <c r="R648" s="25"/>
      <c r="S648" s="25"/>
      <c r="T648" s="10"/>
    </row>
    <row r="649" s="35" customFormat="1" ht="18.5" customHeight="1" spans="1:20">
      <c r="A649" s="16" t="s">
        <v>251</v>
      </c>
      <c r="B649" s="41">
        <v>44433</v>
      </c>
      <c r="C649" s="25">
        <v>0</v>
      </c>
      <c r="D649" s="25"/>
      <c r="E649" s="25"/>
      <c r="F649" s="25"/>
      <c r="G649" s="25"/>
      <c r="H649" s="25"/>
      <c r="I649" s="25"/>
      <c r="J649" s="25"/>
      <c r="K649" s="25"/>
      <c r="L649" s="25"/>
      <c r="M649" s="42" t="s">
        <v>253</v>
      </c>
      <c r="N649" s="41">
        <v>45267</v>
      </c>
      <c r="O649" s="25">
        <v>258</v>
      </c>
      <c r="P649" s="25">
        <v>0</v>
      </c>
      <c r="Q649" s="25"/>
      <c r="R649" s="25"/>
      <c r="S649" s="25"/>
      <c r="T649" s="10"/>
    </row>
    <row r="650" s="35" customFormat="1" ht="18.5" customHeight="1" spans="1:20">
      <c r="A650" s="16" t="s">
        <v>251</v>
      </c>
      <c r="B650" s="41">
        <v>44419</v>
      </c>
      <c r="C650" s="25">
        <v>0</v>
      </c>
      <c r="D650" s="25"/>
      <c r="E650" s="25"/>
      <c r="F650" s="25"/>
      <c r="G650" s="25"/>
      <c r="H650" s="25"/>
      <c r="I650" s="25"/>
      <c r="J650" s="25"/>
      <c r="K650" s="25"/>
      <c r="L650" s="25"/>
      <c r="M650" s="42" t="s">
        <v>253</v>
      </c>
      <c r="N650" s="41">
        <v>45275</v>
      </c>
      <c r="O650" s="25">
        <v>257</v>
      </c>
      <c r="P650" s="25">
        <v>0</v>
      </c>
      <c r="Q650" s="25"/>
      <c r="R650" s="25"/>
      <c r="S650" s="25"/>
      <c r="T650" s="10"/>
    </row>
    <row r="651" s="35" customFormat="1" ht="18.5" customHeight="1" spans="1:20">
      <c r="A651" s="16" t="s">
        <v>251</v>
      </c>
      <c r="B651" s="41">
        <v>44455</v>
      </c>
      <c r="C651" s="25">
        <v>0</v>
      </c>
      <c r="D651" s="25"/>
      <c r="E651" s="25"/>
      <c r="F651" s="25"/>
      <c r="G651" s="25"/>
      <c r="H651" s="25"/>
      <c r="I651" s="25"/>
      <c r="J651" s="25"/>
      <c r="K651" s="25"/>
      <c r="L651" s="25"/>
      <c r="M651" s="42" t="s">
        <v>253</v>
      </c>
      <c r="N651" s="41">
        <v>45072</v>
      </c>
      <c r="O651" s="25">
        <v>256</v>
      </c>
      <c r="P651" s="25">
        <v>0</v>
      </c>
      <c r="Q651" s="25"/>
      <c r="R651" s="25"/>
      <c r="S651" s="25"/>
      <c r="T651" s="10"/>
    </row>
    <row r="652" s="35" customFormat="1" ht="18.5" customHeight="1" spans="1:20">
      <c r="A652" s="16" t="s">
        <v>251</v>
      </c>
      <c r="B652" s="41">
        <v>44380</v>
      </c>
      <c r="C652" s="25">
        <v>0</v>
      </c>
      <c r="D652" s="25"/>
      <c r="E652" s="25"/>
      <c r="F652" s="25"/>
      <c r="G652" s="25"/>
      <c r="H652" s="25"/>
      <c r="I652" s="25"/>
      <c r="J652" s="25"/>
      <c r="K652" s="25"/>
      <c r="L652" s="25"/>
      <c r="M652" s="42" t="s">
        <v>253</v>
      </c>
      <c r="N652" s="41">
        <v>45034</v>
      </c>
      <c r="O652" s="25">
        <v>256</v>
      </c>
      <c r="P652" s="25">
        <v>0</v>
      </c>
      <c r="Q652" s="25"/>
      <c r="R652" s="25"/>
      <c r="S652" s="25"/>
      <c r="T652" s="10"/>
    </row>
    <row r="653" s="35" customFormat="1" ht="18.5" customHeight="1" spans="1:20">
      <c r="A653" s="16" t="s">
        <v>251</v>
      </c>
      <c r="B653" s="41">
        <v>44448</v>
      </c>
      <c r="C653" s="25">
        <v>0</v>
      </c>
      <c r="D653" s="25"/>
      <c r="E653" s="25"/>
      <c r="F653" s="25"/>
      <c r="G653" s="25"/>
      <c r="H653" s="25"/>
      <c r="I653" s="25"/>
      <c r="J653" s="25"/>
      <c r="K653" s="25"/>
      <c r="L653" s="25"/>
      <c r="M653" s="42" t="s">
        <v>253</v>
      </c>
      <c r="N653" s="41">
        <v>45028</v>
      </c>
      <c r="O653" s="25">
        <v>256</v>
      </c>
      <c r="P653" s="25">
        <v>0</v>
      </c>
      <c r="Q653" s="25"/>
      <c r="R653" s="25"/>
      <c r="S653" s="25"/>
      <c r="T653" s="10"/>
    </row>
    <row r="654" s="35" customFormat="1" ht="18.5" customHeight="1" spans="1:20">
      <c r="A654" s="16" t="s">
        <v>251</v>
      </c>
      <c r="B654" s="41">
        <v>44532</v>
      </c>
      <c r="C654" s="25">
        <v>0</v>
      </c>
      <c r="D654" s="25"/>
      <c r="E654" s="25"/>
      <c r="F654" s="25"/>
      <c r="G654" s="25"/>
      <c r="H654" s="25"/>
      <c r="I654" s="25"/>
      <c r="J654" s="25"/>
      <c r="K654" s="25"/>
      <c r="L654" s="25"/>
      <c r="M654" s="42" t="s">
        <v>253</v>
      </c>
      <c r="N654" s="41">
        <v>45274</v>
      </c>
      <c r="O654" s="25">
        <v>255</v>
      </c>
      <c r="P654" s="25">
        <v>0</v>
      </c>
      <c r="Q654" s="25"/>
      <c r="R654" s="25"/>
      <c r="S654" s="25"/>
      <c r="T654" s="10"/>
    </row>
    <row r="655" s="35" customFormat="1" ht="18.5" customHeight="1" spans="1:20">
      <c r="A655" s="16" t="s">
        <v>251</v>
      </c>
      <c r="B655" s="41">
        <v>44499</v>
      </c>
      <c r="C655" s="25">
        <v>0</v>
      </c>
      <c r="D655" s="25"/>
      <c r="E655" s="25"/>
      <c r="F655" s="25"/>
      <c r="G655" s="25"/>
      <c r="H655" s="25"/>
      <c r="I655" s="25"/>
      <c r="J655" s="25"/>
      <c r="K655" s="25"/>
      <c r="L655" s="25"/>
      <c r="M655" s="42" t="s">
        <v>253</v>
      </c>
      <c r="N655" s="41">
        <v>45051</v>
      </c>
      <c r="O655" s="25">
        <v>255</v>
      </c>
      <c r="P655" s="25">
        <v>0</v>
      </c>
      <c r="Q655" s="25"/>
      <c r="R655" s="25"/>
      <c r="S655" s="25"/>
      <c r="T655" s="10"/>
    </row>
    <row r="656" s="35" customFormat="1" ht="18.5" customHeight="1" spans="1:20">
      <c r="A656" s="16" t="s">
        <v>251</v>
      </c>
      <c r="B656" s="41">
        <v>44432</v>
      </c>
      <c r="C656" s="25">
        <v>0</v>
      </c>
      <c r="D656" s="25"/>
      <c r="E656" s="25"/>
      <c r="F656" s="25"/>
      <c r="G656" s="25"/>
      <c r="H656" s="25"/>
      <c r="I656" s="25"/>
      <c r="J656" s="25"/>
      <c r="K656" s="25"/>
      <c r="L656" s="25"/>
      <c r="M656" s="42" t="s">
        <v>253</v>
      </c>
      <c r="N656" s="41">
        <v>45044</v>
      </c>
      <c r="O656" s="25">
        <v>255</v>
      </c>
      <c r="P656" s="25">
        <v>0</v>
      </c>
      <c r="Q656" s="25"/>
      <c r="R656" s="25"/>
      <c r="S656" s="25"/>
      <c r="T656" s="10"/>
    </row>
    <row r="657" s="35" customFormat="1" ht="18.5" customHeight="1" spans="1:20">
      <c r="A657" s="16" t="s">
        <v>251</v>
      </c>
      <c r="B657" s="41">
        <v>45260</v>
      </c>
      <c r="C657" s="25">
        <v>366</v>
      </c>
      <c r="D657" s="25"/>
      <c r="E657" s="25"/>
      <c r="F657" s="25"/>
      <c r="G657" s="25"/>
      <c r="H657" s="25"/>
      <c r="I657" s="25"/>
      <c r="J657" s="25"/>
      <c r="K657" s="25"/>
      <c r="L657" s="25"/>
      <c r="M657" s="42" t="s">
        <v>253</v>
      </c>
      <c r="N657" s="41">
        <v>44991</v>
      </c>
      <c r="O657" s="25">
        <v>255</v>
      </c>
      <c r="P657" s="25">
        <v>0</v>
      </c>
      <c r="Q657" s="25"/>
      <c r="R657" s="25"/>
      <c r="S657" s="25"/>
      <c r="T657" s="10"/>
    </row>
    <row r="658" s="35" customFormat="1" ht="18.5" customHeight="1" spans="1:20">
      <c r="A658" s="16" t="s">
        <v>251</v>
      </c>
      <c r="B658" s="41">
        <v>44489</v>
      </c>
      <c r="C658" s="25">
        <v>18</v>
      </c>
      <c r="D658" s="25"/>
      <c r="E658" s="25"/>
      <c r="F658" s="25"/>
      <c r="G658" s="25"/>
      <c r="H658" s="25"/>
      <c r="I658" s="25"/>
      <c r="J658" s="25"/>
      <c r="K658" s="25"/>
      <c r="L658" s="25"/>
      <c r="M658" s="42" t="s">
        <v>253</v>
      </c>
      <c r="N658" s="41">
        <v>45245</v>
      </c>
      <c r="O658" s="25">
        <v>255</v>
      </c>
      <c r="P658" s="25">
        <v>0</v>
      </c>
      <c r="Q658" s="25"/>
      <c r="R658" s="25"/>
      <c r="S658" s="25"/>
      <c r="T658" s="10"/>
    </row>
    <row r="659" s="35" customFormat="1" ht="18.5" customHeight="1" spans="1:20">
      <c r="A659" s="16" t="s">
        <v>251</v>
      </c>
      <c r="B659" s="41">
        <v>44400</v>
      </c>
      <c r="C659" s="25">
        <v>20</v>
      </c>
      <c r="D659" s="25"/>
      <c r="E659" s="25"/>
      <c r="F659" s="25"/>
      <c r="G659" s="25"/>
      <c r="H659" s="25"/>
      <c r="I659" s="25"/>
      <c r="J659" s="25"/>
      <c r="K659" s="25"/>
      <c r="L659" s="25"/>
      <c r="M659" s="42" t="s">
        <v>253</v>
      </c>
      <c r="N659" s="41">
        <v>45231</v>
      </c>
      <c r="O659" s="25">
        <v>255</v>
      </c>
      <c r="P659" s="25">
        <v>0</v>
      </c>
      <c r="Q659" s="25"/>
      <c r="R659" s="25"/>
      <c r="S659" s="25"/>
      <c r="T659" s="10"/>
    </row>
    <row r="660" s="35" customFormat="1" ht="18.5" customHeight="1" spans="1:20">
      <c r="A660" s="16" t="s">
        <v>251</v>
      </c>
      <c r="B660" s="41">
        <v>45260</v>
      </c>
      <c r="C660" s="25">
        <v>64</v>
      </c>
      <c r="D660" s="25"/>
      <c r="E660" s="25"/>
      <c r="F660" s="25"/>
      <c r="G660" s="25"/>
      <c r="H660" s="25"/>
      <c r="I660" s="25"/>
      <c r="J660" s="25"/>
      <c r="K660" s="25"/>
      <c r="L660" s="25"/>
      <c r="M660" s="42" t="s">
        <v>253</v>
      </c>
      <c r="N660" s="41">
        <v>45061</v>
      </c>
      <c r="O660" s="25">
        <v>254</v>
      </c>
      <c r="P660" s="25">
        <v>0</v>
      </c>
      <c r="Q660" s="25"/>
      <c r="R660" s="25"/>
      <c r="S660" s="25"/>
      <c r="T660" s="10"/>
    </row>
    <row r="661" s="35" customFormat="1" ht="18.5" customHeight="1" spans="1:20">
      <c r="A661" s="16" t="s">
        <v>251</v>
      </c>
      <c r="B661" s="41">
        <v>45294</v>
      </c>
      <c r="C661" s="25">
        <v>55</v>
      </c>
      <c r="D661" s="25"/>
      <c r="E661" s="25"/>
      <c r="F661" s="25"/>
      <c r="G661" s="25"/>
      <c r="H661" s="25"/>
      <c r="I661" s="25"/>
      <c r="J661" s="25"/>
      <c r="K661" s="25"/>
      <c r="L661" s="25"/>
      <c r="M661" s="42" t="s">
        <v>253</v>
      </c>
      <c r="N661" s="41">
        <v>45257</v>
      </c>
      <c r="O661" s="25">
        <v>254</v>
      </c>
      <c r="P661" s="25">
        <v>0</v>
      </c>
      <c r="Q661" s="25"/>
      <c r="R661" s="25"/>
      <c r="S661" s="25"/>
      <c r="T661" s="10"/>
    </row>
    <row r="662" s="35" customFormat="1" ht="18.5" customHeight="1" spans="1:20">
      <c r="A662" s="16" t="s">
        <v>251</v>
      </c>
      <c r="B662" s="41">
        <v>45295</v>
      </c>
      <c r="C662" s="25">
        <v>11</v>
      </c>
      <c r="D662" s="25"/>
      <c r="E662" s="25"/>
      <c r="F662" s="25"/>
      <c r="G662" s="25"/>
      <c r="H662" s="25"/>
      <c r="I662" s="25"/>
      <c r="J662" s="25"/>
      <c r="K662" s="25"/>
      <c r="L662" s="25"/>
      <c r="M662" s="42" t="s">
        <v>253</v>
      </c>
      <c r="N662" s="41">
        <v>45091</v>
      </c>
      <c r="O662" s="25">
        <v>254</v>
      </c>
      <c r="P662" s="25">
        <v>0</v>
      </c>
      <c r="Q662" s="25"/>
      <c r="R662" s="25"/>
      <c r="S662" s="25"/>
      <c r="T662" s="10"/>
    </row>
    <row r="663" s="35" customFormat="1" ht="18.5" customHeight="1" spans="1:20">
      <c r="A663" s="16" t="s">
        <v>251</v>
      </c>
      <c r="B663" s="41">
        <v>45294</v>
      </c>
      <c r="C663" s="25">
        <v>17</v>
      </c>
      <c r="D663" s="25"/>
      <c r="E663" s="25"/>
      <c r="F663" s="25"/>
      <c r="G663" s="25"/>
      <c r="H663" s="25"/>
      <c r="I663" s="25"/>
      <c r="J663" s="25"/>
      <c r="K663" s="25"/>
      <c r="L663" s="25"/>
      <c r="M663" s="42" t="s">
        <v>253</v>
      </c>
      <c r="N663" s="41">
        <v>45040</v>
      </c>
      <c r="O663" s="25">
        <v>253</v>
      </c>
      <c r="P663" s="25">
        <v>0</v>
      </c>
      <c r="Q663" s="25"/>
      <c r="R663" s="25"/>
      <c r="S663" s="25"/>
      <c r="T663" s="10"/>
    </row>
    <row r="664" s="35" customFormat="1" ht="18.5" customHeight="1" spans="1:20">
      <c r="A664" s="16" t="s">
        <v>251</v>
      </c>
      <c r="B664" s="41">
        <v>45255</v>
      </c>
      <c r="C664" s="25">
        <v>67</v>
      </c>
      <c r="D664" s="25"/>
      <c r="E664" s="25"/>
      <c r="F664" s="25"/>
      <c r="G664" s="25"/>
      <c r="H664" s="25"/>
      <c r="I664" s="25"/>
      <c r="J664" s="25"/>
      <c r="K664" s="25"/>
      <c r="L664" s="25"/>
      <c r="M664" s="42" t="s">
        <v>253</v>
      </c>
      <c r="N664" s="41">
        <v>44927</v>
      </c>
      <c r="O664" s="25">
        <v>253</v>
      </c>
      <c r="P664" s="25">
        <v>0</v>
      </c>
      <c r="Q664" s="25"/>
      <c r="R664" s="25"/>
      <c r="S664" s="25"/>
      <c r="T664" s="10"/>
    </row>
    <row r="665" s="35" customFormat="1" ht="18.5" customHeight="1" spans="1:20">
      <c r="A665" s="16" t="s">
        <v>251</v>
      </c>
      <c r="B665" s="41">
        <v>44596</v>
      </c>
      <c r="C665" s="25">
        <v>10</v>
      </c>
      <c r="D665" s="25"/>
      <c r="E665" s="25"/>
      <c r="F665" s="25"/>
      <c r="G665" s="25"/>
      <c r="H665" s="25"/>
      <c r="I665" s="25"/>
      <c r="J665" s="25"/>
      <c r="K665" s="25"/>
      <c r="L665" s="25"/>
      <c r="M665" s="42" t="s">
        <v>253</v>
      </c>
      <c r="N665" s="41">
        <v>45243</v>
      </c>
      <c r="O665" s="25">
        <v>252</v>
      </c>
      <c r="P665" s="25">
        <v>0</v>
      </c>
      <c r="Q665" s="25"/>
      <c r="R665" s="25"/>
      <c r="S665" s="25"/>
      <c r="T665" s="10"/>
    </row>
    <row r="666" s="35" customFormat="1" ht="18.5" customHeight="1" spans="1:20">
      <c r="A666" s="16" t="s">
        <v>251</v>
      </c>
      <c r="B666" s="41">
        <v>45288</v>
      </c>
      <c r="C666" s="25">
        <v>29</v>
      </c>
      <c r="D666" s="25"/>
      <c r="E666" s="25"/>
      <c r="F666" s="25"/>
      <c r="G666" s="25"/>
      <c r="H666" s="25"/>
      <c r="I666" s="25"/>
      <c r="J666" s="25"/>
      <c r="K666" s="25"/>
      <c r="L666" s="25"/>
      <c r="M666" s="42" t="s">
        <v>253</v>
      </c>
      <c r="N666" s="41">
        <v>45206</v>
      </c>
      <c r="O666" s="25">
        <v>252</v>
      </c>
      <c r="P666" s="25">
        <v>0</v>
      </c>
      <c r="Q666" s="25"/>
      <c r="R666" s="25"/>
      <c r="S666" s="25"/>
      <c r="T666" s="10"/>
    </row>
    <row r="667" s="35" customFormat="1" ht="18.5" customHeight="1" spans="1:20">
      <c r="A667" s="16" t="s">
        <v>251</v>
      </c>
      <c r="B667" s="41">
        <v>45294</v>
      </c>
      <c r="C667" s="25">
        <v>26</v>
      </c>
      <c r="D667" s="25"/>
      <c r="E667" s="25"/>
      <c r="F667" s="25"/>
      <c r="G667" s="25"/>
      <c r="H667" s="25"/>
      <c r="I667" s="25"/>
      <c r="J667" s="25"/>
      <c r="K667" s="25"/>
      <c r="L667" s="25"/>
      <c r="M667" s="42" t="s">
        <v>253</v>
      </c>
      <c r="N667" s="41">
        <v>45038</v>
      </c>
      <c r="O667" s="25">
        <v>252</v>
      </c>
      <c r="P667" s="25">
        <v>0</v>
      </c>
      <c r="Q667" s="25"/>
      <c r="R667" s="25"/>
      <c r="S667" s="25"/>
      <c r="T667" s="10"/>
    </row>
    <row r="668" s="35" customFormat="1" ht="18.5" customHeight="1" spans="1:20">
      <c r="A668" s="16" t="s">
        <v>251</v>
      </c>
      <c r="B668" s="41">
        <v>44410</v>
      </c>
      <c r="C668" s="25">
        <v>17</v>
      </c>
      <c r="D668" s="25"/>
      <c r="E668" s="25"/>
      <c r="F668" s="25"/>
      <c r="G668" s="25"/>
      <c r="H668" s="25"/>
      <c r="I668" s="25"/>
      <c r="J668" s="25"/>
      <c r="K668" s="25"/>
      <c r="L668" s="25"/>
      <c r="M668" s="42" t="s">
        <v>253</v>
      </c>
      <c r="N668" s="41">
        <v>45033</v>
      </c>
      <c r="O668" s="25">
        <v>252</v>
      </c>
      <c r="P668" s="25">
        <v>0</v>
      </c>
      <c r="Q668" s="25"/>
      <c r="R668" s="25"/>
      <c r="S668" s="25"/>
      <c r="T668" s="10"/>
    </row>
    <row r="669" s="35" customFormat="1" ht="18.5" customHeight="1" spans="1:20">
      <c r="A669" s="16" t="s">
        <v>251</v>
      </c>
      <c r="B669" s="41">
        <v>44476</v>
      </c>
      <c r="C669" s="25">
        <v>13</v>
      </c>
      <c r="D669" s="25"/>
      <c r="E669" s="25"/>
      <c r="F669" s="25"/>
      <c r="G669" s="25"/>
      <c r="H669" s="25"/>
      <c r="I669" s="25"/>
      <c r="J669" s="25"/>
      <c r="K669" s="25"/>
      <c r="L669" s="25"/>
      <c r="M669" s="42" t="s">
        <v>253</v>
      </c>
      <c r="N669" s="41">
        <v>44999</v>
      </c>
      <c r="O669" s="25">
        <v>252</v>
      </c>
      <c r="P669" s="25">
        <v>0</v>
      </c>
      <c r="Q669" s="25"/>
      <c r="R669" s="25"/>
      <c r="S669" s="25"/>
      <c r="T669" s="10"/>
    </row>
    <row r="670" s="35" customFormat="1" ht="18.5" customHeight="1" spans="1:20">
      <c r="A670" s="16" t="s">
        <v>251</v>
      </c>
      <c r="B670" s="41">
        <v>44673</v>
      </c>
      <c r="C670" s="25">
        <v>17</v>
      </c>
      <c r="D670" s="25"/>
      <c r="E670" s="25"/>
      <c r="F670" s="25"/>
      <c r="G670" s="25"/>
      <c r="H670" s="25"/>
      <c r="I670" s="25"/>
      <c r="J670" s="25"/>
      <c r="K670" s="25"/>
      <c r="L670" s="25"/>
      <c r="M670" s="42" t="s">
        <v>253</v>
      </c>
      <c r="N670" s="41">
        <v>45129</v>
      </c>
      <c r="O670" s="25">
        <v>250</v>
      </c>
      <c r="P670" s="25">
        <v>0</v>
      </c>
      <c r="Q670" s="25"/>
      <c r="R670" s="25"/>
      <c r="S670" s="25"/>
      <c r="T670" s="10"/>
    </row>
    <row r="671" s="35" customFormat="1" ht="18.5" customHeight="1" spans="1:20">
      <c r="A671" s="16" t="s">
        <v>251</v>
      </c>
      <c r="B671" s="41">
        <v>45030</v>
      </c>
      <c r="C671" s="25">
        <v>10</v>
      </c>
      <c r="D671" s="25"/>
      <c r="E671" s="25"/>
      <c r="F671" s="25"/>
      <c r="G671" s="25"/>
      <c r="H671" s="25"/>
      <c r="I671" s="25"/>
      <c r="J671" s="25"/>
      <c r="K671" s="25"/>
      <c r="L671" s="25"/>
      <c r="M671" s="42" t="s">
        <v>253</v>
      </c>
      <c r="N671" s="41">
        <v>45041</v>
      </c>
      <c r="O671" s="25">
        <v>250</v>
      </c>
      <c r="P671" s="25">
        <v>0</v>
      </c>
      <c r="Q671" s="25"/>
      <c r="R671" s="25"/>
      <c r="S671" s="25"/>
      <c r="T671" s="10"/>
    </row>
    <row r="672" s="35" customFormat="1" ht="18.5" customHeight="1" spans="1:20">
      <c r="A672" s="16" t="s">
        <v>251</v>
      </c>
      <c r="B672" s="41">
        <v>45274</v>
      </c>
      <c r="C672" s="25">
        <v>22</v>
      </c>
      <c r="D672" s="25"/>
      <c r="E672" s="25"/>
      <c r="F672" s="25"/>
      <c r="G672" s="25"/>
      <c r="H672" s="25"/>
      <c r="I672" s="25"/>
      <c r="J672" s="25"/>
      <c r="K672" s="25"/>
      <c r="L672" s="25"/>
      <c r="M672" s="42" t="s">
        <v>253</v>
      </c>
      <c r="N672" s="41">
        <v>45030</v>
      </c>
      <c r="O672" s="25">
        <v>251</v>
      </c>
      <c r="P672" s="25">
        <v>0</v>
      </c>
      <c r="Q672" s="25"/>
      <c r="R672" s="25"/>
      <c r="S672" s="25"/>
      <c r="T672" s="10"/>
    </row>
    <row r="673" s="35" customFormat="1" ht="18.5" customHeight="1" spans="1:20">
      <c r="A673" s="16" t="s">
        <v>251</v>
      </c>
      <c r="B673" s="41">
        <v>45287</v>
      </c>
      <c r="C673" s="25">
        <v>59</v>
      </c>
      <c r="D673" s="25"/>
      <c r="E673" s="25"/>
      <c r="F673" s="25"/>
      <c r="G673" s="25"/>
      <c r="H673" s="25"/>
      <c r="I673" s="25"/>
      <c r="J673" s="25"/>
      <c r="K673" s="25"/>
      <c r="L673" s="25"/>
      <c r="M673" s="42" t="s">
        <v>253</v>
      </c>
      <c r="N673" s="41">
        <v>45240</v>
      </c>
      <c r="O673" s="25">
        <v>249</v>
      </c>
      <c r="P673" s="25">
        <v>0</v>
      </c>
      <c r="Q673" s="25"/>
      <c r="R673" s="25"/>
      <c r="S673" s="25"/>
      <c r="T673" s="10"/>
    </row>
    <row r="674" s="35" customFormat="1" ht="18.5" customHeight="1" spans="1:20">
      <c r="A674" s="16" t="s">
        <v>251</v>
      </c>
      <c r="B674" s="41">
        <v>44524</v>
      </c>
      <c r="C674" s="25">
        <v>20</v>
      </c>
      <c r="D674" s="25"/>
      <c r="E674" s="25"/>
      <c r="F674" s="25"/>
      <c r="G674" s="25"/>
      <c r="H674" s="25"/>
      <c r="I674" s="25"/>
      <c r="J674" s="25"/>
      <c r="K674" s="25"/>
      <c r="L674" s="25"/>
      <c r="M674" s="42" t="s">
        <v>253</v>
      </c>
      <c r="N674" s="41">
        <v>45194</v>
      </c>
      <c r="O674" s="25">
        <v>249</v>
      </c>
      <c r="P674" s="25">
        <v>0</v>
      </c>
      <c r="Q674" s="25"/>
      <c r="R674" s="25"/>
      <c r="S674" s="25"/>
      <c r="T674" s="10"/>
    </row>
    <row r="675" s="35" customFormat="1" ht="18.5" customHeight="1" spans="1:20">
      <c r="A675" s="16" t="s">
        <v>251</v>
      </c>
      <c r="B675" s="41">
        <v>44513</v>
      </c>
      <c r="C675" s="25">
        <v>13</v>
      </c>
      <c r="D675" s="25"/>
      <c r="E675" s="25"/>
      <c r="F675" s="25"/>
      <c r="G675" s="25"/>
      <c r="H675" s="25"/>
      <c r="I675" s="25"/>
      <c r="J675" s="25"/>
      <c r="K675" s="25"/>
      <c r="L675" s="25"/>
      <c r="M675" s="42" t="s">
        <v>253</v>
      </c>
      <c r="N675" s="41">
        <v>45251</v>
      </c>
      <c r="O675" s="25">
        <v>248</v>
      </c>
      <c r="P675" s="25">
        <v>0</v>
      </c>
      <c r="Q675" s="25"/>
      <c r="R675" s="25"/>
      <c r="S675" s="25"/>
      <c r="T675" s="10"/>
    </row>
    <row r="676" s="35" customFormat="1" ht="18.5" customHeight="1" spans="1:20">
      <c r="A676" s="16" t="s">
        <v>251</v>
      </c>
      <c r="B676" s="41">
        <v>44380</v>
      </c>
      <c r="C676" s="25">
        <v>15</v>
      </c>
      <c r="D676" s="25"/>
      <c r="E676" s="25"/>
      <c r="F676" s="25"/>
      <c r="G676" s="25"/>
      <c r="H676" s="25"/>
      <c r="I676" s="25"/>
      <c r="J676" s="25"/>
      <c r="K676" s="25"/>
      <c r="L676" s="25"/>
      <c r="M676" s="42" t="s">
        <v>253</v>
      </c>
      <c r="N676" s="41">
        <v>45041</v>
      </c>
      <c r="O676" s="25">
        <v>248</v>
      </c>
      <c r="P676" s="25">
        <v>0</v>
      </c>
      <c r="Q676" s="25"/>
      <c r="R676" s="25"/>
      <c r="S676" s="25"/>
      <c r="T676" s="10"/>
    </row>
    <row r="677" s="35" customFormat="1" ht="18.5" customHeight="1" spans="1:20">
      <c r="A677" s="16" t="s">
        <v>251</v>
      </c>
      <c r="B677" s="41">
        <v>44784</v>
      </c>
      <c r="C677" s="25">
        <v>10</v>
      </c>
      <c r="D677" s="25"/>
      <c r="E677" s="25"/>
      <c r="F677" s="25"/>
      <c r="G677" s="25"/>
      <c r="H677" s="25"/>
      <c r="I677" s="25"/>
      <c r="J677" s="25"/>
      <c r="K677" s="25"/>
      <c r="L677" s="25"/>
      <c r="M677" s="42" t="s">
        <v>253</v>
      </c>
      <c r="N677" s="41">
        <v>44940</v>
      </c>
      <c r="O677" s="25">
        <v>248</v>
      </c>
      <c r="P677" s="25">
        <v>0</v>
      </c>
      <c r="Q677" s="25"/>
      <c r="R677" s="25"/>
      <c r="S677" s="25"/>
      <c r="T677" s="10"/>
    </row>
    <row r="678" s="35" customFormat="1" ht="18.5" customHeight="1" spans="1:20">
      <c r="A678" s="16" t="s">
        <v>251</v>
      </c>
      <c r="B678" s="41">
        <v>45286</v>
      </c>
      <c r="C678" s="25">
        <v>56</v>
      </c>
      <c r="D678" s="25"/>
      <c r="E678" s="25"/>
      <c r="F678" s="25"/>
      <c r="G678" s="25"/>
      <c r="H678" s="25"/>
      <c r="I678" s="25"/>
      <c r="J678" s="25"/>
      <c r="K678" s="25"/>
      <c r="L678" s="25"/>
      <c r="M678" s="42" t="s">
        <v>253</v>
      </c>
      <c r="N678" s="41">
        <v>44943</v>
      </c>
      <c r="O678" s="25">
        <v>247</v>
      </c>
      <c r="P678" s="25">
        <v>0</v>
      </c>
      <c r="Q678" s="25"/>
      <c r="R678" s="25"/>
      <c r="S678" s="25"/>
      <c r="T678" s="10"/>
    </row>
    <row r="679" s="35" customFormat="1" ht="18.5" customHeight="1" spans="1:20">
      <c r="A679" s="16" t="s">
        <v>251</v>
      </c>
      <c r="B679" s="41">
        <v>45294</v>
      </c>
      <c r="C679" s="25">
        <v>11</v>
      </c>
      <c r="D679" s="25"/>
      <c r="E679" s="25"/>
      <c r="F679" s="25"/>
      <c r="G679" s="25"/>
      <c r="H679" s="25"/>
      <c r="I679" s="25"/>
      <c r="J679" s="25"/>
      <c r="K679" s="25"/>
      <c r="L679" s="25"/>
      <c r="M679" s="42" t="s">
        <v>253</v>
      </c>
      <c r="N679" s="41">
        <v>45206</v>
      </c>
      <c r="O679" s="25">
        <v>246</v>
      </c>
      <c r="P679" s="25">
        <v>0</v>
      </c>
      <c r="Q679" s="25"/>
      <c r="R679" s="25"/>
      <c r="S679" s="25"/>
      <c r="T679" s="10"/>
    </row>
    <row r="680" s="35" customFormat="1" ht="18.5" customHeight="1" spans="1:20">
      <c r="A680" s="16" t="s">
        <v>251</v>
      </c>
      <c r="B680" s="41">
        <v>44540</v>
      </c>
      <c r="C680" s="25">
        <v>10</v>
      </c>
      <c r="D680" s="25"/>
      <c r="E680" s="25"/>
      <c r="F680" s="25"/>
      <c r="G680" s="25"/>
      <c r="H680" s="25"/>
      <c r="I680" s="25"/>
      <c r="J680" s="25"/>
      <c r="K680" s="25"/>
      <c r="L680" s="25"/>
      <c r="M680" s="42" t="s">
        <v>253</v>
      </c>
      <c r="N680" s="41">
        <v>45249</v>
      </c>
      <c r="O680" s="25">
        <v>245</v>
      </c>
      <c r="P680" s="25">
        <v>0</v>
      </c>
      <c r="Q680" s="25"/>
      <c r="R680" s="25"/>
      <c r="S680" s="25"/>
      <c r="T680" s="10"/>
    </row>
    <row r="681" s="35" customFormat="1" ht="18.5" customHeight="1" spans="1:20">
      <c r="A681" s="16" t="s">
        <v>251</v>
      </c>
      <c r="B681" s="41">
        <v>44365</v>
      </c>
      <c r="C681" s="25">
        <v>31</v>
      </c>
      <c r="D681" s="25"/>
      <c r="E681" s="25"/>
      <c r="F681" s="25"/>
      <c r="G681" s="25"/>
      <c r="H681" s="25"/>
      <c r="I681" s="25"/>
      <c r="J681" s="25"/>
      <c r="K681" s="25"/>
      <c r="L681" s="25"/>
      <c r="M681" s="42" t="s">
        <v>253</v>
      </c>
      <c r="N681" s="41">
        <v>45106</v>
      </c>
      <c r="O681" s="25">
        <v>245</v>
      </c>
      <c r="P681" s="25">
        <v>0</v>
      </c>
      <c r="Q681" s="25"/>
      <c r="R681" s="25"/>
      <c r="S681" s="25"/>
      <c r="T681" s="10"/>
    </row>
    <row r="682" s="35" customFormat="1" ht="18.5" customHeight="1" spans="1:20">
      <c r="A682" s="16" t="s">
        <v>251</v>
      </c>
      <c r="B682" s="41">
        <v>44415</v>
      </c>
      <c r="C682" s="25">
        <v>11</v>
      </c>
      <c r="D682" s="25"/>
      <c r="E682" s="25"/>
      <c r="F682" s="25"/>
      <c r="G682" s="25"/>
      <c r="H682" s="25"/>
      <c r="I682" s="25"/>
      <c r="J682" s="25"/>
      <c r="K682" s="25"/>
      <c r="L682" s="25"/>
      <c r="M682" s="42" t="s">
        <v>253</v>
      </c>
      <c r="N682" s="41">
        <v>45091</v>
      </c>
      <c r="O682" s="25">
        <v>245</v>
      </c>
      <c r="P682" s="25">
        <v>0</v>
      </c>
      <c r="Q682" s="25"/>
      <c r="R682" s="25"/>
      <c r="S682" s="25"/>
      <c r="T682" s="10"/>
    </row>
    <row r="683" s="35" customFormat="1" ht="18.5" customHeight="1" spans="1:20">
      <c r="A683" s="16" t="s">
        <v>251</v>
      </c>
      <c r="B683" s="41">
        <v>44373</v>
      </c>
      <c r="C683" s="25">
        <v>10</v>
      </c>
      <c r="D683" s="25"/>
      <c r="E683" s="25"/>
      <c r="F683" s="25"/>
      <c r="G683" s="25"/>
      <c r="H683" s="25"/>
      <c r="I683" s="25"/>
      <c r="J683" s="25"/>
      <c r="K683" s="25"/>
      <c r="L683" s="25"/>
      <c r="M683" s="42" t="s">
        <v>253</v>
      </c>
      <c r="N683" s="41">
        <v>45046</v>
      </c>
      <c r="O683" s="25">
        <v>245</v>
      </c>
      <c r="P683" s="25">
        <v>0</v>
      </c>
      <c r="Q683" s="25"/>
      <c r="R683" s="25"/>
      <c r="S683" s="25"/>
      <c r="T683" s="10"/>
    </row>
    <row r="684" s="35" customFormat="1" ht="18.5" customHeight="1" spans="1:20">
      <c r="A684" s="16" t="s">
        <v>251</v>
      </c>
      <c r="B684" s="41">
        <v>44503</v>
      </c>
      <c r="C684" s="25">
        <v>12</v>
      </c>
      <c r="D684" s="25"/>
      <c r="E684" s="25"/>
      <c r="F684" s="25"/>
      <c r="G684" s="25"/>
      <c r="H684" s="25"/>
      <c r="I684" s="25"/>
      <c r="J684" s="25"/>
      <c r="K684" s="25"/>
      <c r="L684" s="25"/>
      <c r="M684" s="42" t="s">
        <v>253</v>
      </c>
      <c r="N684" s="41">
        <v>44993</v>
      </c>
      <c r="O684" s="25">
        <v>245</v>
      </c>
      <c r="P684" s="25">
        <v>0</v>
      </c>
      <c r="Q684" s="25"/>
      <c r="R684" s="25"/>
      <c r="S684" s="25"/>
      <c r="T684" s="10"/>
    </row>
    <row r="685" s="35" customFormat="1" ht="18.5" customHeight="1" spans="1:20">
      <c r="A685" s="16" t="s">
        <v>251</v>
      </c>
      <c r="B685" s="41">
        <v>44402</v>
      </c>
      <c r="C685" s="25">
        <v>12</v>
      </c>
      <c r="D685" s="25"/>
      <c r="E685" s="25"/>
      <c r="F685" s="25"/>
      <c r="G685" s="25"/>
      <c r="H685" s="25"/>
      <c r="I685" s="25"/>
      <c r="J685" s="25"/>
      <c r="K685" s="25"/>
      <c r="L685" s="25"/>
      <c r="M685" s="42" t="s">
        <v>253</v>
      </c>
      <c r="N685" s="41">
        <v>45039</v>
      </c>
      <c r="O685" s="25">
        <v>243</v>
      </c>
      <c r="P685" s="25">
        <v>0</v>
      </c>
      <c r="Q685" s="25"/>
      <c r="R685" s="25"/>
      <c r="S685" s="25"/>
      <c r="T685" s="10"/>
    </row>
    <row r="686" s="35" customFormat="1" ht="18.5" customHeight="1" spans="1:20">
      <c r="A686" s="16" t="s">
        <v>251</v>
      </c>
      <c r="B686" s="41">
        <v>44463</v>
      </c>
      <c r="C686" s="25">
        <v>16</v>
      </c>
      <c r="D686" s="25"/>
      <c r="E686" s="25"/>
      <c r="F686" s="25"/>
      <c r="G686" s="25"/>
      <c r="H686" s="25"/>
      <c r="I686" s="25"/>
      <c r="J686" s="25"/>
      <c r="K686" s="25"/>
      <c r="L686" s="25"/>
      <c r="M686" s="42" t="s">
        <v>253</v>
      </c>
      <c r="N686" s="41">
        <v>45029</v>
      </c>
      <c r="O686" s="25">
        <v>243</v>
      </c>
      <c r="P686" s="25">
        <v>0</v>
      </c>
      <c r="Q686" s="25"/>
      <c r="R686" s="25"/>
      <c r="S686" s="25"/>
      <c r="T686" s="10"/>
    </row>
    <row r="687" s="35" customFormat="1" ht="18.5" customHeight="1" spans="1:20">
      <c r="A687" s="16" t="s">
        <v>251</v>
      </c>
      <c r="B687" s="41">
        <v>45285</v>
      </c>
      <c r="C687" s="25">
        <v>12</v>
      </c>
      <c r="D687" s="25"/>
      <c r="E687" s="25"/>
      <c r="F687" s="25"/>
      <c r="G687" s="25"/>
      <c r="H687" s="25"/>
      <c r="I687" s="25"/>
      <c r="J687" s="25"/>
      <c r="K687" s="25"/>
      <c r="L687" s="25"/>
      <c r="M687" s="42" t="s">
        <v>253</v>
      </c>
      <c r="N687" s="41">
        <v>44940</v>
      </c>
      <c r="O687" s="25">
        <v>243</v>
      </c>
      <c r="P687" s="25">
        <v>0</v>
      </c>
      <c r="Q687" s="25"/>
      <c r="R687" s="25"/>
      <c r="S687" s="25"/>
      <c r="T687" s="10"/>
    </row>
    <row r="688" s="35" customFormat="1" ht="18.5" customHeight="1" spans="1:20">
      <c r="A688" s="16" t="s">
        <v>251</v>
      </c>
      <c r="B688" s="41">
        <v>44522</v>
      </c>
      <c r="C688" s="25">
        <v>10</v>
      </c>
      <c r="D688" s="25"/>
      <c r="E688" s="25"/>
      <c r="F688" s="25"/>
      <c r="G688" s="25"/>
      <c r="H688" s="25"/>
      <c r="I688" s="25"/>
      <c r="J688" s="25"/>
      <c r="K688" s="25"/>
      <c r="L688" s="25"/>
      <c r="M688" s="42" t="s">
        <v>253</v>
      </c>
      <c r="N688" s="41">
        <v>45229</v>
      </c>
      <c r="O688" s="25">
        <v>242</v>
      </c>
      <c r="P688" s="25">
        <v>0</v>
      </c>
      <c r="Q688" s="25"/>
      <c r="R688" s="25"/>
      <c r="S688" s="25"/>
      <c r="T688" s="10"/>
    </row>
    <row r="689" s="35" customFormat="1" ht="18.5" customHeight="1" spans="1:20">
      <c r="A689" s="16" t="s">
        <v>251</v>
      </c>
      <c r="B689" s="41">
        <v>45294</v>
      </c>
      <c r="C689" s="25">
        <v>12</v>
      </c>
      <c r="D689" s="25"/>
      <c r="E689" s="25"/>
      <c r="F689" s="25"/>
      <c r="G689" s="25"/>
      <c r="H689" s="25"/>
      <c r="I689" s="25"/>
      <c r="J689" s="25"/>
      <c r="K689" s="25"/>
      <c r="L689" s="25"/>
      <c r="M689" s="42" t="s">
        <v>253</v>
      </c>
      <c r="N689" s="41">
        <v>45204</v>
      </c>
      <c r="O689" s="25">
        <v>242</v>
      </c>
      <c r="P689" s="25">
        <v>0</v>
      </c>
      <c r="Q689" s="25"/>
      <c r="R689" s="25"/>
      <c r="S689" s="25"/>
      <c r="T689" s="10"/>
    </row>
    <row r="690" s="35" customFormat="1" ht="18.5" customHeight="1" spans="1:20">
      <c r="A690" s="16" t="s">
        <v>251</v>
      </c>
      <c r="B690" s="41">
        <v>44386</v>
      </c>
      <c r="C690" s="25">
        <v>11</v>
      </c>
      <c r="D690" s="25"/>
      <c r="E690" s="25"/>
      <c r="F690" s="25"/>
      <c r="G690" s="25"/>
      <c r="H690" s="25"/>
      <c r="I690" s="25"/>
      <c r="J690" s="25"/>
      <c r="K690" s="25"/>
      <c r="L690" s="25"/>
      <c r="M690" s="42" t="s">
        <v>253</v>
      </c>
      <c r="N690" s="41">
        <v>45001</v>
      </c>
      <c r="O690" s="25">
        <v>242</v>
      </c>
      <c r="P690" s="25">
        <v>0</v>
      </c>
      <c r="Q690" s="25"/>
      <c r="R690" s="25"/>
      <c r="S690" s="25"/>
      <c r="T690" s="10"/>
    </row>
    <row r="691" s="35" customFormat="1" ht="18.5" customHeight="1" spans="1:20">
      <c r="A691" s="16" t="s">
        <v>251</v>
      </c>
      <c r="B691" s="41">
        <v>44370</v>
      </c>
      <c r="C691" s="25">
        <v>14</v>
      </c>
      <c r="D691" s="25"/>
      <c r="E691" s="25"/>
      <c r="F691" s="25"/>
      <c r="G691" s="25"/>
      <c r="H691" s="25"/>
      <c r="I691" s="25"/>
      <c r="J691" s="25"/>
      <c r="K691" s="25"/>
      <c r="L691" s="25"/>
      <c r="M691" s="42" t="s">
        <v>253</v>
      </c>
      <c r="N691" s="41">
        <v>45043</v>
      </c>
      <c r="O691" s="25">
        <v>241</v>
      </c>
      <c r="P691" s="25">
        <v>0</v>
      </c>
      <c r="Q691" s="25"/>
      <c r="R691" s="25"/>
      <c r="S691" s="25"/>
      <c r="T691" s="10"/>
    </row>
    <row r="692" s="35" customFormat="1" ht="18.5" customHeight="1" spans="1:20">
      <c r="A692" s="16" t="s">
        <v>251</v>
      </c>
      <c r="B692" s="41">
        <v>45294</v>
      </c>
      <c r="C692" s="25">
        <v>16</v>
      </c>
      <c r="D692" s="25"/>
      <c r="E692" s="25"/>
      <c r="F692" s="25"/>
      <c r="G692" s="25"/>
      <c r="H692" s="25"/>
      <c r="I692" s="25"/>
      <c r="J692" s="25"/>
      <c r="K692" s="25"/>
      <c r="L692" s="25"/>
      <c r="M692" s="42" t="s">
        <v>253</v>
      </c>
      <c r="N692" s="41">
        <v>44973</v>
      </c>
      <c r="O692" s="25">
        <v>241</v>
      </c>
      <c r="P692" s="25">
        <v>0</v>
      </c>
      <c r="Q692" s="25"/>
      <c r="R692" s="25"/>
      <c r="S692" s="25"/>
      <c r="T692" s="10"/>
    </row>
    <row r="693" s="35" customFormat="1" ht="18.5" customHeight="1" spans="1:20">
      <c r="A693" s="16" t="s">
        <v>251</v>
      </c>
      <c r="B693" s="41">
        <v>44472</v>
      </c>
      <c r="C693" s="25">
        <v>25</v>
      </c>
      <c r="D693" s="25"/>
      <c r="E693" s="25"/>
      <c r="F693" s="25"/>
      <c r="G693" s="25"/>
      <c r="H693" s="25"/>
      <c r="I693" s="25"/>
      <c r="J693" s="25"/>
      <c r="K693" s="25"/>
      <c r="L693" s="25"/>
      <c r="M693" s="42" t="s">
        <v>253</v>
      </c>
      <c r="N693" s="41">
        <v>44961</v>
      </c>
      <c r="O693" s="25">
        <v>241</v>
      </c>
      <c r="P693" s="25">
        <v>0</v>
      </c>
      <c r="Q693" s="25"/>
      <c r="R693" s="25"/>
      <c r="S693" s="25"/>
      <c r="T693" s="10"/>
    </row>
    <row r="694" s="35" customFormat="1" ht="18.5" customHeight="1" spans="1:20">
      <c r="A694" s="16" t="s">
        <v>251</v>
      </c>
      <c r="B694" s="41">
        <v>44353</v>
      </c>
      <c r="C694" s="25">
        <v>13</v>
      </c>
      <c r="D694" s="25"/>
      <c r="E694" s="25"/>
      <c r="F694" s="25"/>
      <c r="G694" s="25"/>
      <c r="H694" s="25"/>
      <c r="I694" s="25"/>
      <c r="J694" s="25"/>
      <c r="K694" s="25"/>
      <c r="L694" s="25"/>
      <c r="M694" s="42" t="s">
        <v>253</v>
      </c>
      <c r="N694" s="41">
        <v>45232</v>
      </c>
      <c r="O694" s="25">
        <v>240</v>
      </c>
      <c r="P694" s="25">
        <v>0</v>
      </c>
      <c r="Q694" s="25"/>
      <c r="R694" s="25"/>
      <c r="S694" s="25"/>
      <c r="T694" s="10"/>
    </row>
    <row r="695" s="35" customFormat="1" ht="18.5" customHeight="1" spans="1:20">
      <c r="A695" s="16" t="s">
        <v>251</v>
      </c>
      <c r="B695" s="41">
        <v>45219</v>
      </c>
      <c r="C695" s="25">
        <v>12</v>
      </c>
      <c r="D695" s="25"/>
      <c r="E695" s="25"/>
      <c r="F695" s="25"/>
      <c r="G695" s="25"/>
      <c r="H695" s="25"/>
      <c r="I695" s="25"/>
      <c r="J695" s="25"/>
      <c r="K695" s="25"/>
      <c r="L695" s="25"/>
      <c r="M695" s="42" t="s">
        <v>253</v>
      </c>
      <c r="N695" s="41">
        <v>45029</v>
      </c>
      <c r="O695" s="25">
        <v>240</v>
      </c>
      <c r="P695" s="25">
        <v>0</v>
      </c>
      <c r="Q695" s="25"/>
      <c r="R695" s="25"/>
      <c r="S695" s="25"/>
      <c r="T695" s="10"/>
    </row>
    <row r="696" s="35" customFormat="1" ht="18.5" customHeight="1" spans="1:20">
      <c r="A696" s="16" t="s">
        <v>251</v>
      </c>
      <c r="B696" s="41">
        <v>45288</v>
      </c>
      <c r="C696" s="25">
        <v>10</v>
      </c>
      <c r="D696" s="25"/>
      <c r="E696" s="25"/>
      <c r="F696" s="25"/>
      <c r="G696" s="25"/>
      <c r="H696" s="25"/>
      <c r="I696" s="25"/>
      <c r="J696" s="25"/>
      <c r="K696" s="25"/>
      <c r="L696" s="25"/>
      <c r="M696" s="42" t="s">
        <v>253</v>
      </c>
      <c r="N696" s="41">
        <v>44963</v>
      </c>
      <c r="O696" s="25">
        <v>240</v>
      </c>
      <c r="P696" s="25">
        <v>0</v>
      </c>
      <c r="Q696" s="25"/>
      <c r="R696" s="25"/>
      <c r="S696" s="25"/>
      <c r="T696" s="10"/>
    </row>
    <row r="697" s="35" customFormat="1" ht="18.5" customHeight="1" spans="1:20">
      <c r="A697" s="16" t="s">
        <v>251</v>
      </c>
      <c r="B697" s="41">
        <v>45294</v>
      </c>
      <c r="C697" s="25">
        <v>13</v>
      </c>
      <c r="D697" s="25"/>
      <c r="E697" s="25"/>
      <c r="F697" s="25"/>
      <c r="G697" s="25"/>
      <c r="H697" s="25"/>
      <c r="I697" s="25"/>
      <c r="J697" s="25"/>
      <c r="K697" s="25"/>
      <c r="L697" s="25"/>
      <c r="M697" s="42" t="s">
        <v>253</v>
      </c>
      <c r="N697" s="41">
        <v>45250</v>
      </c>
      <c r="O697" s="25">
        <v>239</v>
      </c>
      <c r="P697" s="25">
        <v>0</v>
      </c>
      <c r="Q697" s="25"/>
      <c r="R697" s="25"/>
      <c r="S697" s="25"/>
      <c r="T697" s="10"/>
    </row>
    <row r="698" s="35" customFormat="1" ht="18.5" customHeight="1" spans="1:20">
      <c r="A698" s="16" t="s">
        <v>251</v>
      </c>
      <c r="B698" s="41">
        <v>44443</v>
      </c>
      <c r="C698" s="25">
        <v>9</v>
      </c>
      <c r="D698" s="25"/>
      <c r="E698" s="25"/>
      <c r="F698" s="25"/>
      <c r="G698" s="25"/>
      <c r="H698" s="25"/>
      <c r="I698" s="25"/>
      <c r="J698" s="25"/>
      <c r="K698" s="25"/>
      <c r="L698" s="25"/>
      <c r="M698" s="42" t="s">
        <v>253</v>
      </c>
      <c r="N698" s="41">
        <v>45044</v>
      </c>
      <c r="O698" s="25">
        <v>239</v>
      </c>
      <c r="P698" s="25">
        <v>0</v>
      </c>
      <c r="Q698" s="25"/>
      <c r="R698" s="25"/>
      <c r="S698" s="25"/>
      <c r="T698" s="10"/>
    </row>
    <row r="699" s="35" customFormat="1" ht="18.5" customHeight="1" spans="1:20">
      <c r="A699" s="16" t="s">
        <v>251</v>
      </c>
      <c r="B699" s="41">
        <v>44463</v>
      </c>
      <c r="C699" s="25">
        <v>5</v>
      </c>
      <c r="D699" s="25"/>
      <c r="E699" s="25"/>
      <c r="F699" s="25"/>
      <c r="G699" s="25"/>
      <c r="H699" s="25"/>
      <c r="I699" s="25"/>
      <c r="J699" s="25"/>
      <c r="K699" s="25"/>
      <c r="L699" s="25"/>
      <c r="M699" s="42" t="s">
        <v>253</v>
      </c>
      <c r="N699" s="41">
        <v>45285</v>
      </c>
      <c r="O699" s="25">
        <v>238</v>
      </c>
      <c r="P699" s="25">
        <v>0</v>
      </c>
      <c r="Q699" s="25"/>
      <c r="R699" s="25"/>
      <c r="S699" s="25"/>
      <c r="T699" s="10"/>
    </row>
    <row r="700" s="35" customFormat="1" ht="18.5" customHeight="1" spans="1:20">
      <c r="A700" s="16" t="s">
        <v>251</v>
      </c>
      <c r="B700" s="41">
        <v>44573</v>
      </c>
      <c r="C700" s="25">
        <v>12</v>
      </c>
      <c r="D700" s="25"/>
      <c r="E700" s="25"/>
      <c r="F700" s="25"/>
      <c r="G700" s="25"/>
      <c r="H700" s="25"/>
      <c r="I700" s="25"/>
      <c r="J700" s="25"/>
      <c r="K700" s="25"/>
      <c r="L700" s="25"/>
      <c r="M700" s="42" t="s">
        <v>253</v>
      </c>
      <c r="N700" s="41">
        <v>45057</v>
      </c>
      <c r="O700" s="25">
        <v>238</v>
      </c>
      <c r="P700" s="25">
        <v>0</v>
      </c>
      <c r="Q700" s="25"/>
      <c r="R700" s="25"/>
      <c r="S700" s="25"/>
      <c r="T700" s="10"/>
    </row>
    <row r="701" s="35" customFormat="1" ht="18.5" customHeight="1" spans="1:20">
      <c r="A701" s="16" t="s">
        <v>251</v>
      </c>
      <c r="B701" s="41">
        <v>45275</v>
      </c>
      <c r="C701" s="25">
        <v>11</v>
      </c>
      <c r="D701" s="25"/>
      <c r="E701" s="25"/>
      <c r="F701" s="25"/>
      <c r="G701" s="25"/>
      <c r="H701" s="25"/>
      <c r="I701" s="25"/>
      <c r="J701" s="25"/>
      <c r="K701" s="25"/>
      <c r="L701" s="25"/>
      <c r="M701" s="42" t="s">
        <v>253</v>
      </c>
      <c r="N701" s="41">
        <v>45013</v>
      </c>
      <c r="O701" s="25">
        <v>237</v>
      </c>
      <c r="P701" s="25">
        <v>0</v>
      </c>
      <c r="Q701" s="25"/>
      <c r="R701" s="25"/>
      <c r="S701" s="25"/>
      <c r="T701" s="10"/>
    </row>
    <row r="702" s="35" customFormat="1" ht="18.5" customHeight="1" spans="1:20">
      <c r="A702" s="16" t="s">
        <v>251</v>
      </c>
      <c r="B702" s="41">
        <v>44343</v>
      </c>
      <c r="C702" s="25">
        <v>2</v>
      </c>
      <c r="D702" s="25"/>
      <c r="E702" s="25"/>
      <c r="F702" s="25"/>
      <c r="G702" s="25"/>
      <c r="H702" s="25"/>
      <c r="I702" s="25"/>
      <c r="J702" s="25"/>
      <c r="K702" s="25"/>
      <c r="L702" s="25"/>
      <c r="M702" s="42" t="s">
        <v>253</v>
      </c>
      <c r="N702" s="41">
        <v>44970</v>
      </c>
      <c r="O702" s="25">
        <v>237</v>
      </c>
      <c r="P702" s="25">
        <v>0</v>
      </c>
      <c r="Q702" s="25"/>
      <c r="R702" s="25"/>
      <c r="S702" s="25"/>
      <c r="T702" s="10"/>
    </row>
    <row r="703" s="35" customFormat="1" ht="18.5" customHeight="1" spans="1:20">
      <c r="A703" s="16" t="s">
        <v>251</v>
      </c>
      <c r="B703" s="41">
        <v>44467</v>
      </c>
      <c r="C703" s="25">
        <v>5</v>
      </c>
      <c r="D703" s="25"/>
      <c r="E703" s="25"/>
      <c r="F703" s="25"/>
      <c r="G703" s="25"/>
      <c r="H703" s="25"/>
      <c r="I703" s="25"/>
      <c r="J703" s="25"/>
      <c r="K703" s="25"/>
      <c r="L703" s="25"/>
      <c r="M703" s="42" t="s">
        <v>253</v>
      </c>
      <c r="N703" s="41">
        <v>45230</v>
      </c>
      <c r="O703" s="25">
        <v>237</v>
      </c>
      <c r="P703" s="25">
        <v>0</v>
      </c>
      <c r="Q703" s="25"/>
      <c r="R703" s="25"/>
      <c r="S703" s="25"/>
      <c r="T703" s="10"/>
    </row>
    <row r="704" s="35" customFormat="1" ht="18.5" customHeight="1" spans="1:20">
      <c r="A704" s="16" t="s">
        <v>251</v>
      </c>
      <c r="B704" s="41">
        <v>44438</v>
      </c>
      <c r="C704" s="25">
        <v>8</v>
      </c>
      <c r="D704" s="25"/>
      <c r="E704" s="25"/>
      <c r="F704" s="25"/>
      <c r="G704" s="25"/>
      <c r="H704" s="25"/>
      <c r="I704" s="25"/>
      <c r="J704" s="25"/>
      <c r="K704" s="25"/>
      <c r="L704" s="25"/>
      <c r="M704" s="42" t="s">
        <v>253</v>
      </c>
      <c r="N704" s="41">
        <v>44993</v>
      </c>
      <c r="O704" s="25">
        <v>236</v>
      </c>
      <c r="P704" s="25">
        <v>0</v>
      </c>
      <c r="Q704" s="25"/>
      <c r="R704" s="25"/>
      <c r="S704" s="25"/>
      <c r="T704" s="10"/>
    </row>
    <row r="705" s="35" customFormat="1" ht="18.5" customHeight="1" spans="1:20">
      <c r="A705" s="16" t="s">
        <v>251</v>
      </c>
      <c r="B705" s="41">
        <v>44521</v>
      </c>
      <c r="C705" s="25">
        <v>0</v>
      </c>
      <c r="D705" s="25"/>
      <c r="E705" s="25"/>
      <c r="F705" s="25"/>
      <c r="G705" s="25"/>
      <c r="H705" s="25"/>
      <c r="I705" s="25"/>
      <c r="J705" s="25"/>
      <c r="K705" s="25"/>
      <c r="L705" s="25"/>
      <c r="M705" s="42" t="s">
        <v>253</v>
      </c>
      <c r="N705" s="41">
        <v>45065</v>
      </c>
      <c r="O705" s="25">
        <v>235</v>
      </c>
      <c r="P705" s="25">
        <v>0</v>
      </c>
      <c r="Q705" s="25"/>
      <c r="R705" s="25"/>
      <c r="S705" s="25"/>
      <c r="T705" s="10"/>
    </row>
    <row r="706" s="35" customFormat="1" ht="18.5" customHeight="1" spans="1:20">
      <c r="A706" s="16" t="s">
        <v>251</v>
      </c>
      <c r="B706" s="41">
        <v>45294</v>
      </c>
      <c r="C706" s="25">
        <v>4</v>
      </c>
      <c r="D706" s="25"/>
      <c r="E706" s="25"/>
      <c r="F706" s="25"/>
      <c r="G706" s="25"/>
      <c r="H706" s="25"/>
      <c r="I706" s="25"/>
      <c r="J706" s="25"/>
      <c r="K706" s="25"/>
      <c r="L706" s="25"/>
      <c r="M706" s="42" t="s">
        <v>253</v>
      </c>
      <c r="N706" s="41">
        <v>45027</v>
      </c>
      <c r="O706" s="25">
        <v>235</v>
      </c>
      <c r="P706" s="25">
        <v>0</v>
      </c>
      <c r="Q706" s="25"/>
      <c r="R706" s="25"/>
      <c r="S706" s="25"/>
      <c r="T706" s="10"/>
    </row>
    <row r="707" s="35" customFormat="1" ht="18.5" customHeight="1" spans="1:20">
      <c r="A707" s="16" t="s">
        <v>251</v>
      </c>
      <c r="B707" s="41">
        <v>45274</v>
      </c>
      <c r="C707" s="25">
        <v>3</v>
      </c>
      <c r="D707" s="25"/>
      <c r="E707" s="25"/>
      <c r="F707" s="25"/>
      <c r="G707" s="25"/>
      <c r="H707" s="25"/>
      <c r="I707" s="25"/>
      <c r="J707" s="25"/>
      <c r="K707" s="25"/>
      <c r="L707" s="25"/>
      <c r="M707" s="42" t="s">
        <v>253</v>
      </c>
      <c r="N707" s="41">
        <v>44936</v>
      </c>
      <c r="O707" s="25">
        <v>235</v>
      </c>
      <c r="P707" s="25">
        <v>0</v>
      </c>
      <c r="Q707" s="25"/>
      <c r="R707" s="25"/>
      <c r="S707" s="25"/>
      <c r="T707" s="10"/>
    </row>
    <row r="708" s="35" customFormat="1" ht="18.5" customHeight="1" spans="1:20">
      <c r="A708" s="16" t="s">
        <v>251</v>
      </c>
      <c r="B708" s="41">
        <v>45275</v>
      </c>
      <c r="C708" s="25">
        <v>1</v>
      </c>
      <c r="D708" s="25"/>
      <c r="E708" s="25"/>
      <c r="F708" s="25"/>
      <c r="G708" s="25"/>
      <c r="H708" s="25"/>
      <c r="I708" s="25"/>
      <c r="J708" s="25"/>
      <c r="K708" s="25"/>
      <c r="L708" s="25"/>
      <c r="M708" s="42" t="s">
        <v>253</v>
      </c>
      <c r="N708" s="41">
        <v>45260</v>
      </c>
      <c r="O708" s="25">
        <v>234</v>
      </c>
      <c r="P708" s="25">
        <v>0</v>
      </c>
      <c r="Q708" s="25"/>
      <c r="R708" s="25"/>
      <c r="S708" s="25"/>
      <c r="T708" s="10"/>
    </row>
    <row r="709" s="35" customFormat="1" ht="18.5" customHeight="1" spans="1:20">
      <c r="A709" s="16" t="s">
        <v>251</v>
      </c>
      <c r="B709" s="41">
        <v>45295</v>
      </c>
      <c r="C709" s="25">
        <v>3</v>
      </c>
      <c r="D709" s="25"/>
      <c r="E709" s="25"/>
      <c r="F709" s="25"/>
      <c r="G709" s="25"/>
      <c r="H709" s="25"/>
      <c r="I709" s="25"/>
      <c r="J709" s="25"/>
      <c r="K709" s="25"/>
      <c r="L709" s="25"/>
      <c r="M709" s="42" t="s">
        <v>253</v>
      </c>
      <c r="N709" s="41">
        <v>45205</v>
      </c>
      <c r="O709" s="25">
        <v>234</v>
      </c>
      <c r="P709" s="25">
        <v>0</v>
      </c>
      <c r="Q709" s="25"/>
      <c r="R709" s="25"/>
      <c r="S709" s="25"/>
      <c r="T709" s="10"/>
    </row>
    <row r="710" s="35" customFormat="1" ht="18.5" customHeight="1" spans="1:20">
      <c r="A710" s="16" t="s">
        <v>251</v>
      </c>
      <c r="B710" s="41">
        <v>44444</v>
      </c>
      <c r="C710" s="25">
        <v>3</v>
      </c>
      <c r="D710" s="25"/>
      <c r="E710" s="25"/>
      <c r="F710" s="25"/>
      <c r="G710" s="25"/>
      <c r="H710" s="25"/>
      <c r="I710" s="25"/>
      <c r="J710" s="25"/>
      <c r="K710" s="25"/>
      <c r="L710" s="25"/>
      <c r="M710" s="42" t="s">
        <v>253</v>
      </c>
      <c r="N710" s="41">
        <v>45008</v>
      </c>
      <c r="O710" s="25">
        <v>234</v>
      </c>
      <c r="P710" s="25">
        <v>0</v>
      </c>
      <c r="Q710" s="25"/>
      <c r="R710" s="25"/>
      <c r="S710" s="25"/>
      <c r="T710" s="10"/>
    </row>
    <row r="711" s="35" customFormat="1" ht="18.5" customHeight="1" spans="1:20">
      <c r="A711" s="16" t="s">
        <v>251</v>
      </c>
      <c r="B711" s="41">
        <v>44543</v>
      </c>
      <c r="C711" s="25">
        <v>0</v>
      </c>
      <c r="D711" s="25"/>
      <c r="E711" s="25"/>
      <c r="F711" s="25"/>
      <c r="G711" s="25"/>
      <c r="H711" s="25"/>
      <c r="I711" s="25"/>
      <c r="J711" s="25"/>
      <c r="K711" s="25"/>
      <c r="L711" s="25"/>
      <c r="M711" s="42" t="s">
        <v>253</v>
      </c>
      <c r="N711" s="41">
        <v>44993</v>
      </c>
      <c r="O711" s="25">
        <v>234</v>
      </c>
      <c r="P711" s="25">
        <v>0</v>
      </c>
      <c r="Q711" s="25"/>
      <c r="R711" s="25"/>
      <c r="S711" s="25"/>
      <c r="T711" s="10"/>
    </row>
    <row r="712" s="35" customFormat="1" ht="18.5" customHeight="1" spans="1:20">
      <c r="A712" s="16" t="s">
        <v>251</v>
      </c>
      <c r="B712" s="41">
        <v>44487</v>
      </c>
      <c r="C712" s="25">
        <v>2</v>
      </c>
      <c r="D712" s="25"/>
      <c r="E712" s="25"/>
      <c r="F712" s="25"/>
      <c r="G712" s="25"/>
      <c r="H712" s="25"/>
      <c r="I712" s="25"/>
      <c r="J712" s="25"/>
      <c r="K712" s="25"/>
      <c r="L712" s="25"/>
      <c r="M712" s="42" t="s">
        <v>253</v>
      </c>
      <c r="N712" s="41">
        <v>44987</v>
      </c>
      <c r="O712" s="25">
        <v>234</v>
      </c>
      <c r="P712" s="25">
        <v>0</v>
      </c>
      <c r="Q712" s="25"/>
      <c r="R712" s="25"/>
      <c r="S712" s="25"/>
      <c r="T712" s="10"/>
    </row>
    <row r="713" s="35" customFormat="1" ht="18.5" customHeight="1" spans="1:20">
      <c r="A713" s="16" t="s">
        <v>251</v>
      </c>
      <c r="B713" s="41">
        <v>45294</v>
      </c>
      <c r="C713" s="25">
        <v>3</v>
      </c>
      <c r="D713" s="25"/>
      <c r="E713" s="25"/>
      <c r="F713" s="25"/>
      <c r="G713" s="25"/>
      <c r="H713" s="25"/>
      <c r="I713" s="25"/>
      <c r="J713" s="25"/>
      <c r="K713" s="25"/>
      <c r="L713" s="25"/>
      <c r="M713" s="42" t="s">
        <v>253</v>
      </c>
      <c r="N713" s="41">
        <v>44929</v>
      </c>
      <c r="O713" s="25">
        <v>234</v>
      </c>
      <c r="P713" s="25">
        <v>0</v>
      </c>
      <c r="Q713" s="25"/>
      <c r="R713" s="25"/>
      <c r="S713" s="25"/>
      <c r="T713" s="10"/>
    </row>
    <row r="714" s="35" customFormat="1" ht="18.5" customHeight="1" spans="1:20">
      <c r="A714" s="16" t="s">
        <v>251</v>
      </c>
      <c r="B714" s="41">
        <v>45285</v>
      </c>
      <c r="C714" s="25">
        <v>2</v>
      </c>
      <c r="D714" s="25"/>
      <c r="E714" s="25"/>
      <c r="F714" s="25"/>
      <c r="G714" s="25"/>
      <c r="H714" s="25"/>
      <c r="I714" s="25"/>
      <c r="J714" s="25"/>
      <c r="K714" s="25"/>
      <c r="L714" s="25"/>
      <c r="M714" s="42" t="s">
        <v>253</v>
      </c>
      <c r="N714" s="41">
        <v>45265</v>
      </c>
      <c r="O714" s="25">
        <v>233</v>
      </c>
      <c r="P714" s="25">
        <v>0</v>
      </c>
      <c r="Q714" s="25"/>
      <c r="R714" s="25"/>
      <c r="S714" s="25"/>
      <c r="T714" s="10"/>
    </row>
    <row r="715" s="35" customFormat="1" ht="18.5" customHeight="1" spans="1:20">
      <c r="A715" s="16" t="s">
        <v>251</v>
      </c>
      <c r="B715" s="41">
        <v>45294</v>
      </c>
      <c r="C715" s="25">
        <v>2</v>
      </c>
      <c r="D715" s="25"/>
      <c r="E715" s="25"/>
      <c r="F715" s="25"/>
      <c r="G715" s="25"/>
      <c r="H715" s="25"/>
      <c r="I715" s="25"/>
      <c r="J715" s="25"/>
      <c r="K715" s="25"/>
      <c r="L715" s="25"/>
      <c r="M715" s="42" t="s">
        <v>253</v>
      </c>
      <c r="N715" s="41">
        <v>45259</v>
      </c>
      <c r="O715" s="25">
        <v>233</v>
      </c>
      <c r="P715" s="25">
        <v>0</v>
      </c>
      <c r="Q715" s="25"/>
      <c r="R715" s="25"/>
      <c r="S715" s="25"/>
      <c r="T715" s="10"/>
    </row>
    <row r="716" s="35" customFormat="1" ht="18.5" customHeight="1" spans="1:20">
      <c r="A716" s="16" t="s">
        <v>251</v>
      </c>
      <c r="B716" s="41">
        <v>44408</v>
      </c>
      <c r="C716" s="25">
        <v>7</v>
      </c>
      <c r="D716" s="25"/>
      <c r="E716" s="25"/>
      <c r="F716" s="25"/>
      <c r="G716" s="25"/>
      <c r="H716" s="25"/>
      <c r="I716" s="25"/>
      <c r="J716" s="25"/>
      <c r="K716" s="25"/>
      <c r="L716" s="25"/>
      <c r="M716" s="42" t="s">
        <v>253</v>
      </c>
      <c r="N716" s="41">
        <v>45048</v>
      </c>
      <c r="O716" s="25">
        <v>233</v>
      </c>
      <c r="P716" s="25">
        <v>0</v>
      </c>
      <c r="Q716" s="25"/>
      <c r="R716" s="25"/>
      <c r="S716" s="25"/>
      <c r="T716" s="10"/>
    </row>
    <row r="717" s="35" customFormat="1" ht="18.5" customHeight="1" spans="1:20">
      <c r="A717" s="16" t="s">
        <v>251</v>
      </c>
      <c r="B717" s="41">
        <v>45277</v>
      </c>
      <c r="C717" s="25">
        <v>1</v>
      </c>
      <c r="D717" s="25"/>
      <c r="E717" s="25"/>
      <c r="F717" s="25"/>
      <c r="G717" s="25"/>
      <c r="H717" s="25"/>
      <c r="I717" s="25"/>
      <c r="J717" s="25"/>
      <c r="K717" s="25"/>
      <c r="L717" s="25"/>
      <c r="M717" s="42" t="s">
        <v>253</v>
      </c>
      <c r="N717" s="41">
        <v>45044</v>
      </c>
      <c r="O717" s="25">
        <v>233</v>
      </c>
      <c r="P717" s="25">
        <v>0</v>
      </c>
      <c r="Q717" s="25"/>
      <c r="R717" s="25"/>
      <c r="S717" s="25"/>
      <c r="T717" s="10"/>
    </row>
    <row r="718" s="35" customFormat="1" ht="18.5" customHeight="1" spans="1:20">
      <c r="A718" s="16" t="s">
        <v>251</v>
      </c>
      <c r="B718" s="41">
        <v>44517</v>
      </c>
      <c r="C718" s="25">
        <v>0</v>
      </c>
      <c r="D718" s="25"/>
      <c r="E718" s="25"/>
      <c r="F718" s="25"/>
      <c r="G718" s="25"/>
      <c r="H718" s="25"/>
      <c r="I718" s="25"/>
      <c r="J718" s="25"/>
      <c r="K718" s="25"/>
      <c r="L718" s="25"/>
      <c r="M718" s="42" t="s">
        <v>253</v>
      </c>
      <c r="N718" s="41">
        <v>45010</v>
      </c>
      <c r="O718" s="25">
        <v>233</v>
      </c>
      <c r="P718" s="25">
        <v>0</v>
      </c>
      <c r="Q718" s="25"/>
      <c r="R718" s="25"/>
      <c r="S718" s="25"/>
      <c r="T718" s="10"/>
    </row>
    <row r="719" s="35" customFormat="1" ht="18.5" customHeight="1" spans="1:20">
      <c r="A719" s="16" t="s">
        <v>251</v>
      </c>
      <c r="B719" s="41">
        <v>45287</v>
      </c>
      <c r="C719" s="25">
        <v>1</v>
      </c>
      <c r="D719" s="25"/>
      <c r="E719" s="25"/>
      <c r="F719" s="25"/>
      <c r="G719" s="25"/>
      <c r="H719" s="25"/>
      <c r="I719" s="25"/>
      <c r="J719" s="25"/>
      <c r="K719" s="25"/>
      <c r="L719" s="25"/>
      <c r="M719" s="42" t="s">
        <v>253</v>
      </c>
      <c r="N719" s="41">
        <v>45003</v>
      </c>
      <c r="O719" s="25">
        <v>233</v>
      </c>
      <c r="P719" s="25">
        <v>0</v>
      </c>
      <c r="Q719" s="25"/>
      <c r="R719" s="25"/>
      <c r="S719" s="25"/>
      <c r="T719" s="10"/>
    </row>
    <row r="720" s="35" customFormat="1" ht="18.5" customHeight="1" spans="1:20">
      <c r="A720" s="16" t="s">
        <v>251</v>
      </c>
      <c r="B720" s="41">
        <v>45260</v>
      </c>
      <c r="C720" s="25">
        <v>1</v>
      </c>
      <c r="D720" s="25"/>
      <c r="E720" s="25"/>
      <c r="F720" s="25"/>
      <c r="G720" s="25"/>
      <c r="H720" s="25"/>
      <c r="I720" s="25"/>
      <c r="J720" s="25"/>
      <c r="K720" s="25"/>
      <c r="L720" s="25"/>
      <c r="M720" s="42" t="s">
        <v>253</v>
      </c>
      <c r="N720" s="41">
        <v>45254</v>
      </c>
      <c r="O720" s="25">
        <v>232</v>
      </c>
      <c r="P720" s="25">
        <v>0</v>
      </c>
      <c r="Q720" s="25"/>
      <c r="R720" s="25"/>
      <c r="S720" s="25"/>
      <c r="T720" s="10"/>
    </row>
    <row r="721" s="35" customFormat="1" ht="18.5" customHeight="1" spans="1:20">
      <c r="A721" s="16" t="s">
        <v>251</v>
      </c>
      <c r="B721" s="41">
        <v>44428</v>
      </c>
      <c r="C721" s="25">
        <v>6</v>
      </c>
      <c r="D721" s="25"/>
      <c r="E721" s="25"/>
      <c r="F721" s="25"/>
      <c r="G721" s="25"/>
      <c r="H721" s="25"/>
      <c r="I721" s="25"/>
      <c r="J721" s="25"/>
      <c r="K721" s="25"/>
      <c r="L721" s="25"/>
      <c r="M721" s="42" t="s">
        <v>253</v>
      </c>
      <c r="N721" s="41">
        <v>45169</v>
      </c>
      <c r="O721" s="25">
        <v>232</v>
      </c>
      <c r="P721" s="25">
        <v>0</v>
      </c>
      <c r="Q721" s="25"/>
      <c r="R721" s="25"/>
      <c r="S721" s="25"/>
      <c r="T721" s="10"/>
    </row>
    <row r="722" s="35" customFormat="1" ht="18.5" customHeight="1" spans="1:20">
      <c r="A722" s="16" t="s">
        <v>251</v>
      </c>
      <c r="B722" s="41">
        <v>45277</v>
      </c>
      <c r="C722" s="25">
        <v>6</v>
      </c>
      <c r="D722" s="25"/>
      <c r="E722" s="25"/>
      <c r="F722" s="25"/>
      <c r="G722" s="25"/>
      <c r="H722" s="25"/>
      <c r="I722" s="25"/>
      <c r="J722" s="25"/>
      <c r="K722" s="25"/>
      <c r="L722" s="25"/>
      <c r="M722" s="42" t="s">
        <v>253</v>
      </c>
      <c r="N722" s="41">
        <v>45077</v>
      </c>
      <c r="O722" s="25">
        <v>232</v>
      </c>
      <c r="P722" s="25">
        <v>0</v>
      </c>
      <c r="Q722" s="25"/>
      <c r="R722" s="25"/>
      <c r="S722" s="25"/>
      <c r="T722" s="10"/>
    </row>
    <row r="723" s="35" customFormat="1" ht="18.5" customHeight="1" spans="1:20">
      <c r="A723" s="16" t="s">
        <v>251</v>
      </c>
      <c r="B723" s="41">
        <v>44569</v>
      </c>
      <c r="C723" s="25">
        <v>4</v>
      </c>
      <c r="D723" s="25"/>
      <c r="E723" s="25"/>
      <c r="F723" s="25"/>
      <c r="G723" s="25"/>
      <c r="H723" s="25"/>
      <c r="I723" s="25"/>
      <c r="J723" s="25"/>
      <c r="K723" s="25"/>
      <c r="L723" s="25"/>
      <c r="M723" s="42" t="s">
        <v>253</v>
      </c>
      <c r="N723" s="41">
        <v>45042</v>
      </c>
      <c r="O723" s="25">
        <v>232</v>
      </c>
      <c r="P723" s="25">
        <v>0</v>
      </c>
      <c r="Q723" s="25"/>
      <c r="R723" s="25"/>
      <c r="S723" s="25"/>
      <c r="T723" s="10"/>
    </row>
    <row r="724" s="35" customFormat="1" ht="18.5" customHeight="1" spans="1:20">
      <c r="A724" s="16" t="s">
        <v>251</v>
      </c>
      <c r="B724" s="41">
        <v>44395</v>
      </c>
      <c r="C724" s="25">
        <v>4</v>
      </c>
      <c r="D724" s="25"/>
      <c r="E724" s="25"/>
      <c r="F724" s="25"/>
      <c r="G724" s="25"/>
      <c r="H724" s="25"/>
      <c r="I724" s="25"/>
      <c r="J724" s="25"/>
      <c r="K724" s="25"/>
      <c r="L724" s="25"/>
      <c r="M724" s="42" t="s">
        <v>253</v>
      </c>
      <c r="N724" s="41">
        <v>45000</v>
      </c>
      <c r="O724" s="25">
        <v>232</v>
      </c>
      <c r="P724" s="25">
        <v>0</v>
      </c>
      <c r="Q724" s="25"/>
      <c r="R724" s="25"/>
      <c r="S724" s="25"/>
      <c r="T724" s="10"/>
    </row>
    <row r="725" s="35" customFormat="1" ht="18.5" customHeight="1" spans="1:20">
      <c r="A725" s="16" t="s">
        <v>251</v>
      </c>
      <c r="B725" s="41">
        <v>44375</v>
      </c>
      <c r="C725" s="25">
        <v>1</v>
      </c>
      <c r="D725" s="25"/>
      <c r="E725" s="25"/>
      <c r="F725" s="25"/>
      <c r="G725" s="25"/>
      <c r="H725" s="25"/>
      <c r="I725" s="25"/>
      <c r="J725" s="25"/>
      <c r="K725" s="25"/>
      <c r="L725" s="25"/>
      <c r="M725" s="42" t="s">
        <v>253</v>
      </c>
      <c r="N725" s="41">
        <v>44990</v>
      </c>
      <c r="O725" s="25">
        <v>232</v>
      </c>
      <c r="P725" s="25">
        <v>0</v>
      </c>
      <c r="Q725" s="25"/>
      <c r="R725" s="25"/>
      <c r="S725" s="25"/>
      <c r="T725" s="10"/>
    </row>
    <row r="726" s="35" customFormat="1" ht="18.5" customHeight="1" spans="1:20">
      <c r="A726" s="16" t="s">
        <v>251</v>
      </c>
      <c r="B726" s="41">
        <v>44492</v>
      </c>
      <c r="C726" s="25">
        <v>3</v>
      </c>
      <c r="D726" s="25"/>
      <c r="E726" s="25"/>
      <c r="F726" s="25"/>
      <c r="G726" s="25"/>
      <c r="H726" s="25"/>
      <c r="I726" s="25"/>
      <c r="J726" s="25"/>
      <c r="K726" s="25"/>
      <c r="L726" s="25"/>
      <c r="M726" s="42" t="s">
        <v>253</v>
      </c>
      <c r="N726" s="41">
        <v>44933</v>
      </c>
      <c r="O726" s="25">
        <v>233</v>
      </c>
      <c r="P726" s="25">
        <v>0</v>
      </c>
      <c r="Q726" s="25"/>
      <c r="R726" s="25"/>
      <c r="S726" s="25"/>
      <c r="T726" s="10"/>
    </row>
    <row r="727" s="35" customFormat="1" ht="18.5" customHeight="1" spans="1:20">
      <c r="A727" s="16" t="s">
        <v>251</v>
      </c>
      <c r="B727" s="41">
        <v>44428</v>
      </c>
      <c r="C727" s="25">
        <v>3</v>
      </c>
      <c r="D727" s="25"/>
      <c r="E727" s="25"/>
      <c r="F727" s="25"/>
      <c r="G727" s="25"/>
      <c r="H727" s="25"/>
      <c r="I727" s="25"/>
      <c r="J727" s="25"/>
      <c r="K727" s="25"/>
      <c r="L727" s="25"/>
      <c r="M727" s="42" t="s">
        <v>253</v>
      </c>
      <c r="N727" s="41">
        <v>45265</v>
      </c>
      <c r="O727" s="25">
        <v>231</v>
      </c>
      <c r="P727" s="25">
        <v>0</v>
      </c>
      <c r="Q727" s="25"/>
      <c r="R727" s="25"/>
      <c r="S727" s="25"/>
      <c r="T727" s="10"/>
    </row>
    <row r="728" s="35" customFormat="1" ht="18.5" customHeight="1" spans="1:20">
      <c r="A728" s="16" t="s">
        <v>251</v>
      </c>
      <c r="B728" s="41">
        <v>45279</v>
      </c>
      <c r="C728" s="25">
        <v>3</v>
      </c>
      <c r="D728" s="25"/>
      <c r="E728" s="25"/>
      <c r="F728" s="25"/>
      <c r="G728" s="25"/>
      <c r="H728" s="25"/>
      <c r="I728" s="25"/>
      <c r="J728" s="25"/>
      <c r="K728" s="25"/>
      <c r="L728" s="25"/>
      <c r="M728" s="42" t="s">
        <v>253</v>
      </c>
      <c r="N728" s="41">
        <v>45241</v>
      </c>
      <c r="O728" s="25">
        <v>231</v>
      </c>
      <c r="P728" s="25">
        <v>0</v>
      </c>
      <c r="Q728" s="25"/>
      <c r="R728" s="25"/>
      <c r="S728" s="25"/>
      <c r="T728" s="10"/>
    </row>
    <row r="729" s="35" customFormat="1" ht="18.5" customHeight="1" spans="1:20">
      <c r="A729" s="16" t="s">
        <v>251</v>
      </c>
      <c r="B729" s="41">
        <v>44329</v>
      </c>
      <c r="C729" s="25">
        <v>0</v>
      </c>
      <c r="D729" s="25"/>
      <c r="E729" s="25"/>
      <c r="F729" s="25"/>
      <c r="G729" s="25"/>
      <c r="H729" s="25"/>
      <c r="I729" s="25"/>
      <c r="J729" s="25"/>
      <c r="K729" s="25"/>
      <c r="L729" s="25"/>
      <c r="M729" s="42" t="s">
        <v>253</v>
      </c>
      <c r="N729" s="41">
        <v>45218</v>
      </c>
      <c r="O729" s="25">
        <v>231</v>
      </c>
      <c r="P729" s="25">
        <v>0</v>
      </c>
      <c r="Q729" s="25"/>
      <c r="R729" s="25"/>
      <c r="S729" s="25"/>
      <c r="T729" s="10"/>
    </row>
    <row r="730" s="35" customFormat="1" ht="18.5" customHeight="1" spans="1:20">
      <c r="A730" s="16" t="s">
        <v>251</v>
      </c>
      <c r="B730" s="41">
        <v>44464</v>
      </c>
      <c r="C730" s="25">
        <v>1</v>
      </c>
      <c r="D730" s="25"/>
      <c r="E730" s="25"/>
      <c r="F730" s="25"/>
      <c r="G730" s="25"/>
      <c r="H730" s="25"/>
      <c r="I730" s="25"/>
      <c r="J730" s="25"/>
      <c r="K730" s="25"/>
      <c r="L730" s="25"/>
      <c r="M730" s="42" t="s">
        <v>253</v>
      </c>
      <c r="N730" s="41">
        <v>45053</v>
      </c>
      <c r="O730" s="25">
        <v>231</v>
      </c>
      <c r="P730" s="25">
        <v>0</v>
      </c>
      <c r="Q730" s="25"/>
      <c r="R730" s="25"/>
      <c r="S730" s="25"/>
      <c r="T730" s="10"/>
    </row>
    <row r="731" s="35" customFormat="1" ht="18.5" customHeight="1" spans="1:20">
      <c r="A731" s="16" t="s">
        <v>251</v>
      </c>
      <c r="B731" s="41">
        <v>44453</v>
      </c>
      <c r="C731" s="25">
        <v>4</v>
      </c>
      <c r="D731" s="25"/>
      <c r="E731" s="25"/>
      <c r="F731" s="25"/>
      <c r="G731" s="25"/>
      <c r="H731" s="25"/>
      <c r="I731" s="25"/>
      <c r="J731" s="25"/>
      <c r="K731" s="25"/>
      <c r="L731" s="25"/>
      <c r="M731" s="42" t="s">
        <v>253</v>
      </c>
      <c r="N731" s="41">
        <v>45221</v>
      </c>
      <c r="O731" s="25">
        <v>230</v>
      </c>
      <c r="P731" s="25">
        <v>0</v>
      </c>
      <c r="Q731" s="25"/>
      <c r="R731" s="25"/>
      <c r="S731" s="25"/>
      <c r="T731" s="10"/>
    </row>
    <row r="732" s="35" customFormat="1" ht="18.5" customHeight="1" spans="1:20">
      <c r="A732" s="16" t="s">
        <v>251</v>
      </c>
      <c r="B732" s="41">
        <v>45295</v>
      </c>
      <c r="C732" s="25">
        <v>3</v>
      </c>
      <c r="D732" s="25"/>
      <c r="E732" s="25"/>
      <c r="F732" s="25"/>
      <c r="G732" s="25"/>
      <c r="H732" s="25"/>
      <c r="I732" s="25"/>
      <c r="J732" s="25"/>
      <c r="K732" s="25"/>
      <c r="L732" s="25"/>
      <c r="M732" s="42" t="s">
        <v>253</v>
      </c>
      <c r="N732" s="41">
        <v>45167</v>
      </c>
      <c r="O732" s="25">
        <v>232</v>
      </c>
      <c r="P732" s="25">
        <v>0</v>
      </c>
      <c r="Q732" s="25"/>
      <c r="R732" s="25"/>
      <c r="S732" s="25"/>
      <c r="T732" s="10"/>
    </row>
    <row r="733" s="35" customFormat="1" ht="18.5" customHeight="1" spans="1:20">
      <c r="A733" s="16" t="s">
        <v>251</v>
      </c>
      <c r="B733" s="41">
        <v>44424</v>
      </c>
      <c r="C733" s="25">
        <v>1</v>
      </c>
      <c r="D733" s="25"/>
      <c r="E733" s="25"/>
      <c r="F733" s="25"/>
      <c r="G733" s="25"/>
      <c r="H733" s="25"/>
      <c r="I733" s="25"/>
      <c r="J733" s="25"/>
      <c r="K733" s="25"/>
      <c r="L733" s="25"/>
      <c r="M733" s="42" t="s">
        <v>253</v>
      </c>
      <c r="N733" s="41">
        <v>45236</v>
      </c>
      <c r="O733" s="25">
        <v>229</v>
      </c>
      <c r="P733" s="25">
        <v>0</v>
      </c>
      <c r="Q733" s="25"/>
      <c r="R733" s="25"/>
      <c r="S733" s="25"/>
      <c r="T733" s="10"/>
    </row>
    <row r="734" s="35" customFormat="1" ht="18.5" customHeight="1" spans="1:20">
      <c r="A734" s="16" t="s">
        <v>251</v>
      </c>
      <c r="B734" s="41">
        <v>44445</v>
      </c>
      <c r="C734" s="25">
        <v>1</v>
      </c>
      <c r="D734" s="25"/>
      <c r="E734" s="25"/>
      <c r="F734" s="25"/>
      <c r="G734" s="25"/>
      <c r="H734" s="25"/>
      <c r="I734" s="25"/>
      <c r="J734" s="25"/>
      <c r="K734" s="25"/>
      <c r="L734" s="25"/>
      <c r="M734" s="42" t="s">
        <v>253</v>
      </c>
      <c r="N734" s="41">
        <v>45047</v>
      </c>
      <c r="O734" s="25">
        <v>229</v>
      </c>
      <c r="P734" s="25">
        <v>0</v>
      </c>
      <c r="Q734" s="25"/>
      <c r="R734" s="25"/>
      <c r="S734" s="25"/>
      <c r="T734" s="10"/>
    </row>
    <row r="735" s="35" customFormat="1" ht="18.5" customHeight="1" spans="1:20">
      <c r="A735" s="16" t="s">
        <v>251</v>
      </c>
      <c r="B735" s="41">
        <v>45294</v>
      </c>
      <c r="C735" s="25">
        <v>6</v>
      </c>
      <c r="D735" s="25"/>
      <c r="E735" s="25"/>
      <c r="F735" s="25"/>
      <c r="G735" s="25"/>
      <c r="H735" s="25"/>
      <c r="I735" s="25"/>
      <c r="J735" s="25"/>
      <c r="K735" s="25"/>
      <c r="L735" s="25"/>
      <c r="M735" s="42" t="s">
        <v>253</v>
      </c>
      <c r="N735" s="41">
        <v>45030</v>
      </c>
      <c r="O735" s="25">
        <v>229</v>
      </c>
      <c r="P735" s="25">
        <v>0</v>
      </c>
      <c r="Q735" s="25"/>
      <c r="R735" s="25"/>
      <c r="S735" s="25"/>
      <c r="T735" s="10"/>
    </row>
    <row r="736" s="35" customFormat="1" ht="18.5" customHeight="1" spans="1:20">
      <c r="A736" s="16" t="s">
        <v>251</v>
      </c>
      <c r="B736" s="41">
        <v>44323</v>
      </c>
      <c r="C736" s="25">
        <v>2</v>
      </c>
      <c r="D736" s="25"/>
      <c r="E736" s="25"/>
      <c r="F736" s="25"/>
      <c r="G736" s="25"/>
      <c r="H736" s="25"/>
      <c r="I736" s="25"/>
      <c r="J736" s="25"/>
      <c r="K736" s="25"/>
      <c r="L736" s="25"/>
      <c r="M736" s="42" t="s">
        <v>253</v>
      </c>
      <c r="N736" s="41">
        <v>44931</v>
      </c>
      <c r="O736" s="25">
        <v>229</v>
      </c>
      <c r="P736" s="25">
        <v>0</v>
      </c>
      <c r="Q736" s="25"/>
      <c r="R736" s="25"/>
      <c r="S736" s="25"/>
      <c r="T736" s="10"/>
    </row>
    <row r="737" s="35" customFormat="1" ht="18.5" customHeight="1" spans="1:20">
      <c r="A737" s="16" t="s">
        <v>251</v>
      </c>
      <c r="B737" s="41">
        <v>44389</v>
      </c>
      <c r="C737" s="25">
        <v>2</v>
      </c>
      <c r="D737" s="25"/>
      <c r="E737" s="25"/>
      <c r="F737" s="25"/>
      <c r="G737" s="25"/>
      <c r="H737" s="25"/>
      <c r="I737" s="25"/>
      <c r="J737" s="25"/>
      <c r="K737" s="25"/>
      <c r="L737" s="25"/>
      <c r="M737" s="42" t="s">
        <v>253</v>
      </c>
      <c r="N737" s="41">
        <v>45247</v>
      </c>
      <c r="O737" s="25">
        <v>228</v>
      </c>
      <c r="P737" s="25">
        <v>0</v>
      </c>
      <c r="Q737" s="25"/>
      <c r="R737" s="25"/>
      <c r="S737" s="25"/>
      <c r="T737" s="10"/>
    </row>
    <row r="738" s="35" customFormat="1" ht="18.5" customHeight="1" spans="1:20">
      <c r="A738" s="16" t="s">
        <v>251</v>
      </c>
      <c r="B738" s="41">
        <v>44547</v>
      </c>
      <c r="C738" s="25">
        <v>5</v>
      </c>
      <c r="D738" s="25"/>
      <c r="E738" s="25"/>
      <c r="F738" s="25"/>
      <c r="G738" s="25"/>
      <c r="H738" s="25"/>
      <c r="I738" s="25"/>
      <c r="J738" s="25"/>
      <c r="K738" s="25"/>
      <c r="L738" s="25"/>
      <c r="M738" s="42" t="s">
        <v>253</v>
      </c>
      <c r="N738" s="41">
        <v>45077</v>
      </c>
      <c r="O738" s="25">
        <v>228</v>
      </c>
      <c r="P738" s="25">
        <v>0</v>
      </c>
      <c r="Q738" s="25"/>
      <c r="R738" s="25"/>
      <c r="S738" s="25"/>
      <c r="T738" s="10"/>
    </row>
    <row r="739" s="35" customFormat="1" ht="18.5" customHeight="1" spans="1:20">
      <c r="A739" s="16" t="s">
        <v>251</v>
      </c>
      <c r="B739" s="41">
        <v>45275</v>
      </c>
      <c r="C739" s="25">
        <v>8</v>
      </c>
      <c r="D739" s="25"/>
      <c r="E739" s="25"/>
      <c r="F739" s="25"/>
      <c r="G739" s="25"/>
      <c r="H739" s="25"/>
      <c r="I739" s="25"/>
      <c r="J739" s="25"/>
      <c r="K739" s="25"/>
      <c r="L739" s="25"/>
      <c r="M739" s="42" t="s">
        <v>253</v>
      </c>
      <c r="N739" s="41">
        <v>45043</v>
      </c>
      <c r="O739" s="25">
        <v>228</v>
      </c>
      <c r="P739" s="25">
        <v>0</v>
      </c>
      <c r="Q739" s="25"/>
      <c r="R739" s="25"/>
      <c r="S739" s="25"/>
      <c r="T739" s="10"/>
    </row>
    <row r="740" s="35" customFormat="1" ht="18.5" customHeight="1" spans="1:20">
      <c r="A740" s="16" t="s">
        <v>251</v>
      </c>
      <c r="B740" s="41">
        <v>44319</v>
      </c>
      <c r="C740" s="25">
        <v>3</v>
      </c>
      <c r="D740" s="25"/>
      <c r="E740" s="25"/>
      <c r="F740" s="25"/>
      <c r="G740" s="25"/>
      <c r="H740" s="25"/>
      <c r="I740" s="25"/>
      <c r="J740" s="25"/>
      <c r="K740" s="25"/>
      <c r="L740" s="25"/>
      <c r="M740" s="42" t="s">
        <v>253</v>
      </c>
      <c r="N740" s="41">
        <v>45025</v>
      </c>
      <c r="O740" s="25">
        <v>228</v>
      </c>
      <c r="P740" s="25">
        <v>0</v>
      </c>
      <c r="Q740" s="25"/>
      <c r="R740" s="25"/>
      <c r="S740" s="25"/>
      <c r="T740" s="10"/>
    </row>
    <row r="741" s="35" customFormat="1" ht="18.5" customHeight="1" spans="1:20">
      <c r="A741" s="16" t="s">
        <v>251</v>
      </c>
      <c r="B741" s="41">
        <v>45273</v>
      </c>
      <c r="C741" s="25">
        <v>7</v>
      </c>
      <c r="D741" s="25"/>
      <c r="E741" s="25"/>
      <c r="F741" s="25"/>
      <c r="G741" s="25"/>
      <c r="H741" s="25"/>
      <c r="I741" s="25"/>
      <c r="J741" s="25"/>
      <c r="K741" s="25"/>
      <c r="L741" s="25"/>
      <c r="M741" s="42" t="s">
        <v>253</v>
      </c>
      <c r="N741" s="41">
        <v>45221</v>
      </c>
      <c r="O741" s="25">
        <v>228</v>
      </c>
      <c r="P741" s="25">
        <v>0</v>
      </c>
      <c r="Q741" s="25"/>
      <c r="R741" s="25"/>
      <c r="S741" s="25"/>
      <c r="T741" s="10"/>
    </row>
    <row r="742" s="35" customFormat="1" ht="18.5" customHeight="1" spans="1:20">
      <c r="A742" s="16" t="s">
        <v>251</v>
      </c>
      <c r="B742" s="41">
        <v>44415</v>
      </c>
      <c r="C742" s="25">
        <v>0</v>
      </c>
      <c r="D742" s="25"/>
      <c r="E742" s="25"/>
      <c r="F742" s="25"/>
      <c r="G742" s="25"/>
      <c r="H742" s="25"/>
      <c r="I742" s="25"/>
      <c r="J742" s="25"/>
      <c r="K742" s="25"/>
      <c r="L742" s="25"/>
      <c r="M742" s="42" t="s">
        <v>253</v>
      </c>
      <c r="N742" s="41">
        <v>45062</v>
      </c>
      <c r="O742" s="25">
        <v>227</v>
      </c>
      <c r="P742" s="25">
        <v>0</v>
      </c>
      <c r="Q742" s="25"/>
      <c r="R742" s="25"/>
      <c r="S742" s="25"/>
      <c r="T742" s="10"/>
    </row>
    <row r="743" s="35" customFormat="1" ht="18.5" customHeight="1" spans="1:20">
      <c r="A743" s="16" t="s">
        <v>251</v>
      </c>
      <c r="B743" s="41">
        <v>44448</v>
      </c>
      <c r="C743" s="25">
        <v>4</v>
      </c>
      <c r="D743" s="25"/>
      <c r="E743" s="25"/>
      <c r="F743" s="25"/>
      <c r="G743" s="25"/>
      <c r="H743" s="25"/>
      <c r="I743" s="25"/>
      <c r="J743" s="25"/>
      <c r="K743" s="25"/>
      <c r="L743" s="25"/>
      <c r="M743" s="42" t="s">
        <v>253</v>
      </c>
      <c r="N743" s="41">
        <v>45010</v>
      </c>
      <c r="O743" s="25">
        <v>227</v>
      </c>
      <c r="P743" s="25">
        <v>0</v>
      </c>
      <c r="Q743" s="25"/>
      <c r="R743" s="25"/>
      <c r="S743" s="25"/>
      <c r="T743" s="10"/>
    </row>
    <row r="744" s="35" customFormat="1" ht="18.5" customHeight="1" spans="1:20">
      <c r="A744" s="16" t="s">
        <v>251</v>
      </c>
      <c r="B744" s="41">
        <v>44456</v>
      </c>
      <c r="C744" s="25">
        <v>0</v>
      </c>
      <c r="D744" s="25"/>
      <c r="E744" s="25"/>
      <c r="F744" s="25"/>
      <c r="G744" s="25"/>
      <c r="H744" s="25"/>
      <c r="I744" s="25"/>
      <c r="J744" s="25"/>
      <c r="K744" s="25"/>
      <c r="L744" s="25"/>
      <c r="M744" s="42" t="s">
        <v>253</v>
      </c>
      <c r="N744" s="41">
        <v>45286</v>
      </c>
      <c r="O744" s="25">
        <v>226</v>
      </c>
      <c r="P744" s="25">
        <v>0</v>
      </c>
      <c r="Q744" s="25"/>
      <c r="R744" s="25"/>
      <c r="S744" s="25"/>
      <c r="T744" s="10"/>
    </row>
    <row r="745" s="35" customFormat="1" ht="18.5" customHeight="1" spans="1:20">
      <c r="A745" s="16" t="s">
        <v>251</v>
      </c>
      <c r="B745" s="41">
        <v>44386</v>
      </c>
      <c r="C745" s="25">
        <v>2</v>
      </c>
      <c r="D745" s="25"/>
      <c r="E745" s="25"/>
      <c r="F745" s="25"/>
      <c r="G745" s="25"/>
      <c r="H745" s="25"/>
      <c r="I745" s="25"/>
      <c r="J745" s="25"/>
      <c r="K745" s="25"/>
      <c r="L745" s="25"/>
      <c r="M745" s="42" t="s">
        <v>253</v>
      </c>
      <c r="N745" s="41">
        <v>45020</v>
      </c>
      <c r="O745" s="25">
        <v>226</v>
      </c>
      <c r="P745" s="25">
        <v>0</v>
      </c>
      <c r="Q745" s="25"/>
      <c r="R745" s="25"/>
      <c r="S745" s="25"/>
      <c r="T745" s="10"/>
    </row>
    <row r="746" s="35" customFormat="1" ht="18.5" customHeight="1" spans="1:20">
      <c r="A746" s="16" t="s">
        <v>251</v>
      </c>
      <c r="B746" s="41">
        <v>44357</v>
      </c>
      <c r="C746" s="25">
        <v>0</v>
      </c>
      <c r="D746" s="25"/>
      <c r="E746" s="25"/>
      <c r="F746" s="25"/>
      <c r="G746" s="25"/>
      <c r="H746" s="25"/>
      <c r="I746" s="25"/>
      <c r="J746" s="25"/>
      <c r="K746" s="25"/>
      <c r="L746" s="25"/>
      <c r="M746" s="42" t="s">
        <v>253</v>
      </c>
      <c r="N746" s="41">
        <v>45014</v>
      </c>
      <c r="O746" s="25">
        <v>226</v>
      </c>
      <c r="P746" s="25">
        <v>0</v>
      </c>
      <c r="Q746" s="25"/>
      <c r="R746" s="25"/>
      <c r="S746" s="25"/>
      <c r="T746" s="10"/>
    </row>
    <row r="747" s="35" customFormat="1" ht="18.5" customHeight="1" spans="1:20">
      <c r="A747" s="16" t="s">
        <v>251</v>
      </c>
      <c r="B747" s="41">
        <v>44400</v>
      </c>
      <c r="C747" s="25">
        <v>0</v>
      </c>
      <c r="D747" s="25"/>
      <c r="E747" s="25"/>
      <c r="F747" s="25"/>
      <c r="G747" s="25"/>
      <c r="H747" s="25"/>
      <c r="I747" s="25"/>
      <c r="J747" s="25"/>
      <c r="K747" s="25"/>
      <c r="L747" s="25"/>
      <c r="M747" s="42" t="s">
        <v>253</v>
      </c>
      <c r="N747" s="41">
        <v>44998</v>
      </c>
      <c r="O747" s="25">
        <v>226</v>
      </c>
      <c r="P747" s="25">
        <v>0</v>
      </c>
      <c r="Q747" s="25"/>
      <c r="R747" s="25"/>
      <c r="S747" s="25"/>
      <c r="T747" s="10"/>
    </row>
    <row r="748" s="35" customFormat="1" ht="18.5" customHeight="1" spans="1:20">
      <c r="A748" s="16" t="s">
        <v>251</v>
      </c>
      <c r="B748" s="41">
        <v>44473</v>
      </c>
      <c r="C748" s="25">
        <v>7</v>
      </c>
      <c r="D748" s="25"/>
      <c r="E748" s="25"/>
      <c r="F748" s="25"/>
      <c r="G748" s="25"/>
      <c r="H748" s="25"/>
      <c r="I748" s="25"/>
      <c r="J748" s="25"/>
      <c r="K748" s="25"/>
      <c r="L748" s="25"/>
      <c r="M748" s="42" t="s">
        <v>253</v>
      </c>
      <c r="N748" s="41">
        <v>44967</v>
      </c>
      <c r="O748" s="25">
        <v>226</v>
      </c>
      <c r="P748" s="25">
        <v>0</v>
      </c>
      <c r="Q748" s="25"/>
      <c r="R748" s="25"/>
      <c r="S748" s="25"/>
      <c r="T748" s="10"/>
    </row>
    <row r="749" s="35" customFormat="1" ht="18.5" customHeight="1" spans="1:20">
      <c r="A749" s="16" t="s">
        <v>251</v>
      </c>
      <c r="B749" s="41">
        <v>44549</v>
      </c>
      <c r="C749" s="25">
        <v>0</v>
      </c>
      <c r="D749" s="25"/>
      <c r="E749" s="25"/>
      <c r="F749" s="25"/>
      <c r="G749" s="25"/>
      <c r="H749" s="25"/>
      <c r="I749" s="25"/>
      <c r="J749" s="25"/>
      <c r="K749" s="25"/>
      <c r="L749" s="25"/>
      <c r="M749" s="42" t="s">
        <v>253</v>
      </c>
      <c r="N749" s="41">
        <v>45215</v>
      </c>
      <c r="O749" s="25">
        <v>226</v>
      </c>
      <c r="P749" s="25">
        <v>0</v>
      </c>
      <c r="Q749" s="25"/>
      <c r="R749" s="25"/>
      <c r="S749" s="25"/>
      <c r="T749" s="10"/>
    </row>
    <row r="750" s="35" customFormat="1" ht="18.5" customHeight="1" spans="1:20">
      <c r="A750" s="16" t="s">
        <v>251</v>
      </c>
      <c r="B750" s="41">
        <v>44347</v>
      </c>
      <c r="C750" s="25">
        <v>4</v>
      </c>
      <c r="D750" s="25"/>
      <c r="E750" s="25"/>
      <c r="F750" s="25"/>
      <c r="G750" s="25"/>
      <c r="H750" s="25"/>
      <c r="I750" s="25"/>
      <c r="J750" s="25"/>
      <c r="K750" s="25"/>
      <c r="L750" s="25"/>
      <c r="M750" s="42" t="s">
        <v>253</v>
      </c>
      <c r="N750" s="41">
        <v>45043</v>
      </c>
      <c r="O750" s="25">
        <v>225</v>
      </c>
      <c r="P750" s="25">
        <v>0</v>
      </c>
      <c r="Q750" s="25"/>
      <c r="R750" s="25"/>
      <c r="S750" s="25"/>
      <c r="T750" s="10"/>
    </row>
    <row r="751" s="35" customFormat="1" ht="18.5" customHeight="1" spans="1:20">
      <c r="A751" s="16" t="s">
        <v>251</v>
      </c>
      <c r="B751" s="41">
        <v>45294</v>
      </c>
      <c r="C751" s="25">
        <v>6</v>
      </c>
      <c r="D751" s="25"/>
      <c r="E751" s="25"/>
      <c r="F751" s="25"/>
      <c r="G751" s="25"/>
      <c r="H751" s="25"/>
      <c r="I751" s="25"/>
      <c r="J751" s="25"/>
      <c r="K751" s="25"/>
      <c r="L751" s="25"/>
      <c r="M751" s="42" t="s">
        <v>253</v>
      </c>
      <c r="N751" s="41">
        <v>44944</v>
      </c>
      <c r="O751" s="25">
        <v>226</v>
      </c>
      <c r="P751" s="25">
        <v>0</v>
      </c>
      <c r="Q751" s="25"/>
      <c r="R751" s="25"/>
      <c r="S751" s="25"/>
      <c r="T751" s="10"/>
    </row>
    <row r="752" s="35" customFormat="1" ht="18.5" customHeight="1" spans="1:20">
      <c r="A752" s="16" t="s">
        <v>251</v>
      </c>
      <c r="B752" s="41">
        <v>44352</v>
      </c>
      <c r="C752" s="25">
        <v>1</v>
      </c>
      <c r="D752" s="25"/>
      <c r="E752" s="25"/>
      <c r="F752" s="25"/>
      <c r="G752" s="25"/>
      <c r="H752" s="25"/>
      <c r="I752" s="25"/>
      <c r="J752" s="25"/>
      <c r="K752" s="25"/>
      <c r="L752" s="25"/>
      <c r="M752" s="42" t="s">
        <v>253</v>
      </c>
      <c r="N752" s="41">
        <v>45002</v>
      </c>
      <c r="O752" s="25">
        <v>224</v>
      </c>
      <c r="P752" s="25">
        <v>0</v>
      </c>
      <c r="Q752" s="25"/>
      <c r="R752" s="25"/>
      <c r="S752" s="25"/>
      <c r="T752" s="10"/>
    </row>
    <row r="753" s="35" customFormat="1" ht="18.5" customHeight="1" spans="1:20">
      <c r="A753" s="16" t="s">
        <v>251</v>
      </c>
      <c r="B753" s="41">
        <v>45279</v>
      </c>
      <c r="C753" s="25">
        <v>5</v>
      </c>
      <c r="D753" s="25"/>
      <c r="E753" s="25"/>
      <c r="F753" s="25"/>
      <c r="G753" s="25"/>
      <c r="H753" s="25"/>
      <c r="I753" s="25"/>
      <c r="J753" s="25"/>
      <c r="K753" s="25"/>
      <c r="L753" s="25"/>
      <c r="M753" s="42" t="s">
        <v>253</v>
      </c>
      <c r="N753" s="41">
        <v>45224</v>
      </c>
      <c r="O753" s="25">
        <v>223</v>
      </c>
      <c r="P753" s="25">
        <v>0</v>
      </c>
      <c r="Q753" s="25"/>
      <c r="R753" s="25"/>
      <c r="S753" s="25"/>
      <c r="T753" s="10"/>
    </row>
    <row r="754" s="35" customFormat="1" ht="18.5" customHeight="1" spans="1:20">
      <c r="A754" s="16" t="s">
        <v>251</v>
      </c>
      <c r="B754" s="41">
        <v>44370</v>
      </c>
      <c r="C754" s="25">
        <v>3</v>
      </c>
      <c r="D754" s="25"/>
      <c r="E754" s="25"/>
      <c r="F754" s="25"/>
      <c r="G754" s="25"/>
      <c r="H754" s="25"/>
      <c r="I754" s="25"/>
      <c r="J754" s="25"/>
      <c r="K754" s="25"/>
      <c r="L754" s="25"/>
      <c r="M754" s="42" t="s">
        <v>253</v>
      </c>
      <c r="N754" s="41">
        <v>45092</v>
      </c>
      <c r="O754" s="25">
        <v>223</v>
      </c>
      <c r="P754" s="25">
        <v>0</v>
      </c>
      <c r="Q754" s="25"/>
      <c r="R754" s="25"/>
      <c r="S754" s="25"/>
      <c r="T754" s="10"/>
    </row>
    <row r="755" s="35" customFormat="1" ht="18.5" customHeight="1" spans="1:20">
      <c r="A755" s="16" t="s">
        <v>251</v>
      </c>
      <c r="B755" s="41">
        <v>44674</v>
      </c>
      <c r="C755" s="25">
        <v>6</v>
      </c>
      <c r="D755" s="25"/>
      <c r="E755" s="25"/>
      <c r="F755" s="25"/>
      <c r="G755" s="25"/>
      <c r="H755" s="25"/>
      <c r="I755" s="25"/>
      <c r="J755" s="25"/>
      <c r="K755" s="25"/>
      <c r="L755" s="25"/>
      <c r="M755" s="42" t="s">
        <v>253</v>
      </c>
      <c r="N755" s="41">
        <v>45080</v>
      </c>
      <c r="O755" s="25">
        <v>223</v>
      </c>
      <c r="P755" s="25">
        <v>0</v>
      </c>
      <c r="Q755" s="25"/>
      <c r="R755" s="25"/>
      <c r="S755" s="25"/>
      <c r="T755" s="10"/>
    </row>
    <row r="756" s="35" customFormat="1" ht="18.5" customHeight="1" spans="1:20">
      <c r="A756" s="16" t="s">
        <v>251</v>
      </c>
      <c r="B756" s="41">
        <v>45276</v>
      </c>
      <c r="C756" s="25">
        <v>3</v>
      </c>
      <c r="D756" s="25"/>
      <c r="E756" s="25"/>
      <c r="F756" s="25"/>
      <c r="G756" s="25"/>
      <c r="H756" s="25"/>
      <c r="I756" s="25"/>
      <c r="J756" s="25"/>
      <c r="K756" s="25"/>
      <c r="L756" s="25"/>
      <c r="M756" s="42" t="s">
        <v>253</v>
      </c>
      <c r="N756" s="41">
        <v>45030</v>
      </c>
      <c r="O756" s="25">
        <v>223</v>
      </c>
      <c r="P756" s="25">
        <v>0</v>
      </c>
      <c r="Q756" s="25"/>
      <c r="R756" s="25"/>
      <c r="S756" s="25"/>
      <c r="T756" s="10"/>
    </row>
    <row r="757" s="35" customFormat="1" ht="18.5" customHeight="1" spans="1:20">
      <c r="A757" s="16" t="s">
        <v>251</v>
      </c>
      <c r="B757" s="41">
        <v>44339</v>
      </c>
      <c r="C757" s="25">
        <v>0</v>
      </c>
      <c r="D757" s="25"/>
      <c r="E757" s="25"/>
      <c r="F757" s="25"/>
      <c r="G757" s="25"/>
      <c r="H757" s="25"/>
      <c r="I757" s="25"/>
      <c r="J757" s="25"/>
      <c r="K757" s="25"/>
      <c r="L757" s="25"/>
      <c r="M757" s="42" t="s">
        <v>253</v>
      </c>
      <c r="N757" s="41">
        <v>44993</v>
      </c>
      <c r="O757" s="25">
        <v>223</v>
      </c>
      <c r="P757" s="25">
        <v>0</v>
      </c>
      <c r="Q757" s="25"/>
      <c r="R757" s="25"/>
      <c r="S757" s="25"/>
      <c r="T757" s="10"/>
    </row>
    <row r="758" s="35" customFormat="1" ht="18.5" customHeight="1" spans="1:20">
      <c r="A758" s="16" t="s">
        <v>251</v>
      </c>
      <c r="B758" s="41">
        <v>44528</v>
      </c>
      <c r="C758" s="25">
        <v>1</v>
      </c>
      <c r="D758" s="25"/>
      <c r="E758" s="25"/>
      <c r="F758" s="25"/>
      <c r="G758" s="25"/>
      <c r="H758" s="25"/>
      <c r="I758" s="25"/>
      <c r="J758" s="25"/>
      <c r="K758" s="25"/>
      <c r="L758" s="25"/>
      <c r="M758" s="42" t="s">
        <v>253</v>
      </c>
      <c r="N758" s="41">
        <v>45274</v>
      </c>
      <c r="O758" s="25">
        <v>222</v>
      </c>
      <c r="P758" s="25">
        <v>0</v>
      </c>
      <c r="Q758" s="25"/>
      <c r="R758" s="25"/>
      <c r="S758" s="25"/>
      <c r="T758" s="10"/>
    </row>
    <row r="759" s="35" customFormat="1" ht="18.5" customHeight="1" spans="1:20">
      <c r="A759" s="16" t="s">
        <v>251</v>
      </c>
      <c r="B759" s="41">
        <v>44365</v>
      </c>
      <c r="C759" s="25">
        <v>2</v>
      </c>
      <c r="D759" s="25"/>
      <c r="E759" s="25"/>
      <c r="F759" s="25"/>
      <c r="G759" s="25"/>
      <c r="H759" s="25"/>
      <c r="I759" s="25"/>
      <c r="J759" s="25"/>
      <c r="K759" s="25"/>
      <c r="L759" s="25"/>
      <c r="M759" s="42" t="s">
        <v>253</v>
      </c>
      <c r="N759" s="41">
        <v>45093</v>
      </c>
      <c r="O759" s="25">
        <v>222</v>
      </c>
      <c r="P759" s="25">
        <v>0</v>
      </c>
      <c r="Q759" s="25"/>
      <c r="R759" s="25"/>
      <c r="S759" s="25"/>
      <c r="T759" s="10"/>
    </row>
    <row r="760" s="35" customFormat="1" ht="18.5" customHeight="1" spans="1:20">
      <c r="A760" s="16" t="s">
        <v>251</v>
      </c>
      <c r="B760" s="41">
        <v>44399</v>
      </c>
      <c r="C760" s="25">
        <v>1</v>
      </c>
      <c r="D760" s="25"/>
      <c r="E760" s="25"/>
      <c r="F760" s="25"/>
      <c r="G760" s="25"/>
      <c r="H760" s="25"/>
      <c r="I760" s="25"/>
      <c r="J760" s="25"/>
      <c r="K760" s="25"/>
      <c r="L760" s="25"/>
      <c r="M760" s="42" t="s">
        <v>253</v>
      </c>
      <c r="N760" s="41">
        <v>44979</v>
      </c>
      <c r="O760" s="25">
        <v>221</v>
      </c>
      <c r="P760" s="25">
        <v>0</v>
      </c>
      <c r="Q760" s="25"/>
      <c r="R760" s="25"/>
      <c r="S760" s="25"/>
      <c r="T760" s="10"/>
    </row>
    <row r="761" s="35" customFormat="1" ht="18.5" customHeight="1" spans="1:20">
      <c r="A761" s="16" t="s">
        <v>251</v>
      </c>
      <c r="B761" s="41">
        <v>44594</v>
      </c>
      <c r="C761" s="25">
        <v>4</v>
      </c>
      <c r="D761" s="25"/>
      <c r="E761" s="25"/>
      <c r="F761" s="25"/>
      <c r="G761" s="25"/>
      <c r="H761" s="25"/>
      <c r="I761" s="25"/>
      <c r="J761" s="25"/>
      <c r="K761" s="25"/>
      <c r="L761" s="25"/>
      <c r="M761" s="42" t="s">
        <v>253</v>
      </c>
      <c r="N761" s="41">
        <v>45270</v>
      </c>
      <c r="O761" s="25">
        <v>222</v>
      </c>
      <c r="P761" s="25">
        <v>0</v>
      </c>
      <c r="Q761" s="25"/>
      <c r="R761" s="25"/>
      <c r="S761" s="25"/>
      <c r="T761" s="10"/>
    </row>
    <row r="762" s="35" customFormat="1" ht="18.5" customHeight="1" spans="1:20">
      <c r="A762" s="16" t="s">
        <v>251</v>
      </c>
      <c r="B762" s="41">
        <v>44373</v>
      </c>
      <c r="C762" s="25">
        <v>7</v>
      </c>
      <c r="D762" s="25"/>
      <c r="E762" s="25"/>
      <c r="F762" s="25"/>
      <c r="G762" s="25"/>
      <c r="H762" s="25"/>
      <c r="I762" s="25"/>
      <c r="J762" s="25"/>
      <c r="K762" s="25"/>
      <c r="L762" s="25"/>
      <c r="M762" s="42" t="s">
        <v>253</v>
      </c>
      <c r="N762" s="41">
        <v>45159</v>
      </c>
      <c r="O762" s="25">
        <v>220</v>
      </c>
      <c r="P762" s="25">
        <v>0</v>
      </c>
      <c r="Q762" s="25"/>
      <c r="R762" s="25"/>
      <c r="S762" s="25"/>
      <c r="T762" s="10"/>
    </row>
    <row r="763" s="35" customFormat="1" ht="18.5" customHeight="1" spans="1:20">
      <c r="A763" s="16" t="s">
        <v>251</v>
      </c>
      <c r="B763" s="41">
        <v>44330</v>
      </c>
      <c r="C763" s="25">
        <v>0</v>
      </c>
      <c r="D763" s="25"/>
      <c r="E763" s="25"/>
      <c r="F763" s="25"/>
      <c r="G763" s="25"/>
      <c r="H763" s="25"/>
      <c r="I763" s="25"/>
      <c r="J763" s="25"/>
      <c r="K763" s="25"/>
      <c r="L763" s="25"/>
      <c r="M763" s="42" t="s">
        <v>253</v>
      </c>
      <c r="N763" s="41">
        <v>45006</v>
      </c>
      <c r="O763" s="25">
        <v>220</v>
      </c>
      <c r="P763" s="25">
        <v>0</v>
      </c>
      <c r="Q763" s="25"/>
      <c r="R763" s="25"/>
      <c r="S763" s="25"/>
      <c r="T763" s="10"/>
    </row>
    <row r="764" s="35" customFormat="1" ht="18.5" customHeight="1" spans="1:20">
      <c r="A764" s="16" t="s">
        <v>251</v>
      </c>
      <c r="B764" s="41">
        <v>44333</v>
      </c>
      <c r="C764" s="25">
        <v>0</v>
      </c>
      <c r="D764" s="25"/>
      <c r="E764" s="25"/>
      <c r="F764" s="25"/>
      <c r="G764" s="25"/>
      <c r="H764" s="25"/>
      <c r="I764" s="25"/>
      <c r="J764" s="25"/>
      <c r="K764" s="25"/>
      <c r="L764" s="25"/>
      <c r="M764" s="42" t="s">
        <v>253</v>
      </c>
      <c r="N764" s="41">
        <v>44939</v>
      </c>
      <c r="O764" s="25">
        <v>220</v>
      </c>
      <c r="P764" s="25">
        <v>0</v>
      </c>
      <c r="Q764" s="25"/>
      <c r="R764" s="25"/>
      <c r="S764" s="25"/>
      <c r="T764" s="10"/>
    </row>
    <row r="765" s="35" customFormat="1" ht="18.5" customHeight="1" spans="1:20">
      <c r="A765" s="16" t="s">
        <v>251</v>
      </c>
      <c r="B765" s="41">
        <v>44438</v>
      </c>
      <c r="C765" s="25">
        <v>1</v>
      </c>
      <c r="D765" s="25"/>
      <c r="E765" s="25"/>
      <c r="F765" s="25"/>
      <c r="G765" s="25"/>
      <c r="H765" s="25"/>
      <c r="I765" s="25"/>
      <c r="J765" s="25"/>
      <c r="K765" s="25"/>
      <c r="L765" s="25"/>
      <c r="M765" s="42" t="s">
        <v>253</v>
      </c>
      <c r="N765" s="41">
        <v>45045</v>
      </c>
      <c r="O765" s="25">
        <v>219</v>
      </c>
      <c r="P765" s="25">
        <v>0</v>
      </c>
      <c r="Q765" s="25"/>
      <c r="R765" s="25"/>
      <c r="S765" s="25"/>
      <c r="T765" s="10"/>
    </row>
    <row r="766" s="35" customFormat="1" ht="18.5" customHeight="1" spans="1:20">
      <c r="A766" s="16" t="s">
        <v>251</v>
      </c>
      <c r="B766" s="41">
        <v>44415</v>
      </c>
      <c r="C766" s="25">
        <v>0</v>
      </c>
      <c r="D766" s="25"/>
      <c r="E766" s="25"/>
      <c r="F766" s="25"/>
      <c r="G766" s="25"/>
      <c r="H766" s="25"/>
      <c r="I766" s="25"/>
      <c r="J766" s="25"/>
      <c r="K766" s="25"/>
      <c r="L766" s="25"/>
      <c r="M766" s="42" t="s">
        <v>253</v>
      </c>
      <c r="N766" s="41">
        <v>45012</v>
      </c>
      <c r="O766" s="25">
        <v>219</v>
      </c>
      <c r="P766" s="25">
        <v>0</v>
      </c>
      <c r="Q766" s="25"/>
      <c r="R766" s="25"/>
      <c r="S766" s="25"/>
      <c r="T766" s="10"/>
    </row>
    <row r="767" s="35" customFormat="1" ht="18.5" customHeight="1" spans="1:20">
      <c r="A767" s="16" t="s">
        <v>251</v>
      </c>
      <c r="B767" s="41">
        <v>44425</v>
      </c>
      <c r="C767" s="25">
        <v>0</v>
      </c>
      <c r="D767" s="25"/>
      <c r="E767" s="25"/>
      <c r="F767" s="25"/>
      <c r="G767" s="25"/>
      <c r="H767" s="25"/>
      <c r="I767" s="25"/>
      <c r="J767" s="25"/>
      <c r="K767" s="25"/>
      <c r="L767" s="25"/>
      <c r="M767" s="42" t="s">
        <v>253</v>
      </c>
      <c r="N767" s="41">
        <v>45267</v>
      </c>
      <c r="O767" s="25">
        <v>218</v>
      </c>
      <c r="P767" s="25">
        <v>0</v>
      </c>
      <c r="Q767" s="25"/>
      <c r="R767" s="25"/>
      <c r="S767" s="25"/>
      <c r="T767" s="10"/>
    </row>
    <row r="768" s="35" customFormat="1" ht="18.5" customHeight="1" spans="1:20">
      <c r="A768" s="16" t="s">
        <v>251</v>
      </c>
      <c r="B768" s="41">
        <v>45294</v>
      </c>
      <c r="C768" s="25">
        <v>3</v>
      </c>
      <c r="D768" s="25"/>
      <c r="E768" s="25"/>
      <c r="F768" s="25"/>
      <c r="G768" s="25"/>
      <c r="H768" s="25"/>
      <c r="I768" s="25"/>
      <c r="J768" s="25"/>
      <c r="K768" s="25"/>
      <c r="L768" s="25"/>
      <c r="M768" s="42" t="s">
        <v>253</v>
      </c>
      <c r="N768" s="41">
        <v>45041</v>
      </c>
      <c r="O768" s="25">
        <v>218</v>
      </c>
      <c r="P768" s="25">
        <v>0</v>
      </c>
      <c r="Q768" s="25"/>
      <c r="R768" s="25"/>
      <c r="S768" s="25"/>
      <c r="T768" s="10"/>
    </row>
    <row r="769" s="35" customFormat="1" ht="18.5" customHeight="1" spans="1:20">
      <c r="A769" s="16" t="s">
        <v>251</v>
      </c>
      <c r="B769" s="41">
        <v>44324</v>
      </c>
      <c r="C769" s="25">
        <v>1</v>
      </c>
      <c r="D769" s="25"/>
      <c r="E769" s="25"/>
      <c r="F769" s="25"/>
      <c r="G769" s="25"/>
      <c r="H769" s="25"/>
      <c r="I769" s="25"/>
      <c r="J769" s="25"/>
      <c r="K769" s="25"/>
      <c r="L769" s="25"/>
      <c r="M769" s="42" t="s">
        <v>253</v>
      </c>
      <c r="N769" s="41">
        <v>44987</v>
      </c>
      <c r="O769" s="25">
        <v>218</v>
      </c>
      <c r="P769" s="25">
        <v>0</v>
      </c>
      <c r="Q769" s="25"/>
      <c r="R769" s="25"/>
      <c r="S769" s="25"/>
      <c r="T769" s="10"/>
    </row>
    <row r="770" s="35" customFormat="1" ht="18.5" customHeight="1" spans="1:20">
      <c r="A770" s="16" t="s">
        <v>251</v>
      </c>
      <c r="B770" s="41">
        <v>45276</v>
      </c>
      <c r="C770" s="25">
        <v>7</v>
      </c>
      <c r="D770" s="25"/>
      <c r="E770" s="25"/>
      <c r="F770" s="25"/>
      <c r="G770" s="25"/>
      <c r="H770" s="25"/>
      <c r="I770" s="25"/>
      <c r="J770" s="25"/>
      <c r="K770" s="25"/>
      <c r="L770" s="25"/>
      <c r="M770" s="42" t="s">
        <v>253</v>
      </c>
      <c r="N770" s="41">
        <v>45263</v>
      </c>
      <c r="O770" s="25">
        <v>217</v>
      </c>
      <c r="P770" s="25">
        <v>0</v>
      </c>
      <c r="Q770" s="25"/>
      <c r="R770" s="25"/>
      <c r="S770" s="25"/>
      <c r="T770" s="10"/>
    </row>
    <row r="771" s="35" customFormat="1" ht="18.5" customHeight="1" spans="1:20">
      <c r="A771" s="16" t="s">
        <v>251</v>
      </c>
      <c r="B771" s="41">
        <v>44411</v>
      </c>
      <c r="C771" s="25">
        <v>0</v>
      </c>
      <c r="D771" s="25"/>
      <c r="E771" s="25"/>
      <c r="F771" s="25"/>
      <c r="G771" s="25"/>
      <c r="H771" s="25"/>
      <c r="I771" s="25"/>
      <c r="J771" s="25"/>
      <c r="K771" s="25"/>
      <c r="L771" s="25"/>
      <c r="M771" s="42" t="s">
        <v>253</v>
      </c>
      <c r="N771" s="41">
        <v>45258</v>
      </c>
      <c r="O771" s="25">
        <v>217</v>
      </c>
      <c r="P771" s="25">
        <v>0</v>
      </c>
      <c r="Q771" s="25"/>
      <c r="R771" s="25"/>
      <c r="S771" s="25"/>
      <c r="T771" s="10"/>
    </row>
    <row r="772" s="35" customFormat="1" ht="18.5" customHeight="1" spans="1:20">
      <c r="A772" s="16" t="s">
        <v>251</v>
      </c>
      <c r="B772" s="41">
        <v>44438</v>
      </c>
      <c r="C772" s="25">
        <v>0</v>
      </c>
      <c r="D772" s="25"/>
      <c r="E772" s="25"/>
      <c r="F772" s="25"/>
      <c r="G772" s="25"/>
      <c r="H772" s="25"/>
      <c r="I772" s="25"/>
      <c r="J772" s="25"/>
      <c r="K772" s="25"/>
      <c r="L772" s="25"/>
      <c r="M772" s="42" t="s">
        <v>253</v>
      </c>
      <c r="N772" s="41">
        <v>45241</v>
      </c>
      <c r="O772" s="25">
        <v>217</v>
      </c>
      <c r="P772" s="25">
        <v>0</v>
      </c>
      <c r="Q772" s="25"/>
      <c r="R772" s="25"/>
      <c r="S772" s="25"/>
      <c r="T772" s="10"/>
    </row>
    <row r="773" s="35" customFormat="1" ht="18.5" customHeight="1" spans="1:20">
      <c r="A773" s="16" t="s">
        <v>251</v>
      </c>
      <c r="B773" s="41">
        <v>44391</v>
      </c>
      <c r="C773" s="25">
        <v>7</v>
      </c>
      <c r="D773" s="25"/>
      <c r="E773" s="25"/>
      <c r="F773" s="25"/>
      <c r="G773" s="25"/>
      <c r="H773" s="25"/>
      <c r="I773" s="25"/>
      <c r="J773" s="25"/>
      <c r="K773" s="25"/>
      <c r="L773" s="25"/>
      <c r="M773" s="42" t="s">
        <v>253</v>
      </c>
      <c r="N773" s="41">
        <v>45239</v>
      </c>
      <c r="O773" s="25">
        <v>217</v>
      </c>
      <c r="P773" s="25">
        <v>0</v>
      </c>
      <c r="Q773" s="25"/>
      <c r="R773" s="25"/>
      <c r="S773" s="25"/>
      <c r="T773" s="10"/>
    </row>
    <row r="774" s="35" customFormat="1" ht="18.5" customHeight="1" spans="1:20">
      <c r="A774" s="16" t="s">
        <v>251</v>
      </c>
      <c r="B774" s="41">
        <v>45228</v>
      </c>
      <c r="C774" s="25">
        <v>7</v>
      </c>
      <c r="D774" s="25"/>
      <c r="E774" s="25"/>
      <c r="F774" s="25"/>
      <c r="G774" s="25"/>
      <c r="H774" s="25"/>
      <c r="I774" s="25"/>
      <c r="J774" s="25"/>
      <c r="K774" s="25"/>
      <c r="L774" s="25"/>
      <c r="M774" s="42" t="s">
        <v>253</v>
      </c>
      <c r="N774" s="41">
        <v>45169</v>
      </c>
      <c r="O774" s="25">
        <v>217</v>
      </c>
      <c r="P774" s="25">
        <v>0</v>
      </c>
      <c r="Q774" s="25"/>
      <c r="R774" s="25"/>
      <c r="S774" s="25"/>
      <c r="T774" s="10"/>
    </row>
    <row r="775" s="35" customFormat="1" ht="18.5" customHeight="1" spans="1:20">
      <c r="A775" s="16" t="s">
        <v>251</v>
      </c>
      <c r="B775" s="41">
        <v>44357</v>
      </c>
      <c r="C775" s="25">
        <v>2</v>
      </c>
      <c r="D775" s="25"/>
      <c r="E775" s="25"/>
      <c r="F775" s="25"/>
      <c r="G775" s="25"/>
      <c r="H775" s="25"/>
      <c r="I775" s="25"/>
      <c r="J775" s="25"/>
      <c r="K775" s="25"/>
      <c r="L775" s="25"/>
      <c r="M775" s="42" t="s">
        <v>253</v>
      </c>
      <c r="N775" s="41">
        <v>45007</v>
      </c>
      <c r="O775" s="25">
        <v>217</v>
      </c>
      <c r="P775" s="25">
        <v>0</v>
      </c>
      <c r="Q775" s="25"/>
      <c r="R775" s="25"/>
      <c r="S775" s="25"/>
      <c r="T775" s="10"/>
    </row>
    <row r="776" s="35" customFormat="1" ht="18.5" customHeight="1" spans="1:20">
      <c r="A776" s="16" t="s">
        <v>251</v>
      </c>
      <c r="B776" s="41">
        <v>44336</v>
      </c>
      <c r="C776" s="25">
        <v>3</v>
      </c>
      <c r="D776" s="25"/>
      <c r="E776" s="25"/>
      <c r="F776" s="25"/>
      <c r="G776" s="25"/>
      <c r="H776" s="25"/>
      <c r="I776" s="25"/>
      <c r="J776" s="25"/>
      <c r="K776" s="25"/>
      <c r="L776" s="25"/>
      <c r="M776" s="42" t="s">
        <v>253</v>
      </c>
      <c r="N776" s="41">
        <v>45274</v>
      </c>
      <c r="O776" s="25">
        <v>220</v>
      </c>
      <c r="P776" s="25">
        <v>0</v>
      </c>
      <c r="Q776" s="25"/>
      <c r="R776" s="25"/>
      <c r="S776" s="25"/>
      <c r="T776" s="10"/>
    </row>
    <row r="777" s="35" customFormat="1" ht="18.5" customHeight="1" spans="1:20">
      <c r="A777" s="16" t="s">
        <v>251</v>
      </c>
      <c r="B777" s="41">
        <v>44334</v>
      </c>
      <c r="C777" s="25">
        <v>1</v>
      </c>
      <c r="D777" s="25"/>
      <c r="E777" s="25"/>
      <c r="F777" s="25"/>
      <c r="G777" s="25"/>
      <c r="H777" s="25"/>
      <c r="I777" s="25"/>
      <c r="J777" s="25"/>
      <c r="K777" s="25"/>
      <c r="L777" s="25"/>
      <c r="M777" s="42" t="s">
        <v>253</v>
      </c>
      <c r="N777" s="41">
        <v>45084</v>
      </c>
      <c r="O777" s="25">
        <v>216</v>
      </c>
      <c r="P777" s="25">
        <v>0</v>
      </c>
      <c r="Q777" s="25"/>
      <c r="R777" s="25"/>
      <c r="S777" s="25"/>
      <c r="T777" s="10"/>
    </row>
    <row r="778" s="35" customFormat="1" ht="18.5" customHeight="1" spans="1:20">
      <c r="A778" s="16" t="s">
        <v>251</v>
      </c>
      <c r="B778" s="41">
        <v>44418</v>
      </c>
      <c r="C778" s="25">
        <v>1</v>
      </c>
      <c r="D778" s="25"/>
      <c r="E778" s="25"/>
      <c r="F778" s="25"/>
      <c r="G778" s="25"/>
      <c r="H778" s="25"/>
      <c r="I778" s="25"/>
      <c r="J778" s="25"/>
      <c r="K778" s="25"/>
      <c r="L778" s="25"/>
      <c r="M778" s="42" t="s">
        <v>253</v>
      </c>
      <c r="N778" s="41">
        <v>45218</v>
      </c>
      <c r="O778" s="25">
        <v>215</v>
      </c>
      <c r="P778" s="25">
        <v>0</v>
      </c>
      <c r="Q778" s="25"/>
      <c r="R778" s="25"/>
      <c r="S778" s="25"/>
      <c r="T778" s="10"/>
    </row>
    <row r="779" s="35" customFormat="1" ht="18.5" customHeight="1" spans="1:20">
      <c r="A779" s="16" t="s">
        <v>251</v>
      </c>
      <c r="B779" s="41">
        <v>44393</v>
      </c>
      <c r="C779" s="25">
        <v>4</v>
      </c>
      <c r="D779" s="25"/>
      <c r="E779" s="25"/>
      <c r="F779" s="25"/>
      <c r="G779" s="25"/>
      <c r="H779" s="25"/>
      <c r="I779" s="25"/>
      <c r="J779" s="25"/>
      <c r="K779" s="25"/>
      <c r="L779" s="25"/>
      <c r="M779" s="42" t="s">
        <v>253</v>
      </c>
      <c r="N779" s="41">
        <v>45048</v>
      </c>
      <c r="O779" s="25">
        <v>215</v>
      </c>
      <c r="P779" s="25">
        <v>0</v>
      </c>
      <c r="Q779" s="25"/>
      <c r="R779" s="25"/>
      <c r="S779" s="25"/>
      <c r="T779" s="10"/>
    </row>
    <row r="780" s="35" customFormat="1" ht="18.5" customHeight="1" spans="1:20">
      <c r="A780" s="16" t="s">
        <v>251</v>
      </c>
      <c r="B780" s="41">
        <v>45282</v>
      </c>
      <c r="C780" s="25">
        <v>5</v>
      </c>
      <c r="D780" s="25"/>
      <c r="E780" s="25"/>
      <c r="F780" s="25"/>
      <c r="G780" s="25"/>
      <c r="H780" s="25"/>
      <c r="I780" s="25"/>
      <c r="J780" s="25"/>
      <c r="K780" s="25"/>
      <c r="L780" s="25"/>
      <c r="M780" s="42" t="s">
        <v>253</v>
      </c>
      <c r="N780" s="41">
        <v>45022</v>
      </c>
      <c r="O780" s="25">
        <v>215</v>
      </c>
      <c r="P780" s="25">
        <v>0</v>
      </c>
      <c r="Q780" s="25"/>
      <c r="R780" s="25"/>
      <c r="S780" s="25"/>
      <c r="T780" s="10"/>
    </row>
    <row r="781" s="35" customFormat="1" ht="18.5" customHeight="1" spans="1:20">
      <c r="A781" s="16" t="s">
        <v>251</v>
      </c>
      <c r="B781" s="41">
        <v>44449</v>
      </c>
      <c r="C781" s="25">
        <v>0</v>
      </c>
      <c r="D781" s="25"/>
      <c r="E781" s="25"/>
      <c r="F781" s="25"/>
      <c r="G781" s="25"/>
      <c r="H781" s="25"/>
      <c r="I781" s="25"/>
      <c r="J781" s="25"/>
      <c r="K781" s="25"/>
      <c r="L781" s="25"/>
      <c r="M781" s="42" t="s">
        <v>253</v>
      </c>
      <c r="N781" s="41">
        <v>45281</v>
      </c>
      <c r="O781" s="25">
        <v>215</v>
      </c>
      <c r="P781" s="25">
        <v>0</v>
      </c>
      <c r="Q781" s="25"/>
      <c r="R781" s="25"/>
      <c r="S781" s="25"/>
      <c r="T781" s="10"/>
    </row>
    <row r="782" s="35" customFormat="1" ht="18.5" customHeight="1" spans="1:20">
      <c r="A782" s="16" t="s">
        <v>251</v>
      </c>
      <c r="B782" s="41">
        <v>45294</v>
      </c>
      <c r="C782" s="25">
        <v>8</v>
      </c>
      <c r="D782" s="25"/>
      <c r="E782" s="25"/>
      <c r="F782" s="25"/>
      <c r="G782" s="25"/>
      <c r="H782" s="25"/>
      <c r="I782" s="25"/>
      <c r="J782" s="25"/>
      <c r="K782" s="25"/>
      <c r="L782" s="25"/>
      <c r="M782" s="42" t="s">
        <v>253</v>
      </c>
      <c r="N782" s="41">
        <v>45049</v>
      </c>
      <c r="O782" s="25">
        <v>214</v>
      </c>
      <c r="P782" s="25">
        <v>0</v>
      </c>
      <c r="Q782" s="25"/>
      <c r="R782" s="25"/>
      <c r="S782" s="25"/>
      <c r="T782" s="10"/>
    </row>
    <row r="783" s="35" customFormat="1" ht="18.5" customHeight="1" spans="1:20">
      <c r="A783" s="16" t="s">
        <v>251</v>
      </c>
      <c r="B783" s="41">
        <v>44511</v>
      </c>
      <c r="C783" s="25">
        <v>0</v>
      </c>
      <c r="D783" s="25"/>
      <c r="E783" s="25"/>
      <c r="F783" s="25"/>
      <c r="G783" s="25"/>
      <c r="H783" s="25"/>
      <c r="I783" s="25"/>
      <c r="J783" s="25"/>
      <c r="K783" s="25"/>
      <c r="L783" s="25"/>
      <c r="M783" s="42" t="s">
        <v>253</v>
      </c>
      <c r="N783" s="41">
        <v>44961</v>
      </c>
      <c r="O783" s="25">
        <v>214</v>
      </c>
      <c r="P783" s="25">
        <v>0</v>
      </c>
      <c r="Q783" s="25"/>
      <c r="R783" s="25"/>
      <c r="S783" s="25"/>
      <c r="T783" s="10"/>
    </row>
    <row r="784" s="35" customFormat="1" ht="18.5" customHeight="1" spans="1:20">
      <c r="A784" s="16" t="s">
        <v>251</v>
      </c>
      <c r="B784" s="41">
        <v>44500</v>
      </c>
      <c r="C784" s="25">
        <v>2</v>
      </c>
      <c r="D784" s="25"/>
      <c r="E784" s="25"/>
      <c r="F784" s="25"/>
      <c r="G784" s="25"/>
      <c r="H784" s="25"/>
      <c r="I784" s="25"/>
      <c r="J784" s="25"/>
      <c r="K784" s="25"/>
      <c r="L784" s="25"/>
      <c r="M784" s="42" t="s">
        <v>253</v>
      </c>
      <c r="N784" s="41">
        <v>44930</v>
      </c>
      <c r="O784" s="25">
        <v>214</v>
      </c>
      <c r="P784" s="25">
        <v>0</v>
      </c>
      <c r="Q784" s="25"/>
      <c r="R784" s="25"/>
      <c r="S784" s="25"/>
      <c r="T784" s="10"/>
    </row>
    <row r="785" s="35" customFormat="1" ht="18.5" customHeight="1" spans="1:20">
      <c r="A785" s="16" t="s">
        <v>251</v>
      </c>
      <c r="B785" s="41">
        <v>45275</v>
      </c>
      <c r="C785" s="25">
        <v>7</v>
      </c>
      <c r="D785" s="25"/>
      <c r="E785" s="25"/>
      <c r="F785" s="25"/>
      <c r="G785" s="25"/>
      <c r="H785" s="25"/>
      <c r="I785" s="25"/>
      <c r="J785" s="25"/>
      <c r="K785" s="25"/>
      <c r="L785" s="25"/>
      <c r="M785" s="42" t="s">
        <v>253</v>
      </c>
      <c r="N785" s="41">
        <v>45267</v>
      </c>
      <c r="O785" s="25">
        <v>213</v>
      </c>
      <c r="P785" s="25">
        <v>0</v>
      </c>
      <c r="Q785" s="25"/>
      <c r="R785" s="25"/>
      <c r="S785" s="25"/>
      <c r="T785" s="10"/>
    </row>
    <row r="786" s="35" customFormat="1" ht="18.5" customHeight="1" spans="1:20">
      <c r="A786" s="16" t="s">
        <v>251</v>
      </c>
      <c r="B786" s="41">
        <v>44424</v>
      </c>
      <c r="C786" s="25">
        <v>2</v>
      </c>
      <c r="D786" s="25"/>
      <c r="E786" s="25"/>
      <c r="F786" s="25"/>
      <c r="G786" s="25"/>
      <c r="H786" s="25"/>
      <c r="I786" s="25"/>
      <c r="J786" s="25"/>
      <c r="K786" s="25"/>
      <c r="L786" s="25"/>
      <c r="M786" s="42" t="s">
        <v>253</v>
      </c>
      <c r="N786" s="41">
        <v>45239</v>
      </c>
      <c r="O786" s="25">
        <v>213</v>
      </c>
      <c r="P786" s="25">
        <v>0</v>
      </c>
      <c r="Q786" s="25"/>
      <c r="R786" s="25"/>
      <c r="S786" s="25"/>
      <c r="T786" s="10"/>
    </row>
    <row r="787" s="35" customFormat="1" ht="18.5" customHeight="1" spans="1:20">
      <c r="A787" s="16" t="s">
        <v>251</v>
      </c>
      <c r="B787" s="41">
        <v>44479</v>
      </c>
      <c r="C787" s="25">
        <v>0</v>
      </c>
      <c r="D787" s="25"/>
      <c r="E787" s="25"/>
      <c r="F787" s="25"/>
      <c r="G787" s="25"/>
      <c r="H787" s="25"/>
      <c r="I787" s="25"/>
      <c r="J787" s="25"/>
      <c r="K787" s="25"/>
      <c r="L787" s="25"/>
      <c r="M787" s="42" t="s">
        <v>253</v>
      </c>
      <c r="N787" s="41">
        <v>45168</v>
      </c>
      <c r="O787" s="25">
        <v>213</v>
      </c>
      <c r="P787" s="25">
        <v>0</v>
      </c>
      <c r="Q787" s="25"/>
      <c r="R787" s="25"/>
      <c r="S787" s="25"/>
      <c r="T787" s="10"/>
    </row>
    <row r="788" s="35" customFormat="1" ht="18.5" customHeight="1" spans="1:20">
      <c r="A788" s="16" t="s">
        <v>251</v>
      </c>
      <c r="B788" s="41">
        <v>44553</v>
      </c>
      <c r="C788" s="25">
        <v>2</v>
      </c>
      <c r="D788" s="25"/>
      <c r="E788" s="25"/>
      <c r="F788" s="25"/>
      <c r="G788" s="25"/>
      <c r="H788" s="25"/>
      <c r="I788" s="25"/>
      <c r="J788" s="25"/>
      <c r="K788" s="25"/>
      <c r="L788" s="25"/>
      <c r="M788" s="42" t="s">
        <v>253</v>
      </c>
      <c r="N788" s="41">
        <v>45092</v>
      </c>
      <c r="O788" s="25">
        <v>213</v>
      </c>
      <c r="P788" s="25">
        <v>0</v>
      </c>
      <c r="Q788" s="25"/>
      <c r="R788" s="25"/>
      <c r="S788" s="25"/>
      <c r="T788" s="10"/>
    </row>
    <row r="789" s="35" customFormat="1" ht="18.5" customHeight="1" spans="1:20">
      <c r="A789" s="16" t="s">
        <v>251</v>
      </c>
      <c r="B789" s="41">
        <v>45282</v>
      </c>
      <c r="C789" s="25">
        <v>7</v>
      </c>
      <c r="D789" s="25"/>
      <c r="E789" s="25"/>
      <c r="F789" s="25"/>
      <c r="G789" s="25"/>
      <c r="H789" s="25"/>
      <c r="I789" s="25"/>
      <c r="J789" s="25"/>
      <c r="K789" s="25"/>
      <c r="L789" s="25"/>
      <c r="M789" s="42" t="s">
        <v>253</v>
      </c>
      <c r="N789" s="41">
        <v>45007</v>
      </c>
      <c r="O789" s="25">
        <v>213</v>
      </c>
      <c r="P789" s="25">
        <v>0</v>
      </c>
      <c r="Q789" s="25"/>
      <c r="R789" s="25"/>
      <c r="S789" s="25"/>
      <c r="T789" s="10"/>
    </row>
    <row r="790" s="35" customFormat="1" ht="18.5" customHeight="1" spans="1:20">
      <c r="A790" s="16" t="s">
        <v>251</v>
      </c>
      <c r="B790" s="41">
        <v>44411</v>
      </c>
      <c r="C790" s="25">
        <v>6</v>
      </c>
      <c r="D790" s="25"/>
      <c r="E790" s="25"/>
      <c r="F790" s="25"/>
      <c r="G790" s="25"/>
      <c r="H790" s="25"/>
      <c r="I790" s="25"/>
      <c r="J790" s="25"/>
      <c r="K790" s="25"/>
      <c r="L790" s="25"/>
      <c r="M790" s="42" t="s">
        <v>253</v>
      </c>
      <c r="N790" s="41">
        <v>44993</v>
      </c>
      <c r="O790" s="25">
        <v>213</v>
      </c>
      <c r="P790" s="25">
        <v>0</v>
      </c>
      <c r="Q790" s="25"/>
      <c r="R790" s="25"/>
      <c r="S790" s="25"/>
      <c r="T790" s="10"/>
    </row>
    <row r="791" s="35" customFormat="1" ht="18.5" customHeight="1" spans="1:20">
      <c r="A791" s="16" t="s">
        <v>251</v>
      </c>
      <c r="B791" s="41">
        <v>45294</v>
      </c>
      <c r="C791" s="25">
        <v>3</v>
      </c>
      <c r="D791" s="25"/>
      <c r="E791" s="25"/>
      <c r="F791" s="25"/>
      <c r="G791" s="25"/>
      <c r="H791" s="25"/>
      <c r="I791" s="25"/>
      <c r="J791" s="25"/>
      <c r="K791" s="25"/>
      <c r="L791" s="25"/>
      <c r="M791" s="42" t="s">
        <v>253</v>
      </c>
      <c r="N791" s="41">
        <v>44972</v>
      </c>
      <c r="O791" s="25">
        <v>213</v>
      </c>
      <c r="P791" s="25">
        <v>0</v>
      </c>
      <c r="Q791" s="25"/>
      <c r="R791" s="25"/>
      <c r="S791" s="25"/>
      <c r="T791" s="10"/>
    </row>
    <row r="792" s="35" customFormat="1" ht="18.5" customHeight="1" spans="1:20">
      <c r="A792" s="16" t="s">
        <v>251</v>
      </c>
      <c r="B792" s="41">
        <v>45294</v>
      </c>
      <c r="C792" s="25">
        <v>4</v>
      </c>
      <c r="D792" s="25"/>
      <c r="E792" s="25"/>
      <c r="F792" s="25"/>
      <c r="G792" s="25"/>
      <c r="H792" s="25"/>
      <c r="I792" s="25"/>
      <c r="J792" s="25"/>
      <c r="K792" s="25"/>
      <c r="L792" s="25"/>
      <c r="M792" s="42" t="s">
        <v>253</v>
      </c>
      <c r="N792" s="41">
        <v>44968</v>
      </c>
      <c r="O792" s="25">
        <v>213</v>
      </c>
      <c r="P792" s="25">
        <v>0</v>
      </c>
      <c r="Q792" s="25"/>
      <c r="R792" s="25"/>
      <c r="S792" s="25"/>
      <c r="T792" s="10"/>
    </row>
    <row r="793" s="35" customFormat="1" ht="18.5" customHeight="1" spans="1:20">
      <c r="A793" s="16" t="s">
        <v>251</v>
      </c>
      <c r="B793" s="41">
        <v>45274</v>
      </c>
      <c r="C793" s="25">
        <v>6</v>
      </c>
      <c r="D793" s="25"/>
      <c r="E793" s="25"/>
      <c r="F793" s="25"/>
      <c r="G793" s="25"/>
      <c r="H793" s="25"/>
      <c r="I793" s="25"/>
      <c r="J793" s="25"/>
      <c r="K793" s="25"/>
      <c r="L793" s="25"/>
      <c r="M793" s="42" t="s">
        <v>253</v>
      </c>
      <c r="N793" s="41">
        <v>45238</v>
      </c>
      <c r="O793" s="25">
        <v>212</v>
      </c>
      <c r="P793" s="25">
        <v>0</v>
      </c>
      <c r="Q793" s="25"/>
      <c r="R793" s="25"/>
      <c r="S793" s="25"/>
      <c r="T793" s="10"/>
    </row>
    <row r="794" s="35" customFormat="1" ht="18.5" customHeight="1" spans="1:20">
      <c r="A794" s="16" t="s">
        <v>251</v>
      </c>
      <c r="B794" s="41">
        <v>44738</v>
      </c>
      <c r="C794" s="25">
        <v>3</v>
      </c>
      <c r="D794" s="25"/>
      <c r="E794" s="25"/>
      <c r="F794" s="25"/>
      <c r="G794" s="25"/>
      <c r="H794" s="25"/>
      <c r="I794" s="25"/>
      <c r="J794" s="25"/>
      <c r="K794" s="25"/>
      <c r="L794" s="25"/>
      <c r="M794" s="42" t="s">
        <v>253</v>
      </c>
      <c r="N794" s="41">
        <v>44997</v>
      </c>
      <c r="O794" s="25">
        <v>212</v>
      </c>
      <c r="P794" s="25">
        <v>0</v>
      </c>
      <c r="Q794" s="25"/>
      <c r="R794" s="25"/>
      <c r="S794" s="25"/>
      <c r="T794" s="10"/>
    </row>
    <row r="795" s="35" customFormat="1" ht="18.5" customHeight="1" spans="1:20">
      <c r="A795" s="16" t="s">
        <v>251</v>
      </c>
      <c r="B795" s="41">
        <v>44392</v>
      </c>
      <c r="C795" s="25">
        <v>6</v>
      </c>
      <c r="D795" s="25"/>
      <c r="E795" s="25"/>
      <c r="F795" s="25"/>
      <c r="G795" s="25"/>
      <c r="H795" s="25"/>
      <c r="I795" s="25"/>
      <c r="J795" s="25"/>
      <c r="K795" s="25"/>
      <c r="L795" s="25"/>
      <c r="M795" s="42" t="s">
        <v>253</v>
      </c>
      <c r="N795" s="41">
        <v>45240</v>
      </c>
      <c r="O795" s="25">
        <v>211</v>
      </c>
      <c r="P795" s="25">
        <v>0</v>
      </c>
      <c r="Q795" s="25"/>
      <c r="R795" s="25"/>
      <c r="S795" s="25"/>
      <c r="T795" s="10"/>
    </row>
    <row r="796" s="35" customFormat="1" ht="18.5" customHeight="1" spans="1:20">
      <c r="A796" s="16" t="s">
        <v>251</v>
      </c>
      <c r="B796" s="41">
        <v>45294</v>
      </c>
      <c r="C796" s="25">
        <v>6</v>
      </c>
      <c r="D796" s="25"/>
      <c r="E796" s="25"/>
      <c r="F796" s="25"/>
      <c r="G796" s="25"/>
      <c r="H796" s="25"/>
      <c r="I796" s="25"/>
      <c r="J796" s="25"/>
      <c r="K796" s="25"/>
      <c r="L796" s="25"/>
      <c r="M796" s="42" t="s">
        <v>253</v>
      </c>
      <c r="N796" s="41">
        <v>45063</v>
      </c>
      <c r="O796" s="25">
        <v>211</v>
      </c>
      <c r="P796" s="25">
        <v>0</v>
      </c>
      <c r="Q796" s="25"/>
      <c r="R796" s="25"/>
      <c r="S796" s="25"/>
      <c r="T796" s="10"/>
    </row>
    <row r="797" s="35" customFormat="1" ht="18.5" customHeight="1" spans="1:20">
      <c r="A797" s="16" t="s">
        <v>251</v>
      </c>
      <c r="B797" s="41">
        <v>44558</v>
      </c>
      <c r="C797" s="25">
        <v>2</v>
      </c>
      <c r="D797" s="25"/>
      <c r="E797" s="25"/>
      <c r="F797" s="25"/>
      <c r="G797" s="25"/>
      <c r="H797" s="25"/>
      <c r="I797" s="25"/>
      <c r="J797" s="25"/>
      <c r="K797" s="25"/>
      <c r="L797" s="25"/>
      <c r="M797" s="42" t="s">
        <v>253</v>
      </c>
      <c r="N797" s="41">
        <v>45013</v>
      </c>
      <c r="O797" s="25">
        <v>212</v>
      </c>
      <c r="P797" s="25">
        <v>0</v>
      </c>
      <c r="Q797" s="25"/>
      <c r="R797" s="25"/>
      <c r="S797" s="25"/>
      <c r="T797" s="10"/>
    </row>
    <row r="798" s="35" customFormat="1" ht="18.5" customHeight="1" spans="1:20">
      <c r="A798" s="16" t="s">
        <v>251</v>
      </c>
      <c r="B798" s="41">
        <v>44383</v>
      </c>
      <c r="C798" s="25">
        <v>4</v>
      </c>
      <c r="D798" s="25"/>
      <c r="E798" s="25"/>
      <c r="F798" s="25"/>
      <c r="G798" s="25"/>
      <c r="H798" s="25"/>
      <c r="I798" s="25"/>
      <c r="J798" s="25"/>
      <c r="K798" s="25"/>
      <c r="L798" s="25"/>
      <c r="M798" s="42" t="s">
        <v>253</v>
      </c>
      <c r="N798" s="41">
        <v>44975</v>
      </c>
      <c r="O798" s="25">
        <v>211</v>
      </c>
      <c r="P798" s="25">
        <v>0</v>
      </c>
      <c r="Q798" s="25"/>
      <c r="R798" s="25"/>
      <c r="S798" s="25"/>
      <c r="T798" s="10"/>
    </row>
    <row r="799" s="35" customFormat="1" ht="18.5" customHeight="1" spans="1:20">
      <c r="A799" s="16" t="s">
        <v>251</v>
      </c>
      <c r="B799" s="41">
        <v>44475</v>
      </c>
      <c r="C799" s="25">
        <v>6</v>
      </c>
      <c r="D799" s="25"/>
      <c r="E799" s="25"/>
      <c r="F799" s="25"/>
      <c r="G799" s="25"/>
      <c r="H799" s="25"/>
      <c r="I799" s="25"/>
      <c r="J799" s="25"/>
      <c r="K799" s="25"/>
      <c r="L799" s="25"/>
      <c r="M799" s="42" t="s">
        <v>253</v>
      </c>
      <c r="N799" s="41">
        <v>45267</v>
      </c>
      <c r="O799" s="25">
        <v>210</v>
      </c>
      <c r="P799" s="25">
        <v>0</v>
      </c>
      <c r="Q799" s="25"/>
      <c r="R799" s="25"/>
      <c r="S799" s="25"/>
      <c r="T799" s="10"/>
    </row>
    <row r="800" s="35" customFormat="1" ht="18.5" customHeight="1" spans="1:20">
      <c r="A800" s="16" t="s">
        <v>251</v>
      </c>
      <c r="B800" s="41">
        <v>45294</v>
      </c>
      <c r="C800" s="25">
        <v>5</v>
      </c>
      <c r="D800" s="25"/>
      <c r="E800" s="25"/>
      <c r="F800" s="25"/>
      <c r="G800" s="25"/>
      <c r="H800" s="25"/>
      <c r="I800" s="25"/>
      <c r="J800" s="25"/>
      <c r="K800" s="25"/>
      <c r="L800" s="25"/>
      <c r="M800" s="42" t="s">
        <v>253</v>
      </c>
      <c r="N800" s="41">
        <v>45246</v>
      </c>
      <c r="O800" s="25">
        <v>210</v>
      </c>
      <c r="P800" s="25">
        <v>0</v>
      </c>
      <c r="Q800" s="25"/>
      <c r="R800" s="25"/>
      <c r="S800" s="25"/>
      <c r="T800" s="10"/>
    </row>
    <row r="801" s="35" customFormat="1" ht="18.5" customHeight="1" spans="1:20">
      <c r="A801" s="16" t="s">
        <v>251</v>
      </c>
      <c r="B801" s="41">
        <v>45282</v>
      </c>
      <c r="C801" s="25">
        <v>4</v>
      </c>
      <c r="D801" s="25"/>
      <c r="E801" s="25"/>
      <c r="F801" s="25"/>
      <c r="G801" s="25"/>
      <c r="H801" s="25"/>
      <c r="I801" s="25"/>
      <c r="J801" s="25"/>
      <c r="K801" s="25"/>
      <c r="L801" s="25"/>
      <c r="M801" s="42" t="s">
        <v>253</v>
      </c>
      <c r="N801" s="41">
        <v>45241</v>
      </c>
      <c r="O801" s="25">
        <v>210</v>
      </c>
      <c r="P801" s="25">
        <v>0</v>
      </c>
      <c r="Q801" s="25"/>
      <c r="R801" s="25"/>
      <c r="S801" s="25"/>
      <c r="T801" s="10"/>
    </row>
    <row r="802" s="35" customFormat="1" ht="18.5" customHeight="1" spans="1:20">
      <c r="A802" s="16" t="s">
        <v>251</v>
      </c>
      <c r="B802" s="41">
        <v>44477</v>
      </c>
      <c r="C802" s="25">
        <v>3</v>
      </c>
      <c r="D802" s="25"/>
      <c r="E802" s="25"/>
      <c r="F802" s="25"/>
      <c r="G802" s="25"/>
      <c r="H802" s="25"/>
      <c r="I802" s="25"/>
      <c r="J802" s="25"/>
      <c r="K802" s="25"/>
      <c r="L802" s="25"/>
      <c r="M802" s="42" t="s">
        <v>253</v>
      </c>
      <c r="N802" s="41">
        <v>45195</v>
      </c>
      <c r="O802" s="25">
        <v>210</v>
      </c>
      <c r="P802" s="25">
        <v>0</v>
      </c>
      <c r="Q802" s="25"/>
      <c r="R802" s="25"/>
      <c r="S802" s="25"/>
      <c r="T802" s="10"/>
    </row>
    <row r="803" s="35" customFormat="1" ht="18.5" customHeight="1" spans="1:20">
      <c r="A803" s="16" t="s">
        <v>251</v>
      </c>
      <c r="B803" s="41">
        <v>44429</v>
      </c>
      <c r="C803" s="25">
        <v>2</v>
      </c>
      <c r="D803" s="25"/>
      <c r="E803" s="25"/>
      <c r="F803" s="25"/>
      <c r="G803" s="25"/>
      <c r="H803" s="25"/>
      <c r="I803" s="25"/>
      <c r="J803" s="25"/>
      <c r="K803" s="25"/>
      <c r="L803" s="25"/>
      <c r="M803" s="42" t="s">
        <v>253</v>
      </c>
      <c r="N803" s="41">
        <v>45051</v>
      </c>
      <c r="O803" s="25">
        <v>210</v>
      </c>
      <c r="P803" s="25">
        <v>0</v>
      </c>
      <c r="Q803" s="25"/>
      <c r="R803" s="25"/>
      <c r="S803" s="25"/>
      <c r="T803" s="10"/>
    </row>
    <row r="804" s="35" customFormat="1" ht="18.5" customHeight="1" spans="1:20">
      <c r="A804" s="16" t="s">
        <v>251</v>
      </c>
      <c r="B804" s="41">
        <v>45294</v>
      </c>
      <c r="C804" s="25">
        <v>5</v>
      </c>
      <c r="D804" s="25"/>
      <c r="E804" s="25"/>
      <c r="F804" s="25"/>
      <c r="G804" s="25"/>
      <c r="H804" s="25"/>
      <c r="I804" s="25"/>
      <c r="J804" s="25"/>
      <c r="K804" s="25"/>
      <c r="L804" s="25"/>
      <c r="M804" s="42" t="s">
        <v>253</v>
      </c>
      <c r="N804" s="41">
        <v>45007</v>
      </c>
      <c r="O804" s="25">
        <v>210</v>
      </c>
      <c r="P804" s="25">
        <v>0</v>
      </c>
      <c r="Q804" s="25"/>
      <c r="R804" s="25"/>
      <c r="S804" s="25"/>
      <c r="T804" s="10"/>
    </row>
    <row r="805" s="35" customFormat="1" ht="18.5" customHeight="1" spans="1:20">
      <c r="A805" s="16" t="s">
        <v>251</v>
      </c>
      <c r="B805" s="41">
        <v>44913</v>
      </c>
      <c r="C805" s="25">
        <v>7</v>
      </c>
      <c r="D805" s="25"/>
      <c r="E805" s="25"/>
      <c r="F805" s="25"/>
      <c r="G805" s="25"/>
      <c r="H805" s="25"/>
      <c r="I805" s="25"/>
      <c r="J805" s="25"/>
      <c r="K805" s="25"/>
      <c r="L805" s="25"/>
      <c r="M805" s="42" t="s">
        <v>253</v>
      </c>
      <c r="N805" s="41">
        <v>44943</v>
      </c>
      <c r="O805" s="25">
        <v>210</v>
      </c>
      <c r="P805" s="25">
        <v>0</v>
      </c>
      <c r="Q805" s="25"/>
      <c r="R805" s="25"/>
      <c r="S805" s="25"/>
      <c r="T805" s="10"/>
    </row>
    <row r="806" s="35" customFormat="1" ht="18.5" customHeight="1" spans="1:20">
      <c r="A806" s="16" t="s">
        <v>251</v>
      </c>
      <c r="B806" s="41">
        <v>44396</v>
      </c>
      <c r="C806" s="25">
        <v>1</v>
      </c>
      <c r="D806" s="25"/>
      <c r="E806" s="25"/>
      <c r="F806" s="25"/>
      <c r="G806" s="25"/>
      <c r="H806" s="25"/>
      <c r="I806" s="25"/>
      <c r="J806" s="25"/>
      <c r="K806" s="25"/>
      <c r="L806" s="25"/>
      <c r="M806" s="42" t="s">
        <v>253</v>
      </c>
      <c r="N806" s="41">
        <v>44937</v>
      </c>
      <c r="O806" s="25">
        <v>210</v>
      </c>
      <c r="P806" s="25">
        <v>0</v>
      </c>
      <c r="Q806" s="25"/>
      <c r="R806" s="25"/>
      <c r="S806" s="25"/>
      <c r="T806" s="10"/>
    </row>
    <row r="807" s="35" customFormat="1" ht="18.5" customHeight="1" spans="1:20">
      <c r="A807" s="16" t="s">
        <v>251</v>
      </c>
      <c r="B807" s="41">
        <v>44697</v>
      </c>
      <c r="C807" s="25">
        <v>3</v>
      </c>
      <c r="D807" s="25"/>
      <c r="E807" s="25"/>
      <c r="F807" s="25"/>
      <c r="G807" s="25"/>
      <c r="H807" s="25"/>
      <c r="I807" s="25"/>
      <c r="J807" s="25"/>
      <c r="K807" s="25"/>
      <c r="L807" s="25"/>
      <c r="M807" s="42" t="s">
        <v>253</v>
      </c>
      <c r="N807" s="41">
        <v>45241</v>
      </c>
      <c r="O807" s="25">
        <v>210</v>
      </c>
      <c r="P807" s="25">
        <v>0</v>
      </c>
      <c r="Q807" s="25"/>
      <c r="R807" s="25"/>
      <c r="S807" s="25"/>
      <c r="T807" s="10"/>
    </row>
    <row r="808" s="35" customFormat="1" ht="18.5" customHeight="1" spans="1:20">
      <c r="A808" s="16" t="s">
        <v>251</v>
      </c>
      <c r="B808" s="41">
        <v>45294</v>
      </c>
      <c r="C808" s="25">
        <v>7</v>
      </c>
      <c r="D808" s="25"/>
      <c r="E808" s="25"/>
      <c r="F808" s="25"/>
      <c r="G808" s="25"/>
      <c r="H808" s="25"/>
      <c r="I808" s="25"/>
      <c r="J808" s="25"/>
      <c r="K808" s="25"/>
      <c r="L808" s="25"/>
      <c r="M808" s="42" t="s">
        <v>253</v>
      </c>
      <c r="N808" s="41">
        <v>45176</v>
      </c>
      <c r="O808" s="25">
        <v>209</v>
      </c>
      <c r="P808" s="25">
        <v>0</v>
      </c>
      <c r="Q808" s="25"/>
      <c r="R808" s="25"/>
      <c r="S808" s="25"/>
      <c r="T808" s="10"/>
    </row>
    <row r="809" s="35" customFormat="1" ht="18.5" customHeight="1" spans="1:20">
      <c r="A809" s="16" t="s">
        <v>251</v>
      </c>
      <c r="B809" s="41">
        <v>44552</v>
      </c>
      <c r="C809" s="25">
        <v>2</v>
      </c>
      <c r="D809" s="25"/>
      <c r="E809" s="25"/>
      <c r="F809" s="25"/>
      <c r="G809" s="25"/>
      <c r="H809" s="25"/>
      <c r="I809" s="25"/>
      <c r="J809" s="25"/>
      <c r="K809" s="25"/>
      <c r="L809" s="25"/>
      <c r="M809" s="42" t="s">
        <v>253</v>
      </c>
      <c r="N809" s="41">
        <v>44932</v>
      </c>
      <c r="O809" s="25">
        <v>209</v>
      </c>
      <c r="P809" s="25">
        <v>0</v>
      </c>
      <c r="Q809" s="25"/>
      <c r="R809" s="25"/>
      <c r="S809" s="25"/>
      <c r="T809" s="10"/>
    </row>
    <row r="810" s="35" customFormat="1" ht="18.5" customHeight="1" spans="1:20">
      <c r="A810" s="16" t="s">
        <v>251</v>
      </c>
      <c r="B810" s="41">
        <v>44396</v>
      </c>
      <c r="C810" s="25">
        <v>2</v>
      </c>
      <c r="D810" s="25"/>
      <c r="E810" s="25"/>
      <c r="F810" s="25"/>
      <c r="G810" s="25"/>
      <c r="H810" s="25"/>
      <c r="I810" s="25"/>
      <c r="J810" s="25"/>
      <c r="K810" s="25"/>
      <c r="L810" s="25"/>
      <c r="M810" s="42" t="s">
        <v>253</v>
      </c>
      <c r="N810" s="41">
        <v>45237</v>
      </c>
      <c r="O810" s="25">
        <v>208</v>
      </c>
      <c r="P810" s="25">
        <v>0</v>
      </c>
      <c r="Q810" s="25"/>
      <c r="R810" s="25"/>
      <c r="S810" s="25"/>
      <c r="T810" s="10"/>
    </row>
    <row r="811" s="35" customFormat="1" ht="18.5" customHeight="1" spans="1:20">
      <c r="A811" s="16" t="s">
        <v>251</v>
      </c>
      <c r="B811" s="41">
        <v>45294</v>
      </c>
      <c r="C811" s="25">
        <v>4</v>
      </c>
      <c r="D811" s="25"/>
      <c r="E811" s="25"/>
      <c r="F811" s="25"/>
      <c r="G811" s="25"/>
      <c r="H811" s="25"/>
      <c r="I811" s="25"/>
      <c r="J811" s="25"/>
      <c r="K811" s="25"/>
      <c r="L811" s="25"/>
      <c r="M811" s="42" t="s">
        <v>253</v>
      </c>
      <c r="N811" s="41">
        <v>45222</v>
      </c>
      <c r="O811" s="25">
        <v>208</v>
      </c>
      <c r="P811" s="25">
        <v>0</v>
      </c>
      <c r="Q811" s="25"/>
      <c r="R811" s="25"/>
      <c r="S811" s="25"/>
      <c r="T811" s="10"/>
    </row>
    <row r="812" s="35" customFormat="1" ht="18.5" customHeight="1" spans="1:20">
      <c r="A812" s="16" t="s">
        <v>251</v>
      </c>
      <c r="B812" s="41">
        <v>44429</v>
      </c>
      <c r="C812" s="25">
        <v>2</v>
      </c>
      <c r="D812" s="25"/>
      <c r="E812" s="25"/>
      <c r="F812" s="25"/>
      <c r="G812" s="25"/>
      <c r="H812" s="25"/>
      <c r="I812" s="25"/>
      <c r="J812" s="25"/>
      <c r="K812" s="25"/>
      <c r="L812" s="25"/>
      <c r="M812" s="42" t="s">
        <v>253</v>
      </c>
      <c r="N812" s="41">
        <v>45067</v>
      </c>
      <c r="O812" s="25">
        <v>208</v>
      </c>
      <c r="P812" s="25">
        <v>0</v>
      </c>
      <c r="Q812" s="25"/>
      <c r="R812" s="25"/>
      <c r="S812" s="25"/>
      <c r="T812" s="10"/>
    </row>
    <row r="813" s="35" customFormat="1" ht="18.5" customHeight="1" spans="1:20">
      <c r="A813" s="16" t="s">
        <v>251</v>
      </c>
      <c r="B813" s="41">
        <v>45277</v>
      </c>
      <c r="C813" s="25">
        <v>5</v>
      </c>
      <c r="D813" s="25"/>
      <c r="E813" s="25"/>
      <c r="F813" s="25"/>
      <c r="G813" s="25"/>
      <c r="H813" s="25"/>
      <c r="I813" s="25"/>
      <c r="J813" s="25"/>
      <c r="K813" s="25"/>
      <c r="L813" s="25"/>
      <c r="M813" s="42" t="s">
        <v>253</v>
      </c>
      <c r="N813" s="41">
        <v>45002</v>
      </c>
      <c r="O813" s="25">
        <v>208</v>
      </c>
      <c r="P813" s="25">
        <v>0</v>
      </c>
      <c r="Q813" s="25"/>
      <c r="R813" s="25"/>
      <c r="S813" s="25"/>
      <c r="T813" s="10"/>
    </row>
    <row r="814" s="35" customFormat="1" ht="18.5" customHeight="1" spans="1:20">
      <c r="A814" s="16" t="s">
        <v>251</v>
      </c>
      <c r="B814" s="41">
        <v>44489</v>
      </c>
      <c r="C814" s="25">
        <v>0</v>
      </c>
      <c r="D814" s="25"/>
      <c r="E814" s="25"/>
      <c r="F814" s="25"/>
      <c r="G814" s="25"/>
      <c r="H814" s="25"/>
      <c r="I814" s="25"/>
      <c r="J814" s="25"/>
      <c r="K814" s="25"/>
      <c r="L814" s="25"/>
      <c r="M814" s="42" t="s">
        <v>253</v>
      </c>
      <c r="N814" s="41">
        <v>45043</v>
      </c>
      <c r="O814" s="25">
        <v>207</v>
      </c>
      <c r="P814" s="25">
        <v>0</v>
      </c>
      <c r="Q814" s="25"/>
      <c r="R814" s="25"/>
      <c r="S814" s="25"/>
      <c r="T814" s="10"/>
    </row>
    <row r="815" s="35" customFormat="1" ht="18.5" customHeight="1" spans="1:20">
      <c r="A815" s="16" t="s">
        <v>251</v>
      </c>
      <c r="B815" s="41">
        <v>45277</v>
      </c>
      <c r="C815" s="25">
        <v>6</v>
      </c>
      <c r="D815" s="25"/>
      <c r="E815" s="25"/>
      <c r="F815" s="25"/>
      <c r="G815" s="25"/>
      <c r="H815" s="25"/>
      <c r="I815" s="25"/>
      <c r="J815" s="25"/>
      <c r="K815" s="25"/>
      <c r="L815" s="25"/>
      <c r="M815" s="42" t="s">
        <v>253</v>
      </c>
      <c r="N815" s="41">
        <v>45243</v>
      </c>
      <c r="O815" s="25">
        <v>206</v>
      </c>
      <c r="P815" s="25">
        <v>0</v>
      </c>
      <c r="Q815" s="25"/>
      <c r="R815" s="25"/>
      <c r="S815" s="25"/>
      <c r="T815" s="10"/>
    </row>
    <row r="816" s="35" customFormat="1" ht="18.5" customHeight="1" spans="1:20">
      <c r="A816" s="16" t="s">
        <v>251</v>
      </c>
      <c r="B816" s="41">
        <v>44363</v>
      </c>
      <c r="C816" s="25">
        <v>4</v>
      </c>
      <c r="D816" s="25"/>
      <c r="E816" s="25"/>
      <c r="F816" s="25"/>
      <c r="G816" s="25"/>
      <c r="H816" s="25"/>
      <c r="I816" s="25"/>
      <c r="J816" s="25"/>
      <c r="K816" s="25"/>
      <c r="L816" s="25"/>
      <c r="M816" s="42" t="s">
        <v>253</v>
      </c>
      <c r="N816" s="41">
        <v>45232</v>
      </c>
      <c r="O816" s="25">
        <v>206</v>
      </c>
      <c r="P816" s="25">
        <v>0</v>
      </c>
      <c r="Q816" s="25"/>
      <c r="R816" s="25"/>
      <c r="S816" s="25"/>
      <c r="T816" s="10"/>
    </row>
    <row r="817" s="35" customFormat="1" ht="18.5" customHeight="1" spans="1:20">
      <c r="A817" s="16" t="s">
        <v>251</v>
      </c>
      <c r="B817" s="41">
        <v>44438</v>
      </c>
      <c r="C817" s="25">
        <v>8</v>
      </c>
      <c r="D817" s="25"/>
      <c r="E817" s="25"/>
      <c r="F817" s="25"/>
      <c r="G817" s="25"/>
      <c r="H817" s="25"/>
      <c r="I817" s="25"/>
      <c r="J817" s="25"/>
      <c r="K817" s="25"/>
      <c r="L817" s="25"/>
      <c r="M817" s="42" t="s">
        <v>253</v>
      </c>
      <c r="N817" s="41">
        <v>45113</v>
      </c>
      <c r="O817" s="25">
        <v>206</v>
      </c>
      <c r="P817" s="25">
        <v>0</v>
      </c>
      <c r="Q817" s="25"/>
      <c r="R817" s="25"/>
      <c r="S817" s="25"/>
      <c r="T817" s="10"/>
    </row>
    <row r="818" s="35" customFormat="1" ht="18.5" customHeight="1" spans="1:20">
      <c r="A818" s="16" t="s">
        <v>251</v>
      </c>
      <c r="B818" s="41">
        <v>44372</v>
      </c>
      <c r="C818" s="25">
        <v>3</v>
      </c>
      <c r="D818" s="25"/>
      <c r="E818" s="25"/>
      <c r="F818" s="25"/>
      <c r="G818" s="25"/>
      <c r="H818" s="25"/>
      <c r="I818" s="25"/>
      <c r="J818" s="25"/>
      <c r="K818" s="25"/>
      <c r="L818" s="25"/>
      <c r="M818" s="42" t="s">
        <v>253</v>
      </c>
      <c r="N818" s="41">
        <v>45045</v>
      </c>
      <c r="O818" s="25">
        <v>206</v>
      </c>
      <c r="P818" s="25">
        <v>0</v>
      </c>
      <c r="Q818" s="25"/>
      <c r="R818" s="25"/>
      <c r="S818" s="25"/>
      <c r="T818" s="10"/>
    </row>
    <row r="819" s="35" customFormat="1" ht="18.5" customHeight="1" spans="1:20">
      <c r="A819" s="16" t="s">
        <v>251</v>
      </c>
      <c r="B819" s="41">
        <v>44493</v>
      </c>
      <c r="C819" s="25">
        <v>3</v>
      </c>
      <c r="D819" s="25"/>
      <c r="E819" s="25"/>
      <c r="F819" s="25"/>
      <c r="G819" s="25"/>
      <c r="H819" s="25"/>
      <c r="I819" s="25"/>
      <c r="J819" s="25"/>
      <c r="K819" s="25"/>
      <c r="L819" s="25"/>
      <c r="M819" s="42" t="s">
        <v>253</v>
      </c>
      <c r="N819" s="41">
        <v>45000</v>
      </c>
      <c r="O819" s="25">
        <v>207</v>
      </c>
      <c r="P819" s="25">
        <v>0</v>
      </c>
      <c r="Q819" s="25"/>
      <c r="R819" s="25"/>
      <c r="S819" s="25"/>
      <c r="T819" s="10"/>
    </row>
    <row r="820" s="35" customFormat="1" ht="18.5" customHeight="1" spans="1:20">
      <c r="A820" s="16" t="s">
        <v>251</v>
      </c>
      <c r="B820" s="41">
        <v>44344</v>
      </c>
      <c r="C820" s="25">
        <v>6</v>
      </c>
      <c r="D820" s="25"/>
      <c r="E820" s="25"/>
      <c r="F820" s="25"/>
      <c r="G820" s="25"/>
      <c r="H820" s="25"/>
      <c r="I820" s="25"/>
      <c r="J820" s="25"/>
      <c r="K820" s="25"/>
      <c r="L820" s="25"/>
      <c r="M820" s="42" t="s">
        <v>253</v>
      </c>
      <c r="N820" s="41">
        <v>44961</v>
      </c>
      <c r="O820" s="25">
        <v>206</v>
      </c>
      <c r="P820" s="25">
        <v>0</v>
      </c>
      <c r="Q820" s="25"/>
      <c r="R820" s="25"/>
      <c r="S820" s="25"/>
      <c r="T820" s="10"/>
    </row>
    <row r="821" s="35" customFormat="1" ht="18.5" customHeight="1" spans="1:20">
      <c r="A821" s="16" t="s">
        <v>251</v>
      </c>
      <c r="B821" s="41">
        <v>44986</v>
      </c>
      <c r="C821" s="25">
        <v>1</v>
      </c>
      <c r="D821" s="25"/>
      <c r="E821" s="25"/>
      <c r="F821" s="25"/>
      <c r="G821" s="25"/>
      <c r="H821" s="25"/>
      <c r="I821" s="25"/>
      <c r="J821" s="25"/>
      <c r="K821" s="25"/>
      <c r="L821" s="25"/>
      <c r="M821" s="42" t="s">
        <v>253</v>
      </c>
      <c r="N821" s="41">
        <v>45041</v>
      </c>
      <c r="O821" s="25">
        <v>206</v>
      </c>
      <c r="P821" s="25">
        <v>0</v>
      </c>
      <c r="Q821" s="25"/>
      <c r="R821" s="25"/>
      <c r="S821" s="25"/>
      <c r="T821" s="10"/>
    </row>
    <row r="822" s="35" customFormat="1" ht="18.5" customHeight="1" spans="1:20">
      <c r="A822" s="16" t="s">
        <v>251</v>
      </c>
      <c r="B822" s="41">
        <v>44353</v>
      </c>
      <c r="C822" s="25">
        <v>0</v>
      </c>
      <c r="D822" s="25"/>
      <c r="E822" s="25"/>
      <c r="F822" s="25"/>
      <c r="G822" s="25"/>
      <c r="H822" s="25"/>
      <c r="I822" s="25"/>
      <c r="J822" s="25"/>
      <c r="K822" s="25"/>
      <c r="L822" s="25"/>
      <c r="M822" s="42" t="s">
        <v>253</v>
      </c>
      <c r="N822" s="41">
        <v>44944</v>
      </c>
      <c r="O822" s="25">
        <v>205</v>
      </c>
      <c r="P822" s="25">
        <v>0</v>
      </c>
      <c r="Q822" s="25"/>
      <c r="R822" s="25"/>
      <c r="S822" s="25"/>
      <c r="T822" s="10"/>
    </row>
    <row r="823" s="35" customFormat="1" ht="18.5" customHeight="1" spans="1:20">
      <c r="A823" s="16" t="s">
        <v>251</v>
      </c>
      <c r="B823" s="41">
        <v>44505</v>
      </c>
      <c r="C823" s="25">
        <v>0</v>
      </c>
      <c r="D823" s="25"/>
      <c r="E823" s="25"/>
      <c r="F823" s="25"/>
      <c r="G823" s="25"/>
      <c r="H823" s="25"/>
      <c r="I823" s="25"/>
      <c r="J823" s="25"/>
      <c r="K823" s="25"/>
      <c r="L823" s="25"/>
      <c r="M823" s="42" t="s">
        <v>253</v>
      </c>
      <c r="N823" s="41">
        <v>44941</v>
      </c>
      <c r="O823" s="25">
        <v>205</v>
      </c>
      <c r="P823" s="25">
        <v>0</v>
      </c>
      <c r="Q823" s="25"/>
      <c r="R823" s="25"/>
      <c r="S823" s="25"/>
      <c r="T823" s="10"/>
    </row>
    <row r="824" s="35" customFormat="1" ht="18.5" customHeight="1" spans="1:20">
      <c r="A824" s="16" t="s">
        <v>251</v>
      </c>
      <c r="B824" s="41">
        <v>45294</v>
      </c>
      <c r="C824" s="25">
        <v>3</v>
      </c>
      <c r="D824" s="25"/>
      <c r="E824" s="25"/>
      <c r="F824" s="25"/>
      <c r="G824" s="25"/>
      <c r="H824" s="25"/>
      <c r="I824" s="25"/>
      <c r="J824" s="25"/>
      <c r="K824" s="25"/>
      <c r="L824" s="25"/>
      <c r="M824" s="42" t="s">
        <v>253</v>
      </c>
      <c r="N824" s="41">
        <v>45264</v>
      </c>
      <c r="O824" s="25">
        <v>204</v>
      </c>
      <c r="P824" s="25">
        <v>0</v>
      </c>
      <c r="Q824" s="25"/>
      <c r="R824" s="25"/>
      <c r="S824" s="25"/>
      <c r="T824" s="10"/>
    </row>
    <row r="825" s="35" customFormat="1" ht="18.5" customHeight="1" spans="1:20">
      <c r="A825" s="16" t="s">
        <v>251</v>
      </c>
      <c r="B825" s="41">
        <v>45294</v>
      </c>
      <c r="C825" s="25">
        <v>6</v>
      </c>
      <c r="D825" s="25"/>
      <c r="E825" s="25"/>
      <c r="F825" s="25"/>
      <c r="G825" s="25"/>
      <c r="H825" s="25"/>
      <c r="I825" s="25"/>
      <c r="J825" s="25"/>
      <c r="K825" s="25"/>
      <c r="L825" s="25"/>
      <c r="M825" s="42" t="s">
        <v>253</v>
      </c>
      <c r="N825" s="41">
        <v>45091</v>
      </c>
      <c r="O825" s="25">
        <v>203</v>
      </c>
      <c r="P825" s="25">
        <v>0</v>
      </c>
      <c r="Q825" s="25"/>
      <c r="R825" s="25"/>
      <c r="S825" s="25"/>
      <c r="T825" s="10"/>
    </row>
    <row r="826" s="35" customFormat="1" ht="18.5" customHeight="1" spans="1:20">
      <c r="A826" s="16" t="s">
        <v>251</v>
      </c>
      <c r="B826" s="41">
        <v>44620</v>
      </c>
      <c r="C826" s="25">
        <v>8</v>
      </c>
      <c r="D826" s="25"/>
      <c r="E826" s="25"/>
      <c r="F826" s="25"/>
      <c r="G826" s="25"/>
      <c r="H826" s="25"/>
      <c r="I826" s="25"/>
      <c r="J826" s="25"/>
      <c r="K826" s="25"/>
      <c r="L826" s="25"/>
      <c r="M826" s="42" t="s">
        <v>253</v>
      </c>
      <c r="N826" s="41">
        <v>45030</v>
      </c>
      <c r="O826" s="25">
        <v>203</v>
      </c>
      <c r="P826" s="25">
        <v>0</v>
      </c>
      <c r="Q826" s="25"/>
      <c r="R826" s="25"/>
      <c r="S826" s="25"/>
      <c r="T826" s="10"/>
    </row>
    <row r="827" s="35" customFormat="1" ht="18.5" customHeight="1" spans="1:20">
      <c r="A827" s="16" t="s">
        <v>251</v>
      </c>
      <c r="B827" s="41">
        <v>45294</v>
      </c>
      <c r="C827" s="25">
        <v>2</v>
      </c>
      <c r="D827" s="25"/>
      <c r="E827" s="25"/>
      <c r="F827" s="25"/>
      <c r="G827" s="25"/>
      <c r="H827" s="25"/>
      <c r="I827" s="25"/>
      <c r="J827" s="25"/>
      <c r="K827" s="25"/>
      <c r="L827" s="25"/>
      <c r="M827" s="42" t="s">
        <v>253</v>
      </c>
      <c r="N827" s="41">
        <v>45018</v>
      </c>
      <c r="O827" s="25">
        <v>203</v>
      </c>
      <c r="P827" s="25">
        <v>0</v>
      </c>
      <c r="Q827" s="25"/>
      <c r="R827" s="25"/>
      <c r="S827" s="25"/>
      <c r="T827" s="10"/>
    </row>
    <row r="828" s="35" customFormat="1" ht="18.5" customHeight="1" spans="1:20">
      <c r="A828" s="16" t="s">
        <v>251</v>
      </c>
      <c r="B828" s="41">
        <v>45276</v>
      </c>
      <c r="C828" s="25">
        <v>4</v>
      </c>
      <c r="D828" s="25"/>
      <c r="E828" s="25"/>
      <c r="F828" s="25"/>
      <c r="G828" s="25"/>
      <c r="H828" s="25"/>
      <c r="I828" s="25"/>
      <c r="J828" s="25"/>
      <c r="K828" s="25"/>
      <c r="L828" s="25"/>
      <c r="M828" s="42" t="s">
        <v>253</v>
      </c>
      <c r="N828" s="41">
        <v>45240</v>
      </c>
      <c r="O828" s="25">
        <v>203</v>
      </c>
      <c r="P828" s="25">
        <v>0</v>
      </c>
      <c r="Q828" s="25"/>
      <c r="R828" s="25"/>
      <c r="S828" s="25"/>
      <c r="T828" s="10"/>
    </row>
    <row r="829" s="35" customFormat="1" ht="18.5" customHeight="1" spans="1:20">
      <c r="A829" s="16" t="s">
        <v>251</v>
      </c>
      <c r="B829" s="41">
        <v>45275</v>
      </c>
      <c r="C829" s="25">
        <v>5</v>
      </c>
      <c r="D829" s="25"/>
      <c r="E829" s="25"/>
      <c r="F829" s="25"/>
      <c r="G829" s="25"/>
      <c r="H829" s="25"/>
      <c r="I829" s="25"/>
      <c r="J829" s="25"/>
      <c r="K829" s="25"/>
      <c r="L829" s="25"/>
      <c r="M829" s="42" t="s">
        <v>253</v>
      </c>
      <c r="N829" s="41">
        <v>44985</v>
      </c>
      <c r="O829" s="25">
        <v>202</v>
      </c>
      <c r="P829" s="25">
        <v>0</v>
      </c>
      <c r="Q829" s="25"/>
      <c r="R829" s="25"/>
      <c r="S829" s="25"/>
      <c r="T829" s="10"/>
    </row>
    <row r="830" s="35" customFormat="1" ht="18.5" customHeight="1" spans="1:20">
      <c r="A830" s="16" t="s">
        <v>251</v>
      </c>
      <c r="B830" s="41">
        <v>44413</v>
      </c>
      <c r="C830" s="25">
        <v>1</v>
      </c>
      <c r="D830" s="25"/>
      <c r="E830" s="25"/>
      <c r="F830" s="25"/>
      <c r="G830" s="25"/>
      <c r="H830" s="25"/>
      <c r="I830" s="25"/>
      <c r="J830" s="25"/>
      <c r="K830" s="25"/>
      <c r="L830" s="25"/>
      <c r="M830" s="42" t="s">
        <v>253</v>
      </c>
      <c r="N830" s="41">
        <v>45244</v>
      </c>
      <c r="O830" s="25">
        <v>201</v>
      </c>
      <c r="P830" s="25">
        <v>0</v>
      </c>
      <c r="Q830" s="25"/>
      <c r="R830" s="25"/>
      <c r="S830" s="25"/>
      <c r="T830" s="10"/>
    </row>
    <row r="831" s="35" customFormat="1" ht="18.5" customHeight="1" spans="1:20">
      <c r="A831" s="16" t="s">
        <v>251</v>
      </c>
      <c r="B831" s="41">
        <v>44407</v>
      </c>
      <c r="C831" s="25">
        <v>3</v>
      </c>
      <c r="D831" s="25"/>
      <c r="E831" s="25"/>
      <c r="F831" s="25"/>
      <c r="G831" s="25"/>
      <c r="H831" s="25"/>
      <c r="I831" s="25"/>
      <c r="J831" s="25"/>
      <c r="K831" s="25"/>
      <c r="L831" s="25"/>
      <c r="M831" s="42" t="s">
        <v>253</v>
      </c>
      <c r="N831" s="41">
        <v>45240</v>
      </c>
      <c r="O831" s="25">
        <v>201</v>
      </c>
      <c r="P831" s="25">
        <v>0</v>
      </c>
      <c r="Q831" s="25"/>
      <c r="R831" s="25"/>
      <c r="S831" s="25"/>
      <c r="T831" s="10"/>
    </row>
    <row r="832" s="35" customFormat="1" ht="18.5" customHeight="1" spans="1:20">
      <c r="A832" s="16" t="s">
        <v>251</v>
      </c>
      <c r="B832" s="41">
        <v>44386</v>
      </c>
      <c r="C832" s="25">
        <v>2</v>
      </c>
      <c r="D832" s="25"/>
      <c r="E832" s="25"/>
      <c r="F832" s="25"/>
      <c r="G832" s="25"/>
      <c r="H832" s="25"/>
      <c r="I832" s="25"/>
      <c r="J832" s="25"/>
      <c r="K832" s="25"/>
      <c r="L832" s="25"/>
      <c r="M832" s="42" t="s">
        <v>253</v>
      </c>
      <c r="N832" s="41">
        <v>44931</v>
      </c>
      <c r="O832" s="25">
        <v>201</v>
      </c>
      <c r="P832" s="25">
        <v>0</v>
      </c>
      <c r="Q832" s="25"/>
      <c r="R832" s="25"/>
      <c r="S832" s="25"/>
      <c r="T832" s="10"/>
    </row>
    <row r="833" s="35" customFormat="1" ht="18.5" customHeight="1" spans="1:20">
      <c r="A833" s="16" t="s">
        <v>251</v>
      </c>
      <c r="B833" s="41">
        <v>44364</v>
      </c>
      <c r="C833" s="25">
        <v>7</v>
      </c>
      <c r="D833" s="25"/>
      <c r="E833" s="25"/>
      <c r="F833" s="25"/>
      <c r="G833" s="25"/>
      <c r="H833" s="25"/>
      <c r="I833" s="25"/>
      <c r="J833" s="25"/>
      <c r="K833" s="25"/>
      <c r="L833" s="25"/>
      <c r="M833" s="42" t="s">
        <v>253</v>
      </c>
      <c r="N833" s="41">
        <v>45281</v>
      </c>
      <c r="O833" s="25">
        <v>200</v>
      </c>
      <c r="P833" s="25">
        <v>0</v>
      </c>
      <c r="Q833" s="25"/>
      <c r="R833" s="25"/>
      <c r="S833" s="25"/>
      <c r="T833" s="10"/>
    </row>
    <row r="834" s="35" customFormat="1" ht="18.5" customHeight="1" spans="1:20">
      <c r="A834" s="16" t="s">
        <v>251</v>
      </c>
      <c r="B834" s="41">
        <v>44489</v>
      </c>
      <c r="C834" s="25">
        <v>0</v>
      </c>
      <c r="D834" s="25"/>
      <c r="E834" s="25"/>
      <c r="F834" s="25"/>
      <c r="G834" s="25"/>
      <c r="H834" s="25"/>
      <c r="I834" s="25"/>
      <c r="J834" s="25"/>
      <c r="K834" s="25"/>
      <c r="L834" s="25"/>
      <c r="M834" s="42" t="s">
        <v>253</v>
      </c>
      <c r="N834" s="41">
        <v>45230</v>
      </c>
      <c r="O834" s="25">
        <v>200</v>
      </c>
      <c r="P834" s="25">
        <v>0</v>
      </c>
      <c r="Q834" s="25"/>
      <c r="R834" s="25"/>
      <c r="S834" s="25"/>
      <c r="T834" s="10"/>
    </row>
    <row r="835" s="35" customFormat="1" ht="18.5" customHeight="1" spans="1:20">
      <c r="A835" s="16" t="s">
        <v>251</v>
      </c>
      <c r="B835" s="41">
        <v>44560</v>
      </c>
      <c r="C835" s="25">
        <v>0</v>
      </c>
      <c r="D835" s="25"/>
      <c r="E835" s="25"/>
      <c r="F835" s="25"/>
      <c r="G835" s="25"/>
      <c r="H835" s="25"/>
      <c r="I835" s="25"/>
      <c r="J835" s="25"/>
      <c r="K835" s="25"/>
      <c r="L835" s="25"/>
      <c r="M835" s="42" t="s">
        <v>253</v>
      </c>
      <c r="N835" s="41">
        <v>45222</v>
      </c>
      <c r="O835" s="25">
        <v>200</v>
      </c>
      <c r="P835" s="25">
        <v>0</v>
      </c>
      <c r="Q835" s="25"/>
      <c r="R835" s="25"/>
      <c r="S835" s="25"/>
      <c r="T835" s="10"/>
    </row>
    <row r="836" s="35" customFormat="1" ht="18.5" customHeight="1" spans="1:20">
      <c r="A836" s="16" t="s">
        <v>251</v>
      </c>
      <c r="B836" s="41">
        <v>45294</v>
      </c>
      <c r="C836" s="25">
        <v>2</v>
      </c>
      <c r="D836" s="25"/>
      <c r="E836" s="25"/>
      <c r="F836" s="25"/>
      <c r="G836" s="25"/>
      <c r="H836" s="25"/>
      <c r="I836" s="25"/>
      <c r="J836" s="25"/>
      <c r="K836" s="25"/>
      <c r="L836" s="25"/>
      <c r="M836" s="42" t="s">
        <v>253</v>
      </c>
      <c r="N836" s="41">
        <v>45206</v>
      </c>
      <c r="O836" s="25">
        <v>201</v>
      </c>
      <c r="P836" s="25">
        <v>0</v>
      </c>
      <c r="Q836" s="25"/>
      <c r="R836" s="25"/>
      <c r="S836" s="25"/>
      <c r="T836" s="10"/>
    </row>
    <row r="837" s="35" customFormat="1" ht="18.5" customHeight="1" spans="1:20">
      <c r="A837" s="16" t="s">
        <v>251</v>
      </c>
      <c r="B837" s="41">
        <v>44506</v>
      </c>
      <c r="C837" s="25">
        <v>1</v>
      </c>
      <c r="D837" s="25"/>
      <c r="E837" s="25"/>
      <c r="F837" s="25"/>
      <c r="G837" s="25"/>
      <c r="H837" s="25"/>
      <c r="I837" s="25"/>
      <c r="J837" s="25"/>
      <c r="K837" s="25"/>
      <c r="L837" s="25"/>
      <c r="M837" s="42" t="s">
        <v>253</v>
      </c>
      <c r="N837" s="41">
        <v>45130</v>
      </c>
      <c r="O837" s="25">
        <v>200</v>
      </c>
      <c r="P837" s="25">
        <v>0</v>
      </c>
      <c r="Q837" s="25"/>
      <c r="R837" s="25"/>
      <c r="S837" s="25"/>
      <c r="T837" s="10"/>
    </row>
    <row r="838" s="35" customFormat="1" ht="18.5" customHeight="1" spans="1:20">
      <c r="A838" s="16" t="s">
        <v>251</v>
      </c>
      <c r="B838" s="41">
        <v>44492</v>
      </c>
      <c r="C838" s="25">
        <v>3</v>
      </c>
      <c r="D838" s="25"/>
      <c r="E838" s="25"/>
      <c r="F838" s="25"/>
      <c r="G838" s="25"/>
      <c r="H838" s="25"/>
      <c r="I838" s="25"/>
      <c r="J838" s="25"/>
      <c r="K838" s="25"/>
      <c r="L838" s="25"/>
      <c r="M838" s="42" t="s">
        <v>253</v>
      </c>
      <c r="N838" s="41">
        <v>45018</v>
      </c>
      <c r="O838" s="25">
        <v>200</v>
      </c>
      <c r="P838" s="25">
        <v>0</v>
      </c>
      <c r="Q838" s="25"/>
      <c r="R838" s="25"/>
      <c r="S838" s="25"/>
      <c r="T838" s="10"/>
    </row>
    <row r="839" s="35" customFormat="1" ht="18.5" customHeight="1" spans="1:20">
      <c r="A839" s="16" t="s">
        <v>251</v>
      </c>
      <c r="B839" s="41">
        <v>45294</v>
      </c>
      <c r="C839" s="25">
        <v>4</v>
      </c>
      <c r="D839" s="25"/>
      <c r="E839" s="25"/>
      <c r="F839" s="25"/>
      <c r="G839" s="25"/>
      <c r="H839" s="25"/>
      <c r="I839" s="25"/>
      <c r="J839" s="25"/>
      <c r="K839" s="25"/>
      <c r="L839" s="25"/>
      <c r="M839" s="42" t="s">
        <v>253</v>
      </c>
      <c r="N839" s="41">
        <v>45244</v>
      </c>
      <c r="O839" s="25">
        <v>199</v>
      </c>
      <c r="P839" s="25">
        <v>0</v>
      </c>
      <c r="Q839" s="25"/>
      <c r="R839" s="25"/>
      <c r="S839" s="25"/>
      <c r="T839" s="10"/>
    </row>
    <row r="840" s="35" customFormat="1" ht="18.5" customHeight="1" spans="1:20">
      <c r="A840" s="16" t="s">
        <v>251</v>
      </c>
      <c r="B840" s="41">
        <v>45277</v>
      </c>
      <c r="C840" s="25">
        <v>2</v>
      </c>
      <c r="D840" s="25"/>
      <c r="E840" s="25"/>
      <c r="F840" s="25"/>
      <c r="G840" s="25"/>
      <c r="H840" s="25"/>
      <c r="I840" s="25"/>
      <c r="J840" s="25"/>
      <c r="K840" s="25"/>
      <c r="L840" s="25"/>
      <c r="M840" s="42" t="s">
        <v>253</v>
      </c>
      <c r="N840" s="41">
        <v>45104</v>
      </c>
      <c r="O840" s="25">
        <v>199</v>
      </c>
      <c r="P840" s="25">
        <v>0</v>
      </c>
      <c r="Q840" s="25"/>
      <c r="R840" s="25"/>
      <c r="S840" s="25"/>
      <c r="T840" s="10"/>
    </row>
    <row r="841" s="35" customFormat="1" ht="18.5" customHeight="1" spans="1:20">
      <c r="A841" s="16" t="s">
        <v>251</v>
      </c>
      <c r="B841" s="41">
        <v>44343</v>
      </c>
      <c r="C841" s="25">
        <v>2</v>
      </c>
      <c r="D841" s="25"/>
      <c r="E841" s="25"/>
      <c r="F841" s="25"/>
      <c r="G841" s="25"/>
      <c r="H841" s="25"/>
      <c r="I841" s="25"/>
      <c r="J841" s="25"/>
      <c r="K841" s="25"/>
      <c r="L841" s="25"/>
      <c r="M841" s="42" t="s">
        <v>253</v>
      </c>
      <c r="N841" s="41">
        <v>45017</v>
      </c>
      <c r="O841" s="25">
        <v>199</v>
      </c>
      <c r="P841" s="25">
        <v>0</v>
      </c>
      <c r="Q841" s="25"/>
      <c r="R841" s="25"/>
      <c r="S841" s="25"/>
      <c r="T841" s="10"/>
    </row>
    <row r="842" s="35" customFormat="1" ht="18.5" customHeight="1" spans="1:20">
      <c r="A842" s="16" t="s">
        <v>251</v>
      </c>
      <c r="B842" s="41">
        <v>44350</v>
      </c>
      <c r="C842" s="25">
        <v>0</v>
      </c>
      <c r="D842" s="25"/>
      <c r="E842" s="25"/>
      <c r="F842" s="25"/>
      <c r="G842" s="25"/>
      <c r="H842" s="25"/>
      <c r="I842" s="25"/>
      <c r="J842" s="25"/>
      <c r="K842" s="25"/>
      <c r="L842" s="25"/>
      <c r="M842" s="42" t="s">
        <v>253</v>
      </c>
      <c r="N842" s="41">
        <v>45015</v>
      </c>
      <c r="O842" s="25">
        <v>199</v>
      </c>
      <c r="P842" s="25">
        <v>0</v>
      </c>
      <c r="Q842" s="25"/>
      <c r="R842" s="25"/>
      <c r="S842" s="25"/>
      <c r="T842" s="10"/>
    </row>
    <row r="843" s="35" customFormat="1" ht="18.5" customHeight="1" spans="1:20">
      <c r="A843" s="16" t="s">
        <v>251</v>
      </c>
      <c r="B843" s="41">
        <v>45277</v>
      </c>
      <c r="C843" s="25">
        <v>1</v>
      </c>
      <c r="D843" s="25"/>
      <c r="E843" s="25"/>
      <c r="F843" s="25"/>
      <c r="G843" s="25"/>
      <c r="H843" s="25"/>
      <c r="I843" s="25"/>
      <c r="J843" s="25"/>
      <c r="K843" s="25"/>
      <c r="L843" s="25"/>
      <c r="M843" s="42" t="s">
        <v>253</v>
      </c>
      <c r="N843" s="41">
        <v>45014</v>
      </c>
      <c r="O843" s="25">
        <v>200</v>
      </c>
      <c r="P843" s="25">
        <v>0</v>
      </c>
      <c r="Q843" s="25"/>
      <c r="R843" s="25"/>
      <c r="S843" s="25"/>
      <c r="T843" s="10"/>
    </row>
    <row r="844" s="35" customFormat="1" ht="18.5" customHeight="1" spans="1:20">
      <c r="A844" s="16" t="s">
        <v>251</v>
      </c>
      <c r="B844" s="41">
        <v>44533</v>
      </c>
      <c r="C844" s="25">
        <v>0</v>
      </c>
      <c r="D844" s="25"/>
      <c r="E844" s="25"/>
      <c r="F844" s="25"/>
      <c r="G844" s="25"/>
      <c r="H844" s="25"/>
      <c r="I844" s="25"/>
      <c r="J844" s="25"/>
      <c r="K844" s="25"/>
      <c r="L844" s="25"/>
      <c r="M844" s="42" t="s">
        <v>253</v>
      </c>
      <c r="N844" s="41">
        <v>45012</v>
      </c>
      <c r="O844" s="25">
        <v>199</v>
      </c>
      <c r="P844" s="25">
        <v>0</v>
      </c>
      <c r="Q844" s="25"/>
      <c r="R844" s="25"/>
      <c r="S844" s="25"/>
      <c r="T844" s="10"/>
    </row>
    <row r="845" s="35" customFormat="1" ht="18.5" customHeight="1" spans="1:20">
      <c r="A845" s="16" t="s">
        <v>251</v>
      </c>
      <c r="B845" s="41">
        <v>45281</v>
      </c>
      <c r="C845" s="25">
        <v>1</v>
      </c>
      <c r="D845" s="25"/>
      <c r="E845" s="25"/>
      <c r="F845" s="25"/>
      <c r="G845" s="25"/>
      <c r="H845" s="25"/>
      <c r="I845" s="25"/>
      <c r="J845" s="25"/>
      <c r="K845" s="25"/>
      <c r="L845" s="25"/>
      <c r="M845" s="42" t="s">
        <v>253</v>
      </c>
      <c r="N845" s="41">
        <v>45002</v>
      </c>
      <c r="O845" s="25">
        <v>199</v>
      </c>
      <c r="P845" s="25">
        <v>0</v>
      </c>
      <c r="Q845" s="25"/>
      <c r="R845" s="25"/>
      <c r="S845" s="25"/>
      <c r="T845" s="10"/>
    </row>
    <row r="846" s="35" customFormat="1" ht="18.5" customHeight="1" spans="1:20">
      <c r="A846" s="16" t="s">
        <v>251</v>
      </c>
      <c r="B846" s="41">
        <v>44936</v>
      </c>
      <c r="C846" s="25">
        <v>7</v>
      </c>
      <c r="D846" s="25"/>
      <c r="E846" s="25"/>
      <c r="F846" s="25"/>
      <c r="G846" s="25"/>
      <c r="H846" s="25"/>
      <c r="I846" s="25"/>
      <c r="J846" s="25"/>
      <c r="K846" s="25"/>
      <c r="L846" s="25"/>
      <c r="M846" s="42" t="s">
        <v>253</v>
      </c>
      <c r="N846" s="41">
        <v>44942</v>
      </c>
      <c r="O846" s="25">
        <v>199</v>
      </c>
      <c r="P846" s="25">
        <v>0</v>
      </c>
      <c r="Q846" s="25"/>
      <c r="R846" s="25"/>
      <c r="S846" s="25"/>
      <c r="T846" s="10"/>
    </row>
    <row r="847" s="35" customFormat="1" ht="18.5" customHeight="1" spans="1:20">
      <c r="A847" s="16" t="s">
        <v>251</v>
      </c>
      <c r="B847" s="41">
        <v>44531</v>
      </c>
      <c r="C847" s="25">
        <v>0</v>
      </c>
      <c r="D847" s="25"/>
      <c r="E847" s="25"/>
      <c r="F847" s="25"/>
      <c r="G847" s="25"/>
      <c r="H847" s="25"/>
      <c r="I847" s="25"/>
      <c r="J847" s="25"/>
      <c r="K847" s="25"/>
      <c r="L847" s="25"/>
      <c r="M847" s="42" t="s">
        <v>253</v>
      </c>
      <c r="N847" s="41">
        <v>45272</v>
      </c>
      <c r="O847" s="25">
        <v>198</v>
      </c>
      <c r="P847" s="25">
        <v>0</v>
      </c>
      <c r="Q847" s="25"/>
      <c r="R847" s="25"/>
      <c r="S847" s="25"/>
      <c r="T847" s="10"/>
    </row>
    <row r="848" s="35" customFormat="1" ht="18.5" customHeight="1" spans="1:20">
      <c r="A848" s="16" t="s">
        <v>251</v>
      </c>
      <c r="B848" s="41">
        <v>44370</v>
      </c>
      <c r="C848" s="25">
        <v>0</v>
      </c>
      <c r="D848" s="25"/>
      <c r="E848" s="25"/>
      <c r="F848" s="25"/>
      <c r="G848" s="25"/>
      <c r="H848" s="25"/>
      <c r="I848" s="25"/>
      <c r="J848" s="25"/>
      <c r="K848" s="25"/>
      <c r="L848" s="25"/>
      <c r="M848" s="42" t="s">
        <v>253</v>
      </c>
      <c r="N848" s="41">
        <v>45045</v>
      </c>
      <c r="O848" s="25">
        <v>198</v>
      </c>
      <c r="P848" s="25">
        <v>0</v>
      </c>
      <c r="Q848" s="25"/>
      <c r="R848" s="25"/>
      <c r="S848" s="25"/>
      <c r="T848" s="10"/>
    </row>
    <row r="849" s="35" customFormat="1" ht="18.5" customHeight="1" spans="1:20">
      <c r="A849" s="16" t="s">
        <v>251</v>
      </c>
      <c r="B849" s="41">
        <v>44504</v>
      </c>
      <c r="C849" s="25">
        <v>1</v>
      </c>
      <c r="D849" s="25"/>
      <c r="E849" s="25"/>
      <c r="F849" s="25"/>
      <c r="G849" s="25"/>
      <c r="H849" s="25"/>
      <c r="I849" s="25"/>
      <c r="J849" s="25"/>
      <c r="K849" s="25"/>
      <c r="L849" s="25"/>
      <c r="M849" s="42" t="s">
        <v>253</v>
      </c>
      <c r="N849" s="41">
        <v>45239</v>
      </c>
      <c r="O849" s="25">
        <v>197</v>
      </c>
      <c r="P849" s="25">
        <v>0</v>
      </c>
      <c r="Q849" s="25"/>
      <c r="R849" s="25"/>
      <c r="S849" s="25"/>
      <c r="T849" s="10"/>
    </row>
    <row r="850" s="35" customFormat="1" ht="18.5" customHeight="1" spans="1:20">
      <c r="A850" s="16" t="s">
        <v>251</v>
      </c>
      <c r="B850" s="41">
        <v>44343</v>
      </c>
      <c r="C850" s="25">
        <v>0</v>
      </c>
      <c r="D850" s="25"/>
      <c r="E850" s="25"/>
      <c r="F850" s="25"/>
      <c r="G850" s="25"/>
      <c r="H850" s="25"/>
      <c r="I850" s="25"/>
      <c r="J850" s="25"/>
      <c r="K850" s="25"/>
      <c r="L850" s="25"/>
      <c r="M850" s="42" t="s">
        <v>253</v>
      </c>
      <c r="N850" s="41">
        <v>45243</v>
      </c>
      <c r="O850" s="25">
        <v>196</v>
      </c>
      <c r="P850" s="25">
        <v>0</v>
      </c>
      <c r="Q850" s="25"/>
      <c r="R850" s="25"/>
      <c r="S850" s="25"/>
      <c r="T850" s="10"/>
    </row>
    <row r="851" s="35" customFormat="1" ht="18.5" customHeight="1" spans="1:20">
      <c r="A851" s="16" t="s">
        <v>251</v>
      </c>
      <c r="B851" s="41">
        <v>45294</v>
      </c>
      <c r="C851" s="25">
        <v>1</v>
      </c>
      <c r="D851" s="25"/>
      <c r="E851" s="25"/>
      <c r="F851" s="25"/>
      <c r="G851" s="25"/>
      <c r="H851" s="25"/>
      <c r="I851" s="25"/>
      <c r="J851" s="25"/>
      <c r="K851" s="25"/>
      <c r="L851" s="25"/>
      <c r="M851" s="42" t="s">
        <v>253</v>
      </c>
      <c r="N851" s="41">
        <v>45092</v>
      </c>
      <c r="O851" s="25">
        <v>196</v>
      </c>
      <c r="P851" s="25">
        <v>0</v>
      </c>
      <c r="Q851" s="25"/>
      <c r="R851" s="25"/>
      <c r="S851" s="25"/>
      <c r="T851" s="10"/>
    </row>
    <row r="852" s="35" customFormat="1" ht="18.5" customHeight="1" spans="1:20">
      <c r="A852" s="16" t="s">
        <v>251</v>
      </c>
      <c r="B852" s="41">
        <v>44492</v>
      </c>
      <c r="C852" s="25">
        <v>0</v>
      </c>
      <c r="D852" s="25"/>
      <c r="E852" s="25"/>
      <c r="F852" s="25"/>
      <c r="G852" s="25"/>
      <c r="H852" s="25"/>
      <c r="I852" s="25"/>
      <c r="J852" s="25"/>
      <c r="K852" s="25"/>
      <c r="L852" s="25"/>
      <c r="M852" s="42" t="s">
        <v>253</v>
      </c>
      <c r="N852" s="41">
        <v>45089</v>
      </c>
      <c r="O852" s="25">
        <v>196</v>
      </c>
      <c r="P852" s="25">
        <v>0</v>
      </c>
      <c r="Q852" s="25"/>
      <c r="R852" s="25"/>
      <c r="S852" s="25"/>
      <c r="T852" s="10"/>
    </row>
    <row r="853" s="35" customFormat="1" ht="18.5" customHeight="1" spans="1:20">
      <c r="A853" s="16" t="s">
        <v>251</v>
      </c>
      <c r="B853" s="41">
        <v>44379</v>
      </c>
      <c r="C853" s="25">
        <v>2</v>
      </c>
      <c r="D853" s="25"/>
      <c r="E853" s="25"/>
      <c r="F853" s="25"/>
      <c r="G853" s="25"/>
      <c r="H853" s="25"/>
      <c r="I853" s="25"/>
      <c r="J853" s="25"/>
      <c r="K853" s="25"/>
      <c r="L853" s="25"/>
      <c r="M853" s="42" t="s">
        <v>253</v>
      </c>
      <c r="N853" s="41">
        <v>44994</v>
      </c>
      <c r="O853" s="25">
        <v>196</v>
      </c>
      <c r="P853" s="25">
        <v>0</v>
      </c>
      <c r="Q853" s="25"/>
      <c r="R853" s="25"/>
      <c r="S853" s="25"/>
      <c r="T853" s="10"/>
    </row>
    <row r="854" s="35" customFormat="1" ht="18.5" customHeight="1" spans="1:20">
      <c r="A854" s="16" t="s">
        <v>251</v>
      </c>
      <c r="B854" s="41">
        <v>45279</v>
      </c>
      <c r="C854" s="25">
        <v>2</v>
      </c>
      <c r="D854" s="25"/>
      <c r="E854" s="25"/>
      <c r="F854" s="25"/>
      <c r="G854" s="25"/>
      <c r="H854" s="25"/>
      <c r="I854" s="25"/>
      <c r="J854" s="25"/>
      <c r="K854" s="25"/>
      <c r="L854" s="25"/>
      <c r="M854" s="42" t="s">
        <v>253</v>
      </c>
      <c r="N854" s="41">
        <v>45281</v>
      </c>
      <c r="O854" s="25">
        <v>195</v>
      </c>
      <c r="P854" s="25">
        <v>0</v>
      </c>
      <c r="Q854" s="25"/>
      <c r="R854" s="25"/>
      <c r="S854" s="25"/>
      <c r="T854" s="10"/>
    </row>
    <row r="855" s="35" customFormat="1" ht="18.5" customHeight="1" spans="1:20">
      <c r="A855" s="16" t="s">
        <v>251</v>
      </c>
      <c r="B855" s="41">
        <v>44560</v>
      </c>
      <c r="C855" s="25">
        <v>0</v>
      </c>
      <c r="D855" s="25"/>
      <c r="E855" s="25"/>
      <c r="F855" s="25"/>
      <c r="G855" s="25"/>
      <c r="H855" s="25"/>
      <c r="I855" s="25"/>
      <c r="J855" s="25"/>
      <c r="K855" s="25"/>
      <c r="L855" s="25"/>
      <c r="M855" s="42" t="s">
        <v>253</v>
      </c>
      <c r="N855" s="41">
        <v>45274</v>
      </c>
      <c r="O855" s="25">
        <v>195</v>
      </c>
      <c r="P855" s="25">
        <v>0</v>
      </c>
      <c r="Q855" s="25"/>
      <c r="R855" s="25"/>
      <c r="S855" s="25"/>
      <c r="T855" s="10"/>
    </row>
    <row r="856" s="35" customFormat="1" ht="18.5" customHeight="1" spans="1:20">
      <c r="A856" s="16" t="s">
        <v>251</v>
      </c>
      <c r="B856" s="41">
        <v>44473</v>
      </c>
      <c r="C856" s="25">
        <v>0</v>
      </c>
      <c r="D856" s="25"/>
      <c r="E856" s="25"/>
      <c r="F856" s="25"/>
      <c r="G856" s="25"/>
      <c r="H856" s="25"/>
      <c r="I856" s="25"/>
      <c r="J856" s="25"/>
      <c r="K856" s="25"/>
      <c r="L856" s="25"/>
      <c r="M856" s="42" t="s">
        <v>253</v>
      </c>
      <c r="N856" s="41">
        <v>45264</v>
      </c>
      <c r="O856" s="25">
        <v>195</v>
      </c>
      <c r="P856" s="25">
        <v>0</v>
      </c>
      <c r="Q856" s="25"/>
      <c r="R856" s="25"/>
      <c r="S856" s="25"/>
      <c r="T856" s="10"/>
    </row>
    <row r="857" s="35" customFormat="1" ht="18.5" customHeight="1" spans="1:20">
      <c r="A857" s="16" t="s">
        <v>251</v>
      </c>
      <c r="B857" s="41">
        <v>44393</v>
      </c>
      <c r="C857" s="25">
        <v>2</v>
      </c>
      <c r="D857" s="25"/>
      <c r="E857" s="25"/>
      <c r="F857" s="25"/>
      <c r="G857" s="25"/>
      <c r="H857" s="25"/>
      <c r="I857" s="25"/>
      <c r="J857" s="25"/>
      <c r="K857" s="25"/>
      <c r="L857" s="25"/>
      <c r="M857" s="42" t="s">
        <v>253</v>
      </c>
      <c r="N857" s="41">
        <v>45040</v>
      </c>
      <c r="O857" s="25">
        <v>195</v>
      </c>
      <c r="P857" s="25">
        <v>0</v>
      </c>
      <c r="Q857" s="25"/>
      <c r="R857" s="25"/>
      <c r="S857" s="25"/>
      <c r="T857" s="10"/>
    </row>
    <row r="858" s="35" customFormat="1" ht="18.5" customHeight="1" spans="1:20">
      <c r="A858" s="16" t="s">
        <v>251</v>
      </c>
      <c r="B858" s="41">
        <v>44409</v>
      </c>
      <c r="C858" s="25">
        <v>1</v>
      </c>
      <c r="D858" s="25"/>
      <c r="E858" s="25"/>
      <c r="F858" s="25"/>
      <c r="G858" s="25"/>
      <c r="H858" s="25"/>
      <c r="I858" s="25"/>
      <c r="J858" s="25"/>
      <c r="K858" s="25"/>
      <c r="L858" s="25"/>
      <c r="M858" s="42" t="s">
        <v>253</v>
      </c>
      <c r="N858" s="41">
        <v>44978</v>
      </c>
      <c r="O858" s="25">
        <v>195</v>
      </c>
      <c r="P858" s="25">
        <v>0</v>
      </c>
      <c r="Q858" s="25"/>
      <c r="R858" s="25"/>
      <c r="S858" s="25"/>
      <c r="T858" s="10"/>
    </row>
    <row r="859" s="35" customFormat="1" ht="18.5" customHeight="1" spans="1:20">
      <c r="A859" s="16" t="s">
        <v>251</v>
      </c>
      <c r="B859" s="41">
        <v>44341</v>
      </c>
      <c r="C859" s="25">
        <v>0</v>
      </c>
      <c r="D859" s="25"/>
      <c r="E859" s="25"/>
      <c r="F859" s="25"/>
      <c r="G859" s="25"/>
      <c r="H859" s="25"/>
      <c r="I859" s="25"/>
      <c r="J859" s="25"/>
      <c r="K859" s="25"/>
      <c r="L859" s="25"/>
      <c r="M859" s="42" t="s">
        <v>253</v>
      </c>
      <c r="N859" s="41">
        <v>44943</v>
      </c>
      <c r="O859" s="25">
        <v>195</v>
      </c>
      <c r="P859" s="25">
        <v>0</v>
      </c>
      <c r="Q859" s="25"/>
      <c r="R859" s="25"/>
      <c r="S859" s="25"/>
      <c r="T859" s="10"/>
    </row>
    <row r="860" s="35" customFormat="1" ht="18.5" customHeight="1" spans="1:20">
      <c r="A860" s="16" t="s">
        <v>251</v>
      </c>
      <c r="B860" s="41">
        <v>45295</v>
      </c>
      <c r="C860" s="25">
        <v>2</v>
      </c>
      <c r="D860" s="25"/>
      <c r="E860" s="25"/>
      <c r="F860" s="25"/>
      <c r="G860" s="25"/>
      <c r="H860" s="25"/>
      <c r="I860" s="25"/>
      <c r="J860" s="25"/>
      <c r="K860" s="25"/>
      <c r="L860" s="25"/>
      <c r="M860" s="42" t="s">
        <v>253</v>
      </c>
      <c r="N860" s="41">
        <v>45097</v>
      </c>
      <c r="O860" s="25">
        <v>194</v>
      </c>
      <c r="P860" s="25">
        <v>0</v>
      </c>
      <c r="Q860" s="25"/>
      <c r="R860" s="25"/>
      <c r="S860" s="25"/>
      <c r="T860" s="10"/>
    </row>
    <row r="861" s="35" customFormat="1" ht="18.5" customHeight="1" spans="1:20">
      <c r="A861" s="16" t="s">
        <v>251</v>
      </c>
      <c r="B861" s="41">
        <v>44521</v>
      </c>
      <c r="C861" s="25">
        <v>4</v>
      </c>
      <c r="D861" s="25"/>
      <c r="E861" s="25"/>
      <c r="F861" s="25"/>
      <c r="G861" s="25"/>
      <c r="H861" s="25"/>
      <c r="I861" s="25"/>
      <c r="J861" s="25"/>
      <c r="K861" s="25"/>
      <c r="L861" s="25"/>
      <c r="M861" s="42" t="s">
        <v>253</v>
      </c>
      <c r="N861" s="41">
        <v>45080</v>
      </c>
      <c r="O861" s="25">
        <v>194</v>
      </c>
      <c r="P861" s="25">
        <v>0</v>
      </c>
      <c r="Q861" s="25"/>
      <c r="R861" s="25"/>
      <c r="S861" s="25"/>
      <c r="T861" s="10"/>
    </row>
    <row r="862" s="35" customFormat="1" ht="18.5" customHeight="1" spans="1:20">
      <c r="A862" s="16" t="s">
        <v>251</v>
      </c>
      <c r="B862" s="41">
        <v>45295</v>
      </c>
      <c r="C862" s="25">
        <v>8</v>
      </c>
      <c r="D862" s="25"/>
      <c r="E862" s="25"/>
      <c r="F862" s="25"/>
      <c r="G862" s="25"/>
      <c r="H862" s="25"/>
      <c r="I862" s="25"/>
      <c r="J862" s="25"/>
      <c r="K862" s="25"/>
      <c r="L862" s="25"/>
      <c r="M862" s="42" t="s">
        <v>253</v>
      </c>
      <c r="N862" s="41">
        <v>45018</v>
      </c>
      <c r="O862" s="25">
        <v>194</v>
      </c>
      <c r="P862" s="25">
        <v>0</v>
      </c>
      <c r="Q862" s="25"/>
      <c r="R862" s="25"/>
      <c r="S862" s="25"/>
      <c r="T862" s="10"/>
    </row>
    <row r="863" s="35" customFormat="1" ht="18.5" customHeight="1" spans="1:20">
      <c r="A863" s="16" t="s">
        <v>251</v>
      </c>
      <c r="B863" s="41">
        <v>44440</v>
      </c>
      <c r="C863" s="25">
        <v>0</v>
      </c>
      <c r="D863" s="25"/>
      <c r="E863" s="25"/>
      <c r="F863" s="25"/>
      <c r="G863" s="25"/>
      <c r="H863" s="25"/>
      <c r="I863" s="25"/>
      <c r="J863" s="25"/>
      <c r="K863" s="25"/>
      <c r="L863" s="25"/>
      <c r="M863" s="42" t="s">
        <v>253</v>
      </c>
      <c r="N863" s="41">
        <v>44977</v>
      </c>
      <c r="O863" s="25">
        <v>194</v>
      </c>
      <c r="P863" s="25">
        <v>0</v>
      </c>
      <c r="Q863" s="25"/>
      <c r="R863" s="25"/>
      <c r="S863" s="25"/>
      <c r="T863" s="10"/>
    </row>
    <row r="864" s="35" customFormat="1" ht="18.5" customHeight="1" spans="1:20">
      <c r="A864" s="16" t="s">
        <v>251</v>
      </c>
      <c r="B864" s="41">
        <v>45294</v>
      </c>
      <c r="C864" s="25">
        <v>4</v>
      </c>
      <c r="D864" s="25"/>
      <c r="E864" s="25"/>
      <c r="F864" s="25"/>
      <c r="G864" s="25"/>
      <c r="H864" s="25"/>
      <c r="I864" s="25"/>
      <c r="J864" s="25"/>
      <c r="K864" s="25"/>
      <c r="L864" s="25"/>
      <c r="M864" s="42" t="s">
        <v>253</v>
      </c>
      <c r="N864" s="41">
        <v>45283</v>
      </c>
      <c r="O864" s="25">
        <v>193</v>
      </c>
      <c r="P864" s="25">
        <v>0</v>
      </c>
      <c r="Q864" s="25"/>
      <c r="R864" s="25"/>
      <c r="S864" s="25"/>
      <c r="T864" s="10"/>
    </row>
    <row r="865" s="35" customFormat="1" ht="18.5" customHeight="1" spans="1:20">
      <c r="A865" s="16" t="s">
        <v>251</v>
      </c>
      <c r="B865" s="41">
        <v>44419</v>
      </c>
      <c r="C865" s="25">
        <v>2</v>
      </c>
      <c r="D865" s="25"/>
      <c r="E865" s="25"/>
      <c r="F865" s="25"/>
      <c r="G865" s="25"/>
      <c r="H865" s="25"/>
      <c r="I865" s="25"/>
      <c r="J865" s="25"/>
      <c r="K865" s="25"/>
      <c r="L865" s="25"/>
      <c r="M865" s="42" t="s">
        <v>253</v>
      </c>
      <c r="N865" s="41">
        <v>45275</v>
      </c>
      <c r="O865" s="25">
        <v>193</v>
      </c>
      <c r="P865" s="25">
        <v>0</v>
      </c>
      <c r="Q865" s="25"/>
      <c r="R865" s="25"/>
      <c r="S865" s="25"/>
      <c r="T865" s="10"/>
    </row>
    <row r="866" s="35" customFormat="1" ht="18.5" customHeight="1" spans="1:20">
      <c r="A866" s="16" t="s">
        <v>251</v>
      </c>
      <c r="B866" s="41">
        <v>44540</v>
      </c>
      <c r="C866" s="25">
        <v>0</v>
      </c>
      <c r="D866" s="25"/>
      <c r="E866" s="25"/>
      <c r="F866" s="25"/>
      <c r="G866" s="25"/>
      <c r="H866" s="25"/>
      <c r="I866" s="25"/>
      <c r="J866" s="25"/>
      <c r="K866" s="25"/>
      <c r="L866" s="25"/>
      <c r="M866" s="42" t="s">
        <v>253</v>
      </c>
      <c r="N866" s="41">
        <v>45247</v>
      </c>
      <c r="O866" s="25">
        <v>193</v>
      </c>
      <c r="P866" s="25">
        <v>0</v>
      </c>
      <c r="Q866" s="25"/>
      <c r="R866" s="25"/>
      <c r="S866" s="25"/>
      <c r="T866" s="10"/>
    </row>
    <row r="867" s="35" customFormat="1" ht="18.5" customHeight="1" spans="1:20">
      <c r="A867" s="16" t="s">
        <v>251</v>
      </c>
      <c r="B867" s="41">
        <v>44472</v>
      </c>
      <c r="C867" s="25">
        <v>4</v>
      </c>
      <c r="D867" s="25"/>
      <c r="E867" s="25"/>
      <c r="F867" s="25"/>
      <c r="G867" s="25"/>
      <c r="H867" s="25"/>
      <c r="I867" s="25"/>
      <c r="J867" s="25"/>
      <c r="K867" s="25"/>
      <c r="L867" s="25"/>
      <c r="M867" s="42" t="s">
        <v>253</v>
      </c>
      <c r="N867" s="41">
        <v>45216</v>
      </c>
      <c r="O867" s="25">
        <v>193</v>
      </c>
      <c r="P867" s="25">
        <v>0</v>
      </c>
      <c r="Q867" s="25"/>
      <c r="R867" s="25"/>
      <c r="S867" s="25"/>
      <c r="T867" s="10"/>
    </row>
    <row r="868" s="35" customFormat="1" ht="18.5" customHeight="1" spans="1:20">
      <c r="A868" s="16" t="s">
        <v>251</v>
      </c>
      <c r="B868" s="41">
        <v>44427</v>
      </c>
      <c r="C868" s="25">
        <v>6</v>
      </c>
      <c r="D868" s="25"/>
      <c r="E868" s="25"/>
      <c r="F868" s="25"/>
      <c r="G868" s="25"/>
      <c r="H868" s="25"/>
      <c r="I868" s="25"/>
      <c r="J868" s="25"/>
      <c r="K868" s="25"/>
      <c r="L868" s="25"/>
      <c r="M868" s="42" t="s">
        <v>253</v>
      </c>
      <c r="N868" s="41">
        <v>45050</v>
      </c>
      <c r="O868" s="25">
        <v>193</v>
      </c>
      <c r="P868" s="25">
        <v>0</v>
      </c>
      <c r="Q868" s="25"/>
      <c r="R868" s="25"/>
      <c r="S868" s="25"/>
      <c r="T868" s="10"/>
    </row>
    <row r="869" s="35" customFormat="1" ht="18.5" customHeight="1" spans="1:20">
      <c r="A869" s="16" t="s">
        <v>251</v>
      </c>
      <c r="B869" s="41">
        <v>44523</v>
      </c>
      <c r="C869" s="25">
        <v>1</v>
      </c>
      <c r="D869" s="25"/>
      <c r="E869" s="25"/>
      <c r="F869" s="25"/>
      <c r="G869" s="25"/>
      <c r="H869" s="25"/>
      <c r="I869" s="25"/>
      <c r="J869" s="25"/>
      <c r="K869" s="25"/>
      <c r="L869" s="25"/>
      <c r="M869" s="42" t="s">
        <v>253</v>
      </c>
      <c r="N869" s="41">
        <v>45047</v>
      </c>
      <c r="O869" s="25">
        <v>193</v>
      </c>
      <c r="P869" s="25">
        <v>0</v>
      </c>
      <c r="Q869" s="25"/>
      <c r="R869" s="25"/>
      <c r="S869" s="25"/>
      <c r="T869" s="10"/>
    </row>
    <row r="870" s="35" customFormat="1" ht="18.5" customHeight="1" spans="1:20">
      <c r="A870" s="16" t="s">
        <v>251</v>
      </c>
      <c r="B870" s="41">
        <v>45294</v>
      </c>
      <c r="C870" s="25">
        <v>8</v>
      </c>
      <c r="D870" s="25"/>
      <c r="E870" s="25"/>
      <c r="F870" s="25"/>
      <c r="G870" s="25"/>
      <c r="H870" s="25"/>
      <c r="I870" s="25"/>
      <c r="J870" s="25"/>
      <c r="K870" s="25"/>
      <c r="L870" s="25"/>
      <c r="M870" s="42" t="s">
        <v>253</v>
      </c>
      <c r="N870" s="41">
        <v>45018</v>
      </c>
      <c r="O870" s="25">
        <v>193</v>
      </c>
      <c r="P870" s="25">
        <v>0</v>
      </c>
      <c r="Q870" s="25"/>
      <c r="R870" s="25"/>
      <c r="S870" s="25"/>
      <c r="T870" s="10"/>
    </row>
    <row r="871" s="35" customFormat="1" ht="18.5" customHeight="1" spans="1:20">
      <c r="A871" s="16" t="s">
        <v>251</v>
      </c>
      <c r="B871" s="41">
        <v>45118</v>
      </c>
      <c r="C871" s="25">
        <v>1</v>
      </c>
      <c r="D871" s="25"/>
      <c r="E871" s="25"/>
      <c r="F871" s="25"/>
      <c r="G871" s="25"/>
      <c r="H871" s="25"/>
      <c r="I871" s="25"/>
      <c r="J871" s="25"/>
      <c r="K871" s="25"/>
      <c r="L871" s="25"/>
      <c r="M871" s="42" t="s">
        <v>253</v>
      </c>
      <c r="N871" s="41">
        <v>45013</v>
      </c>
      <c r="O871" s="25">
        <v>193</v>
      </c>
      <c r="P871" s="25">
        <v>0</v>
      </c>
      <c r="Q871" s="25"/>
      <c r="R871" s="25"/>
      <c r="S871" s="25"/>
      <c r="T871" s="10"/>
    </row>
    <row r="872" s="35" customFormat="1" ht="18.5" customHeight="1" spans="1:20">
      <c r="A872" s="16" t="s">
        <v>251</v>
      </c>
      <c r="B872" s="41">
        <v>44420</v>
      </c>
      <c r="C872" s="25">
        <v>1</v>
      </c>
      <c r="D872" s="25"/>
      <c r="E872" s="25"/>
      <c r="F872" s="25"/>
      <c r="G872" s="25"/>
      <c r="H872" s="25"/>
      <c r="I872" s="25"/>
      <c r="J872" s="25"/>
      <c r="K872" s="25"/>
      <c r="L872" s="25"/>
      <c r="M872" s="42" t="s">
        <v>253</v>
      </c>
      <c r="N872" s="41">
        <v>45009</v>
      </c>
      <c r="O872" s="25">
        <v>193</v>
      </c>
      <c r="P872" s="25">
        <v>0</v>
      </c>
      <c r="Q872" s="25"/>
      <c r="R872" s="25"/>
      <c r="S872" s="25"/>
      <c r="T872" s="10"/>
    </row>
    <row r="873" s="35" customFormat="1" ht="18.5" customHeight="1" spans="1:20">
      <c r="A873" s="16" t="s">
        <v>251</v>
      </c>
      <c r="B873" s="41">
        <v>45277</v>
      </c>
      <c r="C873" s="25">
        <v>4</v>
      </c>
      <c r="D873" s="25"/>
      <c r="E873" s="25"/>
      <c r="F873" s="25"/>
      <c r="G873" s="25"/>
      <c r="H873" s="25"/>
      <c r="I873" s="25"/>
      <c r="J873" s="25"/>
      <c r="K873" s="25"/>
      <c r="L873" s="25"/>
      <c r="M873" s="42" t="s">
        <v>253</v>
      </c>
      <c r="N873" s="41">
        <v>44935</v>
      </c>
      <c r="O873" s="25">
        <v>193</v>
      </c>
      <c r="P873" s="25">
        <v>0</v>
      </c>
      <c r="Q873" s="25"/>
      <c r="R873" s="25"/>
      <c r="S873" s="25"/>
      <c r="T873" s="10"/>
    </row>
    <row r="874" s="35" customFormat="1" ht="18.5" customHeight="1" spans="1:20">
      <c r="A874" s="16" t="s">
        <v>251</v>
      </c>
      <c r="B874" s="41">
        <v>44410</v>
      </c>
      <c r="C874" s="25">
        <v>2</v>
      </c>
      <c r="D874" s="25"/>
      <c r="E874" s="25"/>
      <c r="F874" s="25"/>
      <c r="G874" s="25"/>
      <c r="H874" s="25"/>
      <c r="I874" s="25"/>
      <c r="J874" s="25"/>
      <c r="K874" s="25"/>
      <c r="L874" s="25"/>
      <c r="M874" s="42" t="s">
        <v>253</v>
      </c>
      <c r="N874" s="41">
        <v>45045</v>
      </c>
      <c r="O874" s="25">
        <v>192</v>
      </c>
      <c r="P874" s="25">
        <v>0</v>
      </c>
      <c r="Q874" s="25"/>
      <c r="R874" s="25"/>
      <c r="S874" s="25"/>
      <c r="T874" s="10"/>
    </row>
    <row r="875" s="35" customFormat="1" ht="18.5" customHeight="1" spans="1:20">
      <c r="A875" s="16" t="s">
        <v>251</v>
      </c>
      <c r="B875" s="41">
        <v>44337</v>
      </c>
      <c r="C875" s="25">
        <v>6</v>
      </c>
      <c r="D875" s="25"/>
      <c r="E875" s="25"/>
      <c r="F875" s="25"/>
      <c r="G875" s="25"/>
      <c r="H875" s="25"/>
      <c r="I875" s="25"/>
      <c r="J875" s="25"/>
      <c r="K875" s="25"/>
      <c r="L875" s="25"/>
      <c r="M875" s="42" t="s">
        <v>253</v>
      </c>
      <c r="N875" s="41">
        <v>45268</v>
      </c>
      <c r="O875" s="25">
        <v>192</v>
      </c>
      <c r="P875" s="25">
        <v>0</v>
      </c>
      <c r="Q875" s="25"/>
      <c r="R875" s="25"/>
      <c r="S875" s="25"/>
      <c r="T875" s="10"/>
    </row>
    <row r="876" s="35" customFormat="1" ht="18.5" customHeight="1" spans="1:20">
      <c r="A876" s="16" t="s">
        <v>251</v>
      </c>
      <c r="B876" s="41">
        <v>45294</v>
      </c>
      <c r="C876" s="25">
        <v>4</v>
      </c>
      <c r="D876" s="25"/>
      <c r="E876" s="25"/>
      <c r="F876" s="25"/>
      <c r="G876" s="25"/>
      <c r="H876" s="25"/>
      <c r="I876" s="25"/>
      <c r="J876" s="25"/>
      <c r="K876" s="25"/>
      <c r="L876" s="25"/>
      <c r="M876" s="42" t="s">
        <v>253</v>
      </c>
      <c r="N876" s="41">
        <v>45253</v>
      </c>
      <c r="O876" s="25">
        <v>190</v>
      </c>
      <c r="P876" s="25">
        <v>0</v>
      </c>
      <c r="Q876" s="25"/>
      <c r="R876" s="25"/>
      <c r="S876" s="25"/>
      <c r="T876" s="10"/>
    </row>
    <row r="877" s="35" customFormat="1" ht="18.5" customHeight="1" spans="1:20">
      <c r="A877" s="16" t="s">
        <v>251</v>
      </c>
      <c r="B877" s="41">
        <v>44500</v>
      </c>
      <c r="C877" s="25">
        <v>0</v>
      </c>
      <c r="D877" s="25"/>
      <c r="E877" s="25"/>
      <c r="F877" s="25"/>
      <c r="G877" s="25"/>
      <c r="H877" s="25"/>
      <c r="I877" s="25"/>
      <c r="J877" s="25"/>
      <c r="K877" s="25"/>
      <c r="L877" s="25"/>
      <c r="M877" s="42" t="s">
        <v>253</v>
      </c>
      <c r="N877" s="41">
        <v>45245</v>
      </c>
      <c r="O877" s="25">
        <v>190</v>
      </c>
      <c r="P877" s="25">
        <v>0</v>
      </c>
      <c r="Q877" s="25"/>
      <c r="R877" s="25"/>
      <c r="S877" s="25"/>
      <c r="T877" s="10"/>
    </row>
    <row r="878" s="35" customFormat="1" ht="18.5" customHeight="1" spans="1:20">
      <c r="A878" s="16" t="s">
        <v>251</v>
      </c>
      <c r="B878" s="41">
        <v>44367</v>
      </c>
      <c r="C878" s="25">
        <v>1</v>
      </c>
      <c r="D878" s="25"/>
      <c r="E878" s="25"/>
      <c r="F878" s="25"/>
      <c r="G878" s="25"/>
      <c r="H878" s="25"/>
      <c r="I878" s="25"/>
      <c r="J878" s="25"/>
      <c r="K878" s="25"/>
      <c r="L878" s="25"/>
      <c r="M878" s="42" t="s">
        <v>253</v>
      </c>
      <c r="N878" s="41">
        <v>45235</v>
      </c>
      <c r="O878" s="25">
        <v>191</v>
      </c>
      <c r="P878" s="25">
        <v>0</v>
      </c>
      <c r="Q878" s="25"/>
      <c r="R878" s="25"/>
      <c r="S878" s="25"/>
      <c r="T878" s="10"/>
    </row>
    <row r="879" s="35" customFormat="1" ht="18.5" customHeight="1" spans="1:20">
      <c r="A879" s="16" t="s">
        <v>251</v>
      </c>
      <c r="B879" s="41">
        <v>45287</v>
      </c>
      <c r="C879" s="25">
        <v>1</v>
      </c>
      <c r="D879" s="25"/>
      <c r="E879" s="25"/>
      <c r="F879" s="25"/>
      <c r="G879" s="25"/>
      <c r="H879" s="25"/>
      <c r="I879" s="25"/>
      <c r="J879" s="25"/>
      <c r="K879" s="25"/>
      <c r="L879" s="25"/>
      <c r="M879" s="42" t="s">
        <v>253</v>
      </c>
      <c r="N879" s="41">
        <v>45210</v>
      </c>
      <c r="O879" s="25">
        <v>190</v>
      </c>
      <c r="P879" s="25">
        <v>0</v>
      </c>
      <c r="Q879" s="25"/>
      <c r="R879" s="25"/>
      <c r="S879" s="25"/>
      <c r="T879" s="10"/>
    </row>
    <row r="880" s="35" customFormat="1" ht="18.5" customHeight="1" spans="1:20">
      <c r="A880" s="16" t="s">
        <v>251</v>
      </c>
      <c r="B880" s="41">
        <v>44378</v>
      </c>
      <c r="C880" s="25">
        <v>5</v>
      </c>
      <c r="D880" s="25"/>
      <c r="E880" s="25"/>
      <c r="F880" s="25"/>
      <c r="G880" s="25"/>
      <c r="H880" s="25"/>
      <c r="I880" s="25"/>
      <c r="J880" s="25"/>
      <c r="K880" s="25"/>
      <c r="L880" s="25"/>
      <c r="M880" s="42" t="s">
        <v>253</v>
      </c>
      <c r="N880" s="41">
        <v>45118</v>
      </c>
      <c r="O880" s="25">
        <v>190</v>
      </c>
      <c r="P880" s="25">
        <v>0</v>
      </c>
      <c r="Q880" s="25"/>
      <c r="R880" s="25"/>
      <c r="S880" s="25"/>
      <c r="T880" s="10"/>
    </row>
    <row r="881" s="35" customFormat="1" ht="18.5" customHeight="1" spans="1:20">
      <c r="A881" s="16" t="s">
        <v>251</v>
      </c>
      <c r="B881" s="41">
        <v>45295</v>
      </c>
      <c r="C881" s="25">
        <v>4</v>
      </c>
      <c r="D881" s="25"/>
      <c r="E881" s="25"/>
      <c r="F881" s="25"/>
      <c r="G881" s="25"/>
      <c r="H881" s="25"/>
      <c r="I881" s="25"/>
      <c r="J881" s="25"/>
      <c r="K881" s="25"/>
      <c r="L881" s="25"/>
      <c r="M881" s="42" t="s">
        <v>253</v>
      </c>
      <c r="N881" s="41">
        <v>45134</v>
      </c>
      <c r="O881" s="25">
        <v>189</v>
      </c>
      <c r="P881" s="25">
        <v>0</v>
      </c>
      <c r="Q881" s="25"/>
      <c r="R881" s="25"/>
      <c r="S881" s="25"/>
      <c r="T881" s="10"/>
    </row>
    <row r="882" s="35" customFormat="1" ht="18.5" customHeight="1" spans="1:20">
      <c r="A882" s="16" t="s">
        <v>251</v>
      </c>
      <c r="B882" s="41">
        <v>44390</v>
      </c>
      <c r="C882" s="25">
        <v>4</v>
      </c>
      <c r="D882" s="25"/>
      <c r="E882" s="25"/>
      <c r="F882" s="25"/>
      <c r="G882" s="25"/>
      <c r="H882" s="25"/>
      <c r="I882" s="25"/>
      <c r="J882" s="25"/>
      <c r="K882" s="25"/>
      <c r="L882" s="25"/>
      <c r="M882" s="42" t="s">
        <v>253</v>
      </c>
      <c r="N882" s="41">
        <v>45056</v>
      </c>
      <c r="O882" s="25">
        <v>189</v>
      </c>
      <c r="P882" s="25">
        <v>0</v>
      </c>
      <c r="Q882" s="25"/>
      <c r="R882" s="25"/>
      <c r="S882" s="25"/>
      <c r="T882" s="10"/>
    </row>
    <row r="883" s="35" customFormat="1" ht="18.5" customHeight="1" spans="1:20">
      <c r="A883" s="16" t="s">
        <v>251</v>
      </c>
      <c r="B883" s="41">
        <v>44512</v>
      </c>
      <c r="C883" s="25">
        <v>5</v>
      </c>
      <c r="D883" s="25"/>
      <c r="E883" s="25"/>
      <c r="F883" s="25"/>
      <c r="G883" s="25"/>
      <c r="H883" s="25"/>
      <c r="I883" s="25"/>
      <c r="J883" s="25"/>
      <c r="K883" s="25"/>
      <c r="L883" s="25"/>
      <c r="M883" s="42" t="s">
        <v>253</v>
      </c>
      <c r="N883" s="41">
        <v>45056</v>
      </c>
      <c r="O883" s="25">
        <v>189</v>
      </c>
      <c r="P883" s="25">
        <v>0</v>
      </c>
      <c r="Q883" s="25"/>
      <c r="R883" s="25"/>
      <c r="S883" s="25"/>
      <c r="T883" s="10"/>
    </row>
    <row r="884" s="35" customFormat="1" ht="18.5" customHeight="1" spans="1:20">
      <c r="A884" s="16" t="s">
        <v>251</v>
      </c>
      <c r="B884" s="41">
        <v>44338</v>
      </c>
      <c r="C884" s="25">
        <v>1</v>
      </c>
      <c r="D884" s="25"/>
      <c r="E884" s="25"/>
      <c r="F884" s="25"/>
      <c r="G884" s="25"/>
      <c r="H884" s="25"/>
      <c r="I884" s="25"/>
      <c r="J884" s="25"/>
      <c r="K884" s="25"/>
      <c r="L884" s="25"/>
      <c r="M884" s="42" t="s">
        <v>253</v>
      </c>
      <c r="N884" s="41">
        <v>45002</v>
      </c>
      <c r="O884" s="25">
        <v>189</v>
      </c>
      <c r="P884" s="25">
        <v>0</v>
      </c>
      <c r="Q884" s="25"/>
      <c r="R884" s="25"/>
      <c r="S884" s="25"/>
      <c r="T884" s="10"/>
    </row>
    <row r="885" s="35" customFormat="1" ht="18.5" customHeight="1" spans="1:20">
      <c r="A885" s="16" t="s">
        <v>251</v>
      </c>
      <c r="B885" s="41">
        <v>44351</v>
      </c>
      <c r="C885" s="25">
        <v>4</v>
      </c>
      <c r="D885" s="25"/>
      <c r="E885" s="25"/>
      <c r="F885" s="25"/>
      <c r="G885" s="25"/>
      <c r="H885" s="25"/>
      <c r="I885" s="25"/>
      <c r="J885" s="25"/>
      <c r="K885" s="25"/>
      <c r="L885" s="25"/>
      <c r="M885" s="42" t="s">
        <v>253</v>
      </c>
      <c r="N885" s="41">
        <v>45279</v>
      </c>
      <c r="O885" s="25">
        <v>189</v>
      </c>
      <c r="P885" s="25">
        <v>0</v>
      </c>
      <c r="Q885" s="25"/>
      <c r="R885" s="25"/>
      <c r="S885" s="25"/>
      <c r="T885" s="10"/>
    </row>
    <row r="886" s="35" customFormat="1" ht="18.5" customHeight="1" spans="1:20">
      <c r="A886" s="16" t="s">
        <v>251</v>
      </c>
      <c r="B886" s="41">
        <v>44338</v>
      </c>
      <c r="C886" s="25">
        <v>1</v>
      </c>
      <c r="D886" s="25"/>
      <c r="E886" s="25"/>
      <c r="F886" s="25"/>
      <c r="G886" s="25"/>
      <c r="H886" s="25"/>
      <c r="I886" s="25"/>
      <c r="J886" s="25"/>
      <c r="K886" s="25"/>
      <c r="L886" s="25"/>
      <c r="M886" s="42" t="s">
        <v>253</v>
      </c>
      <c r="N886" s="41">
        <v>45093</v>
      </c>
      <c r="O886" s="25">
        <v>188</v>
      </c>
      <c r="P886" s="25">
        <v>0</v>
      </c>
      <c r="Q886" s="25"/>
      <c r="R886" s="25"/>
      <c r="S886" s="25"/>
      <c r="T886" s="10"/>
    </row>
    <row r="887" s="35" customFormat="1" ht="18.5" customHeight="1" spans="1:20">
      <c r="A887" s="16" t="s">
        <v>251</v>
      </c>
      <c r="B887" s="41">
        <v>45279</v>
      </c>
      <c r="C887" s="25">
        <v>1</v>
      </c>
      <c r="D887" s="25"/>
      <c r="E887" s="25"/>
      <c r="F887" s="25"/>
      <c r="G887" s="25"/>
      <c r="H887" s="25"/>
      <c r="I887" s="25"/>
      <c r="J887" s="25"/>
      <c r="K887" s="25"/>
      <c r="L887" s="25"/>
      <c r="M887" s="42" t="s">
        <v>253</v>
      </c>
      <c r="N887" s="41">
        <v>45287</v>
      </c>
      <c r="O887" s="25">
        <v>187</v>
      </c>
      <c r="P887" s="25">
        <v>0</v>
      </c>
      <c r="Q887" s="25"/>
      <c r="R887" s="25"/>
      <c r="S887" s="25"/>
      <c r="T887" s="10"/>
    </row>
    <row r="888" s="35" customFormat="1" ht="18.5" customHeight="1" spans="1:20">
      <c r="A888" s="16" t="s">
        <v>251</v>
      </c>
      <c r="B888" s="41">
        <v>44421</v>
      </c>
      <c r="C888" s="25">
        <v>2</v>
      </c>
      <c r="D888" s="25"/>
      <c r="E888" s="25"/>
      <c r="F888" s="25"/>
      <c r="G888" s="25"/>
      <c r="H888" s="25"/>
      <c r="I888" s="25"/>
      <c r="J888" s="25"/>
      <c r="K888" s="25"/>
      <c r="L888" s="25"/>
      <c r="M888" s="42" t="s">
        <v>253</v>
      </c>
      <c r="N888" s="41">
        <v>45098</v>
      </c>
      <c r="O888" s="25">
        <v>186</v>
      </c>
      <c r="P888" s="25">
        <v>0</v>
      </c>
      <c r="Q888" s="25"/>
      <c r="R888" s="25"/>
      <c r="S888" s="25"/>
      <c r="T888" s="10"/>
    </row>
    <row r="889" s="35" customFormat="1" ht="18.5" customHeight="1" spans="1:20">
      <c r="A889" s="16" t="s">
        <v>251</v>
      </c>
      <c r="B889" s="41">
        <v>44422</v>
      </c>
      <c r="C889" s="25">
        <v>1</v>
      </c>
      <c r="D889" s="25"/>
      <c r="E889" s="25"/>
      <c r="F889" s="25"/>
      <c r="G889" s="25"/>
      <c r="H889" s="25"/>
      <c r="I889" s="25"/>
      <c r="J889" s="25"/>
      <c r="K889" s="25"/>
      <c r="L889" s="25"/>
      <c r="M889" s="42" t="s">
        <v>253</v>
      </c>
      <c r="N889" s="41">
        <v>44997</v>
      </c>
      <c r="O889" s="25">
        <v>186</v>
      </c>
      <c r="P889" s="25">
        <v>0</v>
      </c>
      <c r="Q889" s="25"/>
      <c r="R889" s="25"/>
      <c r="S889" s="25"/>
      <c r="T889" s="10"/>
    </row>
    <row r="890" s="35" customFormat="1" ht="18.5" customHeight="1" spans="1:20">
      <c r="A890" s="16" t="s">
        <v>251</v>
      </c>
      <c r="B890" s="41">
        <v>44455</v>
      </c>
      <c r="C890" s="25">
        <v>4</v>
      </c>
      <c r="D890" s="25"/>
      <c r="E890" s="25"/>
      <c r="F890" s="25"/>
      <c r="G890" s="25"/>
      <c r="H890" s="25"/>
      <c r="I890" s="25"/>
      <c r="J890" s="25"/>
      <c r="K890" s="25"/>
      <c r="L890" s="25"/>
      <c r="M890" s="42" t="s">
        <v>253</v>
      </c>
      <c r="N890" s="41">
        <v>44986</v>
      </c>
      <c r="O890" s="25">
        <v>186</v>
      </c>
      <c r="P890" s="25">
        <v>0</v>
      </c>
      <c r="Q890" s="25"/>
      <c r="R890" s="25"/>
      <c r="S890" s="25"/>
      <c r="T890" s="10"/>
    </row>
    <row r="891" s="35" customFormat="1" ht="18.5" customHeight="1" spans="1:20">
      <c r="A891" s="16" t="s">
        <v>251</v>
      </c>
      <c r="B891" s="41">
        <v>44566</v>
      </c>
      <c r="C891" s="25">
        <v>8</v>
      </c>
      <c r="D891" s="25"/>
      <c r="E891" s="25"/>
      <c r="F891" s="25"/>
      <c r="G891" s="25"/>
      <c r="H891" s="25"/>
      <c r="I891" s="25"/>
      <c r="J891" s="25"/>
      <c r="K891" s="25"/>
      <c r="L891" s="25"/>
      <c r="M891" s="42" t="s">
        <v>253</v>
      </c>
      <c r="N891" s="41">
        <v>44968</v>
      </c>
      <c r="O891" s="25">
        <v>186</v>
      </c>
      <c r="P891" s="25">
        <v>0</v>
      </c>
      <c r="Q891" s="25"/>
      <c r="R891" s="25"/>
      <c r="S891" s="25"/>
      <c r="T891" s="10"/>
    </row>
    <row r="892" s="35" customFormat="1" ht="18.5" customHeight="1" spans="1:20">
      <c r="A892" s="16" t="s">
        <v>251</v>
      </c>
      <c r="B892" s="41">
        <v>44356</v>
      </c>
      <c r="C892" s="25">
        <v>3</v>
      </c>
      <c r="D892" s="25"/>
      <c r="E892" s="25"/>
      <c r="F892" s="25"/>
      <c r="G892" s="25"/>
      <c r="H892" s="25"/>
      <c r="I892" s="25"/>
      <c r="J892" s="25"/>
      <c r="K892" s="25"/>
      <c r="L892" s="25"/>
      <c r="M892" s="42" t="s">
        <v>253</v>
      </c>
      <c r="N892" s="41">
        <v>45267</v>
      </c>
      <c r="O892" s="25">
        <v>185</v>
      </c>
      <c r="P892" s="25">
        <v>0</v>
      </c>
      <c r="Q892" s="25"/>
      <c r="R892" s="25"/>
      <c r="S892" s="25"/>
      <c r="T892" s="10"/>
    </row>
    <row r="893" s="35" customFormat="1" ht="18.5" customHeight="1" spans="1:20">
      <c r="A893" s="16" t="s">
        <v>251</v>
      </c>
      <c r="B893" s="41">
        <v>44371</v>
      </c>
      <c r="C893" s="25">
        <v>1</v>
      </c>
      <c r="D893" s="25"/>
      <c r="E893" s="25"/>
      <c r="F893" s="25"/>
      <c r="G893" s="25"/>
      <c r="H893" s="25"/>
      <c r="I893" s="25"/>
      <c r="J893" s="25"/>
      <c r="K893" s="25"/>
      <c r="L893" s="25"/>
      <c r="M893" s="42" t="s">
        <v>253</v>
      </c>
      <c r="N893" s="41">
        <v>45247</v>
      </c>
      <c r="O893" s="25">
        <v>185</v>
      </c>
      <c r="P893" s="25">
        <v>0</v>
      </c>
      <c r="Q893" s="25"/>
      <c r="R893" s="25"/>
      <c r="S893" s="25"/>
      <c r="T893" s="10"/>
    </row>
    <row r="894" s="35" customFormat="1" ht="18.5" customHeight="1" spans="1:20">
      <c r="A894" s="16" t="s">
        <v>251</v>
      </c>
      <c r="B894" s="41">
        <v>44469</v>
      </c>
      <c r="C894" s="25">
        <v>0</v>
      </c>
      <c r="D894" s="25"/>
      <c r="E894" s="25"/>
      <c r="F894" s="25"/>
      <c r="G894" s="25"/>
      <c r="H894" s="25"/>
      <c r="I894" s="25"/>
      <c r="J894" s="25"/>
      <c r="K894" s="25"/>
      <c r="L894" s="25"/>
      <c r="M894" s="42" t="s">
        <v>253</v>
      </c>
      <c r="N894" s="41">
        <v>45205</v>
      </c>
      <c r="O894" s="25">
        <v>185</v>
      </c>
      <c r="P894" s="25">
        <v>0</v>
      </c>
      <c r="Q894" s="25"/>
      <c r="R894" s="25"/>
      <c r="S894" s="25"/>
      <c r="T894" s="10"/>
    </row>
    <row r="895" s="35" customFormat="1" ht="18.5" customHeight="1" spans="1:20">
      <c r="A895" s="16" t="s">
        <v>251</v>
      </c>
      <c r="B895" s="41">
        <v>45285</v>
      </c>
      <c r="C895" s="25">
        <v>1</v>
      </c>
      <c r="D895" s="25"/>
      <c r="E895" s="25"/>
      <c r="F895" s="25"/>
      <c r="G895" s="25"/>
      <c r="H895" s="25"/>
      <c r="I895" s="25"/>
      <c r="J895" s="25"/>
      <c r="K895" s="25"/>
      <c r="L895" s="25"/>
      <c r="M895" s="42" t="s">
        <v>253</v>
      </c>
      <c r="N895" s="41">
        <v>45032</v>
      </c>
      <c r="O895" s="25">
        <v>185</v>
      </c>
      <c r="P895" s="25">
        <v>0</v>
      </c>
      <c r="Q895" s="25"/>
      <c r="R895" s="25"/>
      <c r="S895" s="25"/>
      <c r="T895" s="10"/>
    </row>
    <row r="896" s="35" customFormat="1" ht="18.5" customHeight="1" spans="1:20">
      <c r="A896" s="16" t="s">
        <v>251</v>
      </c>
      <c r="B896" s="41">
        <v>45275</v>
      </c>
      <c r="C896" s="25">
        <v>4</v>
      </c>
      <c r="D896" s="25"/>
      <c r="E896" s="25"/>
      <c r="F896" s="25"/>
      <c r="G896" s="25"/>
      <c r="H896" s="25"/>
      <c r="I896" s="25"/>
      <c r="J896" s="25"/>
      <c r="K896" s="25"/>
      <c r="L896" s="25"/>
      <c r="M896" s="42" t="s">
        <v>253</v>
      </c>
      <c r="N896" s="41">
        <v>44972</v>
      </c>
      <c r="O896" s="25">
        <v>185</v>
      </c>
      <c r="P896" s="25">
        <v>0</v>
      </c>
      <c r="Q896" s="25"/>
      <c r="R896" s="25"/>
      <c r="S896" s="25"/>
      <c r="T896" s="10"/>
    </row>
    <row r="897" s="35" customFormat="1" ht="18.5" customHeight="1" spans="1:20">
      <c r="A897" s="16" t="s">
        <v>251</v>
      </c>
      <c r="B897" s="41">
        <v>45260</v>
      </c>
      <c r="C897" s="25">
        <v>1</v>
      </c>
      <c r="D897" s="25"/>
      <c r="E897" s="25"/>
      <c r="F897" s="25"/>
      <c r="G897" s="25"/>
      <c r="H897" s="25"/>
      <c r="I897" s="25"/>
      <c r="J897" s="25"/>
      <c r="K897" s="25"/>
      <c r="L897" s="25"/>
      <c r="M897" s="42" t="s">
        <v>253</v>
      </c>
      <c r="N897" s="41">
        <v>45234</v>
      </c>
      <c r="O897" s="25">
        <v>184</v>
      </c>
      <c r="P897" s="25">
        <v>0</v>
      </c>
      <c r="Q897" s="25"/>
      <c r="R897" s="25"/>
      <c r="S897" s="25"/>
      <c r="T897" s="10"/>
    </row>
    <row r="898" s="35" customFormat="1" ht="18.5" customHeight="1" spans="1:20">
      <c r="A898" s="16" t="s">
        <v>251</v>
      </c>
      <c r="B898" s="41">
        <v>45281</v>
      </c>
      <c r="C898" s="25">
        <v>1</v>
      </c>
      <c r="D898" s="25"/>
      <c r="E898" s="25"/>
      <c r="F898" s="25"/>
      <c r="G898" s="25"/>
      <c r="H898" s="25"/>
      <c r="I898" s="25"/>
      <c r="J898" s="25"/>
      <c r="K898" s="25"/>
      <c r="L898" s="25"/>
      <c r="M898" s="42" t="s">
        <v>253</v>
      </c>
      <c r="N898" s="41">
        <v>45110</v>
      </c>
      <c r="O898" s="25">
        <v>184</v>
      </c>
      <c r="P898" s="25">
        <v>0</v>
      </c>
      <c r="Q898" s="25"/>
      <c r="R898" s="25"/>
      <c r="S898" s="25"/>
      <c r="T898" s="10"/>
    </row>
    <row r="899" s="35" customFormat="1" ht="18.5" customHeight="1" spans="1:20">
      <c r="A899" s="16" t="s">
        <v>251</v>
      </c>
      <c r="B899" s="41">
        <v>45285</v>
      </c>
      <c r="C899" s="25">
        <v>3</v>
      </c>
      <c r="D899" s="25"/>
      <c r="E899" s="25"/>
      <c r="F899" s="25"/>
      <c r="G899" s="25"/>
      <c r="H899" s="25"/>
      <c r="I899" s="25"/>
      <c r="J899" s="25"/>
      <c r="K899" s="25"/>
      <c r="L899" s="25"/>
      <c r="M899" s="42" t="s">
        <v>253</v>
      </c>
      <c r="N899" s="41">
        <v>45080</v>
      </c>
      <c r="O899" s="25">
        <v>184</v>
      </c>
      <c r="P899" s="25">
        <v>0</v>
      </c>
      <c r="Q899" s="25"/>
      <c r="R899" s="25"/>
      <c r="S899" s="25"/>
      <c r="T899" s="10"/>
    </row>
    <row r="900" s="35" customFormat="1" ht="18.5" customHeight="1" spans="1:20">
      <c r="A900" s="16" t="s">
        <v>251</v>
      </c>
      <c r="B900" s="41">
        <v>44473</v>
      </c>
      <c r="C900" s="25">
        <v>0</v>
      </c>
      <c r="D900" s="25"/>
      <c r="E900" s="25"/>
      <c r="F900" s="25"/>
      <c r="G900" s="25"/>
      <c r="H900" s="25"/>
      <c r="I900" s="25"/>
      <c r="J900" s="25"/>
      <c r="K900" s="25"/>
      <c r="L900" s="25"/>
      <c r="M900" s="42" t="s">
        <v>253</v>
      </c>
      <c r="N900" s="41">
        <v>45052</v>
      </c>
      <c r="O900" s="25">
        <v>184</v>
      </c>
      <c r="P900" s="25">
        <v>0</v>
      </c>
      <c r="Q900" s="25"/>
      <c r="R900" s="25"/>
      <c r="S900" s="25"/>
      <c r="T900" s="10"/>
    </row>
    <row r="901" s="35" customFormat="1" ht="18.5" customHeight="1" spans="1:20">
      <c r="A901" s="16" t="s">
        <v>251</v>
      </c>
      <c r="B901" s="41">
        <v>44396</v>
      </c>
      <c r="C901" s="25">
        <v>4</v>
      </c>
      <c r="D901" s="25"/>
      <c r="E901" s="25"/>
      <c r="F901" s="25"/>
      <c r="G901" s="25"/>
      <c r="H901" s="25"/>
      <c r="I901" s="25"/>
      <c r="J901" s="25"/>
      <c r="K901" s="25"/>
      <c r="L901" s="25"/>
      <c r="M901" s="42" t="s">
        <v>253</v>
      </c>
      <c r="N901" s="41">
        <v>44963</v>
      </c>
      <c r="O901" s="25">
        <v>184</v>
      </c>
      <c r="P901" s="25">
        <v>0</v>
      </c>
      <c r="Q901" s="25"/>
      <c r="R901" s="25"/>
      <c r="S901" s="25"/>
      <c r="T901" s="10"/>
    </row>
    <row r="902" s="35" customFormat="1" ht="18.5" customHeight="1" spans="1:20">
      <c r="A902" s="16" t="s">
        <v>251</v>
      </c>
      <c r="B902" s="41">
        <v>44466</v>
      </c>
      <c r="C902" s="25">
        <v>5</v>
      </c>
      <c r="D902" s="25"/>
      <c r="E902" s="25"/>
      <c r="F902" s="25"/>
      <c r="G902" s="25"/>
      <c r="H902" s="25"/>
      <c r="I902" s="25"/>
      <c r="J902" s="25"/>
      <c r="K902" s="25"/>
      <c r="L902" s="25"/>
      <c r="M902" s="42" t="s">
        <v>253</v>
      </c>
      <c r="N902" s="41">
        <v>44938</v>
      </c>
      <c r="O902" s="25">
        <v>184</v>
      </c>
      <c r="P902" s="25">
        <v>0</v>
      </c>
      <c r="Q902" s="25"/>
      <c r="R902" s="25"/>
      <c r="S902" s="25"/>
      <c r="T902" s="10"/>
    </row>
    <row r="903" s="35" customFormat="1" ht="18.5" customHeight="1" spans="1:20">
      <c r="A903" s="16" t="s">
        <v>251</v>
      </c>
      <c r="B903" s="41">
        <v>44451</v>
      </c>
      <c r="C903" s="25">
        <v>1</v>
      </c>
      <c r="D903" s="25"/>
      <c r="E903" s="25"/>
      <c r="F903" s="25"/>
      <c r="G903" s="25"/>
      <c r="H903" s="25"/>
      <c r="I903" s="25"/>
      <c r="J903" s="25"/>
      <c r="K903" s="25"/>
      <c r="L903" s="25"/>
      <c r="M903" s="42" t="s">
        <v>253</v>
      </c>
      <c r="N903" s="41">
        <v>45244</v>
      </c>
      <c r="O903" s="25">
        <v>183</v>
      </c>
      <c r="P903" s="25">
        <v>0</v>
      </c>
      <c r="Q903" s="25"/>
      <c r="R903" s="25"/>
      <c r="S903" s="25"/>
      <c r="T903" s="10"/>
    </row>
    <row r="904" s="35" customFormat="1" ht="18.5" customHeight="1" spans="1:20">
      <c r="A904" s="16" t="s">
        <v>251</v>
      </c>
      <c r="B904" s="41">
        <v>44518</v>
      </c>
      <c r="C904" s="25">
        <v>3</v>
      </c>
      <c r="D904" s="25"/>
      <c r="E904" s="25"/>
      <c r="F904" s="25"/>
      <c r="G904" s="25"/>
      <c r="H904" s="25"/>
      <c r="I904" s="25"/>
      <c r="J904" s="25"/>
      <c r="K904" s="25"/>
      <c r="L904" s="25"/>
      <c r="M904" s="42" t="s">
        <v>253</v>
      </c>
      <c r="N904" s="41">
        <v>45002</v>
      </c>
      <c r="O904" s="25">
        <v>183</v>
      </c>
      <c r="P904" s="25">
        <v>0</v>
      </c>
      <c r="Q904" s="25"/>
      <c r="R904" s="25"/>
      <c r="S904" s="25"/>
      <c r="T904" s="10"/>
    </row>
    <row r="905" s="35" customFormat="1" ht="18.5" customHeight="1" spans="1:20">
      <c r="A905" s="16" t="s">
        <v>251</v>
      </c>
      <c r="B905" s="41">
        <v>45295</v>
      </c>
      <c r="C905" s="25">
        <v>4</v>
      </c>
      <c r="D905" s="25"/>
      <c r="E905" s="25"/>
      <c r="F905" s="25"/>
      <c r="G905" s="25"/>
      <c r="H905" s="25"/>
      <c r="I905" s="25"/>
      <c r="J905" s="25"/>
      <c r="K905" s="25"/>
      <c r="L905" s="25"/>
      <c r="M905" s="42" t="s">
        <v>253</v>
      </c>
      <c r="N905" s="41">
        <v>45041</v>
      </c>
      <c r="O905" s="25">
        <v>182</v>
      </c>
      <c r="P905" s="25">
        <v>0</v>
      </c>
      <c r="Q905" s="25"/>
      <c r="R905" s="25"/>
      <c r="S905" s="25"/>
      <c r="T905" s="10"/>
    </row>
    <row r="906" s="35" customFormat="1" ht="18.5" customHeight="1" spans="1:20">
      <c r="A906" s="16" t="s">
        <v>251</v>
      </c>
      <c r="B906" s="41">
        <v>44514</v>
      </c>
      <c r="C906" s="25">
        <v>2</v>
      </c>
      <c r="D906" s="25"/>
      <c r="E906" s="25"/>
      <c r="F906" s="25"/>
      <c r="G906" s="25"/>
      <c r="H906" s="25"/>
      <c r="I906" s="25"/>
      <c r="J906" s="25"/>
      <c r="K906" s="25"/>
      <c r="L906" s="25"/>
      <c r="M906" s="42" t="s">
        <v>253</v>
      </c>
      <c r="N906" s="41">
        <v>45037</v>
      </c>
      <c r="O906" s="25">
        <v>182</v>
      </c>
      <c r="P906" s="25">
        <v>0</v>
      </c>
      <c r="Q906" s="25"/>
      <c r="R906" s="25"/>
      <c r="S906" s="25"/>
      <c r="T906" s="10"/>
    </row>
    <row r="907" s="35" customFormat="1" ht="18.5" customHeight="1" spans="1:20">
      <c r="A907" s="16" t="s">
        <v>251</v>
      </c>
      <c r="B907" s="41">
        <v>45295</v>
      </c>
      <c r="C907" s="25">
        <v>2</v>
      </c>
      <c r="D907" s="25"/>
      <c r="E907" s="25"/>
      <c r="F907" s="25"/>
      <c r="G907" s="25"/>
      <c r="H907" s="25"/>
      <c r="I907" s="25"/>
      <c r="J907" s="25"/>
      <c r="K907" s="25"/>
      <c r="L907" s="25"/>
      <c r="M907" s="42" t="s">
        <v>253</v>
      </c>
      <c r="N907" s="41">
        <v>45280</v>
      </c>
      <c r="O907" s="25">
        <v>182</v>
      </c>
      <c r="P907" s="25">
        <v>0</v>
      </c>
      <c r="Q907" s="25"/>
      <c r="R907" s="25"/>
      <c r="S907" s="25"/>
      <c r="T907" s="10"/>
    </row>
    <row r="908" s="35" customFormat="1" ht="18.5" customHeight="1" spans="1:20">
      <c r="A908" s="16" t="s">
        <v>251</v>
      </c>
      <c r="B908" s="41">
        <v>45294</v>
      </c>
      <c r="C908" s="25">
        <v>5</v>
      </c>
      <c r="D908" s="25"/>
      <c r="E908" s="25"/>
      <c r="F908" s="25"/>
      <c r="G908" s="25"/>
      <c r="H908" s="25"/>
      <c r="I908" s="25"/>
      <c r="J908" s="25"/>
      <c r="K908" s="25"/>
      <c r="L908" s="25"/>
      <c r="M908" s="42" t="s">
        <v>253</v>
      </c>
      <c r="N908" s="41">
        <v>45235</v>
      </c>
      <c r="O908" s="25">
        <v>181</v>
      </c>
      <c r="P908" s="25">
        <v>0</v>
      </c>
      <c r="Q908" s="25"/>
      <c r="R908" s="25"/>
      <c r="S908" s="25"/>
      <c r="T908" s="10"/>
    </row>
    <row r="909" s="35" customFormat="1" ht="18.5" customHeight="1" spans="1:20">
      <c r="A909" s="16" t="s">
        <v>251</v>
      </c>
      <c r="B909" s="41">
        <v>45294</v>
      </c>
      <c r="C909" s="25">
        <v>5</v>
      </c>
      <c r="D909" s="25"/>
      <c r="E909" s="25"/>
      <c r="F909" s="25"/>
      <c r="G909" s="25"/>
      <c r="H909" s="25"/>
      <c r="I909" s="25"/>
      <c r="J909" s="25"/>
      <c r="K909" s="25"/>
      <c r="L909" s="25"/>
      <c r="M909" s="42" t="s">
        <v>253</v>
      </c>
      <c r="N909" s="41">
        <v>45226</v>
      </c>
      <c r="O909" s="25">
        <v>181</v>
      </c>
      <c r="P909" s="25">
        <v>0</v>
      </c>
      <c r="Q909" s="25"/>
      <c r="R909" s="25"/>
      <c r="S909" s="25"/>
      <c r="T909" s="10"/>
    </row>
    <row r="910" s="35" customFormat="1" ht="18.5" customHeight="1" spans="1:20">
      <c r="A910" s="16" t="s">
        <v>251</v>
      </c>
      <c r="B910" s="41">
        <v>44376</v>
      </c>
      <c r="C910" s="25">
        <v>2</v>
      </c>
      <c r="D910" s="25"/>
      <c r="E910" s="25"/>
      <c r="F910" s="25"/>
      <c r="G910" s="25"/>
      <c r="H910" s="25"/>
      <c r="I910" s="25"/>
      <c r="J910" s="25"/>
      <c r="K910" s="25"/>
      <c r="L910" s="25"/>
      <c r="M910" s="42" t="s">
        <v>253</v>
      </c>
      <c r="N910" s="41">
        <v>45045</v>
      </c>
      <c r="O910" s="25">
        <v>181</v>
      </c>
      <c r="P910" s="25">
        <v>0</v>
      </c>
      <c r="Q910" s="25"/>
      <c r="R910" s="25"/>
      <c r="S910" s="25"/>
      <c r="T910" s="10"/>
    </row>
    <row r="911" s="35" customFormat="1" ht="18.5" customHeight="1" spans="1:20">
      <c r="A911" s="16" t="s">
        <v>251</v>
      </c>
      <c r="B911" s="41">
        <v>44739</v>
      </c>
      <c r="C911" s="25">
        <v>2</v>
      </c>
      <c r="D911" s="25"/>
      <c r="E911" s="25"/>
      <c r="F911" s="25"/>
      <c r="G911" s="25"/>
      <c r="H911" s="25"/>
      <c r="I911" s="25"/>
      <c r="J911" s="25"/>
      <c r="K911" s="25"/>
      <c r="L911" s="25"/>
      <c r="M911" s="42" t="s">
        <v>253</v>
      </c>
      <c r="N911" s="41">
        <v>44969</v>
      </c>
      <c r="O911" s="25">
        <v>180</v>
      </c>
      <c r="P911" s="25">
        <v>0</v>
      </c>
      <c r="Q911" s="25"/>
      <c r="R911" s="25"/>
      <c r="S911" s="25"/>
      <c r="T911" s="10"/>
    </row>
    <row r="912" s="35" customFormat="1" ht="18.5" customHeight="1" spans="1:20">
      <c r="A912" s="16" t="s">
        <v>251</v>
      </c>
      <c r="B912" s="41">
        <v>45295</v>
      </c>
      <c r="C912" s="25">
        <v>6</v>
      </c>
      <c r="D912" s="25"/>
      <c r="E912" s="25"/>
      <c r="F912" s="25"/>
      <c r="G912" s="25"/>
      <c r="H912" s="25"/>
      <c r="I912" s="25"/>
      <c r="J912" s="25"/>
      <c r="K912" s="25"/>
      <c r="L912" s="25"/>
      <c r="M912" s="42" t="s">
        <v>253</v>
      </c>
      <c r="N912" s="41">
        <v>45067</v>
      </c>
      <c r="O912" s="25">
        <v>179</v>
      </c>
      <c r="P912" s="25">
        <v>0</v>
      </c>
      <c r="Q912" s="25"/>
      <c r="R912" s="25"/>
      <c r="S912" s="25"/>
      <c r="T912" s="10"/>
    </row>
    <row r="913" s="35" customFormat="1" ht="18.5" customHeight="1" spans="1:20">
      <c r="A913" s="16" t="s">
        <v>251</v>
      </c>
      <c r="B913" s="41">
        <v>44479</v>
      </c>
      <c r="C913" s="25">
        <v>2</v>
      </c>
      <c r="D913" s="25"/>
      <c r="E913" s="25"/>
      <c r="F913" s="25"/>
      <c r="G913" s="25"/>
      <c r="H913" s="25"/>
      <c r="I913" s="25"/>
      <c r="J913" s="25"/>
      <c r="K913" s="25"/>
      <c r="L913" s="25"/>
      <c r="M913" s="42" t="s">
        <v>253</v>
      </c>
      <c r="N913" s="41">
        <v>45052</v>
      </c>
      <c r="O913" s="25">
        <v>179</v>
      </c>
      <c r="P913" s="25">
        <v>0</v>
      </c>
      <c r="Q913" s="25"/>
      <c r="R913" s="25"/>
      <c r="S913" s="25"/>
      <c r="T913" s="10"/>
    </row>
    <row r="914" s="35" customFormat="1" ht="18.5" customHeight="1" spans="1:20">
      <c r="A914" s="16" t="s">
        <v>251</v>
      </c>
      <c r="B914" s="41">
        <v>45279</v>
      </c>
      <c r="C914" s="25">
        <v>2</v>
      </c>
      <c r="D914" s="25"/>
      <c r="E914" s="25"/>
      <c r="F914" s="25"/>
      <c r="G914" s="25"/>
      <c r="H914" s="25"/>
      <c r="I914" s="25"/>
      <c r="J914" s="25"/>
      <c r="K914" s="25"/>
      <c r="L914" s="25"/>
      <c r="M914" s="42" t="s">
        <v>253</v>
      </c>
      <c r="N914" s="41">
        <v>45031</v>
      </c>
      <c r="O914" s="25">
        <v>179</v>
      </c>
      <c r="P914" s="25">
        <v>0</v>
      </c>
      <c r="Q914" s="25"/>
      <c r="R914" s="25"/>
      <c r="S914" s="25"/>
      <c r="T914" s="10"/>
    </row>
    <row r="915" s="35" customFormat="1" ht="18.5" customHeight="1" spans="1:20">
      <c r="A915" s="16" t="s">
        <v>251</v>
      </c>
      <c r="B915" s="41">
        <v>45294</v>
      </c>
      <c r="C915" s="25">
        <v>3</v>
      </c>
      <c r="D915" s="25"/>
      <c r="E915" s="25"/>
      <c r="F915" s="25"/>
      <c r="G915" s="25"/>
      <c r="H915" s="25"/>
      <c r="I915" s="25"/>
      <c r="J915" s="25"/>
      <c r="K915" s="25"/>
      <c r="L915" s="25"/>
      <c r="M915" s="42" t="s">
        <v>253</v>
      </c>
      <c r="N915" s="41">
        <v>45025</v>
      </c>
      <c r="O915" s="25">
        <v>179</v>
      </c>
      <c r="P915" s="25">
        <v>0</v>
      </c>
      <c r="Q915" s="25"/>
      <c r="R915" s="25"/>
      <c r="S915" s="25"/>
      <c r="T915" s="10"/>
    </row>
    <row r="916" s="35" customFormat="1" ht="18.5" customHeight="1" spans="1:20">
      <c r="A916" s="16" t="s">
        <v>251</v>
      </c>
      <c r="B916" s="41">
        <v>44406</v>
      </c>
      <c r="C916" s="25">
        <v>2</v>
      </c>
      <c r="D916" s="25"/>
      <c r="E916" s="25"/>
      <c r="F916" s="25"/>
      <c r="G916" s="25"/>
      <c r="H916" s="25"/>
      <c r="I916" s="25"/>
      <c r="J916" s="25"/>
      <c r="K916" s="25"/>
      <c r="L916" s="25"/>
      <c r="M916" s="42" t="s">
        <v>253</v>
      </c>
      <c r="N916" s="41">
        <v>45267</v>
      </c>
      <c r="O916" s="25">
        <v>178</v>
      </c>
      <c r="P916" s="25">
        <v>0</v>
      </c>
      <c r="Q916" s="25"/>
      <c r="R916" s="25"/>
      <c r="S916" s="25"/>
      <c r="T916" s="10"/>
    </row>
    <row r="917" s="35" customFormat="1" ht="18.5" customHeight="1" spans="1:20">
      <c r="A917" s="16" t="s">
        <v>251</v>
      </c>
      <c r="B917" s="41">
        <v>44390</v>
      </c>
      <c r="C917" s="25">
        <v>1</v>
      </c>
      <c r="D917" s="25"/>
      <c r="E917" s="25"/>
      <c r="F917" s="25"/>
      <c r="G917" s="25"/>
      <c r="H917" s="25"/>
      <c r="I917" s="25"/>
      <c r="J917" s="25"/>
      <c r="K917" s="25"/>
      <c r="L917" s="25"/>
      <c r="M917" s="42" t="s">
        <v>253</v>
      </c>
      <c r="N917" s="41">
        <v>45251</v>
      </c>
      <c r="O917" s="25">
        <v>178</v>
      </c>
      <c r="P917" s="25">
        <v>0</v>
      </c>
      <c r="Q917" s="25"/>
      <c r="R917" s="25"/>
      <c r="S917" s="25"/>
      <c r="T917" s="10"/>
    </row>
    <row r="918" s="35" customFormat="1" ht="18.5" customHeight="1" spans="1:20">
      <c r="A918" s="16" t="s">
        <v>251</v>
      </c>
      <c r="B918" s="41">
        <v>44411</v>
      </c>
      <c r="C918" s="25">
        <v>1</v>
      </c>
      <c r="D918" s="25"/>
      <c r="E918" s="25"/>
      <c r="F918" s="25"/>
      <c r="G918" s="25"/>
      <c r="H918" s="25"/>
      <c r="I918" s="25"/>
      <c r="J918" s="25"/>
      <c r="K918" s="25"/>
      <c r="L918" s="25"/>
      <c r="M918" s="42" t="s">
        <v>253</v>
      </c>
      <c r="N918" s="41">
        <v>45245</v>
      </c>
      <c r="O918" s="25">
        <v>178</v>
      </c>
      <c r="P918" s="25">
        <v>0</v>
      </c>
      <c r="Q918" s="25"/>
      <c r="R918" s="25"/>
      <c r="S918" s="25"/>
      <c r="T918" s="10"/>
    </row>
    <row r="919" s="35" customFormat="1" ht="18.5" customHeight="1" spans="1:20">
      <c r="A919" s="16" t="s">
        <v>251</v>
      </c>
      <c r="B919" s="41">
        <v>44422</v>
      </c>
      <c r="C919" s="25">
        <v>2</v>
      </c>
      <c r="D919" s="25"/>
      <c r="E919" s="25"/>
      <c r="F919" s="25"/>
      <c r="G919" s="25"/>
      <c r="H919" s="25"/>
      <c r="I919" s="25"/>
      <c r="J919" s="25"/>
      <c r="K919" s="25"/>
      <c r="L919" s="25"/>
      <c r="M919" s="42" t="s">
        <v>253</v>
      </c>
      <c r="N919" s="41">
        <v>45201</v>
      </c>
      <c r="O919" s="25">
        <v>178</v>
      </c>
      <c r="P919" s="25">
        <v>0</v>
      </c>
      <c r="Q919" s="25"/>
      <c r="R919" s="25"/>
      <c r="S919" s="25"/>
      <c r="T919" s="10"/>
    </row>
    <row r="920" s="35" customFormat="1" ht="18.5" customHeight="1" spans="1:20">
      <c r="A920" s="16" t="s">
        <v>251</v>
      </c>
      <c r="B920" s="41">
        <v>44409</v>
      </c>
      <c r="C920" s="25">
        <v>2</v>
      </c>
      <c r="D920" s="25"/>
      <c r="E920" s="25"/>
      <c r="F920" s="25"/>
      <c r="G920" s="25"/>
      <c r="H920" s="25"/>
      <c r="I920" s="25"/>
      <c r="J920" s="25"/>
      <c r="K920" s="25"/>
      <c r="L920" s="25"/>
      <c r="M920" s="42" t="s">
        <v>253</v>
      </c>
      <c r="N920" s="41">
        <v>45238</v>
      </c>
      <c r="O920" s="25">
        <v>178</v>
      </c>
      <c r="P920" s="25">
        <v>0</v>
      </c>
      <c r="Q920" s="25"/>
      <c r="R920" s="25"/>
      <c r="S920" s="25"/>
      <c r="T920" s="10"/>
    </row>
    <row r="921" s="35" customFormat="1" ht="18.5" customHeight="1" spans="1:20">
      <c r="A921" s="16" t="s">
        <v>251</v>
      </c>
      <c r="B921" s="41">
        <v>44361</v>
      </c>
      <c r="C921" s="25">
        <v>3</v>
      </c>
      <c r="D921" s="25"/>
      <c r="E921" s="25"/>
      <c r="F921" s="25"/>
      <c r="G921" s="25"/>
      <c r="H921" s="25"/>
      <c r="I921" s="25"/>
      <c r="J921" s="25"/>
      <c r="K921" s="25"/>
      <c r="L921" s="25"/>
      <c r="M921" s="42" t="s">
        <v>253</v>
      </c>
      <c r="N921" s="41">
        <v>45235</v>
      </c>
      <c r="O921" s="25">
        <v>178</v>
      </c>
      <c r="P921" s="25">
        <v>0</v>
      </c>
      <c r="Q921" s="25"/>
      <c r="R921" s="25"/>
      <c r="S921" s="25"/>
      <c r="T921" s="10"/>
    </row>
    <row r="922" s="35" customFormat="1" ht="18.5" customHeight="1" spans="1:20">
      <c r="A922" s="16" t="s">
        <v>251</v>
      </c>
      <c r="B922" s="41">
        <v>45295</v>
      </c>
      <c r="C922" s="25">
        <v>2</v>
      </c>
      <c r="D922" s="25"/>
      <c r="E922" s="25"/>
      <c r="F922" s="25"/>
      <c r="G922" s="25"/>
      <c r="H922" s="25"/>
      <c r="I922" s="25"/>
      <c r="J922" s="25"/>
      <c r="K922" s="25"/>
      <c r="L922" s="25"/>
      <c r="M922" s="42" t="s">
        <v>253</v>
      </c>
      <c r="N922" s="41">
        <v>45047</v>
      </c>
      <c r="O922" s="25">
        <v>177</v>
      </c>
      <c r="P922" s="25">
        <v>0</v>
      </c>
      <c r="Q922" s="25"/>
      <c r="R922" s="25"/>
      <c r="S922" s="25"/>
      <c r="T922" s="10"/>
    </row>
    <row r="923" s="35" customFormat="1" ht="18.5" customHeight="1" spans="1:20">
      <c r="A923" s="16" t="s">
        <v>251</v>
      </c>
      <c r="B923" s="41">
        <v>44497</v>
      </c>
      <c r="C923" s="25">
        <v>2</v>
      </c>
      <c r="D923" s="25"/>
      <c r="E923" s="25"/>
      <c r="F923" s="25"/>
      <c r="G923" s="25"/>
      <c r="H923" s="25"/>
      <c r="I923" s="25"/>
      <c r="J923" s="25"/>
      <c r="K923" s="25"/>
      <c r="L923" s="25"/>
      <c r="M923" s="42" t="s">
        <v>253</v>
      </c>
      <c r="N923" s="41">
        <v>45015</v>
      </c>
      <c r="O923" s="25">
        <v>177</v>
      </c>
      <c r="P923" s="25">
        <v>0</v>
      </c>
      <c r="Q923" s="25"/>
      <c r="R923" s="25"/>
      <c r="S923" s="25"/>
      <c r="T923" s="10"/>
    </row>
    <row r="924" s="35" customFormat="1" ht="18.5" customHeight="1" spans="1:20">
      <c r="A924" s="16" t="s">
        <v>251</v>
      </c>
      <c r="B924" s="41">
        <v>44515</v>
      </c>
      <c r="C924" s="25">
        <v>1</v>
      </c>
      <c r="D924" s="25"/>
      <c r="E924" s="25"/>
      <c r="F924" s="25"/>
      <c r="G924" s="25"/>
      <c r="H924" s="25"/>
      <c r="I924" s="25"/>
      <c r="J924" s="25"/>
      <c r="K924" s="25"/>
      <c r="L924" s="25"/>
      <c r="M924" s="42" t="s">
        <v>253</v>
      </c>
      <c r="N924" s="41">
        <v>44988</v>
      </c>
      <c r="O924" s="25">
        <v>177</v>
      </c>
      <c r="P924" s="25">
        <v>0</v>
      </c>
      <c r="Q924" s="25"/>
      <c r="R924" s="25"/>
      <c r="S924" s="25"/>
      <c r="T924" s="10"/>
    </row>
    <row r="925" s="35" customFormat="1" ht="18.5" customHeight="1" spans="1:20">
      <c r="A925" s="16" t="s">
        <v>251</v>
      </c>
      <c r="B925" s="41">
        <v>45294</v>
      </c>
      <c r="C925" s="25">
        <v>5</v>
      </c>
      <c r="D925" s="25"/>
      <c r="E925" s="25"/>
      <c r="F925" s="25"/>
      <c r="G925" s="25"/>
      <c r="H925" s="25"/>
      <c r="I925" s="25"/>
      <c r="J925" s="25"/>
      <c r="K925" s="25"/>
      <c r="L925" s="25"/>
      <c r="M925" s="42" t="s">
        <v>253</v>
      </c>
      <c r="N925" s="41">
        <v>44969</v>
      </c>
      <c r="O925" s="25">
        <v>177</v>
      </c>
      <c r="P925" s="25">
        <v>0</v>
      </c>
      <c r="Q925" s="25"/>
      <c r="R925" s="25"/>
      <c r="S925" s="25"/>
      <c r="T925" s="10"/>
    </row>
    <row r="926" s="35" customFormat="1" ht="18.5" customHeight="1" spans="1:20">
      <c r="A926" s="16" t="s">
        <v>251</v>
      </c>
      <c r="B926" s="41">
        <v>45279</v>
      </c>
      <c r="C926" s="25">
        <v>3</v>
      </c>
      <c r="D926" s="25"/>
      <c r="E926" s="25"/>
      <c r="F926" s="25"/>
      <c r="G926" s="25"/>
      <c r="H926" s="25"/>
      <c r="I926" s="25"/>
      <c r="J926" s="25"/>
      <c r="K926" s="25"/>
      <c r="L926" s="25"/>
      <c r="M926" s="42" t="s">
        <v>253</v>
      </c>
      <c r="N926" s="41">
        <v>44964</v>
      </c>
      <c r="O926" s="25">
        <v>177</v>
      </c>
      <c r="P926" s="25">
        <v>0</v>
      </c>
      <c r="Q926" s="25"/>
      <c r="R926" s="25"/>
      <c r="S926" s="25"/>
      <c r="T926" s="10"/>
    </row>
    <row r="927" s="35" customFormat="1" ht="18.5" customHeight="1" spans="1:20">
      <c r="A927" s="16" t="s">
        <v>251</v>
      </c>
      <c r="B927" s="41">
        <v>44484</v>
      </c>
      <c r="C927" s="25">
        <v>0</v>
      </c>
      <c r="D927" s="25"/>
      <c r="E927" s="25"/>
      <c r="F927" s="25"/>
      <c r="G927" s="25"/>
      <c r="H927" s="25"/>
      <c r="I927" s="25"/>
      <c r="J927" s="25"/>
      <c r="K927" s="25"/>
      <c r="L927" s="25"/>
      <c r="M927" s="42" t="s">
        <v>253</v>
      </c>
      <c r="N927" s="41">
        <v>45259</v>
      </c>
      <c r="O927" s="25">
        <v>176</v>
      </c>
      <c r="P927" s="25">
        <v>0</v>
      </c>
      <c r="Q927" s="25"/>
      <c r="R927" s="25"/>
      <c r="S927" s="25"/>
      <c r="T927" s="10"/>
    </row>
    <row r="928" s="35" customFormat="1" ht="18.5" customHeight="1" spans="1:20">
      <c r="A928" s="16" t="s">
        <v>251</v>
      </c>
      <c r="B928" s="41">
        <v>44488</v>
      </c>
      <c r="C928" s="25">
        <v>7</v>
      </c>
      <c r="D928" s="25"/>
      <c r="E928" s="25"/>
      <c r="F928" s="25"/>
      <c r="G928" s="25"/>
      <c r="H928" s="25"/>
      <c r="I928" s="25"/>
      <c r="J928" s="25"/>
      <c r="K928" s="25"/>
      <c r="L928" s="25"/>
      <c r="M928" s="42" t="s">
        <v>253</v>
      </c>
      <c r="N928" s="41">
        <v>45234</v>
      </c>
      <c r="O928" s="25">
        <v>176</v>
      </c>
      <c r="P928" s="25">
        <v>0</v>
      </c>
      <c r="Q928" s="25"/>
      <c r="R928" s="25"/>
      <c r="S928" s="25"/>
      <c r="T928" s="10"/>
    </row>
    <row r="929" s="35" customFormat="1" ht="18.5" customHeight="1" spans="1:20">
      <c r="A929" s="16" t="s">
        <v>251</v>
      </c>
      <c r="B929" s="41">
        <v>44425</v>
      </c>
      <c r="C929" s="25">
        <v>0</v>
      </c>
      <c r="D929" s="25"/>
      <c r="E929" s="25"/>
      <c r="F929" s="25"/>
      <c r="G929" s="25"/>
      <c r="H929" s="25"/>
      <c r="I929" s="25"/>
      <c r="J929" s="25"/>
      <c r="K929" s="25"/>
      <c r="L929" s="25"/>
      <c r="M929" s="42" t="s">
        <v>253</v>
      </c>
      <c r="N929" s="41">
        <v>45084</v>
      </c>
      <c r="O929" s="25">
        <v>177</v>
      </c>
      <c r="P929" s="25">
        <v>0</v>
      </c>
      <c r="Q929" s="25"/>
      <c r="R929" s="25"/>
      <c r="S929" s="25"/>
      <c r="T929" s="10"/>
    </row>
    <row r="930" s="35" customFormat="1" ht="18.5" customHeight="1" spans="1:20">
      <c r="A930" s="16" t="s">
        <v>251</v>
      </c>
      <c r="B930" s="41">
        <v>45287</v>
      </c>
      <c r="C930" s="25">
        <v>5</v>
      </c>
      <c r="D930" s="25"/>
      <c r="E930" s="25"/>
      <c r="F930" s="25"/>
      <c r="G930" s="25"/>
      <c r="H930" s="25"/>
      <c r="I930" s="25"/>
      <c r="J930" s="25"/>
      <c r="K930" s="25"/>
      <c r="L930" s="25"/>
      <c r="M930" s="42" t="s">
        <v>253</v>
      </c>
      <c r="N930" s="41">
        <v>45231</v>
      </c>
      <c r="O930" s="25">
        <v>175</v>
      </c>
      <c r="P930" s="25">
        <v>0</v>
      </c>
      <c r="Q930" s="25"/>
      <c r="R930" s="25"/>
      <c r="S930" s="25"/>
      <c r="T930" s="10"/>
    </row>
    <row r="931" s="35" customFormat="1" ht="18.5" customHeight="1" spans="1:20">
      <c r="A931" s="16" t="s">
        <v>251</v>
      </c>
      <c r="B931" s="41">
        <v>44957</v>
      </c>
      <c r="C931" s="25">
        <v>5</v>
      </c>
      <c r="D931" s="25"/>
      <c r="E931" s="25"/>
      <c r="F931" s="25"/>
      <c r="G931" s="25"/>
      <c r="H931" s="25"/>
      <c r="I931" s="25"/>
      <c r="J931" s="25"/>
      <c r="K931" s="25"/>
      <c r="L931" s="25"/>
      <c r="M931" s="42" t="s">
        <v>253</v>
      </c>
      <c r="N931" s="41">
        <v>44929</v>
      </c>
      <c r="O931" s="25">
        <v>175</v>
      </c>
      <c r="P931" s="25">
        <v>0</v>
      </c>
      <c r="Q931" s="25"/>
      <c r="R931" s="25"/>
      <c r="S931" s="25"/>
      <c r="T931" s="10"/>
    </row>
    <row r="932" s="35" customFormat="1" ht="18.5" customHeight="1" spans="1:20">
      <c r="A932" s="16" t="s">
        <v>251</v>
      </c>
      <c r="B932" s="41">
        <v>45294</v>
      </c>
      <c r="C932" s="25">
        <v>3</v>
      </c>
      <c r="D932" s="25"/>
      <c r="E932" s="25"/>
      <c r="F932" s="25"/>
      <c r="G932" s="25"/>
      <c r="H932" s="25"/>
      <c r="I932" s="25"/>
      <c r="J932" s="25"/>
      <c r="K932" s="25"/>
      <c r="L932" s="25"/>
      <c r="M932" s="42" t="s">
        <v>253</v>
      </c>
      <c r="N932" s="41">
        <v>45281</v>
      </c>
      <c r="O932" s="25">
        <v>174</v>
      </c>
      <c r="P932" s="25">
        <v>0</v>
      </c>
      <c r="Q932" s="25"/>
      <c r="R932" s="25"/>
      <c r="S932" s="25"/>
      <c r="T932" s="10"/>
    </row>
    <row r="933" s="35" customFormat="1" ht="18.5" customHeight="1" spans="1:20">
      <c r="A933" s="16" t="s">
        <v>251</v>
      </c>
      <c r="B933" s="41">
        <v>44510</v>
      </c>
      <c r="C933" s="25">
        <v>0</v>
      </c>
      <c r="D933" s="25"/>
      <c r="E933" s="25"/>
      <c r="F933" s="25"/>
      <c r="G933" s="25"/>
      <c r="H933" s="25"/>
      <c r="I933" s="25"/>
      <c r="J933" s="25"/>
      <c r="K933" s="25"/>
      <c r="L933" s="25"/>
      <c r="M933" s="42" t="s">
        <v>253</v>
      </c>
      <c r="N933" s="41">
        <v>45252</v>
      </c>
      <c r="O933" s="25">
        <v>175</v>
      </c>
      <c r="P933" s="25">
        <v>0</v>
      </c>
      <c r="Q933" s="25"/>
      <c r="R933" s="25"/>
      <c r="S933" s="25"/>
      <c r="T933" s="10"/>
    </row>
    <row r="934" s="35" customFormat="1" ht="18.5" customHeight="1" spans="1:20">
      <c r="A934" s="16" t="s">
        <v>251</v>
      </c>
      <c r="B934" s="41">
        <v>44386</v>
      </c>
      <c r="C934" s="25">
        <v>0</v>
      </c>
      <c r="D934" s="25"/>
      <c r="E934" s="25"/>
      <c r="F934" s="25"/>
      <c r="G934" s="25"/>
      <c r="H934" s="25"/>
      <c r="I934" s="25"/>
      <c r="J934" s="25"/>
      <c r="K934" s="25"/>
      <c r="L934" s="25"/>
      <c r="M934" s="42" t="s">
        <v>253</v>
      </c>
      <c r="N934" s="41">
        <v>45239</v>
      </c>
      <c r="O934" s="25">
        <v>175</v>
      </c>
      <c r="P934" s="25">
        <v>0</v>
      </c>
      <c r="Q934" s="25"/>
      <c r="R934" s="25"/>
      <c r="S934" s="25"/>
      <c r="T934" s="10"/>
    </row>
    <row r="935" s="35" customFormat="1" ht="18.5" customHeight="1" spans="1:20">
      <c r="A935" s="16" t="s">
        <v>251</v>
      </c>
      <c r="B935" s="41">
        <v>44466</v>
      </c>
      <c r="C935" s="25">
        <v>2</v>
      </c>
      <c r="D935" s="25"/>
      <c r="E935" s="25"/>
      <c r="F935" s="25"/>
      <c r="G935" s="25"/>
      <c r="H935" s="25"/>
      <c r="I935" s="25"/>
      <c r="J935" s="25"/>
      <c r="K935" s="25"/>
      <c r="L935" s="25"/>
      <c r="M935" s="42" t="s">
        <v>253</v>
      </c>
      <c r="N935" s="41">
        <v>45159</v>
      </c>
      <c r="O935" s="25">
        <v>174</v>
      </c>
      <c r="P935" s="25">
        <v>0</v>
      </c>
      <c r="Q935" s="25"/>
      <c r="R935" s="25"/>
      <c r="S935" s="25"/>
      <c r="T935" s="10"/>
    </row>
    <row r="936" s="35" customFormat="1" ht="18.5" customHeight="1" spans="1:20">
      <c r="A936" s="16" t="s">
        <v>251</v>
      </c>
      <c r="B936" s="41">
        <v>44402</v>
      </c>
      <c r="C936" s="25">
        <v>2</v>
      </c>
      <c r="D936" s="25"/>
      <c r="E936" s="25"/>
      <c r="F936" s="25"/>
      <c r="G936" s="25"/>
      <c r="H936" s="25"/>
      <c r="I936" s="25"/>
      <c r="J936" s="25"/>
      <c r="K936" s="25"/>
      <c r="L936" s="25"/>
      <c r="M936" s="42" t="s">
        <v>253</v>
      </c>
      <c r="N936" s="41">
        <v>45149</v>
      </c>
      <c r="O936" s="25">
        <v>175</v>
      </c>
      <c r="P936" s="25">
        <v>0</v>
      </c>
      <c r="Q936" s="25"/>
      <c r="R936" s="25"/>
      <c r="S936" s="25"/>
      <c r="T936" s="10"/>
    </row>
    <row r="937" s="35" customFormat="1" ht="18.5" customHeight="1" spans="1:20">
      <c r="A937" s="16" t="s">
        <v>251</v>
      </c>
      <c r="B937" s="41">
        <v>44351</v>
      </c>
      <c r="C937" s="25">
        <v>0</v>
      </c>
      <c r="D937" s="25"/>
      <c r="E937" s="25"/>
      <c r="F937" s="25"/>
      <c r="G937" s="25"/>
      <c r="H937" s="25"/>
      <c r="I937" s="25"/>
      <c r="J937" s="25"/>
      <c r="K937" s="25"/>
      <c r="L937" s="25"/>
      <c r="M937" s="42" t="s">
        <v>253</v>
      </c>
      <c r="N937" s="41">
        <v>45045</v>
      </c>
      <c r="O937" s="25">
        <v>174</v>
      </c>
      <c r="P937" s="25">
        <v>0</v>
      </c>
      <c r="Q937" s="25"/>
      <c r="R937" s="25"/>
      <c r="S937" s="25"/>
      <c r="T937" s="10"/>
    </row>
    <row r="938" s="35" customFormat="1" ht="18.5" customHeight="1" spans="1:20">
      <c r="A938" s="16" t="s">
        <v>251</v>
      </c>
      <c r="B938" s="41">
        <v>44535</v>
      </c>
      <c r="C938" s="25">
        <v>0</v>
      </c>
      <c r="D938" s="25"/>
      <c r="E938" s="25"/>
      <c r="F938" s="25"/>
      <c r="G938" s="25"/>
      <c r="H938" s="25"/>
      <c r="I938" s="25"/>
      <c r="J938" s="25"/>
      <c r="K938" s="25"/>
      <c r="L938" s="25"/>
      <c r="M938" s="42" t="s">
        <v>253</v>
      </c>
      <c r="N938" s="41">
        <v>45028</v>
      </c>
      <c r="O938" s="25">
        <v>174</v>
      </c>
      <c r="P938" s="25">
        <v>0</v>
      </c>
      <c r="Q938" s="25"/>
      <c r="R938" s="25"/>
      <c r="S938" s="25"/>
      <c r="T938" s="10"/>
    </row>
    <row r="939" s="35" customFormat="1" ht="18.5" customHeight="1" spans="1:20">
      <c r="A939" s="16" t="s">
        <v>251</v>
      </c>
      <c r="B939" s="41">
        <v>44335</v>
      </c>
      <c r="C939" s="25">
        <v>0</v>
      </c>
      <c r="D939" s="25"/>
      <c r="E939" s="25"/>
      <c r="F939" s="25"/>
      <c r="G939" s="25"/>
      <c r="H939" s="25"/>
      <c r="I939" s="25"/>
      <c r="J939" s="25"/>
      <c r="K939" s="25"/>
      <c r="L939" s="25"/>
      <c r="M939" s="42" t="s">
        <v>253</v>
      </c>
      <c r="N939" s="41">
        <v>45019</v>
      </c>
      <c r="O939" s="25">
        <v>174</v>
      </c>
      <c r="P939" s="25">
        <v>0</v>
      </c>
      <c r="Q939" s="25"/>
      <c r="R939" s="25"/>
      <c r="S939" s="25"/>
      <c r="T939" s="10"/>
    </row>
    <row r="940" s="35" customFormat="1" ht="18.5" customHeight="1" spans="1:20">
      <c r="A940" s="16" t="s">
        <v>251</v>
      </c>
      <c r="B940" s="41">
        <v>44462</v>
      </c>
      <c r="C940" s="25">
        <v>0</v>
      </c>
      <c r="D940" s="25"/>
      <c r="E940" s="25"/>
      <c r="F940" s="25"/>
      <c r="G940" s="25"/>
      <c r="H940" s="25"/>
      <c r="I940" s="25"/>
      <c r="J940" s="25"/>
      <c r="K940" s="25"/>
      <c r="L940" s="25"/>
      <c r="M940" s="42" t="s">
        <v>253</v>
      </c>
      <c r="N940" s="41">
        <v>45239</v>
      </c>
      <c r="O940" s="25">
        <v>173</v>
      </c>
      <c r="P940" s="25">
        <v>0</v>
      </c>
      <c r="Q940" s="25"/>
      <c r="R940" s="25"/>
      <c r="S940" s="25"/>
      <c r="T940" s="10"/>
    </row>
    <row r="941" s="35" customFormat="1" ht="18.5" customHeight="1" spans="1:20">
      <c r="A941" s="16" t="s">
        <v>251</v>
      </c>
      <c r="B941" s="41">
        <v>44346</v>
      </c>
      <c r="C941" s="25">
        <v>0</v>
      </c>
      <c r="D941" s="25"/>
      <c r="E941" s="25"/>
      <c r="F941" s="25"/>
      <c r="G941" s="25"/>
      <c r="H941" s="25"/>
      <c r="I941" s="25"/>
      <c r="J941" s="25"/>
      <c r="K941" s="25"/>
      <c r="L941" s="25"/>
      <c r="M941" s="42" t="s">
        <v>253</v>
      </c>
      <c r="N941" s="41">
        <v>44943</v>
      </c>
      <c r="O941" s="25">
        <v>173</v>
      </c>
      <c r="P941" s="25">
        <v>0</v>
      </c>
      <c r="Q941" s="25"/>
      <c r="R941" s="25"/>
      <c r="S941" s="25"/>
      <c r="T941" s="10"/>
    </row>
    <row r="942" s="35" customFormat="1" ht="18.5" customHeight="1" spans="1:20">
      <c r="A942" s="16" t="s">
        <v>251</v>
      </c>
      <c r="B942" s="41">
        <v>45295</v>
      </c>
      <c r="C942" s="25">
        <v>4</v>
      </c>
      <c r="D942" s="25"/>
      <c r="E942" s="25"/>
      <c r="F942" s="25"/>
      <c r="G942" s="25"/>
      <c r="H942" s="25"/>
      <c r="I942" s="25"/>
      <c r="J942" s="25"/>
      <c r="K942" s="25"/>
      <c r="L942" s="25"/>
      <c r="M942" s="42" t="s">
        <v>253</v>
      </c>
      <c r="N942" s="41">
        <v>45253</v>
      </c>
      <c r="O942" s="25">
        <v>172</v>
      </c>
      <c r="P942" s="25">
        <v>0</v>
      </c>
      <c r="Q942" s="25"/>
      <c r="R942" s="25"/>
      <c r="S942" s="25"/>
      <c r="T942" s="10"/>
    </row>
    <row r="943" s="35" customFormat="1" ht="18.5" customHeight="1" spans="1:20">
      <c r="A943" s="16" t="s">
        <v>251</v>
      </c>
      <c r="B943" s="41">
        <v>44334</v>
      </c>
      <c r="C943" s="25">
        <v>5</v>
      </c>
      <c r="D943" s="25"/>
      <c r="E943" s="25"/>
      <c r="F943" s="25"/>
      <c r="G943" s="25"/>
      <c r="H943" s="25"/>
      <c r="I943" s="25"/>
      <c r="J943" s="25"/>
      <c r="K943" s="25"/>
      <c r="L943" s="25"/>
      <c r="M943" s="42" t="s">
        <v>253</v>
      </c>
      <c r="N943" s="41">
        <v>45284</v>
      </c>
      <c r="O943" s="25">
        <v>171</v>
      </c>
      <c r="P943" s="25">
        <v>0</v>
      </c>
      <c r="Q943" s="25"/>
      <c r="R943" s="25"/>
      <c r="S943" s="25"/>
      <c r="T943" s="10"/>
    </row>
    <row r="944" s="35" customFormat="1" ht="18.5" customHeight="1" spans="1:20">
      <c r="A944" s="16" t="s">
        <v>251</v>
      </c>
      <c r="B944" s="41">
        <v>45287</v>
      </c>
      <c r="C944" s="25">
        <v>3</v>
      </c>
      <c r="D944" s="25"/>
      <c r="E944" s="25"/>
      <c r="F944" s="25"/>
      <c r="G944" s="25"/>
      <c r="H944" s="25"/>
      <c r="I944" s="25"/>
      <c r="J944" s="25"/>
      <c r="K944" s="25"/>
      <c r="L944" s="25"/>
      <c r="M944" s="42" t="s">
        <v>253</v>
      </c>
      <c r="N944" s="41">
        <v>45256</v>
      </c>
      <c r="O944" s="25">
        <v>171</v>
      </c>
      <c r="P944" s="25">
        <v>0</v>
      </c>
      <c r="Q944" s="25"/>
      <c r="R944" s="25"/>
      <c r="S944" s="25"/>
      <c r="T944" s="10"/>
    </row>
    <row r="945" s="35" customFormat="1" ht="18.5" customHeight="1" spans="1:20">
      <c r="A945" s="16" t="s">
        <v>251</v>
      </c>
      <c r="B945" s="41">
        <v>44559</v>
      </c>
      <c r="C945" s="25">
        <v>2</v>
      </c>
      <c r="D945" s="25"/>
      <c r="E945" s="25"/>
      <c r="F945" s="25"/>
      <c r="G945" s="25"/>
      <c r="H945" s="25"/>
      <c r="I945" s="25"/>
      <c r="J945" s="25"/>
      <c r="K945" s="25"/>
      <c r="L945" s="25"/>
      <c r="M945" s="42" t="s">
        <v>253</v>
      </c>
      <c r="N945" s="41">
        <v>45240</v>
      </c>
      <c r="O945" s="25">
        <v>171</v>
      </c>
      <c r="P945" s="25">
        <v>0</v>
      </c>
      <c r="Q945" s="25"/>
      <c r="R945" s="25"/>
      <c r="S945" s="25"/>
      <c r="T945" s="10"/>
    </row>
    <row r="946" s="35" customFormat="1" ht="18.5" customHeight="1" spans="1:20">
      <c r="A946" s="16" t="s">
        <v>251</v>
      </c>
      <c r="B946" s="41">
        <v>45277</v>
      </c>
      <c r="C946" s="25">
        <v>3</v>
      </c>
      <c r="D946" s="25"/>
      <c r="E946" s="25"/>
      <c r="F946" s="25"/>
      <c r="G946" s="25"/>
      <c r="H946" s="25"/>
      <c r="I946" s="25"/>
      <c r="J946" s="25"/>
      <c r="K946" s="25"/>
      <c r="L946" s="25"/>
      <c r="M946" s="42" t="s">
        <v>253</v>
      </c>
      <c r="N946" s="41">
        <v>45236</v>
      </c>
      <c r="O946" s="25">
        <v>171</v>
      </c>
      <c r="P946" s="25">
        <v>0</v>
      </c>
      <c r="Q946" s="25"/>
      <c r="R946" s="25"/>
      <c r="S946" s="25"/>
      <c r="T946" s="10"/>
    </row>
    <row r="947" s="35" customFormat="1" ht="18.5" customHeight="1" spans="1:20">
      <c r="A947" s="16" t="s">
        <v>251</v>
      </c>
      <c r="B947" s="41">
        <v>45287</v>
      </c>
      <c r="C947" s="25">
        <v>1</v>
      </c>
      <c r="D947" s="25"/>
      <c r="E947" s="25"/>
      <c r="F947" s="25"/>
      <c r="G947" s="25"/>
      <c r="H947" s="25"/>
      <c r="I947" s="25"/>
      <c r="J947" s="25"/>
      <c r="K947" s="25"/>
      <c r="L947" s="25"/>
      <c r="M947" s="42" t="s">
        <v>253</v>
      </c>
      <c r="N947" s="41">
        <v>45284</v>
      </c>
      <c r="O947" s="25">
        <v>170</v>
      </c>
      <c r="P947" s="25">
        <v>0</v>
      </c>
      <c r="Q947" s="25"/>
      <c r="R947" s="25"/>
      <c r="S947" s="25"/>
      <c r="T947" s="10"/>
    </row>
    <row r="948" s="35" customFormat="1" ht="18.5" customHeight="1" spans="1:20">
      <c r="A948" s="16" t="s">
        <v>251</v>
      </c>
      <c r="B948" s="41">
        <v>44452</v>
      </c>
      <c r="C948" s="25">
        <v>0</v>
      </c>
      <c r="D948" s="25"/>
      <c r="E948" s="25"/>
      <c r="F948" s="25"/>
      <c r="G948" s="25"/>
      <c r="H948" s="25"/>
      <c r="I948" s="25"/>
      <c r="J948" s="25"/>
      <c r="K948" s="25"/>
      <c r="L948" s="25"/>
      <c r="M948" s="42" t="s">
        <v>253</v>
      </c>
      <c r="N948" s="41">
        <v>45259</v>
      </c>
      <c r="O948" s="25">
        <v>170</v>
      </c>
      <c r="P948" s="25">
        <v>0</v>
      </c>
      <c r="Q948" s="25"/>
      <c r="R948" s="25"/>
      <c r="S948" s="25"/>
      <c r="T948" s="10"/>
    </row>
    <row r="949" s="35" customFormat="1" ht="18.5" customHeight="1" spans="1:20">
      <c r="A949" s="16" t="s">
        <v>251</v>
      </c>
      <c r="B949" s="41">
        <v>45278</v>
      </c>
      <c r="C949" s="25">
        <v>2</v>
      </c>
      <c r="D949" s="25"/>
      <c r="E949" s="25"/>
      <c r="F949" s="25"/>
      <c r="G949" s="25"/>
      <c r="H949" s="25"/>
      <c r="I949" s="25"/>
      <c r="J949" s="25"/>
      <c r="K949" s="25"/>
      <c r="L949" s="25"/>
      <c r="M949" s="42" t="s">
        <v>253</v>
      </c>
      <c r="N949" s="41">
        <v>45245</v>
      </c>
      <c r="O949" s="25">
        <v>170</v>
      </c>
      <c r="P949" s="25">
        <v>0</v>
      </c>
      <c r="Q949" s="25"/>
      <c r="R949" s="25"/>
      <c r="S949" s="25"/>
      <c r="T949" s="10"/>
    </row>
    <row r="950" s="35" customFormat="1" ht="18.5" customHeight="1" spans="1:20">
      <c r="A950" s="16" t="s">
        <v>251</v>
      </c>
      <c r="B950" s="41">
        <v>45294</v>
      </c>
      <c r="C950" s="25">
        <v>5</v>
      </c>
      <c r="D950" s="25"/>
      <c r="E950" s="25"/>
      <c r="F950" s="25"/>
      <c r="G950" s="25"/>
      <c r="H950" s="25"/>
      <c r="I950" s="25"/>
      <c r="J950" s="25"/>
      <c r="K950" s="25"/>
      <c r="L950" s="25"/>
      <c r="M950" s="42" t="s">
        <v>253</v>
      </c>
      <c r="N950" s="41">
        <v>45006</v>
      </c>
      <c r="O950" s="25">
        <v>170</v>
      </c>
      <c r="P950" s="25">
        <v>0</v>
      </c>
      <c r="Q950" s="25"/>
      <c r="R950" s="25"/>
      <c r="S950" s="25"/>
      <c r="T950" s="10"/>
    </row>
    <row r="951" s="35" customFormat="1" ht="18.5" customHeight="1" spans="1:20">
      <c r="A951" s="16" t="s">
        <v>251</v>
      </c>
      <c r="B951" s="41">
        <v>44350</v>
      </c>
      <c r="C951" s="25">
        <v>0</v>
      </c>
      <c r="D951" s="25"/>
      <c r="E951" s="25"/>
      <c r="F951" s="25"/>
      <c r="G951" s="25"/>
      <c r="H951" s="25"/>
      <c r="I951" s="25"/>
      <c r="J951" s="25"/>
      <c r="K951" s="25"/>
      <c r="L951" s="25"/>
      <c r="M951" s="42" t="s">
        <v>253</v>
      </c>
      <c r="N951" s="41">
        <v>44986</v>
      </c>
      <c r="O951" s="25">
        <v>171</v>
      </c>
      <c r="P951" s="25">
        <v>0</v>
      </c>
      <c r="Q951" s="25"/>
      <c r="R951" s="25"/>
      <c r="S951" s="25"/>
      <c r="T951" s="10"/>
    </row>
    <row r="952" s="35" customFormat="1" ht="18.5" customHeight="1" spans="1:20">
      <c r="A952" s="16" t="s">
        <v>251</v>
      </c>
      <c r="B952" s="41">
        <v>44487</v>
      </c>
      <c r="C952" s="25">
        <v>1</v>
      </c>
      <c r="D952" s="25"/>
      <c r="E952" s="25"/>
      <c r="F952" s="25"/>
      <c r="G952" s="25"/>
      <c r="H952" s="25"/>
      <c r="I952" s="25"/>
      <c r="J952" s="25"/>
      <c r="K952" s="25"/>
      <c r="L952" s="25"/>
      <c r="M952" s="42" t="s">
        <v>253</v>
      </c>
      <c r="N952" s="41">
        <v>45250</v>
      </c>
      <c r="O952" s="25">
        <v>169</v>
      </c>
      <c r="P952" s="25">
        <v>0</v>
      </c>
      <c r="Q952" s="25"/>
      <c r="R952" s="25"/>
      <c r="S952" s="25"/>
      <c r="T952" s="10"/>
    </row>
    <row r="953" s="35" customFormat="1" ht="18.5" customHeight="1" spans="1:20">
      <c r="A953" s="16" t="s">
        <v>251</v>
      </c>
      <c r="B953" s="41">
        <v>44448</v>
      </c>
      <c r="C953" s="25">
        <v>1</v>
      </c>
      <c r="D953" s="25"/>
      <c r="E953" s="25"/>
      <c r="F953" s="25"/>
      <c r="G953" s="25"/>
      <c r="H953" s="25"/>
      <c r="I953" s="25"/>
      <c r="J953" s="25"/>
      <c r="K953" s="25"/>
      <c r="L953" s="25"/>
      <c r="M953" s="42" t="s">
        <v>253</v>
      </c>
      <c r="N953" s="41">
        <v>45238</v>
      </c>
      <c r="O953" s="25">
        <v>169</v>
      </c>
      <c r="P953" s="25">
        <v>0</v>
      </c>
      <c r="Q953" s="25"/>
      <c r="R953" s="25"/>
      <c r="S953" s="25"/>
      <c r="T953" s="10"/>
    </row>
    <row r="954" s="35" customFormat="1" ht="18.5" customHeight="1" spans="1:20">
      <c r="A954" s="16" t="s">
        <v>251</v>
      </c>
      <c r="B954" s="41">
        <v>44338</v>
      </c>
      <c r="C954" s="25">
        <v>1</v>
      </c>
      <c r="D954" s="25"/>
      <c r="E954" s="25"/>
      <c r="F954" s="25"/>
      <c r="G954" s="25"/>
      <c r="H954" s="25"/>
      <c r="I954" s="25"/>
      <c r="J954" s="25"/>
      <c r="K954" s="25"/>
      <c r="L954" s="25"/>
      <c r="M954" s="42" t="s">
        <v>253</v>
      </c>
      <c r="N954" s="41">
        <v>45235</v>
      </c>
      <c r="O954" s="25">
        <v>169</v>
      </c>
      <c r="P954" s="25">
        <v>0</v>
      </c>
      <c r="Q954" s="25"/>
      <c r="R954" s="25"/>
      <c r="S954" s="25"/>
      <c r="T954" s="10"/>
    </row>
    <row r="955" s="35" customFormat="1" ht="18.5" customHeight="1" spans="1:20">
      <c r="A955" s="16" t="s">
        <v>251</v>
      </c>
      <c r="B955" s="41">
        <v>44553</v>
      </c>
      <c r="C955" s="25">
        <v>0</v>
      </c>
      <c r="D955" s="25"/>
      <c r="E955" s="25"/>
      <c r="F955" s="25"/>
      <c r="G955" s="25"/>
      <c r="H955" s="25"/>
      <c r="I955" s="25"/>
      <c r="J955" s="25"/>
      <c r="K955" s="25"/>
      <c r="L955" s="25"/>
      <c r="M955" s="42" t="s">
        <v>253</v>
      </c>
      <c r="N955" s="41">
        <v>44993</v>
      </c>
      <c r="O955" s="25">
        <v>169</v>
      </c>
      <c r="P955" s="25">
        <v>0</v>
      </c>
      <c r="Q955" s="25"/>
      <c r="R955" s="25"/>
      <c r="S955" s="25"/>
      <c r="T955" s="10"/>
    </row>
    <row r="956" s="35" customFormat="1" ht="18.5" customHeight="1" spans="1:20">
      <c r="A956" s="16" t="s">
        <v>251</v>
      </c>
      <c r="B956" s="41">
        <v>45294</v>
      </c>
      <c r="C956" s="25">
        <v>5</v>
      </c>
      <c r="D956" s="25"/>
      <c r="E956" s="25"/>
      <c r="F956" s="25"/>
      <c r="G956" s="25"/>
      <c r="H956" s="25"/>
      <c r="I956" s="25"/>
      <c r="J956" s="25"/>
      <c r="K956" s="25"/>
      <c r="L956" s="25"/>
      <c r="M956" s="42" t="s">
        <v>253</v>
      </c>
      <c r="N956" s="41">
        <v>45289</v>
      </c>
      <c r="O956" s="25">
        <v>168</v>
      </c>
      <c r="P956" s="25">
        <v>0</v>
      </c>
      <c r="Q956" s="25"/>
      <c r="R956" s="25"/>
      <c r="S956" s="25"/>
      <c r="T956" s="10"/>
    </row>
    <row r="957" s="35" customFormat="1" ht="18.5" customHeight="1" spans="1:20">
      <c r="A957" s="16" t="s">
        <v>251</v>
      </c>
      <c r="B957" s="41">
        <v>44841</v>
      </c>
      <c r="C957" s="25">
        <v>5</v>
      </c>
      <c r="D957" s="25"/>
      <c r="E957" s="25"/>
      <c r="F957" s="25"/>
      <c r="G957" s="25"/>
      <c r="H957" s="25"/>
      <c r="I957" s="25"/>
      <c r="J957" s="25"/>
      <c r="K957" s="25"/>
      <c r="L957" s="25"/>
      <c r="M957" s="42" t="s">
        <v>253</v>
      </c>
      <c r="N957" s="41">
        <v>45273</v>
      </c>
      <c r="O957" s="25">
        <v>168</v>
      </c>
      <c r="P957" s="25">
        <v>0</v>
      </c>
      <c r="Q957" s="25"/>
      <c r="R957" s="25"/>
      <c r="S957" s="25"/>
      <c r="T957" s="10"/>
    </row>
    <row r="958" s="35" customFormat="1" ht="18.5" customHeight="1" spans="1:20">
      <c r="A958" s="16" t="s">
        <v>251</v>
      </c>
      <c r="B958" s="41">
        <v>44333</v>
      </c>
      <c r="C958" s="25">
        <v>1</v>
      </c>
      <c r="D958" s="25"/>
      <c r="E958" s="25"/>
      <c r="F958" s="25"/>
      <c r="G958" s="25"/>
      <c r="H958" s="25"/>
      <c r="I958" s="25"/>
      <c r="J958" s="25"/>
      <c r="K958" s="25"/>
      <c r="L958" s="25"/>
      <c r="M958" s="42" t="s">
        <v>253</v>
      </c>
      <c r="N958" s="41">
        <v>45259</v>
      </c>
      <c r="O958" s="25">
        <v>169</v>
      </c>
      <c r="P958" s="25">
        <v>0</v>
      </c>
      <c r="Q958" s="25"/>
      <c r="R958" s="25"/>
      <c r="S958" s="25"/>
      <c r="T958" s="10"/>
    </row>
    <row r="959" s="35" customFormat="1" ht="18.5" customHeight="1" spans="1:20">
      <c r="A959" s="16" t="s">
        <v>251</v>
      </c>
      <c r="B959" s="41">
        <v>44343</v>
      </c>
      <c r="C959" s="25">
        <v>4</v>
      </c>
      <c r="D959" s="25"/>
      <c r="E959" s="25"/>
      <c r="F959" s="25"/>
      <c r="G959" s="25"/>
      <c r="H959" s="25"/>
      <c r="I959" s="25"/>
      <c r="J959" s="25"/>
      <c r="K959" s="25"/>
      <c r="L959" s="25"/>
      <c r="M959" s="42" t="s">
        <v>253</v>
      </c>
      <c r="N959" s="41">
        <v>45259</v>
      </c>
      <c r="O959" s="25">
        <v>168</v>
      </c>
      <c r="P959" s="25">
        <v>0</v>
      </c>
      <c r="Q959" s="25"/>
      <c r="R959" s="25"/>
      <c r="S959" s="25"/>
      <c r="T959" s="10"/>
    </row>
    <row r="960" s="35" customFormat="1" ht="18.5" customHeight="1" spans="1:20">
      <c r="A960" s="16" t="s">
        <v>251</v>
      </c>
      <c r="B960" s="41">
        <v>45294</v>
      </c>
      <c r="C960" s="25">
        <v>2</v>
      </c>
      <c r="D960" s="25"/>
      <c r="E960" s="25"/>
      <c r="F960" s="25"/>
      <c r="G960" s="25"/>
      <c r="H960" s="25"/>
      <c r="I960" s="25"/>
      <c r="J960" s="25"/>
      <c r="K960" s="25"/>
      <c r="L960" s="25"/>
      <c r="M960" s="42" t="s">
        <v>253</v>
      </c>
      <c r="N960" s="41">
        <v>45238</v>
      </c>
      <c r="O960" s="25">
        <v>168</v>
      </c>
      <c r="P960" s="25">
        <v>0</v>
      </c>
      <c r="Q960" s="25"/>
      <c r="R960" s="25"/>
      <c r="S960" s="25"/>
      <c r="T960" s="10"/>
    </row>
    <row r="961" s="35" customFormat="1" ht="18.5" customHeight="1" spans="1:20">
      <c r="A961" s="16" t="s">
        <v>251</v>
      </c>
      <c r="B961" s="41">
        <v>45246</v>
      </c>
      <c r="C961" s="25">
        <v>3</v>
      </c>
      <c r="D961" s="25"/>
      <c r="E961" s="25"/>
      <c r="F961" s="25"/>
      <c r="G961" s="25"/>
      <c r="H961" s="25"/>
      <c r="I961" s="25"/>
      <c r="J961" s="25"/>
      <c r="K961" s="25"/>
      <c r="L961" s="25"/>
      <c r="M961" s="42" t="s">
        <v>253</v>
      </c>
      <c r="N961" s="41">
        <v>45091</v>
      </c>
      <c r="O961" s="25">
        <v>168</v>
      </c>
      <c r="P961" s="25">
        <v>0</v>
      </c>
      <c r="Q961" s="25"/>
      <c r="R961" s="25"/>
      <c r="S961" s="25"/>
      <c r="T961" s="10"/>
    </row>
    <row r="962" s="35" customFormat="1" ht="18.5" customHeight="1" spans="1:20">
      <c r="A962" s="16" t="s">
        <v>251</v>
      </c>
      <c r="B962" s="41">
        <v>45294</v>
      </c>
      <c r="C962" s="25">
        <v>4</v>
      </c>
      <c r="D962" s="25"/>
      <c r="E962" s="25"/>
      <c r="F962" s="25"/>
      <c r="G962" s="25"/>
      <c r="H962" s="25"/>
      <c r="I962" s="25"/>
      <c r="J962" s="25"/>
      <c r="K962" s="25"/>
      <c r="L962" s="25"/>
      <c r="M962" s="42" t="s">
        <v>253</v>
      </c>
      <c r="N962" s="41">
        <v>45022</v>
      </c>
      <c r="O962" s="25">
        <v>168</v>
      </c>
      <c r="P962" s="25">
        <v>0</v>
      </c>
      <c r="Q962" s="25"/>
      <c r="R962" s="25"/>
      <c r="S962" s="25"/>
      <c r="T962" s="10"/>
    </row>
    <row r="963" s="35" customFormat="1" ht="18.5" customHeight="1" spans="1:20">
      <c r="A963" s="16" t="s">
        <v>251</v>
      </c>
      <c r="B963" s="41">
        <v>45294</v>
      </c>
      <c r="C963" s="25">
        <v>2</v>
      </c>
      <c r="D963" s="25"/>
      <c r="E963" s="25"/>
      <c r="F963" s="25"/>
      <c r="G963" s="25"/>
      <c r="H963" s="25"/>
      <c r="I963" s="25"/>
      <c r="J963" s="25"/>
      <c r="K963" s="25"/>
      <c r="L963" s="25"/>
      <c r="M963" s="42" t="s">
        <v>253</v>
      </c>
      <c r="N963" s="41">
        <v>45263</v>
      </c>
      <c r="O963" s="25">
        <v>167</v>
      </c>
      <c r="P963" s="25">
        <v>0</v>
      </c>
      <c r="Q963" s="25"/>
      <c r="R963" s="25"/>
      <c r="S963" s="25"/>
      <c r="T963" s="10"/>
    </row>
    <row r="964" s="35" customFormat="1" ht="18.5" customHeight="1" spans="1:20">
      <c r="A964" s="16" t="s">
        <v>251</v>
      </c>
      <c r="B964" s="41">
        <v>45294</v>
      </c>
      <c r="C964" s="25">
        <v>1</v>
      </c>
      <c r="D964" s="25"/>
      <c r="E964" s="25"/>
      <c r="F964" s="25"/>
      <c r="G964" s="25"/>
      <c r="H964" s="25"/>
      <c r="I964" s="25"/>
      <c r="J964" s="25"/>
      <c r="K964" s="25"/>
      <c r="L964" s="25"/>
      <c r="M964" s="42" t="s">
        <v>253</v>
      </c>
      <c r="N964" s="41">
        <v>45240</v>
      </c>
      <c r="O964" s="25">
        <v>168</v>
      </c>
      <c r="P964" s="25">
        <v>0</v>
      </c>
      <c r="Q964" s="25"/>
      <c r="R964" s="25"/>
      <c r="S964" s="25"/>
      <c r="T964" s="10"/>
    </row>
    <row r="965" s="35" customFormat="1" ht="18.5" customHeight="1" spans="1:20">
      <c r="A965" s="16" t="s">
        <v>251</v>
      </c>
      <c r="B965" s="41">
        <v>45295</v>
      </c>
      <c r="C965" s="25">
        <v>5</v>
      </c>
      <c r="D965" s="25"/>
      <c r="E965" s="25"/>
      <c r="F965" s="25"/>
      <c r="G965" s="25"/>
      <c r="H965" s="25"/>
      <c r="I965" s="25"/>
      <c r="J965" s="25"/>
      <c r="K965" s="25"/>
      <c r="L965" s="25"/>
      <c r="M965" s="42" t="s">
        <v>253</v>
      </c>
      <c r="N965" s="41">
        <v>45101</v>
      </c>
      <c r="O965" s="25">
        <v>167</v>
      </c>
      <c r="P965" s="25">
        <v>0</v>
      </c>
      <c r="Q965" s="25"/>
      <c r="R965" s="25"/>
      <c r="S965" s="25"/>
      <c r="T965" s="10"/>
    </row>
    <row r="966" s="35" customFormat="1" ht="18.5" customHeight="1" spans="1:20">
      <c r="A966" s="16" t="s">
        <v>251</v>
      </c>
      <c r="B966" s="41">
        <v>44335</v>
      </c>
      <c r="C966" s="25">
        <v>2</v>
      </c>
      <c r="D966" s="25"/>
      <c r="E966" s="25"/>
      <c r="F966" s="25"/>
      <c r="G966" s="25"/>
      <c r="H966" s="25"/>
      <c r="I966" s="25"/>
      <c r="J966" s="25"/>
      <c r="K966" s="25"/>
      <c r="L966" s="25"/>
      <c r="M966" s="42" t="s">
        <v>253</v>
      </c>
      <c r="N966" s="41">
        <v>45033</v>
      </c>
      <c r="O966" s="25">
        <v>167</v>
      </c>
      <c r="P966" s="25">
        <v>0</v>
      </c>
      <c r="Q966" s="25"/>
      <c r="R966" s="25"/>
      <c r="S966" s="25"/>
      <c r="T966" s="10"/>
    </row>
    <row r="967" s="35" customFormat="1" ht="18.5" customHeight="1" spans="1:20">
      <c r="A967" s="16" t="s">
        <v>251</v>
      </c>
      <c r="B967" s="41">
        <v>44411</v>
      </c>
      <c r="C967" s="25">
        <v>1</v>
      </c>
      <c r="D967" s="25"/>
      <c r="E967" s="25"/>
      <c r="F967" s="25"/>
      <c r="G967" s="25"/>
      <c r="H967" s="25"/>
      <c r="I967" s="25"/>
      <c r="J967" s="25"/>
      <c r="K967" s="25"/>
      <c r="L967" s="25"/>
      <c r="M967" s="42" t="s">
        <v>253</v>
      </c>
      <c r="N967" s="41">
        <v>44991</v>
      </c>
      <c r="O967" s="25">
        <v>167</v>
      </c>
      <c r="P967" s="25">
        <v>0</v>
      </c>
      <c r="Q967" s="25"/>
      <c r="R967" s="25"/>
      <c r="S967" s="25"/>
      <c r="T967" s="10"/>
    </row>
    <row r="968" s="35" customFormat="1" ht="18.5" customHeight="1" spans="1:20">
      <c r="A968" s="16" t="s">
        <v>251</v>
      </c>
      <c r="B968" s="41">
        <v>44518</v>
      </c>
      <c r="C968" s="25">
        <v>1</v>
      </c>
      <c r="D968" s="25"/>
      <c r="E968" s="25"/>
      <c r="F968" s="25"/>
      <c r="G968" s="25"/>
      <c r="H968" s="25"/>
      <c r="I968" s="25"/>
      <c r="J968" s="25"/>
      <c r="K968" s="25"/>
      <c r="L968" s="25"/>
      <c r="M968" s="42" t="s">
        <v>253</v>
      </c>
      <c r="N968" s="41">
        <v>44965</v>
      </c>
      <c r="O968" s="25">
        <v>166</v>
      </c>
      <c r="P968" s="25">
        <v>0</v>
      </c>
      <c r="Q968" s="25"/>
      <c r="R968" s="25"/>
      <c r="S968" s="25"/>
      <c r="T968" s="10"/>
    </row>
    <row r="969" s="35" customFormat="1" ht="18.5" customHeight="1" spans="1:20">
      <c r="A969" s="16" t="s">
        <v>251</v>
      </c>
      <c r="B969" s="41">
        <v>44341</v>
      </c>
      <c r="C969" s="25">
        <v>1</v>
      </c>
      <c r="D969" s="25"/>
      <c r="E969" s="25"/>
      <c r="F969" s="25"/>
      <c r="G969" s="25"/>
      <c r="H969" s="25"/>
      <c r="I969" s="25"/>
      <c r="J969" s="25"/>
      <c r="K969" s="25"/>
      <c r="L969" s="25"/>
      <c r="M969" s="42" t="s">
        <v>253</v>
      </c>
      <c r="N969" s="41">
        <v>44951</v>
      </c>
      <c r="O969" s="25">
        <v>166</v>
      </c>
      <c r="P969" s="25">
        <v>0</v>
      </c>
      <c r="Q969" s="25"/>
      <c r="R969" s="25"/>
      <c r="S969" s="25"/>
      <c r="T969" s="10"/>
    </row>
    <row r="970" s="35" customFormat="1" ht="18.5" customHeight="1" spans="1:20">
      <c r="A970" s="16" t="s">
        <v>251</v>
      </c>
      <c r="B970" s="41">
        <v>44502</v>
      </c>
      <c r="C970" s="25">
        <v>3</v>
      </c>
      <c r="D970" s="25"/>
      <c r="E970" s="25"/>
      <c r="F970" s="25"/>
      <c r="G970" s="25"/>
      <c r="H970" s="25"/>
      <c r="I970" s="25"/>
      <c r="J970" s="25"/>
      <c r="K970" s="25"/>
      <c r="L970" s="25"/>
      <c r="M970" s="42" t="s">
        <v>253</v>
      </c>
      <c r="N970" s="41">
        <v>45243</v>
      </c>
      <c r="O970" s="25">
        <v>165</v>
      </c>
      <c r="P970" s="25">
        <v>0</v>
      </c>
      <c r="Q970" s="25"/>
      <c r="R970" s="25"/>
      <c r="S970" s="25"/>
      <c r="T970" s="10"/>
    </row>
    <row r="971" s="35" customFormat="1" ht="18.5" customHeight="1" spans="1:20">
      <c r="A971" s="16" t="s">
        <v>251</v>
      </c>
      <c r="B971" s="41">
        <v>45294</v>
      </c>
      <c r="C971" s="25">
        <v>4</v>
      </c>
      <c r="D971" s="25"/>
      <c r="E971" s="25"/>
      <c r="F971" s="25"/>
      <c r="G971" s="25"/>
      <c r="H971" s="25"/>
      <c r="I971" s="25"/>
      <c r="J971" s="25"/>
      <c r="K971" s="25"/>
      <c r="L971" s="25"/>
      <c r="M971" s="42" t="s">
        <v>253</v>
      </c>
      <c r="N971" s="41">
        <v>45156</v>
      </c>
      <c r="O971" s="25">
        <v>165</v>
      </c>
      <c r="P971" s="25">
        <v>0</v>
      </c>
      <c r="Q971" s="25"/>
      <c r="R971" s="25"/>
      <c r="S971" s="25"/>
      <c r="T971" s="10"/>
    </row>
    <row r="972" s="35" customFormat="1" ht="18.5" customHeight="1" spans="1:20">
      <c r="A972" s="16" t="s">
        <v>251</v>
      </c>
      <c r="B972" s="41">
        <v>45287</v>
      </c>
      <c r="C972" s="25">
        <v>2</v>
      </c>
      <c r="D972" s="25"/>
      <c r="E972" s="25"/>
      <c r="F972" s="25"/>
      <c r="G972" s="25"/>
      <c r="H972" s="25"/>
      <c r="I972" s="25"/>
      <c r="J972" s="25"/>
      <c r="K972" s="25"/>
      <c r="L972" s="25"/>
      <c r="M972" s="42" t="s">
        <v>253</v>
      </c>
      <c r="N972" s="41">
        <v>45067</v>
      </c>
      <c r="O972" s="25">
        <v>165</v>
      </c>
      <c r="P972" s="25">
        <v>0</v>
      </c>
      <c r="Q972" s="25"/>
      <c r="R972" s="25"/>
      <c r="S972" s="25"/>
      <c r="T972" s="10"/>
    </row>
    <row r="973" s="35" customFormat="1" ht="18.5" customHeight="1" spans="1:20">
      <c r="A973" s="16" t="s">
        <v>251</v>
      </c>
      <c r="B973" s="41">
        <v>44336</v>
      </c>
      <c r="C973" s="25">
        <v>1</v>
      </c>
      <c r="D973" s="25"/>
      <c r="E973" s="25"/>
      <c r="F973" s="25"/>
      <c r="G973" s="25"/>
      <c r="H973" s="25"/>
      <c r="I973" s="25"/>
      <c r="J973" s="25"/>
      <c r="K973" s="25"/>
      <c r="L973" s="25"/>
      <c r="M973" s="42" t="s">
        <v>253</v>
      </c>
      <c r="N973" s="41">
        <v>44982</v>
      </c>
      <c r="O973" s="25">
        <v>165</v>
      </c>
      <c r="P973" s="25">
        <v>0</v>
      </c>
      <c r="Q973" s="25"/>
      <c r="R973" s="25"/>
      <c r="S973" s="25"/>
      <c r="T973" s="10"/>
    </row>
    <row r="974" s="35" customFormat="1" ht="18.5" customHeight="1" spans="1:20">
      <c r="A974" s="16" t="s">
        <v>251</v>
      </c>
      <c r="B974" s="41">
        <v>44559</v>
      </c>
      <c r="C974" s="25">
        <v>2</v>
      </c>
      <c r="D974" s="25"/>
      <c r="E974" s="25"/>
      <c r="F974" s="25"/>
      <c r="G974" s="25"/>
      <c r="H974" s="25"/>
      <c r="I974" s="25"/>
      <c r="J974" s="25"/>
      <c r="K974" s="25"/>
      <c r="L974" s="25"/>
      <c r="M974" s="42" t="s">
        <v>253</v>
      </c>
      <c r="N974" s="41">
        <v>45066</v>
      </c>
      <c r="O974" s="25">
        <v>164</v>
      </c>
      <c r="P974" s="25">
        <v>0</v>
      </c>
      <c r="Q974" s="25"/>
      <c r="R974" s="25"/>
      <c r="S974" s="25"/>
      <c r="T974" s="10"/>
    </row>
    <row r="975" s="35" customFormat="1" ht="18.5" customHeight="1" spans="1:20">
      <c r="A975" s="16" t="s">
        <v>251</v>
      </c>
      <c r="B975" s="41">
        <v>44335</v>
      </c>
      <c r="C975" s="25">
        <v>0</v>
      </c>
      <c r="D975" s="25"/>
      <c r="E975" s="25"/>
      <c r="F975" s="25"/>
      <c r="G975" s="25"/>
      <c r="H975" s="25"/>
      <c r="I975" s="25"/>
      <c r="J975" s="25"/>
      <c r="K975" s="25"/>
      <c r="L975" s="25"/>
      <c r="M975" s="42" t="s">
        <v>253</v>
      </c>
      <c r="N975" s="41">
        <v>45279</v>
      </c>
      <c r="O975" s="25">
        <v>163</v>
      </c>
      <c r="P975" s="25">
        <v>0</v>
      </c>
      <c r="Q975" s="25"/>
      <c r="R975" s="25"/>
      <c r="S975" s="25"/>
      <c r="T975" s="10"/>
    </row>
    <row r="976" s="35" customFormat="1" ht="18.5" customHeight="1" spans="1:20">
      <c r="A976" s="16" t="s">
        <v>251</v>
      </c>
      <c r="B976" s="41">
        <v>45294</v>
      </c>
      <c r="C976" s="25">
        <v>4</v>
      </c>
      <c r="D976" s="25"/>
      <c r="E976" s="25"/>
      <c r="F976" s="25"/>
      <c r="G976" s="25"/>
      <c r="H976" s="25"/>
      <c r="I976" s="25"/>
      <c r="J976" s="25"/>
      <c r="K976" s="25"/>
      <c r="L976" s="25"/>
      <c r="M976" s="42" t="s">
        <v>253</v>
      </c>
      <c r="N976" s="41">
        <v>45264</v>
      </c>
      <c r="O976" s="25">
        <v>164</v>
      </c>
      <c r="P976" s="25">
        <v>0</v>
      </c>
      <c r="Q976" s="25"/>
      <c r="R976" s="25"/>
      <c r="S976" s="25"/>
      <c r="T976" s="10"/>
    </row>
    <row r="977" s="35" customFormat="1" ht="18.5" customHeight="1" spans="1:20">
      <c r="A977" s="16" t="s">
        <v>251</v>
      </c>
      <c r="B977" s="41">
        <v>45294</v>
      </c>
      <c r="C977" s="25">
        <v>2</v>
      </c>
      <c r="D977" s="25"/>
      <c r="E977" s="25"/>
      <c r="F977" s="25"/>
      <c r="G977" s="25"/>
      <c r="H977" s="25"/>
      <c r="I977" s="25"/>
      <c r="J977" s="25"/>
      <c r="K977" s="25"/>
      <c r="L977" s="25"/>
      <c r="M977" s="42" t="s">
        <v>253</v>
      </c>
      <c r="N977" s="41">
        <v>45071</v>
      </c>
      <c r="O977" s="25">
        <v>163</v>
      </c>
      <c r="P977" s="25">
        <v>0</v>
      </c>
      <c r="Q977" s="25"/>
      <c r="R977" s="25"/>
      <c r="S977" s="25"/>
      <c r="T977" s="10"/>
    </row>
    <row r="978" s="35" customFormat="1" ht="18.5" customHeight="1" spans="1:20">
      <c r="A978" s="16" t="s">
        <v>251</v>
      </c>
      <c r="B978" s="41">
        <v>44456</v>
      </c>
      <c r="C978" s="25">
        <v>2</v>
      </c>
      <c r="D978" s="25"/>
      <c r="E978" s="25"/>
      <c r="F978" s="25"/>
      <c r="G978" s="25"/>
      <c r="H978" s="25"/>
      <c r="I978" s="25"/>
      <c r="J978" s="25"/>
      <c r="K978" s="25"/>
      <c r="L978" s="25"/>
      <c r="M978" s="42" t="s">
        <v>253</v>
      </c>
      <c r="N978" s="41">
        <v>45263</v>
      </c>
      <c r="O978" s="25">
        <v>163</v>
      </c>
      <c r="P978" s="25">
        <v>0</v>
      </c>
      <c r="Q978" s="25"/>
      <c r="R978" s="25"/>
      <c r="S978" s="25"/>
      <c r="T978" s="10"/>
    </row>
    <row r="979" s="35" customFormat="1" ht="18.5" customHeight="1" spans="1:20">
      <c r="A979" s="16" t="s">
        <v>251</v>
      </c>
      <c r="B979" s="41">
        <v>45294</v>
      </c>
      <c r="C979" s="25">
        <v>1</v>
      </c>
      <c r="D979" s="25"/>
      <c r="E979" s="25"/>
      <c r="F979" s="25"/>
      <c r="G979" s="25"/>
      <c r="H979" s="25"/>
      <c r="I979" s="25"/>
      <c r="J979" s="25"/>
      <c r="K979" s="25"/>
      <c r="L979" s="25"/>
      <c r="M979" s="42" t="s">
        <v>253</v>
      </c>
      <c r="N979" s="41">
        <v>45247</v>
      </c>
      <c r="O979" s="25">
        <v>162</v>
      </c>
      <c r="P979" s="25">
        <v>0</v>
      </c>
      <c r="Q979" s="25"/>
      <c r="R979" s="25"/>
      <c r="S979" s="25"/>
      <c r="T979" s="10"/>
    </row>
    <row r="980" s="35" customFormat="1" ht="18.5" customHeight="1" spans="1:20">
      <c r="A980" s="16" t="s">
        <v>251</v>
      </c>
      <c r="B980" s="41">
        <v>44491</v>
      </c>
      <c r="C980" s="25">
        <v>0</v>
      </c>
      <c r="D980" s="25"/>
      <c r="E980" s="25"/>
      <c r="F980" s="25"/>
      <c r="G980" s="25"/>
      <c r="H980" s="25"/>
      <c r="I980" s="25"/>
      <c r="J980" s="25"/>
      <c r="K980" s="25"/>
      <c r="L980" s="25"/>
      <c r="M980" s="42" t="s">
        <v>253</v>
      </c>
      <c r="N980" s="41">
        <v>45169</v>
      </c>
      <c r="O980" s="25">
        <v>162</v>
      </c>
      <c r="P980" s="25">
        <v>0</v>
      </c>
      <c r="Q980" s="25"/>
      <c r="R980" s="25"/>
      <c r="S980" s="25"/>
      <c r="T980" s="10"/>
    </row>
    <row r="981" s="35" customFormat="1" ht="18.5" customHeight="1" spans="1:20">
      <c r="A981" s="16" t="s">
        <v>251</v>
      </c>
      <c r="B981" s="41">
        <v>45277</v>
      </c>
      <c r="C981" s="25">
        <v>3</v>
      </c>
      <c r="D981" s="25"/>
      <c r="E981" s="25"/>
      <c r="F981" s="25"/>
      <c r="G981" s="25"/>
      <c r="H981" s="25"/>
      <c r="I981" s="25"/>
      <c r="J981" s="25"/>
      <c r="K981" s="25"/>
      <c r="L981" s="25"/>
      <c r="M981" s="42" t="s">
        <v>253</v>
      </c>
      <c r="N981" s="41">
        <v>45018</v>
      </c>
      <c r="O981" s="25">
        <v>162</v>
      </c>
      <c r="P981" s="25">
        <v>0</v>
      </c>
      <c r="Q981" s="25"/>
      <c r="R981" s="25"/>
      <c r="S981" s="25"/>
      <c r="T981" s="10"/>
    </row>
    <row r="982" s="35" customFormat="1" ht="18.5" customHeight="1" spans="1:20">
      <c r="A982" s="16" t="s">
        <v>251</v>
      </c>
      <c r="B982" s="41">
        <v>44481</v>
      </c>
      <c r="C982" s="25">
        <v>2</v>
      </c>
      <c r="D982" s="25"/>
      <c r="E982" s="25"/>
      <c r="F982" s="25"/>
      <c r="G982" s="25"/>
      <c r="H982" s="25"/>
      <c r="I982" s="25"/>
      <c r="J982" s="25"/>
      <c r="K982" s="25"/>
      <c r="L982" s="25"/>
      <c r="M982" s="42" t="s">
        <v>253</v>
      </c>
      <c r="N982" s="41">
        <v>45285</v>
      </c>
      <c r="O982" s="25">
        <v>161</v>
      </c>
      <c r="P982" s="25">
        <v>0</v>
      </c>
      <c r="Q982" s="25"/>
      <c r="R982" s="25"/>
      <c r="S982" s="25"/>
      <c r="T982" s="10"/>
    </row>
    <row r="983" s="35" customFormat="1" ht="18.5" customHeight="1" spans="1:20">
      <c r="A983" s="16" t="s">
        <v>251</v>
      </c>
      <c r="B983" s="41">
        <v>45260</v>
      </c>
      <c r="C983" s="25">
        <v>1</v>
      </c>
      <c r="D983" s="25"/>
      <c r="E983" s="25"/>
      <c r="F983" s="25"/>
      <c r="G983" s="25"/>
      <c r="H983" s="25"/>
      <c r="I983" s="25"/>
      <c r="J983" s="25"/>
      <c r="K983" s="25"/>
      <c r="L983" s="25"/>
      <c r="M983" s="42" t="s">
        <v>253</v>
      </c>
      <c r="N983" s="41">
        <v>45048</v>
      </c>
      <c r="O983" s="25">
        <v>161</v>
      </c>
      <c r="P983" s="25">
        <v>0</v>
      </c>
      <c r="Q983" s="25"/>
      <c r="R983" s="25"/>
      <c r="S983" s="25"/>
      <c r="T983" s="10"/>
    </row>
    <row r="984" s="35" customFormat="1" ht="18.5" customHeight="1" spans="1:20">
      <c r="A984" s="16" t="s">
        <v>251</v>
      </c>
      <c r="B984" s="41">
        <v>45294</v>
      </c>
      <c r="C984" s="25">
        <v>2</v>
      </c>
      <c r="D984" s="25"/>
      <c r="E984" s="25"/>
      <c r="F984" s="25"/>
      <c r="G984" s="25"/>
      <c r="H984" s="25"/>
      <c r="I984" s="25"/>
      <c r="J984" s="25"/>
      <c r="K984" s="25"/>
      <c r="L984" s="25"/>
      <c r="M984" s="42" t="s">
        <v>253</v>
      </c>
      <c r="N984" s="41">
        <v>45046</v>
      </c>
      <c r="O984" s="25">
        <v>161</v>
      </c>
      <c r="P984" s="25">
        <v>0</v>
      </c>
      <c r="Q984" s="25"/>
      <c r="R984" s="25"/>
      <c r="S984" s="25"/>
      <c r="T984" s="10"/>
    </row>
    <row r="985" s="35" customFormat="1" ht="18.5" customHeight="1" spans="1:20">
      <c r="A985" s="16" t="s">
        <v>251</v>
      </c>
      <c r="B985" s="41">
        <v>45294</v>
      </c>
      <c r="C985" s="25">
        <v>2</v>
      </c>
      <c r="D985" s="25"/>
      <c r="E985" s="25"/>
      <c r="F985" s="25"/>
      <c r="G985" s="25"/>
      <c r="H985" s="25"/>
      <c r="I985" s="25"/>
      <c r="J985" s="25"/>
      <c r="K985" s="25"/>
      <c r="L985" s="25"/>
      <c r="M985" s="42" t="s">
        <v>253</v>
      </c>
      <c r="N985" s="41">
        <v>45036</v>
      </c>
      <c r="O985" s="25">
        <v>161</v>
      </c>
      <c r="P985" s="25">
        <v>0</v>
      </c>
      <c r="Q985" s="25"/>
      <c r="R985" s="25"/>
      <c r="S985" s="25"/>
      <c r="T985" s="10"/>
    </row>
    <row r="986" s="35" customFormat="1" ht="18.5" customHeight="1" spans="1:20">
      <c r="A986" s="16" t="s">
        <v>251</v>
      </c>
      <c r="B986" s="41">
        <v>44349</v>
      </c>
      <c r="C986" s="25">
        <v>2</v>
      </c>
      <c r="D986" s="25"/>
      <c r="E986" s="25"/>
      <c r="F986" s="25"/>
      <c r="G986" s="25"/>
      <c r="H986" s="25"/>
      <c r="I986" s="25"/>
      <c r="J986" s="25"/>
      <c r="K986" s="25"/>
      <c r="L986" s="25"/>
      <c r="M986" s="42" t="s">
        <v>253</v>
      </c>
      <c r="N986" s="41">
        <v>45254</v>
      </c>
      <c r="O986" s="25">
        <v>160</v>
      </c>
      <c r="P986" s="25">
        <v>0</v>
      </c>
      <c r="Q986" s="25"/>
      <c r="R986" s="25"/>
      <c r="S986" s="25"/>
      <c r="T986" s="10"/>
    </row>
    <row r="987" s="35" customFormat="1" ht="18.5" customHeight="1" spans="1:20">
      <c r="A987" s="16" t="s">
        <v>251</v>
      </c>
      <c r="B987" s="41">
        <v>44470</v>
      </c>
      <c r="C987" s="25">
        <v>2</v>
      </c>
      <c r="D987" s="25"/>
      <c r="E987" s="25"/>
      <c r="F987" s="25"/>
      <c r="G987" s="25"/>
      <c r="H987" s="25"/>
      <c r="I987" s="25"/>
      <c r="J987" s="25"/>
      <c r="K987" s="25"/>
      <c r="L987" s="25"/>
      <c r="M987" s="42" t="s">
        <v>253</v>
      </c>
      <c r="N987" s="41">
        <v>45242</v>
      </c>
      <c r="O987" s="25">
        <v>160</v>
      </c>
      <c r="P987" s="25">
        <v>0</v>
      </c>
      <c r="Q987" s="25"/>
      <c r="R987" s="25"/>
      <c r="S987" s="25"/>
      <c r="T987" s="10"/>
    </row>
    <row r="988" s="35" customFormat="1" ht="18.5" customHeight="1" spans="1:20">
      <c r="A988" s="16" t="s">
        <v>251</v>
      </c>
      <c r="B988" s="41">
        <v>44470</v>
      </c>
      <c r="C988" s="25">
        <v>2</v>
      </c>
      <c r="D988" s="25"/>
      <c r="E988" s="25"/>
      <c r="F988" s="25"/>
      <c r="G988" s="25"/>
      <c r="H988" s="25"/>
      <c r="I988" s="25"/>
      <c r="J988" s="25"/>
      <c r="K988" s="25"/>
      <c r="L988" s="25"/>
      <c r="M988" s="42" t="s">
        <v>253</v>
      </c>
      <c r="N988" s="41">
        <v>45240</v>
      </c>
      <c r="O988" s="25">
        <v>160</v>
      </c>
      <c r="P988" s="25">
        <v>0</v>
      </c>
      <c r="Q988" s="25"/>
      <c r="R988" s="25"/>
      <c r="S988" s="25"/>
      <c r="T988" s="10"/>
    </row>
    <row r="989" s="35" customFormat="1" ht="18.5" customHeight="1" spans="1:20">
      <c r="A989" s="16" t="s">
        <v>251</v>
      </c>
      <c r="B989" s="41">
        <v>44469</v>
      </c>
      <c r="C989" s="25">
        <v>1</v>
      </c>
      <c r="D989" s="25"/>
      <c r="E989" s="25"/>
      <c r="F989" s="25"/>
      <c r="G989" s="25"/>
      <c r="H989" s="25"/>
      <c r="I989" s="25"/>
      <c r="J989" s="25"/>
      <c r="K989" s="25"/>
      <c r="L989" s="25"/>
      <c r="M989" s="42" t="s">
        <v>253</v>
      </c>
      <c r="N989" s="41">
        <v>44998</v>
      </c>
      <c r="O989" s="25">
        <v>160</v>
      </c>
      <c r="P989" s="25">
        <v>0</v>
      </c>
      <c r="Q989" s="25"/>
      <c r="R989" s="25"/>
      <c r="S989" s="25"/>
      <c r="T989" s="10"/>
    </row>
    <row r="990" s="35" customFormat="1" ht="18.5" customHeight="1" spans="1:20">
      <c r="A990" s="16" t="s">
        <v>251</v>
      </c>
      <c r="B990" s="41">
        <v>44474</v>
      </c>
      <c r="C990" s="25">
        <v>3</v>
      </c>
      <c r="D990" s="25"/>
      <c r="E990" s="25"/>
      <c r="F990" s="25"/>
      <c r="G990" s="25"/>
      <c r="H990" s="25"/>
      <c r="I990" s="25"/>
      <c r="J990" s="25"/>
      <c r="K990" s="25"/>
      <c r="L990" s="25"/>
      <c r="M990" s="42" t="s">
        <v>253</v>
      </c>
      <c r="N990" s="41">
        <v>44929</v>
      </c>
      <c r="O990" s="25">
        <v>160</v>
      </c>
      <c r="P990" s="25">
        <v>0</v>
      </c>
      <c r="Q990" s="25"/>
      <c r="R990" s="25"/>
      <c r="S990" s="25"/>
      <c r="T990" s="10"/>
    </row>
    <row r="991" s="35" customFormat="1" ht="18.5" customHeight="1" spans="1:20">
      <c r="A991" s="16" t="s">
        <v>251</v>
      </c>
      <c r="B991" s="41">
        <v>45260</v>
      </c>
      <c r="C991" s="25">
        <v>1</v>
      </c>
      <c r="D991" s="25"/>
      <c r="E991" s="25"/>
      <c r="F991" s="25"/>
      <c r="G991" s="25"/>
      <c r="H991" s="25"/>
      <c r="I991" s="25"/>
      <c r="J991" s="25"/>
      <c r="K991" s="25"/>
      <c r="L991" s="25"/>
      <c r="M991" s="42" t="s">
        <v>253</v>
      </c>
      <c r="N991" s="41">
        <v>45250</v>
      </c>
      <c r="O991" s="25">
        <v>159</v>
      </c>
      <c r="P991" s="25">
        <v>0</v>
      </c>
      <c r="Q991" s="25"/>
      <c r="R991" s="25"/>
      <c r="S991" s="25"/>
      <c r="T991" s="10"/>
    </row>
    <row r="992" s="35" customFormat="1" ht="18.5" customHeight="1" spans="1:20">
      <c r="A992" s="16" t="s">
        <v>251</v>
      </c>
      <c r="B992" s="41">
        <v>45294</v>
      </c>
      <c r="C992" s="25">
        <v>2</v>
      </c>
      <c r="D992" s="25"/>
      <c r="E992" s="25"/>
      <c r="F992" s="25"/>
      <c r="G992" s="25"/>
      <c r="H992" s="25"/>
      <c r="I992" s="25"/>
      <c r="J992" s="25"/>
      <c r="K992" s="25"/>
      <c r="L992" s="25"/>
      <c r="M992" s="42" t="s">
        <v>253</v>
      </c>
      <c r="N992" s="41">
        <v>45240</v>
      </c>
      <c r="O992" s="25">
        <v>159</v>
      </c>
      <c r="P992" s="25">
        <v>0</v>
      </c>
      <c r="Q992" s="25"/>
      <c r="R992" s="25"/>
      <c r="S992" s="25"/>
      <c r="T992" s="10"/>
    </row>
    <row r="993" s="35" customFormat="1" ht="18.5" customHeight="1" spans="1:20">
      <c r="A993" s="16" t="s">
        <v>251</v>
      </c>
      <c r="B993" s="41">
        <v>44523</v>
      </c>
      <c r="C993" s="25">
        <v>1</v>
      </c>
      <c r="D993" s="25"/>
      <c r="E993" s="25"/>
      <c r="F993" s="25"/>
      <c r="G993" s="25"/>
      <c r="H993" s="25"/>
      <c r="I993" s="25"/>
      <c r="J993" s="25"/>
      <c r="K993" s="25"/>
      <c r="L993" s="25"/>
      <c r="M993" s="42" t="s">
        <v>253</v>
      </c>
      <c r="N993" s="41">
        <v>45240</v>
      </c>
      <c r="O993" s="25">
        <v>159</v>
      </c>
      <c r="P993" s="25">
        <v>0</v>
      </c>
      <c r="Q993" s="25"/>
      <c r="R993" s="25"/>
      <c r="S993" s="25"/>
      <c r="T993" s="10"/>
    </row>
    <row r="994" s="35" customFormat="1" ht="18.5" customHeight="1" spans="1:20">
      <c r="A994" s="16" t="s">
        <v>251</v>
      </c>
      <c r="B994" s="41">
        <v>45288</v>
      </c>
      <c r="C994" s="25">
        <v>1</v>
      </c>
      <c r="D994" s="25"/>
      <c r="E994" s="25"/>
      <c r="F994" s="25"/>
      <c r="G994" s="25"/>
      <c r="H994" s="25"/>
      <c r="I994" s="25"/>
      <c r="J994" s="25"/>
      <c r="K994" s="25"/>
      <c r="L994" s="25"/>
      <c r="M994" s="42" t="s">
        <v>253</v>
      </c>
      <c r="N994" s="41">
        <v>45226</v>
      </c>
      <c r="O994" s="25">
        <v>159</v>
      </c>
      <c r="P994" s="25">
        <v>0</v>
      </c>
      <c r="Q994" s="25"/>
      <c r="R994" s="25"/>
      <c r="S994" s="25"/>
      <c r="T994" s="10"/>
    </row>
    <row r="995" s="35" customFormat="1" ht="18.5" customHeight="1" spans="1:20">
      <c r="A995" s="16" t="s">
        <v>251</v>
      </c>
      <c r="B995" s="41">
        <v>45294</v>
      </c>
      <c r="C995" s="25">
        <v>1</v>
      </c>
      <c r="D995" s="25"/>
      <c r="E995" s="25"/>
      <c r="F995" s="25"/>
      <c r="G995" s="25"/>
      <c r="H995" s="25"/>
      <c r="I995" s="25"/>
      <c r="J995" s="25"/>
      <c r="K995" s="25"/>
      <c r="L995" s="25"/>
      <c r="M995" s="42" t="s">
        <v>253</v>
      </c>
      <c r="N995" s="41">
        <v>45092</v>
      </c>
      <c r="O995" s="25">
        <v>159</v>
      </c>
      <c r="P995" s="25">
        <v>0</v>
      </c>
      <c r="Q995" s="25"/>
      <c r="R995" s="25"/>
      <c r="S995" s="25"/>
      <c r="T995" s="10"/>
    </row>
    <row r="996" s="35" customFormat="1" ht="18.5" customHeight="1" spans="1:20">
      <c r="A996" s="16" t="s">
        <v>251</v>
      </c>
      <c r="B996" s="41">
        <v>44491</v>
      </c>
      <c r="C996" s="25">
        <v>0</v>
      </c>
      <c r="D996" s="25"/>
      <c r="E996" s="25"/>
      <c r="F996" s="25"/>
      <c r="G996" s="25"/>
      <c r="H996" s="25"/>
      <c r="I996" s="25"/>
      <c r="J996" s="25"/>
      <c r="K996" s="25"/>
      <c r="L996" s="25"/>
      <c r="M996" s="42" t="s">
        <v>253</v>
      </c>
      <c r="N996" s="41">
        <v>45277</v>
      </c>
      <c r="O996" s="25">
        <v>158</v>
      </c>
      <c r="P996" s="25">
        <v>0</v>
      </c>
      <c r="Q996" s="25"/>
      <c r="R996" s="25"/>
      <c r="S996" s="25"/>
      <c r="T996" s="10"/>
    </row>
    <row r="997" s="35" customFormat="1" ht="18.5" customHeight="1" spans="1:20">
      <c r="A997" s="16" t="s">
        <v>251</v>
      </c>
      <c r="B997" s="41">
        <v>44523</v>
      </c>
      <c r="C997" s="25">
        <v>1</v>
      </c>
      <c r="D997" s="25"/>
      <c r="E997" s="25"/>
      <c r="F997" s="25"/>
      <c r="G997" s="25"/>
      <c r="H997" s="25"/>
      <c r="I997" s="25"/>
      <c r="J997" s="25"/>
      <c r="K997" s="25"/>
      <c r="L997" s="25"/>
      <c r="M997" s="42" t="s">
        <v>253</v>
      </c>
      <c r="N997" s="41">
        <v>45264</v>
      </c>
      <c r="O997" s="25">
        <v>158</v>
      </c>
      <c r="P997" s="25">
        <v>0</v>
      </c>
      <c r="Q997" s="25"/>
      <c r="R997" s="25"/>
      <c r="S997" s="25"/>
      <c r="T997" s="10"/>
    </row>
    <row r="998" s="35" customFormat="1" ht="18.5" customHeight="1" spans="1:20">
      <c r="A998" s="16" t="s">
        <v>251</v>
      </c>
      <c r="B998" s="41">
        <v>44440</v>
      </c>
      <c r="C998" s="25">
        <v>0</v>
      </c>
      <c r="D998" s="25"/>
      <c r="E998" s="25"/>
      <c r="F998" s="25"/>
      <c r="G998" s="25"/>
      <c r="H998" s="25"/>
      <c r="I998" s="25"/>
      <c r="J998" s="25"/>
      <c r="K998" s="25"/>
      <c r="L998" s="25"/>
      <c r="M998" s="42" t="s">
        <v>253</v>
      </c>
      <c r="N998" s="41">
        <v>45028</v>
      </c>
      <c r="O998" s="25">
        <v>158</v>
      </c>
      <c r="P998" s="25">
        <v>0</v>
      </c>
      <c r="Q998" s="25"/>
      <c r="R998" s="25"/>
      <c r="S998" s="25"/>
      <c r="T998" s="10"/>
    </row>
    <row r="999" s="35" customFormat="1" ht="18.5" customHeight="1" spans="1:20">
      <c r="A999" s="16" t="s">
        <v>251</v>
      </c>
      <c r="B999" s="41">
        <v>44366</v>
      </c>
      <c r="C999" s="25">
        <v>1</v>
      </c>
      <c r="D999" s="25"/>
      <c r="E999" s="25"/>
      <c r="F999" s="25"/>
      <c r="G999" s="25"/>
      <c r="H999" s="25"/>
      <c r="I999" s="25"/>
      <c r="J999" s="25"/>
      <c r="K999" s="25"/>
      <c r="L999" s="25"/>
      <c r="M999" s="42" t="s">
        <v>253</v>
      </c>
      <c r="N999" s="41">
        <v>45286</v>
      </c>
      <c r="O999" s="25">
        <v>157</v>
      </c>
      <c r="P999" s="25">
        <v>0</v>
      </c>
      <c r="Q999" s="25"/>
      <c r="R999" s="25"/>
      <c r="S999" s="25"/>
      <c r="T999" s="10"/>
    </row>
    <row r="1000" s="35" customFormat="1" ht="18.5" customHeight="1" spans="1:20">
      <c r="A1000" s="16" t="s">
        <v>251</v>
      </c>
      <c r="B1000" s="41">
        <v>44540</v>
      </c>
      <c r="C1000" s="25">
        <v>0</v>
      </c>
      <c r="D1000" s="25"/>
      <c r="E1000" s="25"/>
      <c r="F1000" s="25"/>
      <c r="G1000" s="25"/>
      <c r="H1000" s="25"/>
      <c r="I1000" s="25"/>
      <c r="J1000" s="25"/>
      <c r="K1000" s="25"/>
      <c r="L1000" s="25"/>
      <c r="M1000" s="42" t="s">
        <v>253</v>
      </c>
      <c r="N1000" s="41">
        <v>45239</v>
      </c>
      <c r="O1000" s="25">
        <v>157</v>
      </c>
      <c r="P1000" s="25">
        <v>0</v>
      </c>
      <c r="Q1000" s="25"/>
      <c r="R1000" s="25"/>
      <c r="S1000" s="25"/>
      <c r="T1000" s="10"/>
    </row>
    <row r="1001" s="35" customFormat="1" ht="18.5" customHeight="1" spans="1:20">
      <c r="A1001" s="16" t="s">
        <v>251</v>
      </c>
      <c r="B1001" s="41">
        <v>44456</v>
      </c>
      <c r="C1001" s="25">
        <v>0</v>
      </c>
      <c r="D1001" s="25"/>
      <c r="E1001" s="25"/>
      <c r="F1001" s="25"/>
      <c r="G1001" s="25"/>
      <c r="H1001" s="25"/>
      <c r="I1001" s="25"/>
      <c r="J1001" s="25"/>
      <c r="K1001" s="25"/>
      <c r="L1001" s="25"/>
      <c r="M1001" s="42" t="s">
        <v>253</v>
      </c>
      <c r="N1001" s="41">
        <v>45033</v>
      </c>
      <c r="O1001" s="25">
        <v>157</v>
      </c>
      <c r="P1001" s="25">
        <v>0</v>
      </c>
      <c r="Q1001" s="25"/>
      <c r="R1001" s="25"/>
      <c r="S1001" s="25"/>
      <c r="T1001" s="10"/>
    </row>
    <row r="1002" s="35" customFormat="1" ht="18.5" customHeight="1" spans="1:20">
      <c r="A1002" s="16" t="s">
        <v>251</v>
      </c>
      <c r="B1002" s="41">
        <v>44321</v>
      </c>
      <c r="C1002" s="25">
        <v>0</v>
      </c>
      <c r="D1002" s="25"/>
      <c r="E1002" s="25"/>
      <c r="F1002" s="25"/>
      <c r="G1002" s="25"/>
      <c r="H1002" s="25"/>
      <c r="I1002" s="25"/>
      <c r="J1002" s="25"/>
      <c r="K1002" s="25"/>
      <c r="L1002" s="25"/>
      <c r="M1002" s="42" t="s">
        <v>253</v>
      </c>
      <c r="N1002" s="41">
        <v>44942</v>
      </c>
      <c r="O1002" s="25">
        <v>157</v>
      </c>
      <c r="P1002" s="25">
        <v>0</v>
      </c>
      <c r="Q1002" s="25"/>
      <c r="R1002" s="25"/>
      <c r="S1002" s="25"/>
      <c r="T1002" s="10"/>
    </row>
    <row r="1003" s="35" customFormat="1" ht="18.5" customHeight="1" spans="1:20">
      <c r="A1003" s="16" t="s">
        <v>251</v>
      </c>
      <c r="B1003" s="41">
        <v>44352</v>
      </c>
      <c r="C1003" s="25">
        <v>0</v>
      </c>
      <c r="D1003" s="25"/>
      <c r="E1003" s="25"/>
      <c r="F1003" s="25"/>
      <c r="G1003" s="25"/>
      <c r="H1003" s="25"/>
      <c r="I1003" s="25"/>
      <c r="J1003" s="25"/>
      <c r="K1003" s="25"/>
      <c r="L1003" s="25"/>
      <c r="M1003" s="42" t="s">
        <v>253</v>
      </c>
      <c r="N1003" s="41">
        <v>45265</v>
      </c>
      <c r="O1003" s="25">
        <v>156</v>
      </c>
      <c r="P1003" s="25">
        <v>0</v>
      </c>
      <c r="Q1003" s="25"/>
      <c r="R1003" s="25"/>
      <c r="S1003" s="25"/>
      <c r="T1003" s="10"/>
    </row>
    <row r="1004" s="35" customFormat="1" ht="18.5" customHeight="1" spans="1:20">
      <c r="A1004" s="16" t="s">
        <v>251</v>
      </c>
      <c r="B1004" s="41">
        <v>44325</v>
      </c>
      <c r="C1004" s="25">
        <v>0</v>
      </c>
      <c r="D1004" s="25"/>
      <c r="E1004" s="25"/>
      <c r="F1004" s="25"/>
      <c r="G1004" s="25"/>
      <c r="H1004" s="25"/>
      <c r="I1004" s="25"/>
      <c r="J1004" s="25"/>
      <c r="K1004" s="25"/>
      <c r="L1004" s="25"/>
      <c r="M1004" s="42" t="s">
        <v>253</v>
      </c>
      <c r="N1004" s="41">
        <v>45287</v>
      </c>
      <c r="O1004" s="25">
        <v>155</v>
      </c>
      <c r="P1004" s="25">
        <v>0</v>
      </c>
      <c r="Q1004" s="25"/>
      <c r="R1004" s="25"/>
      <c r="S1004" s="25"/>
      <c r="T1004" s="10"/>
    </row>
    <row r="1005" s="35" customFormat="1" ht="18.5" customHeight="1" spans="1:20">
      <c r="A1005" s="16" t="s">
        <v>251</v>
      </c>
      <c r="B1005" s="41">
        <v>44449</v>
      </c>
      <c r="C1005" s="25">
        <v>0</v>
      </c>
      <c r="D1005" s="25"/>
      <c r="E1005" s="25"/>
      <c r="F1005" s="25"/>
      <c r="G1005" s="25"/>
      <c r="H1005" s="25"/>
      <c r="I1005" s="25"/>
      <c r="J1005" s="25"/>
      <c r="K1005" s="25"/>
      <c r="L1005" s="25"/>
      <c r="M1005" s="42" t="s">
        <v>253</v>
      </c>
      <c r="N1005" s="41">
        <v>45252</v>
      </c>
      <c r="O1005" s="25">
        <v>155</v>
      </c>
      <c r="P1005" s="25">
        <v>0</v>
      </c>
      <c r="Q1005" s="25"/>
      <c r="R1005" s="25"/>
      <c r="S1005" s="25"/>
      <c r="T1005" s="10"/>
    </row>
    <row r="1006" s="35" customFormat="1" ht="18.5" customHeight="1" spans="1:20">
      <c r="A1006" s="16" t="s">
        <v>251</v>
      </c>
      <c r="B1006" s="41">
        <v>44452</v>
      </c>
      <c r="C1006" s="25">
        <v>0</v>
      </c>
      <c r="D1006" s="25"/>
      <c r="E1006" s="25"/>
      <c r="F1006" s="25"/>
      <c r="G1006" s="25"/>
      <c r="H1006" s="25"/>
      <c r="I1006" s="25"/>
      <c r="J1006" s="25"/>
      <c r="K1006" s="25"/>
      <c r="L1006" s="25"/>
      <c r="M1006" s="42" t="s">
        <v>253</v>
      </c>
      <c r="N1006" s="41">
        <v>45088</v>
      </c>
      <c r="O1006" s="25">
        <v>155</v>
      </c>
      <c r="P1006" s="25">
        <v>0</v>
      </c>
      <c r="Q1006" s="25"/>
      <c r="R1006" s="25"/>
      <c r="S1006" s="25"/>
      <c r="T1006" s="10"/>
    </row>
    <row r="1007" s="35" customFormat="1" ht="18.5" customHeight="1" spans="1:20">
      <c r="A1007" s="16" t="s">
        <v>251</v>
      </c>
      <c r="B1007" s="41">
        <v>44513</v>
      </c>
      <c r="C1007" s="25">
        <v>0</v>
      </c>
      <c r="D1007" s="25"/>
      <c r="E1007" s="25"/>
      <c r="F1007" s="25"/>
      <c r="G1007" s="25"/>
      <c r="H1007" s="25"/>
      <c r="I1007" s="25"/>
      <c r="J1007" s="25"/>
      <c r="K1007" s="25"/>
      <c r="L1007" s="25"/>
      <c r="M1007" s="42" t="s">
        <v>253</v>
      </c>
      <c r="N1007" s="41">
        <v>45044</v>
      </c>
      <c r="O1007" s="25">
        <v>155</v>
      </c>
      <c r="P1007" s="25">
        <v>0</v>
      </c>
      <c r="Q1007" s="25"/>
      <c r="R1007" s="25"/>
      <c r="S1007" s="25"/>
      <c r="T1007" s="10"/>
    </row>
    <row r="1008" s="35" customFormat="1" ht="18.5" customHeight="1" spans="1:20">
      <c r="A1008" s="16" t="s">
        <v>251</v>
      </c>
      <c r="B1008" s="41">
        <v>44386</v>
      </c>
      <c r="C1008" s="25">
        <v>0</v>
      </c>
      <c r="D1008" s="25"/>
      <c r="E1008" s="25"/>
      <c r="F1008" s="25"/>
      <c r="G1008" s="25"/>
      <c r="H1008" s="25"/>
      <c r="I1008" s="25"/>
      <c r="J1008" s="25"/>
      <c r="K1008" s="25"/>
      <c r="L1008" s="25"/>
      <c r="M1008" s="42" t="s">
        <v>253</v>
      </c>
      <c r="N1008" s="41">
        <v>45011</v>
      </c>
      <c r="O1008" s="25">
        <v>155</v>
      </c>
      <c r="P1008" s="25">
        <v>0</v>
      </c>
      <c r="Q1008" s="25"/>
      <c r="R1008" s="25"/>
      <c r="S1008" s="25"/>
      <c r="T1008" s="10"/>
    </row>
    <row r="1009" s="35" customFormat="1" ht="18.5" customHeight="1" spans="1:20">
      <c r="A1009" s="16" t="s">
        <v>251</v>
      </c>
      <c r="B1009" s="41">
        <v>44463</v>
      </c>
      <c r="C1009" s="25">
        <v>0</v>
      </c>
      <c r="D1009" s="25"/>
      <c r="E1009" s="25"/>
      <c r="F1009" s="25"/>
      <c r="G1009" s="25"/>
      <c r="H1009" s="25"/>
      <c r="I1009" s="25"/>
      <c r="J1009" s="25"/>
      <c r="K1009" s="25"/>
      <c r="L1009" s="25"/>
      <c r="M1009" s="42" t="s">
        <v>253</v>
      </c>
      <c r="N1009" s="41">
        <v>45009</v>
      </c>
      <c r="O1009" s="25">
        <v>155</v>
      </c>
      <c r="P1009" s="25">
        <v>0</v>
      </c>
      <c r="Q1009" s="25"/>
      <c r="R1009" s="25"/>
      <c r="S1009" s="25"/>
      <c r="T1009" s="10"/>
    </row>
    <row r="1010" s="35" customFormat="1" ht="18.5" customHeight="1" spans="1:20">
      <c r="A1010" s="16" t="s">
        <v>251</v>
      </c>
      <c r="B1010" s="41">
        <v>44355</v>
      </c>
      <c r="C1010" s="25">
        <v>0</v>
      </c>
      <c r="D1010" s="25"/>
      <c r="E1010" s="25"/>
      <c r="F1010" s="25"/>
      <c r="G1010" s="25"/>
      <c r="H1010" s="25"/>
      <c r="I1010" s="25"/>
      <c r="J1010" s="25"/>
      <c r="K1010" s="25"/>
      <c r="L1010" s="25"/>
      <c r="M1010" s="42" t="s">
        <v>253</v>
      </c>
      <c r="N1010" s="41">
        <v>45008</v>
      </c>
      <c r="O1010" s="25">
        <v>155</v>
      </c>
      <c r="P1010" s="25">
        <v>0</v>
      </c>
      <c r="Q1010" s="25"/>
      <c r="R1010" s="25"/>
      <c r="S1010" s="25"/>
      <c r="T1010" s="10"/>
    </row>
    <row r="1011" s="35" customFormat="1" ht="18.5" customHeight="1" spans="1:20">
      <c r="A1011" s="16" t="s">
        <v>251</v>
      </c>
      <c r="B1011" s="41">
        <v>45272</v>
      </c>
      <c r="C1011" s="25">
        <v>39</v>
      </c>
      <c r="D1011" s="25"/>
      <c r="E1011" s="25"/>
      <c r="F1011" s="25"/>
      <c r="G1011" s="25"/>
      <c r="H1011" s="25"/>
      <c r="I1011" s="25"/>
      <c r="J1011" s="25"/>
      <c r="K1011" s="25"/>
      <c r="L1011" s="25"/>
      <c r="M1011" s="42" t="s">
        <v>253</v>
      </c>
      <c r="N1011" s="41">
        <v>45274</v>
      </c>
      <c r="O1011" s="25">
        <v>154</v>
      </c>
      <c r="P1011" s="25">
        <v>0</v>
      </c>
      <c r="Q1011" s="25"/>
      <c r="R1011" s="25"/>
      <c r="S1011" s="25"/>
      <c r="T1011" s="10"/>
    </row>
    <row r="1012" s="35" customFormat="1" ht="18.5" customHeight="1" spans="1:20">
      <c r="A1012" s="16" t="s">
        <v>251</v>
      </c>
      <c r="B1012" s="41">
        <v>45294</v>
      </c>
      <c r="C1012" s="25">
        <v>15</v>
      </c>
      <c r="D1012" s="25"/>
      <c r="E1012" s="25"/>
      <c r="F1012" s="25"/>
      <c r="G1012" s="25"/>
      <c r="H1012" s="25"/>
      <c r="I1012" s="25"/>
      <c r="J1012" s="25"/>
      <c r="K1012" s="25"/>
      <c r="L1012" s="25"/>
      <c r="M1012" s="42" t="s">
        <v>253</v>
      </c>
      <c r="N1012" s="41">
        <v>45242</v>
      </c>
      <c r="O1012" s="25">
        <v>154</v>
      </c>
      <c r="P1012" s="25">
        <v>0</v>
      </c>
      <c r="Q1012" s="25"/>
      <c r="R1012" s="25"/>
      <c r="S1012" s="25"/>
      <c r="T1012" s="10"/>
    </row>
    <row r="1013" s="35" customFormat="1" ht="18.5" customHeight="1" spans="1:20">
      <c r="A1013" s="16" t="s">
        <v>251</v>
      </c>
      <c r="B1013" s="41">
        <v>45287</v>
      </c>
      <c r="C1013" s="25">
        <v>9</v>
      </c>
      <c r="D1013" s="25"/>
      <c r="E1013" s="25"/>
      <c r="F1013" s="25"/>
      <c r="G1013" s="25"/>
      <c r="H1013" s="25"/>
      <c r="I1013" s="25"/>
      <c r="J1013" s="25"/>
      <c r="K1013" s="25"/>
      <c r="L1013" s="25"/>
      <c r="M1013" s="42" t="s">
        <v>253</v>
      </c>
      <c r="N1013" s="41">
        <v>44941</v>
      </c>
      <c r="O1013" s="25">
        <v>154</v>
      </c>
      <c r="P1013" s="25">
        <v>0</v>
      </c>
      <c r="Q1013" s="25"/>
      <c r="R1013" s="25"/>
      <c r="S1013" s="25"/>
      <c r="T1013" s="10"/>
    </row>
    <row r="1014" s="35" customFormat="1" ht="18.5" customHeight="1" spans="1:20">
      <c r="A1014" s="16" t="s">
        <v>251</v>
      </c>
      <c r="B1014" s="41">
        <v>45294</v>
      </c>
      <c r="C1014" s="25">
        <v>9</v>
      </c>
      <c r="D1014" s="25"/>
      <c r="E1014" s="25"/>
      <c r="F1014" s="25"/>
      <c r="G1014" s="25"/>
      <c r="H1014" s="25"/>
      <c r="I1014" s="25"/>
      <c r="J1014" s="25"/>
      <c r="K1014" s="25"/>
      <c r="L1014" s="25"/>
      <c r="M1014" s="42" t="s">
        <v>253</v>
      </c>
      <c r="N1014" s="41">
        <v>45265</v>
      </c>
      <c r="O1014" s="25">
        <v>154</v>
      </c>
      <c r="P1014" s="25">
        <v>0</v>
      </c>
      <c r="Q1014" s="25"/>
      <c r="R1014" s="25"/>
      <c r="S1014" s="25"/>
      <c r="T1014" s="10"/>
    </row>
    <row r="1015" s="35" customFormat="1" ht="18.5" customHeight="1" spans="1:20">
      <c r="A1015" s="16" t="s">
        <v>251</v>
      </c>
      <c r="B1015" s="41">
        <v>44587</v>
      </c>
      <c r="C1015" s="25">
        <v>14</v>
      </c>
      <c r="D1015" s="25"/>
      <c r="E1015" s="25"/>
      <c r="F1015" s="25"/>
      <c r="G1015" s="25"/>
      <c r="H1015" s="25"/>
      <c r="I1015" s="25"/>
      <c r="J1015" s="25"/>
      <c r="K1015" s="25"/>
      <c r="L1015" s="25"/>
      <c r="M1015" s="42" t="s">
        <v>253</v>
      </c>
      <c r="N1015" s="41">
        <v>45240</v>
      </c>
      <c r="O1015" s="25">
        <v>153</v>
      </c>
      <c r="P1015" s="25">
        <v>0</v>
      </c>
      <c r="Q1015" s="25"/>
      <c r="R1015" s="25"/>
      <c r="S1015" s="25"/>
      <c r="T1015" s="10"/>
    </row>
    <row r="1016" s="35" customFormat="1" ht="18.5" customHeight="1" spans="1:20">
      <c r="A1016" s="16" t="s">
        <v>251</v>
      </c>
      <c r="B1016" s="41">
        <v>44378</v>
      </c>
      <c r="C1016" s="25">
        <v>7</v>
      </c>
      <c r="D1016" s="25"/>
      <c r="E1016" s="25"/>
      <c r="F1016" s="25"/>
      <c r="G1016" s="25"/>
      <c r="H1016" s="25"/>
      <c r="I1016" s="25"/>
      <c r="J1016" s="25"/>
      <c r="K1016" s="25"/>
      <c r="L1016" s="25"/>
      <c r="M1016" s="42" t="s">
        <v>253</v>
      </c>
      <c r="N1016" s="41">
        <v>45237</v>
      </c>
      <c r="O1016" s="25">
        <v>154</v>
      </c>
      <c r="P1016" s="25">
        <v>0</v>
      </c>
      <c r="Q1016" s="25"/>
      <c r="R1016" s="25"/>
      <c r="S1016" s="25"/>
      <c r="T1016" s="10"/>
    </row>
    <row r="1017" s="35" customFormat="1" ht="18.5" customHeight="1" spans="1:20">
      <c r="A1017" s="16" t="s">
        <v>251</v>
      </c>
      <c r="B1017" s="41">
        <v>45294</v>
      </c>
      <c r="C1017" s="25">
        <v>3</v>
      </c>
      <c r="D1017" s="25"/>
      <c r="E1017" s="25"/>
      <c r="F1017" s="25"/>
      <c r="G1017" s="25"/>
      <c r="H1017" s="25"/>
      <c r="I1017" s="25"/>
      <c r="J1017" s="25"/>
      <c r="K1017" s="25"/>
      <c r="L1017" s="25"/>
      <c r="M1017" s="42" t="s">
        <v>253</v>
      </c>
      <c r="N1017" s="41">
        <v>45040</v>
      </c>
      <c r="O1017" s="25">
        <v>154</v>
      </c>
      <c r="P1017" s="25">
        <v>0</v>
      </c>
      <c r="Q1017" s="25"/>
      <c r="R1017" s="25"/>
      <c r="S1017" s="25"/>
      <c r="T1017" s="10"/>
    </row>
    <row r="1018" s="35" customFormat="1" ht="18.5" customHeight="1" spans="1:20">
      <c r="A1018" s="16" t="s">
        <v>251</v>
      </c>
      <c r="B1018" s="41">
        <v>44430</v>
      </c>
      <c r="C1018" s="25">
        <v>1</v>
      </c>
      <c r="D1018" s="25"/>
      <c r="E1018" s="25"/>
      <c r="F1018" s="25"/>
      <c r="G1018" s="25"/>
      <c r="H1018" s="25"/>
      <c r="I1018" s="25"/>
      <c r="J1018" s="25"/>
      <c r="K1018" s="25"/>
      <c r="L1018" s="25"/>
      <c r="M1018" s="42" t="s">
        <v>253</v>
      </c>
      <c r="N1018" s="41">
        <v>45030</v>
      </c>
      <c r="O1018" s="25">
        <v>153</v>
      </c>
      <c r="P1018" s="25">
        <v>0</v>
      </c>
      <c r="Q1018" s="25"/>
      <c r="R1018" s="25"/>
      <c r="S1018" s="25"/>
      <c r="T1018" s="10"/>
    </row>
    <row r="1019" s="35" customFormat="1" ht="18.5" customHeight="1" spans="1:20">
      <c r="A1019" s="16" t="s">
        <v>251</v>
      </c>
      <c r="B1019" s="41">
        <v>45295</v>
      </c>
      <c r="C1019" s="25">
        <v>6</v>
      </c>
      <c r="D1019" s="25"/>
      <c r="E1019" s="25"/>
      <c r="F1019" s="25"/>
      <c r="G1019" s="25"/>
      <c r="H1019" s="25"/>
      <c r="I1019" s="25"/>
      <c r="J1019" s="25"/>
      <c r="K1019" s="25"/>
      <c r="L1019" s="25"/>
      <c r="M1019" s="42" t="s">
        <v>253</v>
      </c>
      <c r="N1019" s="41">
        <v>45075</v>
      </c>
      <c r="O1019" s="25">
        <v>152</v>
      </c>
      <c r="P1019" s="25">
        <v>0</v>
      </c>
      <c r="Q1019" s="25"/>
      <c r="R1019" s="25"/>
      <c r="S1019" s="25"/>
      <c r="T1019" s="10"/>
    </row>
    <row r="1020" s="35" customFormat="1" ht="18.5" customHeight="1" spans="1:20">
      <c r="A1020" s="16" t="s">
        <v>251</v>
      </c>
      <c r="B1020" s="41">
        <v>45294</v>
      </c>
      <c r="C1020" s="25">
        <v>2</v>
      </c>
      <c r="D1020" s="25"/>
      <c r="E1020" s="25"/>
      <c r="F1020" s="25"/>
      <c r="G1020" s="25"/>
      <c r="H1020" s="25"/>
      <c r="I1020" s="25"/>
      <c r="J1020" s="25"/>
      <c r="K1020" s="25"/>
      <c r="L1020" s="25"/>
      <c r="M1020" s="42" t="s">
        <v>253</v>
      </c>
      <c r="N1020" s="41">
        <v>45245</v>
      </c>
      <c r="O1020" s="25">
        <v>151</v>
      </c>
      <c r="P1020" s="25">
        <v>0</v>
      </c>
      <c r="Q1020" s="25"/>
      <c r="R1020" s="25"/>
      <c r="S1020" s="25"/>
      <c r="T1020" s="10"/>
    </row>
    <row r="1021" s="35" customFormat="1" ht="18.5" customHeight="1" spans="1:20">
      <c r="A1021" s="16" t="s">
        <v>251</v>
      </c>
      <c r="B1021" s="41">
        <v>44435</v>
      </c>
      <c r="C1021" s="25">
        <v>1</v>
      </c>
      <c r="D1021" s="25"/>
      <c r="E1021" s="25"/>
      <c r="F1021" s="25"/>
      <c r="G1021" s="25"/>
      <c r="H1021" s="25"/>
      <c r="I1021" s="25"/>
      <c r="J1021" s="25"/>
      <c r="K1021" s="25"/>
      <c r="L1021" s="25"/>
      <c r="M1021" s="42" t="s">
        <v>253</v>
      </c>
      <c r="N1021" s="41">
        <v>45037</v>
      </c>
      <c r="O1021" s="25">
        <v>151</v>
      </c>
      <c r="P1021" s="25">
        <v>0</v>
      </c>
      <c r="Q1021" s="25"/>
      <c r="R1021" s="25"/>
      <c r="S1021" s="25"/>
      <c r="T1021" s="10"/>
    </row>
    <row r="1022" s="35" customFormat="1" ht="18.5" customHeight="1" spans="1:20">
      <c r="A1022" s="16" t="s">
        <v>251</v>
      </c>
      <c r="B1022" s="41">
        <v>44553</v>
      </c>
      <c r="C1022" s="25">
        <v>4</v>
      </c>
      <c r="D1022" s="25"/>
      <c r="E1022" s="25"/>
      <c r="F1022" s="25"/>
      <c r="G1022" s="25"/>
      <c r="H1022" s="25"/>
      <c r="I1022" s="25"/>
      <c r="J1022" s="25"/>
      <c r="K1022" s="25"/>
      <c r="L1022" s="25"/>
      <c r="M1022" s="42" t="s">
        <v>253</v>
      </c>
      <c r="N1022" s="41">
        <v>45013</v>
      </c>
      <c r="O1022" s="25">
        <v>151</v>
      </c>
      <c r="P1022" s="25">
        <v>0</v>
      </c>
      <c r="Q1022" s="25"/>
      <c r="R1022" s="25"/>
      <c r="S1022" s="25"/>
      <c r="T1022" s="10"/>
    </row>
    <row r="1023" s="35" customFormat="1" ht="18.5" customHeight="1" spans="1:20">
      <c r="A1023" s="16" t="s">
        <v>251</v>
      </c>
      <c r="B1023" s="41">
        <v>44369</v>
      </c>
      <c r="C1023" s="25">
        <v>5</v>
      </c>
      <c r="D1023" s="25"/>
      <c r="E1023" s="25"/>
      <c r="F1023" s="25"/>
      <c r="G1023" s="25"/>
      <c r="H1023" s="25"/>
      <c r="I1023" s="25"/>
      <c r="J1023" s="25"/>
      <c r="K1023" s="25"/>
      <c r="L1023" s="25"/>
      <c r="M1023" s="42" t="s">
        <v>253</v>
      </c>
      <c r="N1023" s="41">
        <v>44993</v>
      </c>
      <c r="O1023" s="25">
        <v>151</v>
      </c>
      <c r="P1023" s="25">
        <v>0</v>
      </c>
      <c r="Q1023" s="25"/>
      <c r="R1023" s="25"/>
      <c r="S1023" s="25"/>
      <c r="T1023" s="10"/>
    </row>
    <row r="1024" s="35" customFormat="1" ht="18.5" customHeight="1" spans="1:20">
      <c r="A1024" s="16" t="s">
        <v>251</v>
      </c>
      <c r="B1024" s="41">
        <v>44464</v>
      </c>
      <c r="C1024" s="25">
        <v>2</v>
      </c>
      <c r="D1024" s="25"/>
      <c r="E1024" s="25"/>
      <c r="F1024" s="25"/>
      <c r="G1024" s="25"/>
      <c r="H1024" s="25"/>
      <c r="I1024" s="25"/>
      <c r="J1024" s="25"/>
      <c r="K1024" s="25"/>
      <c r="L1024" s="25"/>
      <c r="M1024" s="42" t="s">
        <v>253</v>
      </c>
      <c r="N1024" s="41">
        <v>45252</v>
      </c>
      <c r="O1024" s="25">
        <v>150</v>
      </c>
      <c r="P1024" s="25">
        <v>0</v>
      </c>
      <c r="Q1024" s="25"/>
      <c r="R1024" s="25"/>
      <c r="S1024" s="25"/>
      <c r="T1024" s="10"/>
    </row>
    <row r="1025" s="35" customFormat="1" ht="18.5" customHeight="1" spans="1:20">
      <c r="A1025" s="16" t="s">
        <v>251</v>
      </c>
      <c r="B1025" s="41">
        <v>44470</v>
      </c>
      <c r="C1025" s="25">
        <v>1</v>
      </c>
      <c r="D1025" s="25"/>
      <c r="E1025" s="25"/>
      <c r="F1025" s="25"/>
      <c r="G1025" s="25"/>
      <c r="H1025" s="25"/>
      <c r="I1025" s="25"/>
      <c r="J1025" s="25"/>
      <c r="K1025" s="25"/>
      <c r="L1025" s="25"/>
      <c r="M1025" s="42" t="s">
        <v>253</v>
      </c>
      <c r="N1025" s="41">
        <v>45243</v>
      </c>
      <c r="O1025" s="25">
        <v>150</v>
      </c>
      <c r="P1025" s="25">
        <v>0</v>
      </c>
      <c r="Q1025" s="25"/>
      <c r="R1025" s="25"/>
      <c r="S1025" s="25"/>
      <c r="T1025" s="10"/>
    </row>
    <row r="1026" s="35" customFormat="1" ht="18.5" customHeight="1" spans="1:20">
      <c r="A1026" s="16" t="s">
        <v>251</v>
      </c>
      <c r="B1026" s="41">
        <v>44447</v>
      </c>
      <c r="C1026" s="25">
        <v>2</v>
      </c>
      <c r="D1026" s="25"/>
      <c r="E1026" s="25"/>
      <c r="F1026" s="25"/>
      <c r="G1026" s="25"/>
      <c r="H1026" s="25"/>
      <c r="I1026" s="25"/>
      <c r="J1026" s="25"/>
      <c r="K1026" s="25"/>
      <c r="L1026" s="25"/>
      <c r="M1026" s="42" t="s">
        <v>253</v>
      </c>
      <c r="N1026" s="41">
        <v>45231</v>
      </c>
      <c r="O1026" s="25">
        <v>150</v>
      </c>
      <c r="P1026" s="25">
        <v>0</v>
      </c>
      <c r="Q1026" s="25"/>
      <c r="R1026" s="25"/>
      <c r="S1026" s="25"/>
      <c r="T1026" s="10"/>
    </row>
    <row r="1027" s="35" customFormat="1" ht="18.5" customHeight="1" spans="1:20">
      <c r="A1027" s="16" t="s">
        <v>251</v>
      </c>
      <c r="B1027" s="41">
        <v>45294</v>
      </c>
      <c r="C1027" s="25">
        <v>2</v>
      </c>
      <c r="D1027" s="25"/>
      <c r="E1027" s="25"/>
      <c r="F1027" s="25"/>
      <c r="G1027" s="25"/>
      <c r="H1027" s="25"/>
      <c r="I1027" s="25"/>
      <c r="J1027" s="25"/>
      <c r="K1027" s="25"/>
      <c r="L1027" s="25"/>
      <c r="M1027" s="42" t="s">
        <v>253</v>
      </c>
      <c r="N1027" s="41">
        <v>45141</v>
      </c>
      <c r="O1027" s="25">
        <v>150</v>
      </c>
      <c r="P1027" s="25">
        <v>0</v>
      </c>
      <c r="Q1027" s="25"/>
      <c r="R1027" s="25"/>
      <c r="S1027" s="25"/>
      <c r="T1027" s="10"/>
    </row>
    <row r="1028" s="35" customFormat="1" ht="18.5" customHeight="1" spans="1:20">
      <c r="A1028" s="16" t="s">
        <v>251</v>
      </c>
      <c r="B1028" s="41">
        <v>44608</v>
      </c>
      <c r="C1028" s="25">
        <v>16</v>
      </c>
      <c r="D1028" s="25"/>
      <c r="E1028" s="25"/>
      <c r="F1028" s="25"/>
      <c r="G1028" s="25"/>
      <c r="H1028" s="25"/>
      <c r="I1028" s="25"/>
      <c r="J1028" s="25"/>
      <c r="K1028" s="25"/>
      <c r="L1028" s="25"/>
      <c r="M1028" s="42" t="s">
        <v>253</v>
      </c>
      <c r="N1028" s="41">
        <v>45036</v>
      </c>
      <c r="O1028" s="25">
        <v>150</v>
      </c>
      <c r="P1028" s="25">
        <v>0</v>
      </c>
      <c r="Q1028" s="25"/>
      <c r="R1028" s="25"/>
      <c r="S1028" s="25"/>
      <c r="T1028" s="10"/>
    </row>
    <row r="1029" s="35" customFormat="1" ht="18.5" customHeight="1" spans="1:20">
      <c r="A1029" s="16" t="s">
        <v>251</v>
      </c>
      <c r="B1029" s="41">
        <v>45272</v>
      </c>
      <c r="C1029" s="25">
        <v>10</v>
      </c>
      <c r="D1029" s="25"/>
      <c r="E1029" s="25"/>
      <c r="F1029" s="25"/>
      <c r="G1029" s="25"/>
      <c r="H1029" s="25"/>
      <c r="I1029" s="25"/>
      <c r="J1029" s="25"/>
      <c r="K1029" s="25"/>
      <c r="L1029" s="25"/>
      <c r="M1029" s="42" t="s">
        <v>253</v>
      </c>
      <c r="N1029" s="41">
        <v>45291</v>
      </c>
      <c r="O1029" s="25">
        <v>149</v>
      </c>
      <c r="P1029" s="25">
        <v>0</v>
      </c>
      <c r="Q1029" s="25"/>
      <c r="R1029" s="25"/>
      <c r="S1029" s="25"/>
      <c r="T1029" s="10"/>
    </row>
    <row r="1030" s="35" customFormat="1" ht="18.5" customHeight="1" spans="1:20">
      <c r="A1030" s="16" t="s">
        <v>251</v>
      </c>
      <c r="B1030" s="41">
        <v>45294</v>
      </c>
      <c r="C1030" s="25">
        <v>18</v>
      </c>
      <c r="D1030" s="25"/>
      <c r="E1030" s="25"/>
      <c r="F1030" s="25"/>
      <c r="G1030" s="25"/>
      <c r="H1030" s="25"/>
      <c r="I1030" s="25"/>
      <c r="J1030" s="25"/>
      <c r="K1030" s="25"/>
      <c r="L1030" s="25"/>
      <c r="M1030" s="42" t="s">
        <v>253</v>
      </c>
      <c r="N1030" s="41">
        <v>45268</v>
      </c>
      <c r="O1030" s="25">
        <v>149</v>
      </c>
      <c r="P1030" s="25">
        <v>0</v>
      </c>
      <c r="Q1030" s="25"/>
      <c r="R1030" s="25"/>
      <c r="S1030" s="25"/>
      <c r="T1030" s="10"/>
    </row>
    <row r="1031" s="35" customFormat="1" ht="18.5" customHeight="1" spans="1:20">
      <c r="A1031" s="16" t="s">
        <v>251</v>
      </c>
      <c r="B1031" s="41">
        <v>44958</v>
      </c>
      <c r="C1031" s="25">
        <v>26</v>
      </c>
      <c r="D1031" s="25"/>
      <c r="E1031" s="25"/>
      <c r="F1031" s="25"/>
      <c r="G1031" s="25"/>
      <c r="H1031" s="25"/>
      <c r="I1031" s="25"/>
      <c r="J1031" s="25"/>
      <c r="K1031" s="25"/>
      <c r="L1031" s="25"/>
      <c r="M1031" s="42" t="s">
        <v>253</v>
      </c>
      <c r="N1031" s="41">
        <v>45236</v>
      </c>
      <c r="O1031" s="25">
        <v>149</v>
      </c>
      <c r="P1031" s="25">
        <v>0</v>
      </c>
      <c r="Q1031" s="25"/>
      <c r="R1031" s="25"/>
      <c r="S1031" s="25"/>
      <c r="T1031" s="10"/>
    </row>
    <row r="1032" s="35" customFormat="1" ht="18.5" customHeight="1" spans="1:20">
      <c r="A1032" s="16" t="s">
        <v>251</v>
      </c>
      <c r="B1032" s="41">
        <v>45176</v>
      </c>
      <c r="C1032" s="25">
        <v>13</v>
      </c>
      <c r="D1032" s="25"/>
      <c r="E1032" s="25"/>
      <c r="F1032" s="25"/>
      <c r="G1032" s="25"/>
      <c r="H1032" s="25"/>
      <c r="I1032" s="25"/>
      <c r="J1032" s="25"/>
      <c r="K1032" s="25"/>
      <c r="L1032" s="25"/>
      <c r="M1032" s="42" t="s">
        <v>253</v>
      </c>
      <c r="N1032" s="41">
        <v>45281</v>
      </c>
      <c r="O1032" s="25">
        <v>149</v>
      </c>
      <c r="P1032" s="25">
        <v>0</v>
      </c>
      <c r="Q1032" s="25"/>
      <c r="R1032" s="25"/>
      <c r="S1032" s="25"/>
      <c r="T1032" s="10"/>
    </row>
    <row r="1033" s="35" customFormat="1" ht="18.5" customHeight="1" spans="1:20">
      <c r="A1033" s="16" t="s">
        <v>251</v>
      </c>
      <c r="B1033" s="41">
        <v>44370</v>
      </c>
      <c r="C1033" s="25">
        <v>23</v>
      </c>
      <c r="D1033" s="25"/>
      <c r="E1033" s="25"/>
      <c r="F1033" s="25"/>
      <c r="G1033" s="25"/>
      <c r="H1033" s="25"/>
      <c r="I1033" s="25"/>
      <c r="J1033" s="25"/>
      <c r="K1033" s="25"/>
      <c r="L1033" s="25"/>
      <c r="M1033" s="42" t="s">
        <v>253</v>
      </c>
      <c r="N1033" s="41">
        <v>45265</v>
      </c>
      <c r="O1033" s="25">
        <v>148</v>
      </c>
      <c r="P1033" s="25">
        <v>0</v>
      </c>
      <c r="Q1033" s="25"/>
      <c r="R1033" s="25"/>
      <c r="S1033" s="25"/>
      <c r="T1033" s="10"/>
    </row>
    <row r="1034" s="35" customFormat="1" ht="18.5" customHeight="1" spans="1:20">
      <c r="A1034" s="16" t="s">
        <v>251</v>
      </c>
      <c r="B1034" s="41">
        <v>45268</v>
      </c>
      <c r="C1034" s="25">
        <v>18</v>
      </c>
      <c r="D1034" s="25"/>
      <c r="E1034" s="25"/>
      <c r="F1034" s="25"/>
      <c r="G1034" s="25"/>
      <c r="H1034" s="25"/>
      <c r="I1034" s="25"/>
      <c r="J1034" s="25"/>
      <c r="K1034" s="25"/>
      <c r="L1034" s="25"/>
      <c r="M1034" s="42" t="s">
        <v>253</v>
      </c>
      <c r="N1034" s="41">
        <v>45264</v>
      </c>
      <c r="O1034" s="25">
        <v>148</v>
      </c>
      <c r="P1034" s="25">
        <v>0</v>
      </c>
      <c r="Q1034" s="25"/>
      <c r="R1034" s="25"/>
      <c r="S1034" s="25"/>
      <c r="T1034" s="10"/>
    </row>
    <row r="1035" s="35" customFormat="1" ht="18.5" customHeight="1" spans="1:20">
      <c r="A1035" s="16" t="s">
        <v>251</v>
      </c>
      <c r="B1035" s="41">
        <v>44560</v>
      </c>
      <c r="C1035" s="25">
        <v>13</v>
      </c>
      <c r="D1035" s="25"/>
      <c r="E1035" s="25"/>
      <c r="F1035" s="25"/>
      <c r="G1035" s="25"/>
      <c r="H1035" s="25"/>
      <c r="I1035" s="25"/>
      <c r="J1035" s="25"/>
      <c r="K1035" s="25"/>
      <c r="L1035" s="25"/>
      <c r="M1035" s="42" t="s">
        <v>253</v>
      </c>
      <c r="N1035" s="41">
        <v>45261</v>
      </c>
      <c r="O1035" s="25">
        <v>148</v>
      </c>
      <c r="P1035" s="25">
        <v>0</v>
      </c>
      <c r="Q1035" s="25"/>
      <c r="R1035" s="25"/>
      <c r="S1035" s="25"/>
      <c r="T1035" s="10"/>
    </row>
    <row r="1036" s="35" customFormat="1" ht="18.5" customHeight="1" spans="1:20">
      <c r="A1036" s="16" t="s">
        <v>251</v>
      </c>
      <c r="B1036" s="41">
        <v>45277</v>
      </c>
      <c r="C1036" s="25">
        <v>9</v>
      </c>
      <c r="D1036" s="25"/>
      <c r="E1036" s="25"/>
      <c r="F1036" s="25"/>
      <c r="G1036" s="25"/>
      <c r="H1036" s="25"/>
      <c r="I1036" s="25"/>
      <c r="J1036" s="25"/>
      <c r="K1036" s="25"/>
      <c r="L1036" s="25"/>
      <c r="M1036" s="42" t="s">
        <v>253</v>
      </c>
      <c r="N1036" s="41">
        <v>45254</v>
      </c>
      <c r="O1036" s="25">
        <v>148</v>
      </c>
      <c r="P1036" s="25">
        <v>0</v>
      </c>
      <c r="Q1036" s="25"/>
      <c r="R1036" s="25"/>
      <c r="S1036" s="25"/>
      <c r="T1036" s="10"/>
    </row>
    <row r="1037" s="35" customFormat="1" ht="18.5" customHeight="1" spans="1:20">
      <c r="A1037" s="16" t="s">
        <v>251</v>
      </c>
      <c r="B1037" s="41">
        <v>45280</v>
      </c>
      <c r="C1037" s="25">
        <v>12</v>
      </c>
      <c r="D1037" s="25"/>
      <c r="E1037" s="25"/>
      <c r="F1037" s="25"/>
      <c r="G1037" s="25"/>
      <c r="H1037" s="25"/>
      <c r="I1037" s="25"/>
      <c r="J1037" s="25"/>
      <c r="K1037" s="25"/>
      <c r="L1037" s="25"/>
      <c r="M1037" s="42" t="s">
        <v>253</v>
      </c>
      <c r="N1037" s="41">
        <v>45267</v>
      </c>
      <c r="O1037" s="25">
        <v>147</v>
      </c>
      <c r="P1037" s="25">
        <v>0</v>
      </c>
      <c r="Q1037" s="25"/>
      <c r="R1037" s="25"/>
      <c r="S1037" s="25"/>
      <c r="T1037" s="10"/>
    </row>
    <row r="1038" s="35" customFormat="1" ht="18.5" customHeight="1" spans="1:20">
      <c r="A1038" s="16" t="s">
        <v>251</v>
      </c>
      <c r="B1038" s="41">
        <v>45054</v>
      </c>
      <c r="C1038" s="25">
        <v>16</v>
      </c>
      <c r="D1038" s="25"/>
      <c r="E1038" s="25"/>
      <c r="F1038" s="25"/>
      <c r="G1038" s="25"/>
      <c r="H1038" s="25"/>
      <c r="I1038" s="25"/>
      <c r="J1038" s="25"/>
      <c r="K1038" s="25"/>
      <c r="L1038" s="25"/>
      <c r="M1038" s="42" t="s">
        <v>253</v>
      </c>
      <c r="N1038" s="41">
        <v>45253</v>
      </c>
      <c r="O1038" s="25">
        <v>147</v>
      </c>
      <c r="P1038" s="25">
        <v>0</v>
      </c>
      <c r="Q1038" s="25"/>
      <c r="R1038" s="25"/>
      <c r="S1038" s="25"/>
      <c r="T1038" s="10"/>
    </row>
    <row r="1039" s="35" customFormat="1" ht="18.5" customHeight="1" spans="1:20">
      <c r="A1039" s="16" t="s">
        <v>251</v>
      </c>
      <c r="B1039" s="41">
        <v>45013</v>
      </c>
      <c r="C1039" s="25">
        <v>11</v>
      </c>
      <c r="D1039" s="25"/>
      <c r="E1039" s="25"/>
      <c r="F1039" s="25"/>
      <c r="G1039" s="25"/>
      <c r="H1039" s="25"/>
      <c r="I1039" s="25"/>
      <c r="J1039" s="25"/>
      <c r="K1039" s="25"/>
      <c r="L1039" s="25"/>
      <c r="M1039" s="42" t="s">
        <v>253</v>
      </c>
      <c r="N1039" s="41">
        <v>45237</v>
      </c>
      <c r="O1039" s="25">
        <v>147</v>
      </c>
      <c r="P1039" s="25">
        <v>0</v>
      </c>
      <c r="Q1039" s="25"/>
      <c r="R1039" s="25"/>
      <c r="S1039" s="25"/>
      <c r="T1039" s="10"/>
    </row>
    <row r="1040" s="35" customFormat="1" ht="18.5" customHeight="1" spans="1:20">
      <c r="A1040" s="16" t="s">
        <v>251</v>
      </c>
      <c r="B1040" s="41">
        <v>45236</v>
      </c>
      <c r="C1040" s="25">
        <v>11</v>
      </c>
      <c r="D1040" s="25"/>
      <c r="E1040" s="25"/>
      <c r="F1040" s="25"/>
      <c r="G1040" s="25"/>
      <c r="H1040" s="25"/>
      <c r="I1040" s="25"/>
      <c r="J1040" s="25"/>
      <c r="K1040" s="25"/>
      <c r="L1040" s="25"/>
      <c r="M1040" s="42" t="s">
        <v>253</v>
      </c>
      <c r="N1040" s="41">
        <v>45230</v>
      </c>
      <c r="O1040" s="25">
        <v>147</v>
      </c>
      <c r="P1040" s="25">
        <v>0</v>
      </c>
      <c r="Q1040" s="25"/>
      <c r="R1040" s="25"/>
      <c r="S1040" s="25"/>
      <c r="T1040" s="10"/>
    </row>
    <row r="1041" s="35" customFormat="1" ht="18.5" customHeight="1" spans="1:20">
      <c r="A1041" s="16" t="s">
        <v>251</v>
      </c>
      <c r="B1041" s="41">
        <v>45277</v>
      </c>
      <c r="C1041" s="25">
        <v>14</v>
      </c>
      <c r="D1041" s="25"/>
      <c r="E1041" s="25"/>
      <c r="F1041" s="25"/>
      <c r="G1041" s="25"/>
      <c r="H1041" s="25"/>
      <c r="I1041" s="25"/>
      <c r="J1041" s="25"/>
      <c r="K1041" s="25"/>
      <c r="L1041" s="25"/>
      <c r="M1041" s="42" t="s">
        <v>253</v>
      </c>
      <c r="N1041" s="41">
        <v>45059</v>
      </c>
      <c r="O1041" s="25">
        <v>147</v>
      </c>
      <c r="P1041" s="25">
        <v>0</v>
      </c>
      <c r="Q1041" s="25"/>
      <c r="R1041" s="25"/>
      <c r="S1041" s="25"/>
      <c r="T1041" s="10"/>
    </row>
    <row r="1042" s="35" customFormat="1" ht="18.5" customHeight="1" spans="1:20">
      <c r="A1042" s="16" t="s">
        <v>251</v>
      </c>
      <c r="B1042" s="41">
        <v>44668</v>
      </c>
      <c r="C1042" s="25">
        <v>13</v>
      </c>
      <c r="D1042" s="25"/>
      <c r="E1042" s="25"/>
      <c r="F1042" s="25"/>
      <c r="G1042" s="25"/>
      <c r="H1042" s="25"/>
      <c r="I1042" s="25"/>
      <c r="J1042" s="25"/>
      <c r="K1042" s="25"/>
      <c r="L1042" s="25"/>
      <c r="M1042" s="42" t="s">
        <v>253</v>
      </c>
      <c r="N1042" s="41">
        <v>45048</v>
      </c>
      <c r="O1042" s="25">
        <v>147</v>
      </c>
      <c r="P1042" s="25">
        <v>0</v>
      </c>
      <c r="Q1042" s="25"/>
      <c r="R1042" s="25"/>
      <c r="S1042" s="25"/>
      <c r="T1042" s="10"/>
    </row>
    <row r="1043" s="35" customFormat="1" ht="18.5" customHeight="1" spans="1:20">
      <c r="A1043" s="16" t="s">
        <v>251</v>
      </c>
      <c r="B1043" s="41">
        <v>45277</v>
      </c>
      <c r="C1043" s="25">
        <v>10</v>
      </c>
      <c r="D1043" s="25"/>
      <c r="E1043" s="25"/>
      <c r="F1043" s="25"/>
      <c r="G1043" s="25"/>
      <c r="H1043" s="25"/>
      <c r="I1043" s="25"/>
      <c r="J1043" s="25"/>
      <c r="K1043" s="25"/>
      <c r="L1043" s="25"/>
      <c r="M1043" s="42" t="s">
        <v>253</v>
      </c>
      <c r="N1043" s="41">
        <v>45253</v>
      </c>
      <c r="O1043" s="25">
        <v>146</v>
      </c>
      <c r="P1043" s="25">
        <v>0</v>
      </c>
      <c r="Q1043" s="25"/>
      <c r="R1043" s="25"/>
      <c r="S1043" s="25"/>
      <c r="T1043" s="10"/>
    </row>
    <row r="1044" s="35" customFormat="1" ht="18.5" customHeight="1" spans="1:20">
      <c r="A1044" s="16" t="s">
        <v>251</v>
      </c>
      <c r="B1044" s="41">
        <v>44364</v>
      </c>
      <c r="C1044" s="25">
        <v>20</v>
      </c>
      <c r="D1044" s="25"/>
      <c r="E1044" s="25"/>
      <c r="F1044" s="25"/>
      <c r="G1044" s="25"/>
      <c r="H1044" s="25"/>
      <c r="I1044" s="25"/>
      <c r="J1044" s="25"/>
      <c r="K1044" s="25"/>
      <c r="L1044" s="25"/>
      <c r="M1044" s="42" t="s">
        <v>253</v>
      </c>
      <c r="N1044" s="41">
        <v>45201</v>
      </c>
      <c r="O1044" s="25">
        <v>146</v>
      </c>
      <c r="P1044" s="25">
        <v>0</v>
      </c>
      <c r="Q1044" s="25"/>
      <c r="R1044" s="25"/>
      <c r="S1044" s="25"/>
      <c r="T1044" s="10"/>
    </row>
    <row r="1045" s="35" customFormat="1" ht="18.5" customHeight="1" spans="1:20">
      <c r="A1045" s="16" t="s">
        <v>251</v>
      </c>
      <c r="B1045" s="41">
        <v>44911</v>
      </c>
      <c r="C1045" s="25">
        <v>9</v>
      </c>
      <c r="D1045" s="25"/>
      <c r="E1045" s="25"/>
      <c r="F1045" s="25"/>
      <c r="G1045" s="25"/>
      <c r="H1045" s="25"/>
      <c r="I1045" s="25"/>
      <c r="J1045" s="25"/>
      <c r="K1045" s="25"/>
      <c r="L1045" s="25"/>
      <c r="M1045" s="42" t="s">
        <v>253</v>
      </c>
      <c r="N1045" s="41">
        <v>45279</v>
      </c>
      <c r="O1045" s="25">
        <v>145</v>
      </c>
      <c r="P1045" s="25">
        <v>0</v>
      </c>
      <c r="Q1045" s="25"/>
      <c r="R1045" s="25"/>
      <c r="S1045" s="25"/>
      <c r="T1045" s="10"/>
    </row>
    <row r="1046" s="35" customFormat="1" ht="18.5" customHeight="1" spans="1:20">
      <c r="A1046" s="16" t="s">
        <v>251</v>
      </c>
      <c r="B1046" s="41">
        <v>45276</v>
      </c>
      <c r="C1046" s="25">
        <v>29</v>
      </c>
      <c r="D1046" s="25"/>
      <c r="E1046" s="25"/>
      <c r="F1046" s="25"/>
      <c r="G1046" s="25"/>
      <c r="H1046" s="25"/>
      <c r="I1046" s="25"/>
      <c r="J1046" s="25"/>
      <c r="K1046" s="25"/>
      <c r="L1046" s="25"/>
      <c r="M1046" s="42" t="s">
        <v>253</v>
      </c>
      <c r="N1046" s="41">
        <v>45244</v>
      </c>
      <c r="O1046" s="25">
        <v>145</v>
      </c>
      <c r="P1046" s="25">
        <v>0</v>
      </c>
      <c r="Q1046" s="25"/>
      <c r="R1046" s="25"/>
      <c r="S1046" s="25"/>
      <c r="T1046" s="10"/>
    </row>
    <row r="1047" s="35" customFormat="1" ht="18.5" customHeight="1" spans="1:20">
      <c r="A1047" s="16" t="s">
        <v>251</v>
      </c>
      <c r="B1047" s="41">
        <v>44465</v>
      </c>
      <c r="C1047" s="25">
        <v>9</v>
      </c>
      <c r="D1047" s="25"/>
      <c r="E1047" s="25"/>
      <c r="F1047" s="25"/>
      <c r="G1047" s="25"/>
      <c r="H1047" s="25"/>
      <c r="I1047" s="25"/>
      <c r="J1047" s="25"/>
      <c r="K1047" s="25"/>
      <c r="L1047" s="25"/>
      <c r="M1047" s="42" t="s">
        <v>253</v>
      </c>
      <c r="N1047" s="41">
        <v>45077</v>
      </c>
      <c r="O1047" s="25">
        <v>145</v>
      </c>
      <c r="P1047" s="25">
        <v>0</v>
      </c>
      <c r="Q1047" s="25"/>
      <c r="R1047" s="25"/>
      <c r="S1047" s="25"/>
      <c r="T1047" s="10"/>
    </row>
    <row r="1048" s="35" customFormat="1" ht="18.5" customHeight="1" spans="1:20">
      <c r="A1048" s="16" t="s">
        <v>251</v>
      </c>
      <c r="B1048" s="41">
        <v>45273</v>
      </c>
      <c r="C1048" s="25">
        <v>11</v>
      </c>
      <c r="D1048" s="25"/>
      <c r="E1048" s="25"/>
      <c r="F1048" s="25"/>
      <c r="G1048" s="25"/>
      <c r="H1048" s="25"/>
      <c r="I1048" s="25"/>
      <c r="J1048" s="25"/>
      <c r="K1048" s="25"/>
      <c r="L1048" s="25"/>
      <c r="M1048" s="42" t="s">
        <v>253</v>
      </c>
      <c r="N1048" s="41">
        <v>45049</v>
      </c>
      <c r="O1048" s="25">
        <v>145</v>
      </c>
      <c r="P1048" s="25">
        <v>0</v>
      </c>
      <c r="Q1048" s="25"/>
      <c r="R1048" s="25"/>
      <c r="S1048" s="25"/>
      <c r="T1048" s="10"/>
    </row>
    <row r="1049" s="35" customFormat="1" ht="18.5" customHeight="1" spans="1:20">
      <c r="A1049" s="16" t="s">
        <v>251</v>
      </c>
      <c r="B1049" s="41">
        <v>45295</v>
      </c>
      <c r="C1049" s="25">
        <v>9</v>
      </c>
      <c r="D1049" s="25"/>
      <c r="E1049" s="25"/>
      <c r="F1049" s="25"/>
      <c r="G1049" s="25"/>
      <c r="H1049" s="25"/>
      <c r="I1049" s="25"/>
      <c r="J1049" s="25"/>
      <c r="K1049" s="25"/>
      <c r="L1049" s="25"/>
      <c r="M1049" s="42" t="s">
        <v>253</v>
      </c>
      <c r="N1049" s="41">
        <v>45048</v>
      </c>
      <c r="O1049" s="25">
        <v>145</v>
      </c>
      <c r="P1049" s="25">
        <v>0</v>
      </c>
      <c r="Q1049" s="25"/>
      <c r="R1049" s="25"/>
      <c r="S1049" s="25"/>
      <c r="T1049" s="10"/>
    </row>
    <row r="1050" s="35" customFormat="1" ht="18.5" customHeight="1" spans="1:20">
      <c r="A1050" s="16" t="s">
        <v>251</v>
      </c>
      <c r="B1050" s="41">
        <v>45277</v>
      </c>
      <c r="C1050" s="25">
        <v>11</v>
      </c>
      <c r="D1050" s="25"/>
      <c r="E1050" s="25"/>
      <c r="F1050" s="25"/>
      <c r="G1050" s="25"/>
      <c r="H1050" s="25"/>
      <c r="I1050" s="25"/>
      <c r="J1050" s="25"/>
      <c r="K1050" s="25"/>
      <c r="L1050" s="25"/>
      <c r="M1050" s="42" t="s">
        <v>253</v>
      </c>
      <c r="N1050" s="41">
        <v>45047</v>
      </c>
      <c r="O1050" s="25">
        <v>145</v>
      </c>
      <c r="P1050" s="25">
        <v>0</v>
      </c>
      <c r="Q1050" s="25"/>
      <c r="R1050" s="25"/>
      <c r="S1050" s="25"/>
      <c r="T1050" s="10"/>
    </row>
    <row r="1051" s="35" customFormat="1" ht="18.5" customHeight="1" spans="1:20">
      <c r="A1051" s="16" t="s">
        <v>251</v>
      </c>
      <c r="B1051" s="41">
        <v>45295</v>
      </c>
      <c r="C1051" s="25">
        <v>16</v>
      </c>
      <c r="D1051" s="25"/>
      <c r="E1051" s="25"/>
      <c r="F1051" s="25"/>
      <c r="G1051" s="25"/>
      <c r="H1051" s="25"/>
      <c r="I1051" s="25"/>
      <c r="J1051" s="25"/>
      <c r="K1051" s="25"/>
      <c r="L1051" s="25"/>
      <c r="M1051" s="42" t="s">
        <v>253</v>
      </c>
      <c r="N1051" s="41">
        <v>45020</v>
      </c>
      <c r="O1051" s="25">
        <v>145</v>
      </c>
      <c r="P1051" s="25">
        <v>0</v>
      </c>
      <c r="Q1051" s="25"/>
      <c r="R1051" s="25"/>
      <c r="S1051" s="25"/>
      <c r="T1051" s="10"/>
    </row>
    <row r="1052" s="35" customFormat="1" ht="18.5" customHeight="1" spans="1:20">
      <c r="A1052" s="16" t="s">
        <v>251</v>
      </c>
      <c r="B1052" s="41">
        <v>44470</v>
      </c>
      <c r="C1052" s="25">
        <v>11</v>
      </c>
      <c r="D1052" s="25"/>
      <c r="E1052" s="25"/>
      <c r="F1052" s="25"/>
      <c r="G1052" s="25"/>
      <c r="H1052" s="25"/>
      <c r="I1052" s="25"/>
      <c r="J1052" s="25"/>
      <c r="K1052" s="25"/>
      <c r="L1052" s="25"/>
      <c r="M1052" s="42" t="s">
        <v>253</v>
      </c>
      <c r="N1052" s="41">
        <v>45014</v>
      </c>
      <c r="O1052" s="25">
        <v>145</v>
      </c>
      <c r="P1052" s="25">
        <v>0</v>
      </c>
      <c r="Q1052" s="25"/>
      <c r="R1052" s="25"/>
      <c r="S1052" s="25"/>
      <c r="T1052" s="10"/>
    </row>
    <row r="1053" s="35" customFormat="1" ht="18.5" customHeight="1" spans="1:20">
      <c r="A1053" s="16" t="s">
        <v>251</v>
      </c>
      <c r="B1053" s="41">
        <v>45028</v>
      </c>
      <c r="C1053" s="25">
        <v>16</v>
      </c>
      <c r="D1053" s="25"/>
      <c r="E1053" s="25"/>
      <c r="F1053" s="25"/>
      <c r="G1053" s="25"/>
      <c r="H1053" s="25"/>
      <c r="I1053" s="25"/>
      <c r="J1053" s="25"/>
      <c r="K1053" s="25"/>
      <c r="L1053" s="25"/>
      <c r="M1053" s="42" t="s">
        <v>253</v>
      </c>
      <c r="N1053" s="41">
        <v>44958</v>
      </c>
      <c r="O1053" s="25">
        <v>145</v>
      </c>
      <c r="P1053" s="25">
        <v>0</v>
      </c>
      <c r="Q1053" s="25"/>
      <c r="R1053" s="25"/>
      <c r="S1053" s="25"/>
      <c r="T1053" s="10"/>
    </row>
    <row r="1054" s="35" customFormat="1" ht="18.5" customHeight="1" spans="1:20">
      <c r="A1054" s="16" t="s">
        <v>251</v>
      </c>
      <c r="B1054" s="41">
        <v>44375</v>
      </c>
      <c r="C1054" s="25">
        <v>9</v>
      </c>
      <c r="D1054" s="25"/>
      <c r="E1054" s="25"/>
      <c r="F1054" s="25"/>
      <c r="G1054" s="25"/>
      <c r="H1054" s="25"/>
      <c r="I1054" s="25"/>
      <c r="J1054" s="25"/>
      <c r="K1054" s="25"/>
      <c r="L1054" s="25"/>
      <c r="M1054" s="42" t="s">
        <v>253</v>
      </c>
      <c r="N1054" s="41">
        <v>45279</v>
      </c>
      <c r="O1054" s="25">
        <v>144</v>
      </c>
      <c r="P1054" s="25">
        <v>0</v>
      </c>
      <c r="Q1054" s="25"/>
      <c r="R1054" s="25"/>
      <c r="S1054" s="25"/>
      <c r="T1054" s="10"/>
    </row>
    <row r="1055" s="35" customFormat="1" ht="18.5" customHeight="1" spans="1:20">
      <c r="A1055" s="16" t="s">
        <v>251</v>
      </c>
      <c r="B1055" s="41">
        <v>45165</v>
      </c>
      <c r="C1055" s="25">
        <v>14</v>
      </c>
      <c r="D1055" s="25"/>
      <c r="E1055" s="25"/>
      <c r="F1055" s="25"/>
      <c r="G1055" s="25"/>
      <c r="H1055" s="25"/>
      <c r="I1055" s="25"/>
      <c r="J1055" s="25"/>
      <c r="K1055" s="25"/>
      <c r="L1055" s="25"/>
      <c r="M1055" s="42" t="s">
        <v>253</v>
      </c>
      <c r="N1055" s="41">
        <v>45261</v>
      </c>
      <c r="O1055" s="25">
        <v>144</v>
      </c>
      <c r="P1055" s="25">
        <v>0</v>
      </c>
      <c r="Q1055" s="25"/>
      <c r="R1055" s="25"/>
      <c r="S1055" s="25"/>
      <c r="T1055" s="10"/>
    </row>
    <row r="1056" s="35" customFormat="1" ht="18.5" customHeight="1" spans="1:20">
      <c r="A1056" s="16" t="s">
        <v>251</v>
      </c>
      <c r="B1056" s="41">
        <v>45247</v>
      </c>
      <c r="C1056" s="25">
        <v>9</v>
      </c>
      <c r="D1056" s="25"/>
      <c r="E1056" s="25"/>
      <c r="F1056" s="25"/>
      <c r="G1056" s="25"/>
      <c r="H1056" s="25"/>
      <c r="I1056" s="25"/>
      <c r="J1056" s="25"/>
      <c r="K1056" s="25"/>
      <c r="L1056" s="25"/>
      <c r="M1056" s="42" t="s">
        <v>253</v>
      </c>
      <c r="N1056" s="41">
        <v>45255</v>
      </c>
      <c r="O1056" s="25">
        <v>144</v>
      </c>
      <c r="P1056" s="25">
        <v>0</v>
      </c>
      <c r="Q1056" s="25"/>
      <c r="R1056" s="25"/>
      <c r="S1056" s="25"/>
      <c r="T1056" s="10"/>
    </row>
    <row r="1057" s="35" customFormat="1" ht="18.5" customHeight="1" spans="1:20">
      <c r="A1057" s="16" t="s">
        <v>251</v>
      </c>
      <c r="B1057" s="41">
        <v>45295</v>
      </c>
      <c r="C1057" s="25">
        <v>14</v>
      </c>
      <c r="D1057" s="25"/>
      <c r="E1057" s="25"/>
      <c r="F1057" s="25"/>
      <c r="G1057" s="25"/>
      <c r="H1057" s="25"/>
      <c r="I1057" s="25"/>
      <c r="J1057" s="25"/>
      <c r="K1057" s="25"/>
      <c r="L1057" s="25"/>
      <c r="M1057" s="42" t="s">
        <v>253</v>
      </c>
      <c r="N1057" s="41">
        <v>45241</v>
      </c>
      <c r="O1057" s="25">
        <v>144</v>
      </c>
      <c r="P1057" s="25">
        <v>0</v>
      </c>
      <c r="Q1057" s="25"/>
      <c r="R1057" s="25"/>
      <c r="S1057" s="25"/>
      <c r="T1057" s="10"/>
    </row>
    <row r="1058" s="35" customFormat="1" ht="18.5" customHeight="1" spans="1:20">
      <c r="A1058" s="16" t="s">
        <v>251</v>
      </c>
      <c r="B1058" s="41">
        <v>44391</v>
      </c>
      <c r="C1058" s="25">
        <v>9</v>
      </c>
      <c r="D1058" s="25"/>
      <c r="E1058" s="25"/>
      <c r="F1058" s="25"/>
      <c r="G1058" s="25"/>
      <c r="H1058" s="25"/>
      <c r="I1058" s="25"/>
      <c r="J1058" s="25"/>
      <c r="K1058" s="25"/>
      <c r="L1058" s="25"/>
      <c r="M1058" s="42" t="s">
        <v>253</v>
      </c>
      <c r="N1058" s="41">
        <v>45280</v>
      </c>
      <c r="O1058" s="25">
        <v>144</v>
      </c>
      <c r="P1058" s="25">
        <v>0</v>
      </c>
      <c r="Q1058" s="25"/>
      <c r="R1058" s="25"/>
      <c r="S1058" s="25"/>
      <c r="T1058" s="10"/>
    </row>
    <row r="1059" s="35" customFormat="1" ht="18.5" customHeight="1" spans="1:20">
      <c r="A1059" s="16" t="s">
        <v>251</v>
      </c>
      <c r="B1059" s="41">
        <v>45295</v>
      </c>
      <c r="C1059" s="25">
        <v>9</v>
      </c>
      <c r="D1059" s="25"/>
      <c r="E1059" s="25"/>
      <c r="F1059" s="25"/>
      <c r="G1059" s="25"/>
      <c r="H1059" s="25"/>
      <c r="I1059" s="25"/>
      <c r="J1059" s="25"/>
      <c r="K1059" s="25"/>
      <c r="L1059" s="25"/>
      <c r="M1059" s="42" t="s">
        <v>253</v>
      </c>
      <c r="N1059" s="41">
        <v>45276</v>
      </c>
      <c r="O1059" s="25">
        <v>144</v>
      </c>
      <c r="P1059" s="25">
        <v>0</v>
      </c>
      <c r="Q1059" s="25"/>
      <c r="R1059" s="25"/>
      <c r="S1059" s="25"/>
      <c r="T1059" s="10"/>
    </row>
    <row r="1060" s="35" customFormat="1" ht="18.5" customHeight="1" spans="1:20">
      <c r="A1060" s="16" t="s">
        <v>251</v>
      </c>
      <c r="B1060" s="41">
        <v>44480</v>
      </c>
      <c r="C1060" s="25">
        <v>11</v>
      </c>
      <c r="D1060" s="25"/>
      <c r="E1060" s="25"/>
      <c r="F1060" s="25"/>
      <c r="G1060" s="25"/>
      <c r="H1060" s="25"/>
      <c r="I1060" s="25"/>
      <c r="J1060" s="25"/>
      <c r="K1060" s="25"/>
      <c r="L1060" s="25"/>
      <c r="M1060" s="42" t="s">
        <v>253</v>
      </c>
      <c r="N1060" s="41">
        <v>45050</v>
      </c>
      <c r="O1060" s="25">
        <v>143</v>
      </c>
      <c r="P1060" s="25">
        <v>0</v>
      </c>
      <c r="Q1060" s="25"/>
      <c r="R1060" s="25"/>
      <c r="S1060" s="25"/>
      <c r="T1060" s="10"/>
    </row>
    <row r="1061" s="35" customFormat="1" ht="18.5" customHeight="1" spans="1:20">
      <c r="A1061" s="16" t="s">
        <v>251</v>
      </c>
      <c r="B1061" s="41">
        <v>45281</v>
      </c>
      <c r="C1061" s="25">
        <v>17</v>
      </c>
      <c r="D1061" s="25"/>
      <c r="E1061" s="25"/>
      <c r="F1061" s="25"/>
      <c r="G1061" s="25"/>
      <c r="H1061" s="25"/>
      <c r="I1061" s="25"/>
      <c r="J1061" s="25"/>
      <c r="K1061" s="25"/>
      <c r="L1061" s="25"/>
      <c r="M1061" s="42" t="s">
        <v>253</v>
      </c>
      <c r="N1061" s="41">
        <v>45040</v>
      </c>
      <c r="O1061" s="25">
        <v>143</v>
      </c>
      <c r="P1061" s="25">
        <v>0</v>
      </c>
      <c r="Q1061" s="25"/>
      <c r="R1061" s="25"/>
      <c r="S1061" s="25"/>
      <c r="T1061" s="10"/>
    </row>
    <row r="1062" s="35" customFormat="1" ht="18.5" customHeight="1" spans="1:20">
      <c r="A1062" s="16" t="s">
        <v>251</v>
      </c>
      <c r="B1062" s="41">
        <v>45280</v>
      </c>
      <c r="C1062" s="25">
        <v>10</v>
      </c>
      <c r="D1062" s="25"/>
      <c r="E1062" s="25"/>
      <c r="F1062" s="25"/>
      <c r="G1062" s="25"/>
      <c r="H1062" s="25"/>
      <c r="I1062" s="25"/>
      <c r="J1062" s="25"/>
      <c r="K1062" s="25"/>
      <c r="L1062" s="25"/>
      <c r="M1062" s="42" t="s">
        <v>253</v>
      </c>
      <c r="N1062" s="41">
        <v>45048</v>
      </c>
      <c r="O1062" s="25">
        <v>142</v>
      </c>
      <c r="P1062" s="25">
        <v>0</v>
      </c>
      <c r="Q1062" s="25"/>
      <c r="R1062" s="25"/>
      <c r="S1062" s="25"/>
      <c r="T1062" s="10"/>
    </row>
    <row r="1063" s="35" customFormat="1" ht="18.5" customHeight="1" spans="1:20">
      <c r="A1063" s="16" t="s">
        <v>251</v>
      </c>
      <c r="B1063" s="41">
        <v>44817</v>
      </c>
      <c r="C1063" s="25">
        <v>11</v>
      </c>
      <c r="D1063" s="25"/>
      <c r="E1063" s="25"/>
      <c r="F1063" s="25"/>
      <c r="G1063" s="25"/>
      <c r="H1063" s="25"/>
      <c r="I1063" s="25"/>
      <c r="J1063" s="25"/>
      <c r="K1063" s="25"/>
      <c r="L1063" s="25"/>
      <c r="M1063" s="42" t="s">
        <v>253</v>
      </c>
      <c r="N1063" s="41">
        <v>45240</v>
      </c>
      <c r="O1063" s="25">
        <v>141</v>
      </c>
      <c r="P1063" s="25">
        <v>0</v>
      </c>
      <c r="Q1063" s="25"/>
      <c r="R1063" s="25"/>
      <c r="S1063" s="25"/>
      <c r="T1063" s="10"/>
    </row>
    <row r="1064" s="35" customFormat="1" ht="18.5" customHeight="1" spans="1:20">
      <c r="A1064" s="16" t="s">
        <v>251</v>
      </c>
      <c r="B1064" s="41">
        <v>44360</v>
      </c>
      <c r="C1064" s="25">
        <v>13</v>
      </c>
      <c r="D1064" s="25"/>
      <c r="E1064" s="25"/>
      <c r="F1064" s="25"/>
      <c r="G1064" s="25"/>
      <c r="H1064" s="25"/>
      <c r="I1064" s="25"/>
      <c r="J1064" s="25"/>
      <c r="K1064" s="25"/>
      <c r="L1064" s="25"/>
      <c r="M1064" s="42" t="s">
        <v>253</v>
      </c>
      <c r="N1064" s="41">
        <v>45240</v>
      </c>
      <c r="O1064" s="25">
        <v>141</v>
      </c>
      <c r="P1064" s="25">
        <v>0</v>
      </c>
      <c r="Q1064" s="25"/>
      <c r="R1064" s="25"/>
      <c r="S1064" s="25"/>
      <c r="T1064" s="10"/>
    </row>
    <row r="1065" s="35" customFormat="1" ht="18.5" customHeight="1" spans="1:20">
      <c r="A1065" s="16" t="s">
        <v>251</v>
      </c>
      <c r="B1065" s="41">
        <v>44404</v>
      </c>
      <c r="C1065" s="25">
        <v>4</v>
      </c>
      <c r="D1065" s="25"/>
      <c r="E1065" s="25"/>
      <c r="F1065" s="25"/>
      <c r="G1065" s="25"/>
      <c r="H1065" s="25"/>
      <c r="I1065" s="25"/>
      <c r="J1065" s="25"/>
      <c r="K1065" s="25"/>
      <c r="L1065" s="25"/>
      <c r="M1065" s="42" t="s">
        <v>253</v>
      </c>
      <c r="N1065" s="41">
        <v>45218</v>
      </c>
      <c r="O1065" s="25">
        <v>142</v>
      </c>
      <c r="P1065" s="25">
        <v>0</v>
      </c>
      <c r="Q1065" s="25"/>
      <c r="R1065" s="25"/>
      <c r="S1065" s="25"/>
      <c r="T1065" s="10"/>
    </row>
    <row r="1066" s="35" customFormat="1" ht="18.5" customHeight="1" spans="1:20">
      <c r="A1066" s="16" t="s">
        <v>251</v>
      </c>
      <c r="B1066" s="41">
        <v>45277</v>
      </c>
      <c r="C1066" s="25">
        <v>5</v>
      </c>
      <c r="D1066" s="25"/>
      <c r="E1066" s="25"/>
      <c r="F1066" s="25"/>
      <c r="G1066" s="25"/>
      <c r="H1066" s="25"/>
      <c r="I1066" s="25"/>
      <c r="J1066" s="25"/>
      <c r="K1066" s="25"/>
      <c r="L1066" s="25"/>
      <c r="M1066" s="42" t="s">
        <v>253</v>
      </c>
      <c r="N1066" s="41">
        <v>45009</v>
      </c>
      <c r="O1066" s="25">
        <v>141</v>
      </c>
      <c r="P1066" s="25">
        <v>0</v>
      </c>
      <c r="Q1066" s="25"/>
      <c r="R1066" s="25"/>
      <c r="S1066" s="25"/>
      <c r="T1066" s="10"/>
    </row>
    <row r="1067" s="35" customFormat="1" ht="18.5" customHeight="1" spans="1:20">
      <c r="A1067" s="16" t="s">
        <v>251</v>
      </c>
      <c r="B1067" s="41">
        <v>44468</v>
      </c>
      <c r="C1067" s="25">
        <v>4</v>
      </c>
      <c r="D1067" s="25"/>
      <c r="E1067" s="25"/>
      <c r="F1067" s="25"/>
      <c r="G1067" s="25"/>
      <c r="H1067" s="25"/>
      <c r="I1067" s="25"/>
      <c r="J1067" s="25"/>
      <c r="K1067" s="25"/>
      <c r="L1067" s="25"/>
      <c r="M1067" s="42" t="s">
        <v>253</v>
      </c>
      <c r="N1067" s="41">
        <v>45253</v>
      </c>
      <c r="O1067" s="25">
        <v>141</v>
      </c>
      <c r="P1067" s="25">
        <v>0</v>
      </c>
      <c r="Q1067" s="25"/>
      <c r="R1067" s="25"/>
      <c r="S1067" s="25"/>
      <c r="T1067" s="10"/>
    </row>
    <row r="1068" s="35" customFormat="1" ht="18.5" customHeight="1" spans="1:20">
      <c r="A1068" s="16" t="s">
        <v>251</v>
      </c>
      <c r="B1068" s="41">
        <v>44476</v>
      </c>
      <c r="C1068" s="25">
        <v>6</v>
      </c>
      <c r="D1068" s="25"/>
      <c r="E1068" s="25"/>
      <c r="F1068" s="25"/>
      <c r="G1068" s="25"/>
      <c r="H1068" s="25"/>
      <c r="I1068" s="25"/>
      <c r="J1068" s="25"/>
      <c r="K1068" s="25"/>
      <c r="L1068" s="25"/>
      <c r="M1068" s="42" t="s">
        <v>253</v>
      </c>
      <c r="N1068" s="41">
        <v>45223</v>
      </c>
      <c r="O1068" s="25">
        <v>140</v>
      </c>
      <c r="P1068" s="25">
        <v>0</v>
      </c>
      <c r="Q1068" s="25"/>
      <c r="R1068" s="25"/>
      <c r="S1068" s="25"/>
      <c r="T1068" s="10"/>
    </row>
    <row r="1069" s="35" customFormat="1" ht="18.5" customHeight="1" spans="1:20">
      <c r="A1069" s="16" t="s">
        <v>251</v>
      </c>
      <c r="B1069" s="41">
        <v>44469</v>
      </c>
      <c r="C1069" s="25">
        <v>2</v>
      </c>
      <c r="D1069" s="25"/>
      <c r="E1069" s="25"/>
      <c r="F1069" s="25"/>
      <c r="G1069" s="25"/>
      <c r="H1069" s="25"/>
      <c r="I1069" s="25"/>
      <c r="J1069" s="25"/>
      <c r="K1069" s="25"/>
      <c r="L1069" s="25"/>
      <c r="M1069" s="42" t="s">
        <v>253</v>
      </c>
      <c r="N1069" s="41">
        <v>45254</v>
      </c>
      <c r="O1069" s="25">
        <v>139</v>
      </c>
      <c r="P1069" s="25">
        <v>0</v>
      </c>
      <c r="Q1069" s="25"/>
      <c r="R1069" s="25"/>
      <c r="S1069" s="25"/>
      <c r="T1069" s="10"/>
    </row>
    <row r="1070" s="35" customFormat="1" ht="18.5" customHeight="1" spans="1:20">
      <c r="A1070" s="16" t="s">
        <v>251</v>
      </c>
      <c r="B1070" s="41">
        <v>44397</v>
      </c>
      <c r="C1070" s="25">
        <v>1</v>
      </c>
      <c r="D1070" s="25"/>
      <c r="E1070" s="25"/>
      <c r="F1070" s="25"/>
      <c r="G1070" s="25"/>
      <c r="H1070" s="25"/>
      <c r="I1070" s="25"/>
      <c r="J1070" s="25"/>
      <c r="K1070" s="25"/>
      <c r="L1070" s="25"/>
      <c r="M1070" s="42" t="s">
        <v>253</v>
      </c>
      <c r="N1070" s="41">
        <v>45238</v>
      </c>
      <c r="O1070" s="25">
        <v>139</v>
      </c>
      <c r="P1070" s="25">
        <v>0</v>
      </c>
      <c r="Q1070" s="25"/>
      <c r="R1070" s="25"/>
      <c r="S1070" s="25"/>
      <c r="T1070" s="10"/>
    </row>
    <row r="1071" s="35" customFormat="1" ht="18.5" customHeight="1" spans="1:20">
      <c r="A1071" s="16" t="s">
        <v>251</v>
      </c>
      <c r="B1071" s="41">
        <v>44472</v>
      </c>
      <c r="C1071" s="25">
        <v>6</v>
      </c>
      <c r="D1071" s="25"/>
      <c r="E1071" s="25"/>
      <c r="F1071" s="25"/>
      <c r="G1071" s="25"/>
      <c r="H1071" s="25"/>
      <c r="I1071" s="25"/>
      <c r="J1071" s="25"/>
      <c r="K1071" s="25"/>
      <c r="L1071" s="25"/>
      <c r="M1071" s="42" t="s">
        <v>253</v>
      </c>
      <c r="N1071" s="41">
        <v>45204</v>
      </c>
      <c r="O1071" s="25">
        <v>139</v>
      </c>
      <c r="P1071" s="25">
        <v>0</v>
      </c>
      <c r="Q1071" s="25"/>
      <c r="R1071" s="25"/>
      <c r="S1071" s="25"/>
      <c r="T1071" s="10"/>
    </row>
    <row r="1072" s="35" customFormat="1" ht="18.5" customHeight="1" spans="1:20">
      <c r="A1072" s="16" t="s">
        <v>251</v>
      </c>
      <c r="B1072" s="41">
        <v>44354</v>
      </c>
      <c r="C1072" s="25">
        <v>0</v>
      </c>
      <c r="D1072" s="25"/>
      <c r="E1072" s="25"/>
      <c r="F1072" s="25"/>
      <c r="G1072" s="25"/>
      <c r="H1072" s="25"/>
      <c r="I1072" s="25"/>
      <c r="J1072" s="25"/>
      <c r="K1072" s="25"/>
      <c r="L1072" s="25"/>
      <c r="M1072" s="42" t="s">
        <v>253</v>
      </c>
      <c r="N1072" s="41">
        <v>45022</v>
      </c>
      <c r="O1072" s="25">
        <v>139</v>
      </c>
      <c r="P1072" s="25">
        <v>0</v>
      </c>
      <c r="Q1072" s="25"/>
      <c r="R1072" s="25"/>
      <c r="S1072" s="25"/>
      <c r="T1072" s="10"/>
    </row>
    <row r="1073" s="35" customFormat="1" ht="18.5" customHeight="1" spans="1:20">
      <c r="A1073" s="16" t="s">
        <v>251</v>
      </c>
      <c r="B1073" s="41">
        <v>44438</v>
      </c>
      <c r="C1073" s="25">
        <v>2</v>
      </c>
      <c r="D1073" s="25"/>
      <c r="E1073" s="25"/>
      <c r="F1073" s="25"/>
      <c r="G1073" s="25"/>
      <c r="H1073" s="25"/>
      <c r="I1073" s="25"/>
      <c r="J1073" s="25"/>
      <c r="K1073" s="25"/>
      <c r="L1073" s="25"/>
      <c r="M1073" s="42" t="s">
        <v>253</v>
      </c>
      <c r="N1073" s="41">
        <v>45007</v>
      </c>
      <c r="O1073" s="25">
        <v>139</v>
      </c>
      <c r="P1073" s="25">
        <v>0</v>
      </c>
      <c r="Q1073" s="25"/>
      <c r="R1073" s="25"/>
      <c r="S1073" s="25"/>
      <c r="T1073" s="10"/>
    </row>
    <row r="1074" s="35" customFormat="1" ht="18.5" customHeight="1" spans="1:20">
      <c r="A1074" s="16" t="s">
        <v>251</v>
      </c>
      <c r="B1074" s="41">
        <v>44361</v>
      </c>
      <c r="C1074" s="25">
        <v>3</v>
      </c>
      <c r="D1074" s="25"/>
      <c r="E1074" s="25"/>
      <c r="F1074" s="25"/>
      <c r="G1074" s="25"/>
      <c r="H1074" s="25"/>
      <c r="I1074" s="25"/>
      <c r="J1074" s="25"/>
      <c r="K1074" s="25"/>
      <c r="L1074" s="25"/>
      <c r="M1074" s="42" t="s">
        <v>253</v>
      </c>
      <c r="N1074" s="41">
        <v>45233</v>
      </c>
      <c r="O1074" s="25">
        <v>138</v>
      </c>
      <c r="P1074" s="25">
        <v>0</v>
      </c>
      <c r="Q1074" s="25"/>
      <c r="R1074" s="25"/>
      <c r="S1074" s="25"/>
      <c r="T1074" s="10"/>
    </row>
    <row r="1075" s="35" customFormat="1" ht="18.5" customHeight="1" spans="1:20">
      <c r="A1075" s="16" t="s">
        <v>251</v>
      </c>
      <c r="B1075" s="41">
        <v>45276</v>
      </c>
      <c r="C1075" s="25">
        <v>7</v>
      </c>
      <c r="D1075" s="25"/>
      <c r="E1075" s="25"/>
      <c r="F1075" s="25"/>
      <c r="G1075" s="25"/>
      <c r="H1075" s="25"/>
      <c r="I1075" s="25"/>
      <c r="J1075" s="25"/>
      <c r="K1075" s="25"/>
      <c r="L1075" s="25"/>
      <c r="M1075" s="42" t="s">
        <v>253</v>
      </c>
      <c r="N1075" s="41">
        <v>45219</v>
      </c>
      <c r="O1075" s="25">
        <v>138</v>
      </c>
      <c r="P1075" s="25">
        <v>0</v>
      </c>
      <c r="Q1075" s="25"/>
      <c r="R1075" s="25"/>
      <c r="S1075" s="25"/>
      <c r="T1075" s="10"/>
    </row>
    <row r="1076" s="35" customFormat="1" ht="18.5" customHeight="1" spans="1:20">
      <c r="A1076" s="16" t="s">
        <v>251</v>
      </c>
      <c r="B1076" s="41">
        <v>45281</v>
      </c>
      <c r="C1076" s="25">
        <v>6</v>
      </c>
      <c r="D1076" s="25"/>
      <c r="E1076" s="25"/>
      <c r="F1076" s="25"/>
      <c r="G1076" s="25"/>
      <c r="H1076" s="25"/>
      <c r="I1076" s="25"/>
      <c r="J1076" s="25"/>
      <c r="K1076" s="25"/>
      <c r="L1076" s="25"/>
      <c r="M1076" s="42" t="s">
        <v>253</v>
      </c>
      <c r="N1076" s="41">
        <v>45274</v>
      </c>
      <c r="O1076" s="25">
        <v>137</v>
      </c>
      <c r="P1076" s="25">
        <v>0</v>
      </c>
      <c r="Q1076" s="25"/>
      <c r="R1076" s="25"/>
      <c r="S1076" s="25"/>
      <c r="T1076" s="10"/>
    </row>
    <row r="1077" s="35" customFormat="1" ht="18.5" customHeight="1" spans="1:20">
      <c r="A1077" s="16" t="s">
        <v>251</v>
      </c>
      <c r="B1077" s="41">
        <v>44453</v>
      </c>
      <c r="C1077" s="25">
        <v>5</v>
      </c>
      <c r="D1077" s="25"/>
      <c r="E1077" s="25"/>
      <c r="F1077" s="25"/>
      <c r="G1077" s="25"/>
      <c r="H1077" s="25"/>
      <c r="I1077" s="25"/>
      <c r="J1077" s="25"/>
      <c r="K1077" s="25"/>
      <c r="L1077" s="25"/>
      <c r="M1077" s="42" t="s">
        <v>253</v>
      </c>
      <c r="N1077" s="41">
        <v>45239</v>
      </c>
      <c r="O1077" s="25">
        <v>137</v>
      </c>
      <c r="P1077" s="25">
        <v>0</v>
      </c>
      <c r="Q1077" s="25"/>
      <c r="R1077" s="25"/>
      <c r="S1077" s="25"/>
      <c r="T1077" s="10"/>
    </row>
    <row r="1078" s="35" customFormat="1" ht="18.5" customHeight="1" spans="1:20">
      <c r="A1078" s="16" t="s">
        <v>251</v>
      </c>
      <c r="B1078" s="41">
        <v>44856</v>
      </c>
      <c r="C1078" s="25">
        <v>8</v>
      </c>
      <c r="D1078" s="25"/>
      <c r="E1078" s="25"/>
      <c r="F1078" s="25"/>
      <c r="G1078" s="25"/>
      <c r="H1078" s="25"/>
      <c r="I1078" s="25"/>
      <c r="J1078" s="25"/>
      <c r="K1078" s="25"/>
      <c r="L1078" s="25"/>
      <c r="M1078" s="42" t="s">
        <v>253</v>
      </c>
      <c r="N1078" s="41">
        <v>45071</v>
      </c>
      <c r="O1078" s="25">
        <v>137</v>
      </c>
      <c r="P1078" s="25">
        <v>0</v>
      </c>
      <c r="Q1078" s="25"/>
      <c r="R1078" s="25"/>
      <c r="S1078" s="25"/>
      <c r="T1078" s="10"/>
    </row>
    <row r="1079" s="35" customFormat="1" ht="18.5" customHeight="1" spans="1:20">
      <c r="A1079" s="16" t="s">
        <v>251</v>
      </c>
      <c r="B1079" s="41">
        <v>44442</v>
      </c>
      <c r="C1079" s="25">
        <v>1</v>
      </c>
      <c r="D1079" s="25"/>
      <c r="E1079" s="25"/>
      <c r="F1079" s="25"/>
      <c r="G1079" s="25"/>
      <c r="H1079" s="25"/>
      <c r="I1079" s="25"/>
      <c r="J1079" s="25"/>
      <c r="K1079" s="25"/>
      <c r="L1079" s="25"/>
      <c r="M1079" s="42" t="s">
        <v>253</v>
      </c>
      <c r="N1079" s="41">
        <v>45048</v>
      </c>
      <c r="O1079" s="25">
        <v>137</v>
      </c>
      <c r="P1079" s="25">
        <v>0</v>
      </c>
      <c r="Q1079" s="25"/>
      <c r="R1079" s="25"/>
      <c r="S1079" s="25"/>
      <c r="T1079" s="10"/>
    </row>
    <row r="1080" s="35" customFormat="1" ht="18.5" customHeight="1" spans="1:20">
      <c r="A1080" s="16" t="s">
        <v>251</v>
      </c>
      <c r="B1080" s="41">
        <v>45272</v>
      </c>
      <c r="C1080" s="25">
        <v>5</v>
      </c>
      <c r="D1080" s="25"/>
      <c r="E1080" s="25"/>
      <c r="F1080" s="25"/>
      <c r="G1080" s="25"/>
      <c r="H1080" s="25"/>
      <c r="I1080" s="25"/>
      <c r="J1080" s="25"/>
      <c r="K1080" s="25"/>
      <c r="L1080" s="25"/>
      <c r="M1080" s="42" t="s">
        <v>253</v>
      </c>
      <c r="N1080" s="41">
        <v>45285</v>
      </c>
      <c r="O1080" s="25">
        <v>136</v>
      </c>
      <c r="P1080" s="25">
        <v>0</v>
      </c>
      <c r="Q1080" s="25"/>
      <c r="R1080" s="25"/>
      <c r="S1080" s="25"/>
      <c r="T1080" s="10"/>
    </row>
    <row r="1081" s="35" customFormat="1" ht="18.5" customHeight="1" spans="1:20">
      <c r="A1081" s="16" t="s">
        <v>251</v>
      </c>
      <c r="B1081" s="41">
        <v>45277</v>
      </c>
      <c r="C1081" s="25">
        <v>4</v>
      </c>
      <c r="D1081" s="25"/>
      <c r="E1081" s="25"/>
      <c r="F1081" s="25"/>
      <c r="G1081" s="25"/>
      <c r="H1081" s="25"/>
      <c r="I1081" s="25"/>
      <c r="J1081" s="25"/>
      <c r="K1081" s="25"/>
      <c r="L1081" s="25"/>
      <c r="M1081" s="42" t="s">
        <v>253</v>
      </c>
      <c r="N1081" s="41">
        <v>45281</v>
      </c>
      <c r="O1081" s="25">
        <v>137</v>
      </c>
      <c r="P1081" s="25">
        <v>0</v>
      </c>
      <c r="Q1081" s="25"/>
      <c r="R1081" s="25"/>
      <c r="S1081" s="25"/>
      <c r="T1081" s="10"/>
    </row>
    <row r="1082" s="35" customFormat="1" ht="18.5" customHeight="1" spans="1:20">
      <c r="A1082" s="16" t="s">
        <v>251</v>
      </c>
      <c r="B1082" s="41">
        <v>44419</v>
      </c>
      <c r="C1082" s="25">
        <v>5</v>
      </c>
      <c r="D1082" s="25"/>
      <c r="E1082" s="25"/>
      <c r="F1082" s="25"/>
      <c r="G1082" s="25"/>
      <c r="H1082" s="25"/>
      <c r="I1082" s="25"/>
      <c r="J1082" s="25"/>
      <c r="K1082" s="25"/>
      <c r="L1082" s="25"/>
      <c r="M1082" s="42" t="s">
        <v>253</v>
      </c>
      <c r="N1082" s="41">
        <v>45271</v>
      </c>
      <c r="O1082" s="25">
        <v>136</v>
      </c>
      <c r="P1082" s="25">
        <v>0</v>
      </c>
      <c r="Q1082" s="25"/>
      <c r="R1082" s="25"/>
      <c r="S1082" s="25"/>
      <c r="T1082" s="10"/>
    </row>
    <row r="1083" s="35" customFormat="1" ht="18.5" customHeight="1" spans="1:20">
      <c r="A1083" s="16" t="s">
        <v>251</v>
      </c>
      <c r="B1083" s="41">
        <v>44737</v>
      </c>
      <c r="C1083" s="25">
        <v>5</v>
      </c>
      <c r="D1083" s="25"/>
      <c r="E1083" s="25"/>
      <c r="F1083" s="25"/>
      <c r="G1083" s="25"/>
      <c r="H1083" s="25"/>
      <c r="I1083" s="25"/>
      <c r="J1083" s="25"/>
      <c r="K1083" s="25"/>
      <c r="L1083" s="25"/>
      <c r="M1083" s="42" t="s">
        <v>253</v>
      </c>
      <c r="N1083" s="41">
        <v>45239</v>
      </c>
      <c r="O1083" s="25">
        <v>136</v>
      </c>
      <c r="P1083" s="25">
        <v>0</v>
      </c>
      <c r="Q1083" s="25"/>
      <c r="R1083" s="25"/>
      <c r="S1083" s="25"/>
      <c r="T1083" s="10"/>
    </row>
    <row r="1084" s="35" customFormat="1" ht="18.5" customHeight="1" spans="1:20">
      <c r="A1084" s="16" t="s">
        <v>251</v>
      </c>
      <c r="B1084" s="41">
        <v>44430</v>
      </c>
      <c r="C1084" s="25">
        <v>5</v>
      </c>
      <c r="D1084" s="25"/>
      <c r="E1084" s="25"/>
      <c r="F1084" s="25"/>
      <c r="G1084" s="25"/>
      <c r="H1084" s="25"/>
      <c r="I1084" s="25"/>
      <c r="J1084" s="25"/>
      <c r="K1084" s="25"/>
      <c r="L1084" s="25"/>
      <c r="M1084" s="42" t="s">
        <v>253</v>
      </c>
      <c r="N1084" s="41">
        <v>45237</v>
      </c>
      <c r="O1084" s="25">
        <v>136</v>
      </c>
      <c r="P1084" s="25">
        <v>0</v>
      </c>
      <c r="Q1084" s="25"/>
      <c r="R1084" s="25"/>
      <c r="S1084" s="25"/>
      <c r="T1084" s="10"/>
    </row>
    <row r="1085" s="35" customFormat="1" ht="18.5" customHeight="1" spans="1:20">
      <c r="A1085" s="16" t="s">
        <v>251</v>
      </c>
      <c r="B1085" s="41">
        <v>44524</v>
      </c>
      <c r="C1085" s="25">
        <v>6</v>
      </c>
      <c r="D1085" s="25"/>
      <c r="E1085" s="25"/>
      <c r="F1085" s="25"/>
      <c r="G1085" s="25"/>
      <c r="H1085" s="25"/>
      <c r="I1085" s="25"/>
      <c r="J1085" s="25"/>
      <c r="K1085" s="25"/>
      <c r="L1085" s="25"/>
      <c r="M1085" s="42" t="s">
        <v>253</v>
      </c>
      <c r="N1085" s="41">
        <v>45236</v>
      </c>
      <c r="O1085" s="25">
        <v>136</v>
      </c>
      <c r="P1085" s="25">
        <v>0</v>
      </c>
      <c r="Q1085" s="25"/>
      <c r="R1085" s="25"/>
      <c r="S1085" s="25"/>
      <c r="T1085" s="10"/>
    </row>
    <row r="1086" s="35" customFormat="1" ht="18.5" customHeight="1" spans="1:20">
      <c r="A1086" s="16" t="s">
        <v>251</v>
      </c>
      <c r="B1086" s="41">
        <v>44370</v>
      </c>
      <c r="C1086" s="25">
        <v>2</v>
      </c>
      <c r="D1086" s="25"/>
      <c r="E1086" s="25"/>
      <c r="F1086" s="25"/>
      <c r="G1086" s="25"/>
      <c r="H1086" s="25"/>
      <c r="I1086" s="25"/>
      <c r="J1086" s="25"/>
      <c r="K1086" s="25"/>
      <c r="L1086" s="25"/>
      <c r="M1086" s="42" t="s">
        <v>253</v>
      </c>
      <c r="N1086" s="41">
        <v>45222</v>
      </c>
      <c r="O1086" s="25">
        <v>136</v>
      </c>
      <c r="P1086" s="25">
        <v>0</v>
      </c>
      <c r="Q1086" s="25"/>
      <c r="R1086" s="25"/>
      <c r="S1086" s="25"/>
      <c r="T1086" s="10"/>
    </row>
    <row r="1087" s="35" customFormat="1" ht="18.5" customHeight="1" spans="1:20">
      <c r="A1087" s="16" t="s">
        <v>251</v>
      </c>
      <c r="B1087" s="41">
        <v>45294</v>
      </c>
      <c r="C1087" s="25">
        <v>4</v>
      </c>
      <c r="D1087" s="25"/>
      <c r="E1087" s="25"/>
      <c r="F1087" s="25"/>
      <c r="G1087" s="25"/>
      <c r="H1087" s="25"/>
      <c r="I1087" s="25"/>
      <c r="J1087" s="25"/>
      <c r="K1087" s="25"/>
      <c r="L1087" s="25"/>
      <c r="M1087" s="42" t="s">
        <v>253</v>
      </c>
      <c r="N1087" s="41">
        <v>45195</v>
      </c>
      <c r="O1087" s="25">
        <v>136</v>
      </c>
      <c r="P1087" s="25">
        <v>0</v>
      </c>
      <c r="Q1087" s="25"/>
      <c r="R1087" s="25"/>
      <c r="S1087" s="25"/>
      <c r="T1087" s="10"/>
    </row>
    <row r="1088" s="35" customFormat="1" ht="18.5" customHeight="1" spans="1:20">
      <c r="A1088" s="16" t="s">
        <v>251</v>
      </c>
      <c r="B1088" s="41">
        <v>45028</v>
      </c>
      <c r="C1088" s="25">
        <v>1</v>
      </c>
      <c r="D1088" s="25"/>
      <c r="E1088" s="25"/>
      <c r="F1088" s="25"/>
      <c r="G1088" s="25"/>
      <c r="H1088" s="25"/>
      <c r="I1088" s="25"/>
      <c r="J1088" s="25"/>
      <c r="K1088" s="25"/>
      <c r="L1088" s="25"/>
      <c r="M1088" s="42" t="s">
        <v>253</v>
      </c>
      <c r="N1088" s="41">
        <v>45074</v>
      </c>
      <c r="O1088" s="25">
        <v>136</v>
      </c>
      <c r="P1088" s="25">
        <v>0</v>
      </c>
      <c r="Q1088" s="25"/>
      <c r="R1088" s="25"/>
      <c r="S1088" s="25"/>
      <c r="T1088" s="10"/>
    </row>
    <row r="1089" s="35" customFormat="1" ht="18.5" customHeight="1" spans="1:20">
      <c r="A1089" s="16" t="s">
        <v>251</v>
      </c>
      <c r="B1089" s="41">
        <v>44420</v>
      </c>
      <c r="C1089" s="25">
        <v>1</v>
      </c>
      <c r="D1089" s="25"/>
      <c r="E1089" s="25"/>
      <c r="F1089" s="25"/>
      <c r="G1089" s="25"/>
      <c r="H1089" s="25"/>
      <c r="I1089" s="25"/>
      <c r="J1089" s="25"/>
      <c r="K1089" s="25"/>
      <c r="L1089" s="25"/>
      <c r="M1089" s="42" t="s">
        <v>253</v>
      </c>
      <c r="N1089" s="41">
        <v>45289</v>
      </c>
      <c r="O1089" s="25">
        <v>135</v>
      </c>
      <c r="P1089" s="25">
        <v>0</v>
      </c>
      <c r="Q1089" s="25"/>
      <c r="R1089" s="25"/>
      <c r="S1089" s="25"/>
      <c r="T1089" s="10"/>
    </row>
    <row r="1090" s="35" customFormat="1" ht="18.5" customHeight="1" spans="1:20">
      <c r="A1090" s="16" t="s">
        <v>251</v>
      </c>
      <c r="B1090" s="41">
        <v>44450</v>
      </c>
      <c r="C1090" s="25">
        <v>0</v>
      </c>
      <c r="D1090" s="25"/>
      <c r="E1090" s="25"/>
      <c r="F1090" s="25"/>
      <c r="G1090" s="25"/>
      <c r="H1090" s="25"/>
      <c r="I1090" s="25"/>
      <c r="J1090" s="25"/>
      <c r="K1090" s="25"/>
      <c r="L1090" s="25"/>
      <c r="M1090" s="42" t="s">
        <v>253</v>
      </c>
      <c r="N1090" s="41">
        <v>45265</v>
      </c>
      <c r="O1090" s="25">
        <v>135</v>
      </c>
      <c r="P1090" s="25">
        <v>0</v>
      </c>
      <c r="Q1090" s="25"/>
      <c r="R1090" s="25"/>
      <c r="S1090" s="25"/>
      <c r="T1090" s="10"/>
    </row>
    <row r="1091" s="35" customFormat="1" ht="18.5" customHeight="1" spans="1:20">
      <c r="A1091" s="16" t="s">
        <v>251</v>
      </c>
      <c r="B1091" s="41">
        <v>45294</v>
      </c>
      <c r="C1091" s="25">
        <v>7</v>
      </c>
      <c r="D1091" s="25"/>
      <c r="E1091" s="25"/>
      <c r="F1091" s="25"/>
      <c r="G1091" s="25"/>
      <c r="H1091" s="25"/>
      <c r="I1091" s="25"/>
      <c r="J1091" s="25"/>
      <c r="K1091" s="25"/>
      <c r="L1091" s="25"/>
      <c r="M1091" s="42" t="s">
        <v>253</v>
      </c>
      <c r="N1091" s="41">
        <v>45280</v>
      </c>
      <c r="O1091" s="25">
        <v>135</v>
      </c>
      <c r="P1091" s="25">
        <v>0</v>
      </c>
      <c r="Q1091" s="25"/>
      <c r="R1091" s="25"/>
      <c r="S1091" s="25"/>
      <c r="T1091" s="10"/>
    </row>
    <row r="1092" s="35" customFormat="1" ht="18.5" customHeight="1" spans="1:20">
      <c r="A1092" s="16" t="s">
        <v>251</v>
      </c>
      <c r="B1092" s="41">
        <v>44383</v>
      </c>
      <c r="C1092" s="25">
        <v>5</v>
      </c>
      <c r="D1092" s="25"/>
      <c r="E1092" s="25"/>
      <c r="F1092" s="25"/>
      <c r="G1092" s="25"/>
      <c r="H1092" s="25"/>
      <c r="I1092" s="25"/>
      <c r="J1092" s="25"/>
      <c r="K1092" s="25"/>
      <c r="L1092" s="25"/>
      <c r="M1092" s="42" t="s">
        <v>253</v>
      </c>
      <c r="N1092" s="41">
        <v>45043</v>
      </c>
      <c r="O1092" s="25">
        <v>134</v>
      </c>
      <c r="P1092" s="25">
        <v>0</v>
      </c>
      <c r="Q1092" s="25"/>
      <c r="R1092" s="25"/>
      <c r="S1092" s="25"/>
      <c r="T1092" s="10"/>
    </row>
    <row r="1093" s="35" customFormat="1" ht="18.5" customHeight="1" spans="1:20">
      <c r="A1093" s="16" t="s">
        <v>251</v>
      </c>
      <c r="B1093" s="41">
        <v>44397</v>
      </c>
      <c r="C1093" s="25">
        <v>5</v>
      </c>
      <c r="D1093" s="25"/>
      <c r="E1093" s="25"/>
      <c r="F1093" s="25"/>
      <c r="G1093" s="25"/>
      <c r="H1093" s="25"/>
      <c r="I1093" s="25"/>
      <c r="J1093" s="25"/>
      <c r="K1093" s="25"/>
      <c r="L1093" s="25"/>
      <c r="M1093" s="42" t="s">
        <v>253</v>
      </c>
      <c r="N1093" s="41">
        <v>45003</v>
      </c>
      <c r="O1093" s="25">
        <v>134</v>
      </c>
      <c r="P1093" s="25">
        <v>0</v>
      </c>
      <c r="Q1093" s="25"/>
      <c r="R1093" s="25"/>
      <c r="S1093" s="25"/>
      <c r="T1093" s="10"/>
    </row>
    <row r="1094" s="35" customFormat="1" ht="18.5" customHeight="1" spans="1:20">
      <c r="A1094" s="16" t="s">
        <v>251</v>
      </c>
      <c r="B1094" s="41">
        <v>45294</v>
      </c>
      <c r="C1094" s="25">
        <v>8</v>
      </c>
      <c r="D1094" s="25"/>
      <c r="E1094" s="25"/>
      <c r="F1094" s="25"/>
      <c r="G1094" s="25"/>
      <c r="H1094" s="25"/>
      <c r="I1094" s="25"/>
      <c r="J1094" s="25"/>
      <c r="K1094" s="25"/>
      <c r="L1094" s="25"/>
      <c r="M1094" s="42" t="s">
        <v>253</v>
      </c>
      <c r="N1094" s="41">
        <v>45281</v>
      </c>
      <c r="O1094" s="25">
        <v>133</v>
      </c>
      <c r="P1094" s="25">
        <v>0</v>
      </c>
      <c r="Q1094" s="25"/>
      <c r="R1094" s="25"/>
      <c r="S1094" s="25"/>
      <c r="T1094" s="10"/>
    </row>
    <row r="1095" s="35" customFormat="1" ht="18.5" customHeight="1" spans="1:20">
      <c r="A1095" s="16" t="s">
        <v>251</v>
      </c>
      <c r="B1095" s="41">
        <v>44520</v>
      </c>
      <c r="C1095" s="25">
        <v>0</v>
      </c>
      <c r="D1095" s="25"/>
      <c r="E1095" s="25"/>
      <c r="F1095" s="25"/>
      <c r="G1095" s="25"/>
      <c r="H1095" s="25"/>
      <c r="I1095" s="25"/>
      <c r="J1095" s="25"/>
      <c r="K1095" s="25"/>
      <c r="L1095" s="25"/>
      <c r="M1095" s="42" t="s">
        <v>253</v>
      </c>
      <c r="N1095" s="41">
        <v>45264</v>
      </c>
      <c r="O1095" s="25">
        <v>133</v>
      </c>
      <c r="P1095" s="25">
        <v>0</v>
      </c>
      <c r="Q1095" s="25"/>
      <c r="R1095" s="25"/>
      <c r="S1095" s="25"/>
      <c r="T1095" s="10"/>
    </row>
    <row r="1096" s="35" customFormat="1" ht="18.5" customHeight="1" spans="1:20">
      <c r="A1096" s="16" t="s">
        <v>251</v>
      </c>
      <c r="B1096" s="41">
        <v>44391</v>
      </c>
      <c r="C1096" s="25">
        <v>2</v>
      </c>
      <c r="D1096" s="25"/>
      <c r="E1096" s="25"/>
      <c r="F1096" s="25"/>
      <c r="G1096" s="25"/>
      <c r="H1096" s="25"/>
      <c r="I1096" s="25"/>
      <c r="J1096" s="25"/>
      <c r="K1096" s="25"/>
      <c r="L1096" s="25"/>
      <c r="M1096" s="42" t="s">
        <v>253</v>
      </c>
      <c r="N1096" s="41">
        <v>45245</v>
      </c>
      <c r="O1096" s="25">
        <v>133</v>
      </c>
      <c r="P1096" s="25">
        <v>0</v>
      </c>
      <c r="Q1096" s="25"/>
      <c r="R1096" s="25"/>
      <c r="S1096" s="25"/>
      <c r="T1096" s="10"/>
    </row>
    <row r="1097" s="35" customFormat="1" ht="18.5" customHeight="1" spans="1:20">
      <c r="A1097" s="16" t="s">
        <v>251</v>
      </c>
      <c r="B1097" s="41">
        <v>44400</v>
      </c>
      <c r="C1097" s="25">
        <v>4</v>
      </c>
      <c r="D1097" s="25"/>
      <c r="E1097" s="25"/>
      <c r="F1097" s="25"/>
      <c r="G1097" s="25"/>
      <c r="H1097" s="25"/>
      <c r="I1097" s="25"/>
      <c r="J1097" s="25"/>
      <c r="K1097" s="25"/>
      <c r="L1097" s="25"/>
      <c r="M1097" s="42" t="s">
        <v>253</v>
      </c>
      <c r="N1097" s="41">
        <v>45189</v>
      </c>
      <c r="O1097" s="25">
        <v>133</v>
      </c>
      <c r="P1097" s="25">
        <v>0</v>
      </c>
      <c r="Q1097" s="25"/>
      <c r="R1097" s="25"/>
      <c r="S1097" s="25"/>
      <c r="T1097" s="10"/>
    </row>
    <row r="1098" s="35" customFormat="1" ht="18.5" customHeight="1" spans="1:20">
      <c r="A1098" s="16" t="s">
        <v>251</v>
      </c>
      <c r="B1098" s="41">
        <v>44455</v>
      </c>
      <c r="C1098" s="25">
        <v>1</v>
      </c>
      <c r="D1098" s="25"/>
      <c r="E1098" s="25"/>
      <c r="F1098" s="25"/>
      <c r="G1098" s="25"/>
      <c r="H1098" s="25"/>
      <c r="I1098" s="25"/>
      <c r="J1098" s="25"/>
      <c r="K1098" s="25"/>
      <c r="L1098" s="25"/>
      <c r="M1098" s="42" t="s">
        <v>253</v>
      </c>
      <c r="N1098" s="41">
        <v>45155</v>
      </c>
      <c r="O1098" s="25">
        <v>133</v>
      </c>
      <c r="P1098" s="25">
        <v>0</v>
      </c>
      <c r="Q1098" s="25"/>
      <c r="R1098" s="25"/>
      <c r="S1098" s="25"/>
      <c r="T1098" s="10"/>
    </row>
    <row r="1099" s="35" customFormat="1" ht="18.5" customHeight="1" spans="1:20">
      <c r="A1099" s="16" t="s">
        <v>251</v>
      </c>
      <c r="B1099" s="41">
        <v>44481</v>
      </c>
      <c r="C1099" s="25">
        <v>0</v>
      </c>
      <c r="D1099" s="25"/>
      <c r="E1099" s="25"/>
      <c r="F1099" s="25"/>
      <c r="G1099" s="25"/>
      <c r="H1099" s="25"/>
      <c r="I1099" s="25"/>
      <c r="J1099" s="25"/>
      <c r="K1099" s="25"/>
      <c r="L1099" s="25"/>
      <c r="M1099" s="42" t="s">
        <v>253</v>
      </c>
      <c r="N1099" s="41">
        <v>45282</v>
      </c>
      <c r="O1099" s="25">
        <v>132</v>
      </c>
      <c r="P1099" s="25">
        <v>0</v>
      </c>
      <c r="Q1099" s="25"/>
      <c r="R1099" s="25"/>
      <c r="S1099" s="25"/>
      <c r="T1099" s="10"/>
    </row>
    <row r="1100" s="35" customFormat="1" ht="18.5" customHeight="1" spans="1:20">
      <c r="A1100" s="16" t="s">
        <v>251</v>
      </c>
      <c r="B1100" s="41">
        <v>44380</v>
      </c>
      <c r="C1100" s="25">
        <v>1</v>
      </c>
      <c r="D1100" s="25"/>
      <c r="E1100" s="25"/>
      <c r="F1100" s="25"/>
      <c r="G1100" s="25"/>
      <c r="H1100" s="25"/>
      <c r="I1100" s="25"/>
      <c r="J1100" s="25"/>
      <c r="K1100" s="25"/>
      <c r="L1100" s="25"/>
      <c r="M1100" s="42" t="s">
        <v>253</v>
      </c>
      <c r="N1100" s="41">
        <v>45281</v>
      </c>
      <c r="O1100" s="25">
        <v>132</v>
      </c>
      <c r="P1100" s="25">
        <v>0</v>
      </c>
      <c r="Q1100" s="25"/>
      <c r="R1100" s="25"/>
      <c r="S1100" s="25"/>
      <c r="T1100" s="10"/>
    </row>
    <row r="1101" s="35" customFormat="1" ht="18.5" customHeight="1" spans="1:20">
      <c r="A1101" s="16" t="s">
        <v>251</v>
      </c>
      <c r="B1101" s="41">
        <v>45277</v>
      </c>
      <c r="C1101" s="25">
        <v>8</v>
      </c>
      <c r="D1101" s="25"/>
      <c r="E1101" s="25"/>
      <c r="F1101" s="25"/>
      <c r="G1101" s="25"/>
      <c r="H1101" s="25"/>
      <c r="I1101" s="25"/>
      <c r="J1101" s="25"/>
      <c r="K1101" s="25"/>
      <c r="L1101" s="25"/>
      <c r="M1101" s="42" t="s">
        <v>253</v>
      </c>
      <c r="N1101" s="41">
        <v>45204</v>
      </c>
      <c r="O1101" s="25">
        <v>132</v>
      </c>
      <c r="P1101" s="25">
        <v>0</v>
      </c>
      <c r="Q1101" s="25"/>
      <c r="R1101" s="25"/>
      <c r="S1101" s="25"/>
      <c r="T1101" s="10"/>
    </row>
    <row r="1102" s="35" customFormat="1" ht="18.5" customHeight="1" spans="1:20">
      <c r="A1102" s="16" t="s">
        <v>251</v>
      </c>
      <c r="B1102" s="41">
        <v>45294</v>
      </c>
      <c r="C1102" s="25">
        <v>6</v>
      </c>
      <c r="D1102" s="25"/>
      <c r="E1102" s="25"/>
      <c r="F1102" s="25"/>
      <c r="G1102" s="25"/>
      <c r="H1102" s="25"/>
      <c r="I1102" s="25"/>
      <c r="J1102" s="25"/>
      <c r="K1102" s="25"/>
      <c r="L1102" s="25"/>
      <c r="M1102" s="42" t="s">
        <v>253</v>
      </c>
      <c r="N1102" s="41">
        <v>45041</v>
      </c>
      <c r="O1102" s="25">
        <v>133</v>
      </c>
      <c r="P1102" s="25">
        <v>0</v>
      </c>
      <c r="Q1102" s="25"/>
      <c r="R1102" s="25"/>
      <c r="S1102" s="25"/>
      <c r="T1102" s="10"/>
    </row>
    <row r="1103" s="35" customFormat="1" ht="18.5" customHeight="1" spans="1:20">
      <c r="A1103" s="16" t="s">
        <v>251</v>
      </c>
      <c r="B1103" s="41">
        <v>44370</v>
      </c>
      <c r="C1103" s="25">
        <v>8</v>
      </c>
      <c r="D1103" s="25"/>
      <c r="E1103" s="25"/>
      <c r="F1103" s="25"/>
      <c r="G1103" s="25"/>
      <c r="H1103" s="25"/>
      <c r="I1103" s="25"/>
      <c r="J1103" s="25"/>
      <c r="K1103" s="25"/>
      <c r="L1103" s="25"/>
      <c r="M1103" s="42" t="s">
        <v>253</v>
      </c>
      <c r="N1103" s="41">
        <v>45007</v>
      </c>
      <c r="O1103" s="25">
        <v>132</v>
      </c>
      <c r="P1103" s="25">
        <v>0</v>
      </c>
      <c r="Q1103" s="25"/>
      <c r="R1103" s="25"/>
      <c r="S1103" s="25"/>
      <c r="T1103" s="10"/>
    </row>
    <row r="1104" s="35" customFormat="1" ht="18.5" customHeight="1" spans="1:20">
      <c r="A1104" s="16" t="s">
        <v>251</v>
      </c>
      <c r="B1104" s="41">
        <v>44406</v>
      </c>
      <c r="C1104" s="25">
        <v>1</v>
      </c>
      <c r="D1104" s="25"/>
      <c r="E1104" s="25"/>
      <c r="F1104" s="25"/>
      <c r="G1104" s="25"/>
      <c r="H1104" s="25"/>
      <c r="I1104" s="25"/>
      <c r="J1104" s="25"/>
      <c r="K1104" s="25"/>
      <c r="L1104" s="25"/>
      <c r="M1104" s="42" t="s">
        <v>253</v>
      </c>
      <c r="N1104" s="41">
        <v>45264</v>
      </c>
      <c r="O1104" s="25">
        <v>131</v>
      </c>
      <c r="P1104" s="25">
        <v>0</v>
      </c>
      <c r="Q1104" s="25"/>
      <c r="R1104" s="25"/>
      <c r="S1104" s="25"/>
      <c r="T1104" s="10"/>
    </row>
    <row r="1105" s="35" customFormat="1" ht="18.5" customHeight="1" spans="1:20">
      <c r="A1105" s="16" t="s">
        <v>251</v>
      </c>
      <c r="B1105" s="41">
        <v>44447</v>
      </c>
      <c r="C1105" s="25">
        <v>4</v>
      </c>
      <c r="D1105" s="25"/>
      <c r="E1105" s="25"/>
      <c r="F1105" s="25"/>
      <c r="G1105" s="25"/>
      <c r="H1105" s="25"/>
      <c r="I1105" s="25"/>
      <c r="J1105" s="25"/>
      <c r="K1105" s="25"/>
      <c r="L1105" s="25"/>
      <c r="M1105" s="42" t="s">
        <v>253</v>
      </c>
      <c r="N1105" s="41">
        <v>45002</v>
      </c>
      <c r="O1105" s="25">
        <v>131</v>
      </c>
      <c r="P1105" s="25">
        <v>0</v>
      </c>
      <c r="Q1105" s="25"/>
      <c r="R1105" s="25"/>
      <c r="S1105" s="25"/>
      <c r="T1105" s="10"/>
    </row>
    <row r="1106" s="35" customFormat="1" ht="18.5" customHeight="1" spans="1:20">
      <c r="A1106" s="16" t="s">
        <v>251</v>
      </c>
      <c r="B1106" s="41">
        <v>45277</v>
      </c>
      <c r="C1106" s="25">
        <v>4</v>
      </c>
      <c r="D1106" s="25"/>
      <c r="E1106" s="25"/>
      <c r="F1106" s="25"/>
      <c r="G1106" s="25"/>
      <c r="H1106" s="25"/>
      <c r="I1106" s="25"/>
      <c r="J1106" s="25"/>
      <c r="K1106" s="25"/>
      <c r="L1106" s="25"/>
      <c r="M1106" s="42" t="s">
        <v>253</v>
      </c>
      <c r="N1106" s="41">
        <v>45279</v>
      </c>
      <c r="O1106" s="25">
        <v>130</v>
      </c>
      <c r="P1106" s="25">
        <v>0</v>
      </c>
      <c r="Q1106" s="25"/>
      <c r="R1106" s="25"/>
      <c r="S1106" s="25"/>
      <c r="T1106" s="10"/>
    </row>
    <row r="1107" s="35" customFormat="1" ht="18.5" customHeight="1" spans="1:20">
      <c r="A1107" s="16" t="s">
        <v>251</v>
      </c>
      <c r="B1107" s="41">
        <v>45276</v>
      </c>
      <c r="C1107" s="25">
        <v>6</v>
      </c>
      <c r="D1107" s="25"/>
      <c r="E1107" s="25"/>
      <c r="F1107" s="25"/>
      <c r="G1107" s="25"/>
      <c r="H1107" s="25"/>
      <c r="I1107" s="25"/>
      <c r="J1107" s="25"/>
      <c r="K1107" s="25"/>
      <c r="L1107" s="25"/>
      <c r="M1107" s="42" t="s">
        <v>253</v>
      </c>
      <c r="N1107" s="41">
        <v>45266</v>
      </c>
      <c r="O1107" s="25">
        <v>130</v>
      </c>
      <c r="P1107" s="25">
        <v>0</v>
      </c>
      <c r="Q1107" s="25"/>
      <c r="R1107" s="25"/>
      <c r="S1107" s="25"/>
      <c r="T1107" s="10"/>
    </row>
    <row r="1108" s="35" customFormat="1" ht="18.5" customHeight="1" spans="1:20">
      <c r="A1108" s="16" t="s">
        <v>251</v>
      </c>
      <c r="B1108" s="41">
        <v>44372</v>
      </c>
      <c r="C1108" s="25">
        <v>2</v>
      </c>
      <c r="D1108" s="25"/>
      <c r="E1108" s="25"/>
      <c r="F1108" s="25"/>
      <c r="G1108" s="25"/>
      <c r="H1108" s="25"/>
      <c r="I1108" s="25"/>
      <c r="J1108" s="25"/>
      <c r="K1108" s="25"/>
      <c r="L1108" s="25"/>
      <c r="M1108" s="42" t="s">
        <v>253</v>
      </c>
      <c r="N1108" s="41">
        <v>45241</v>
      </c>
      <c r="O1108" s="25">
        <v>130</v>
      </c>
      <c r="P1108" s="25">
        <v>0</v>
      </c>
      <c r="Q1108" s="25"/>
      <c r="R1108" s="25"/>
      <c r="S1108" s="25"/>
      <c r="T1108" s="10"/>
    </row>
    <row r="1109" s="35" customFormat="1" ht="18.5" customHeight="1" spans="1:20">
      <c r="A1109" s="16" t="s">
        <v>251</v>
      </c>
      <c r="B1109" s="41">
        <v>44354</v>
      </c>
      <c r="C1109" s="25">
        <v>0</v>
      </c>
      <c r="D1109" s="25"/>
      <c r="E1109" s="25"/>
      <c r="F1109" s="25"/>
      <c r="G1109" s="25"/>
      <c r="H1109" s="25"/>
      <c r="I1109" s="25"/>
      <c r="J1109" s="25"/>
      <c r="K1109" s="25"/>
      <c r="L1109" s="25"/>
      <c r="M1109" s="42" t="s">
        <v>253</v>
      </c>
      <c r="N1109" s="41">
        <v>45042</v>
      </c>
      <c r="O1109" s="25">
        <v>130</v>
      </c>
      <c r="P1109" s="25">
        <v>0</v>
      </c>
      <c r="Q1109" s="25"/>
      <c r="R1109" s="25"/>
      <c r="S1109" s="25"/>
      <c r="T1109" s="10"/>
    </row>
    <row r="1110" s="35" customFormat="1" ht="18.5" customHeight="1" spans="1:20">
      <c r="A1110" s="16" t="s">
        <v>251</v>
      </c>
      <c r="B1110" s="41">
        <v>44461</v>
      </c>
      <c r="C1110" s="25">
        <v>4</v>
      </c>
      <c r="D1110" s="25"/>
      <c r="E1110" s="25"/>
      <c r="F1110" s="25"/>
      <c r="G1110" s="25"/>
      <c r="H1110" s="25"/>
      <c r="I1110" s="25"/>
      <c r="J1110" s="25"/>
      <c r="K1110" s="25"/>
      <c r="L1110" s="25"/>
      <c r="M1110" s="42" t="s">
        <v>253</v>
      </c>
      <c r="N1110" s="41">
        <v>45278</v>
      </c>
      <c r="O1110" s="25">
        <v>129</v>
      </c>
      <c r="P1110" s="25">
        <v>0</v>
      </c>
      <c r="Q1110" s="25"/>
      <c r="R1110" s="25"/>
      <c r="S1110" s="25"/>
      <c r="T1110" s="10"/>
    </row>
    <row r="1111" s="35" customFormat="1" ht="18.5" customHeight="1" spans="1:20">
      <c r="A1111" s="16" t="s">
        <v>251</v>
      </c>
      <c r="B1111" s="41">
        <v>45196</v>
      </c>
      <c r="C1111" s="25">
        <v>5</v>
      </c>
      <c r="D1111" s="25"/>
      <c r="E1111" s="25"/>
      <c r="F1111" s="25"/>
      <c r="G1111" s="25"/>
      <c r="H1111" s="25"/>
      <c r="I1111" s="25"/>
      <c r="J1111" s="25"/>
      <c r="K1111" s="25"/>
      <c r="L1111" s="25"/>
      <c r="M1111" s="42" t="s">
        <v>253</v>
      </c>
      <c r="N1111" s="41">
        <v>45274</v>
      </c>
      <c r="O1111" s="25">
        <v>129</v>
      </c>
      <c r="P1111" s="25">
        <v>0</v>
      </c>
      <c r="Q1111" s="25"/>
      <c r="R1111" s="25"/>
      <c r="S1111" s="25"/>
      <c r="T1111" s="10"/>
    </row>
    <row r="1112" s="35" customFormat="1" ht="18.5" customHeight="1" spans="1:20">
      <c r="A1112" s="16" t="s">
        <v>251</v>
      </c>
      <c r="B1112" s="41">
        <v>44839</v>
      </c>
      <c r="C1112" s="25">
        <v>6</v>
      </c>
      <c r="D1112" s="25"/>
      <c r="E1112" s="25"/>
      <c r="F1112" s="25"/>
      <c r="G1112" s="25"/>
      <c r="H1112" s="25"/>
      <c r="I1112" s="25"/>
      <c r="J1112" s="25"/>
      <c r="K1112" s="25"/>
      <c r="L1112" s="25"/>
      <c r="M1112" s="42" t="s">
        <v>253</v>
      </c>
      <c r="N1112" s="41">
        <v>45253</v>
      </c>
      <c r="O1112" s="25">
        <v>130</v>
      </c>
      <c r="P1112" s="25">
        <v>0</v>
      </c>
      <c r="Q1112" s="25"/>
      <c r="R1112" s="25"/>
      <c r="S1112" s="25"/>
      <c r="T1112" s="10"/>
    </row>
    <row r="1113" s="35" customFormat="1" ht="18.5" customHeight="1" spans="1:20">
      <c r="A1113" s="16" t="s">
        <v>251</v>
      </c>
      <c r="B1113" s="41">
        <v>44417</v>
      </c>
      <c r="C1113" s="25">
        <v>6</v>
      </c>
      <c r="D1113" s="25"/>
      <c r="E1113" s="25"/>
      <c r="F1113" s="25"/>
      <c r="G1113" s="25"/>
      <c r="H1113" s="25"/>
      <c r="I1113" s="25"/>
      <c r="J1113" s="25"/>
      <c r="K1113" s="25"/>
      <c r="L1113" s="25"/>
      <c r="M1113" s="42" t="s">
        <v>253</v>
      </c>
      <c r="N1113" s="41">
        <v>45248</v>
      </c>
      <c r="O1113" s="25">
        <v>129</v>
      </c>
      <c r="P1113" s="25">
        <v>0</v>
      </c>
      <c r="Q1113" s="25"/>
      <c r="R1113" s="25"/>
      <c r="S1113" s="25"/>
      <c r="T1113" s="10"/>
    </row>
    <row r="1114" s="35" customFormat="1" ht="18.5" customHeight="1" spans="1:20">
      <c r="A1114" s="16" t="s">
        <v>251</v>
      </c>
      <c r="B1114" s="41">
        <v>44439</v>
      </c>
      <c r="C1114" s="25">
        <v>2</v>
      </c>
      <c r="D1114" s="25"/>
      <c r="E1114" s="25"/>
      <c r="F1114" s="25"/>
      <c r="G1114" s="25"/>
      <c r="H1114" s="25"/>
      <c r="I1114" s="25"/>
      <c r="J1114" s="25"/>
      <c r="K1114" s="25"/>
      <c r="L1114" s="25"/>
      <c r="M1114" s="42" t="s">
        <v>253</v>
      </c>
      <c r="N1114" s="41">
        <v>45246</v>
      </c>
      <c r="O1114" s="25">
        <v>129</v>
      </c>
      <c r="P1114" s="25">
        <v>0</v>
      </c>
      <c r="Q1114" s="25"/>
      <c r="R1114" s="25"/>
      <c r="S1114" s="25"/>
      <c r="T1114" s="10"/>
    </row>
    <row r="1115" s="35" customFormat="1" ht="18.5" customHeight="1" spans="1:20">
      <c r="A1115" s="16" t="s">
        <v>251</v>
      </c>
      <c r="B1115" s="41">
        <v>44402</v>
      </c>
      <c r="C1115" s="25">
        <v>7</v>
      </c>
      <c r="D1115" s="25"/>
      <c r="E1115" s="25"/>
      <c r="F1115" s="25"/>
      <c r="G1115" s="25"/>
      <c r="H1115" s="25"/>
      <c r="I1115" s="25"/>
      <c r="J1115" s="25"/>
      <c r="K1115" s="25"/>
      <c r="L1115" s="25"/>
      <c r="M1115" s="42" t="s">
        <v>253</v>
      </c>
      <c r="N1115" s="41">
        <v>45244</v>
      </c>
      <c r="O1115" s="25">
        <v>129</v>
      </c>
      <c r="P1115" s="25">
        <v>0</v>
      </c>
      <c r="Q1115" s="25"/>
      <c r="R1115" s="25"/>
      <c r="S1115" s="25"/>
      <c r="T1115" s="10"/>
    </row>
    <row r="1116" s="35" customFormat="1" ht="18.5" customHeight="1" spans="1:20">
      <c r="A1116" s="16" t="s">
        <v>251</v>
      </c>
      <c r="B1116" s="41">
        <v>44461</v>
      </c>
      <c r="C1116" s="25">
        <v>8</v>
      </c>
      <c r="D1116" s="25"/>
      <c r="E1116" s="25"/>
      <c r="F1116" s="25"/>
      <c r="G1116" s="25"/>
      <c r="H1116" s="25"/>
      <c r="I1116" s="25"/>
      <c r="J1116" s="25"/>
      <c r="K1116" s="25"/>
      <c r="L1116" s="25"/>
      <c r="M1116" s="42" t="s">
        <v>253</v>
      </c>
      <c r="N1116" s="41">
        <v>45243</v>
      </c>
      <c r="O1116" s="25">
        <v>129</v>
      </c>
      <c r="P1116" s="25">
        <v>0</v>
      </c>
      <c r="Q1116" s="25"/>
      <c r="R1116" s="25"/>
      <c r="S1116" s="25"/>
      <c r="T1116" s="10"/>
    </row>
    <row r="1117" s="35" customFormat="1" ht="18.5" customHeight="1" spans="1:20">
      <c r="A1117" s="16" t="s">
        <v>251</v>
      </c>
      <c r="B1117" s="41">
        <v>45109</v>
      </c>
      <c r="C1117" s="25">
        <v>6</v>
      </c>
      <c r="D1117" s="25"/>
      <c r="E1117" s="25"/>
      <c r="F1117" s="25"/>
      <c r="G1117" s="25"/>
      <c r="H1117" s="25"/>
      <c r="I1117" s="25"/>
      <c r="J1117" s="25"/>
      <c r="K1117" s="25"/>
      <c r="L1117" s="25"/>
      <c r="M1117" s="42" t="s">
        <v>253</v>
      </c>
      <c r="N1117" s="41">
        <v>45240</v>
      </c>
      <c r="O1117" s="25">
        <v>129</v>
      </c>
      <c r="P1117" s="25">
        <v>0</v>
      </c>
      <c r="Q1117" s="25"/>
      <c r="R1117" s="25"/>
      <c r="S1117" s="25"/>
      <c r="T1117" s="10"/>
    </row>
    <row r="1118" s="35" customFormat="1" ht="18.5" customHeight="1" spans="1:20">
      <c r="A1118" s="16" t="s">
        <v>251</v>
      </c>
      <c r="B1118" s="41">
        <v>44379</v>
      </c>
      <c r="C1118" s="25">
        <v>0</v>
      </c>
      <c r="D1118" s="25"/>
      <c r="E1118" s="25"/>
      <c r="F1118" s="25"/>
      <c r="G1118" s="25"/>
      <c r="H1118" s="25"/>
      <c r="I1118" s="25"/>
      <c r="J1118" s="25"/>
      <c r="K1118" s="25"/>
      <c r="L1118" s="25"/>
      <c r="M1118" s="42" t="s">
        <v>253</v>
      </c>
      <c r="N1118" s="41">
        <v>45237</v>
      </c>
      <c r="O1118" s="25">
        <v>129</v>
      </c>
      <c r="P1118" s="25">
        <v>0</v>
      </c>
      <c r="Q1118" s="25"/>
      <c r="R1118" s="25"/>
      <c r="S1118" s="25"/>
      <c r="T1118" s="10"/>
    </row>
    <row r="1119" s="35" customFormat="1" ht="18.5" customHeight="1" spans="1:20">
      <c r="A1119" s="16" t="s">
        <v>251</v>
      </c>
      <c r="B1119" s="41">
        <v>44489</v>
      </c>
      <c r="C1119" s="25">
        <v>3</v>
      </c>
      <c r="D1119" s="25"/>
      <c r="E1119" s="25"/>
      <c r="F1119" s="25"/>
      <c r="G1119" s="25"/>
      <c r="H1119" s="25"/>
      <c r="I1119" s="25"/>
      <c r="J1119" s="25"/>
      <c r="K1119" s="25"/>
      <c r="L1119" s="25"/>
      <c r="M1119" s="42" t="s">
        <v>253</v>
      </c>
      <c r="N1119" s="41">
        <v>45074</v>
      </c>
      <c r="O1119" s="25">
        <v>129</v>
      </c>
      <c r="P1119" s="25">
        <v>0</v>
      </c>
      <c r="Q1119" s="25"/>
      <c r="R1119" s="25"/>
      <c r="S1119" s="25"/>
      <c r="T1119" s="10"/>
    </row>
    <row r="1120" s="35" customFormat="1" ht="18.5" customHeight="1" spans="1:20">
      <c r="A1120" s="16" t="s">
        <v>251</v>
      </c>
      <c r="B1120" s="41">
        <v>45294</v>
      </c>
      <c r="C1120" s="25">
        <v>2</v>
      </c>
      <c r="D1120" s="25"/>
      <c r="E1120" s="25"/>
      <c r="F1120" s="25"/>
      <c r="G1120" s="25"/>
      <c r="H1120" s="25"/>
      <c r="I1120" s="25"/>
      <c r="J1120" s="25"/>
      <c r="K1120" s="25"/>
      <c r="L1120" s="25"/>
      <c r="M1120" s="42" t="s">
        <v>253</v>
      </c>
      <c r="N1120" s="41">
        <v>45040</v>
      </c>
      <c r="O1120" s="25">
        <v>129</v>
      </c>
      <c r="P1120" s="25">
        <v>0</v>
      </c>
      <c r="Q1120" s="25"/>
      <c r="R1120" s="25"/>
      <c r="S1120" s="25"/>
      <c r="T1120" s="10"/>
    </row>
    <row r="1121" s="35" customFormat="1" ht="18.5" customHeight="1" spans="1:20">
      <c r="A1121" s="16" t="s">
        <v>251</v>
      </c>
      <c r="B1121" s="41">
        <v>44456</v>
      </c>
      <c r="C1121" s="25">
        <v>8</v>
      </c>
      <c r="D1121" s="25"/>
      <c r="E1121" s="25"/>
      <c r="F1121" s="25"/>
      <c r="G1121" s="25"/>
      <c r="H1121" s="25"/>
      <c r="I1121" s="25"/>
      <c r="J1121" s="25"/>
      <c r="K1121" s="25"/>
      <c r="L1121" s="25"/>
      <c r="M1121" s="42" t="s">
        <v>253</v>
      </c>
      <c r="N1121" s="41">
        <v>45267</v>
      </c>
      <c r="O1121" s="25">
        <v>128</v>
      </c>
      <c r="P1121" s="25">
        <v>0</v>
      </c>
      <c r="Q1121" s="25"/>
      <c r="R1121" s="25"/>
      <c r="S1121" s="25"/>
      <c r="T1121" s="10"/>
    </row>
    <row r="1122" s="35" customFormat="1" ht="18.5" customHeight="1" spans="1:20">
      <c r="A1122" s="16" t="s">
        <v>251</v>
      </c>
      <c r="B1122" s="41">
        <v>45277</v>
      </c>
      <c r="C1122" s="25">
        <v>3</v>
      </c>
      <c r="D1122" s="25"/>
      <c r="E1122" s="25"/>
      <c r="F1122" s="25"/>
      <c r="G1122" s="25"/>
      <c r="H1122" s="25"/>
      <c r="I1122" s="25"/>
      <c r="J1122" s="25"/>
      <c r="K1122" s="25"/>
      <c r="L1122" s="25"/>
      <c r="M1122" s="42" t="s">
        <v>253</v>
      </c>
      <c r="N1122" s="41">
        <v>45256</v>
      </c>
      <c r="O1122" s="25">
        <v>128</v>
      </c>
      <c r="P1122" s="25">
        <v>0</v>
      </c>
      <c r="Q1122" s="25"/>
      <c r="R1122" s="25"/>
      <c r="S1122" s="25"/>
      <c r="T1122" s="10"/>
    </row>
    <row r="1123" s="35" customFormat="1" ht="18.5" customHeight="1" spans="1:20">
      <c r="A1123" s="16" t="s">
        <v>251</v>
      </c>
      <c r="B1123" s="41">
        <v>44466</v>
      </c>
      <c r="C1123" s="25">
        <v>1</v>
      </c>
      <c r="D1123" s="25"/>
      <c r="E1123" s="25"/>
      <c r="F1123" s="25"/>
      <c r="G1123" s="25"/>
      <c r="H1123" s="25"/>
      <c r="I1123" s="25"/>
      <c r="J1123" s="25"/>
      <c r="K1123" s="25"/>
      <c r="L1123" s="25"/>
      <c r="M1123" s="42" t="s">
        <v>253</v>
      </c>
      <c r="N1123" s="41">
        <v>45252</v>
      </c>
      <c r="O1123" s="25">
        <v>128</v>
      </c>
      <c r="P1123" s="25">
        <v>0</v>
      </c>
      <c r="Q1123" s="25"/>
      <c r="R1123" s="25"/>
      <c r="S1123" s="25"/>
      <c r="T1123" s="10"/>
    </row>
    <row r="1124" s="35" customFormat="1" ht="18.5" customHeight="1" spans="1:20">
      <c r="A1124" s="16" t="s">
        <v>251</v>
      </c>
      <c r="B1124" s="41">
        <v>44364</v>
      </c>
      <c r="C1124" s="25">
        <v>8</v>
      </c>
      <c r="D1124" s="25"/>
      <c r="E1124" s="25"/>
      <c r="F1124" s="25"/>
      <c r="G1124" s="25"/>
      <c r="H1124" s="25"/>
      <c r="I1124" s="25"/>
      <c r="J1124" s="25"/>
      <c r="K1124" s="25"/>
      <c r="L1124" s="25"/>
      <c r="M1124" s="42" t="s">
        <v>253</v>
      </c>
      <c r="N1124" s="41">
        <v>45247</v>
      </c>
      <c r="O1124" s="25">
        <v>129</v>
      </c>
      <c r="P1124" s="25">
        <v>0</v>
      </c>
      <c r="Q1124" s="25"/>
      <c r="R1124" s="25"/>
      <c r="S1124" s="25"/>
      <c r="T1124" s="10"/>
    </row>
    <row r="1125" s="35" customFormat="1" ht="18.5" customHeight="1" spans="1:20">
      <c r="A1125" s="16" t="s">
        <v>251</v>
      </c>
      <c r="B1125" s="41">
        <v>44380</v>
      </c>
      <c r="C1125" s="25">
        <v>1</v>
      </c>
      <c r="D1125" s="25"/>
      <c r="E1125" s="25"/>
      <c r="F1125" s="25"/>
      <c r="G1125" s="25"/>
      <c r="H1125" s="25"/>
      <c r="I1125" s="25"/>
      <c r="J1125" s="25"/>
      <c r="K1125" s="25"/>
      <c r="L1125" s="25"/>
      <c r="M1125" s="42" t="s">
        <v>253</v>
      </c>
      <c r="N1125" s="41">
        <v>45236</v>
      </c>
      <c r="O1125" s="25">
        <v>128</v>
      </c>
      <c r="P1125" s="25">
        <v>0</v>
      </c>
      <c r="Q1125" s="25"/>
      <c r="R1125" s="25"/>
      <c r="S1125" s="25"/>
      <c r="T1125" s="10"/>
    </row>
    <row r="1126" s="35" customFormat="1" ht="18.5" customHeight="1" spans="1:20">
      <c r="A1126" s="16" t="s">
        <v>251</v>
      </c>
      <c r="B1126" s="41">
        <v>45277</v>
      </c>
      <c r="C1126" s="25">
        <v>8</v>
      </c>
      <c r="D1126" s="25"/>
      <c r="E1126" s="25"/>
      <c r="F1126" s="25"/>
      <c r="G1126" s="25"/>
      <c r="H1126" s="25"/>
      <c r="I1126" s="25"/>
      <c r="J1126" s="25"/>
      <c r="K1126" s="25"/>
      <c r="L1126" s="25"/>
      <c r="M1126" s="42" t="s">
        <v>253</v>
      </c>
      <c r="N1126" s="41">
        <v>45152</v>
      </c>
      <c r="O1126" s="25">
        <v>128</v>
      </c>
      <c r="P1126" s="25">
        <v>0</v>
      </c>
      <c r="Q1126" s="25"/>
      <c r="R1126" s="25"/>
      <c r="S1126" s="25"/>
      <c r="T1126" s="10"/>
    </row>
    <row r="1127" s="35" customFormat="1" ht="18.5" customHeight="1" spans="1:20">
      <c r="A1127" s="16" t="s">
        <v>251</v>
      </c>
      <c r="B1127" s="41">
        <v>45154</v>
      </c>
      <c r="C1127" s="25">
        <v>6</v>
      </c>
      <c r="D1127" s="25"/>
      <c r="E1127" s="25"/>
      <c r="F1127" s="25"/>
      <c r="G1127" s="25"/>
      <c r="H1127" s="25"/>
      <c r="I1127" s="25"/>
      <c r="J1127" s="25"/>
      <c r="K1127" s="25"/>
      <c r="L1127" s="25"/>
      <c r="M1127" s="42" t="s">
        <v>253</v>
      </c>
      <c r="N1127" s="41">
        <v>45036</v>
      </c>
      <c r="O1127" s="25">
        <v>128</v>
      </c>
      <c r="P1127" s="25">
        <v>0</v>
      </c>
      <c r="Q1127" s="25"/>
      <c r="R1127" s="25"/>
      <c r="S1127" s="25"/>
      <c r="T1127" s="10"/>
    </row>
    <row r="1128" s="35" customFormat="1" ht="18.5" customHeight="1" spans="1:20">
      <c r="A1128" s="16" t="s">
        <v>251</v>
      </c>
      <c r="B1128" s="41">
        <v>44342</v>
      </c>
      <c r="C1128" s="25">
        <v>2</v>
      </c>
      <c r="D1128" s="25"/>
      <c r="E1128" s="25"/>
      <c r="F1128" s="25"/>
      <c r="G1128" s="25"/>
      <c r="H1128" s="25"/>
      <c r="I1128" s="25"/>
      <c r="J1128" s="25"/>
      <c r="K1128" s="25"/>
      <c r="L1128" s="25"/>
      <c r="M1128" s="42" t="s">
        <v>253</v>
      </c>
      <c r="N1128" s="41">
        <v>45287</v>
      </c>
      <c r="O1128" s="25">
        <v>128</v>
      </c>
      <c r="P1128" s="25">
        <v>0</v>
      </c>
      <c r="Q1128" s="25"/>
      <c r="R1128" s="25"/>
      <c r="S1128" s="25"/>
      <c r="T1128" s="10"/>
    </row>
    <row r="1129" s="35" customFormat="1" ht="18.5" customHeight="1" spans="1:20">
      <c r="A1129" s="16" t="s">
        <v>251</v>
      </c>
      <c r="B1129" s="41">
        <v>44524</v>
      </c>
      <c r="C1129" s="25">
        <v>4</v>
      </c>
      <c r="D1129" s="25"/>
      <c r="E1129" s="25"/>
      <c r="F1129" s="25"/>
      <c r="G1129" s="25"/>
      <c r="H1129" s="25"/>
      <c r="I1129" s="25"/>
      <c r="J1129" s="25"/>
      <c r="K1129" s="25"/>
      <c r="L1129" s="25"/>
      <c r="M1129" s="42" t="s">
        <v>253</v>
      </c>
      <c r="N1129" s="41">
        <v>45287</v>
      </c>
      <c r="O1129" s="25">
        <v>127</v>
      </c>
      <c r="P1129" s="25">
        <v>0</v>
      </c>
      <c r="Q1129" s="25"/>
      <c r="R1129" s="25"/>
      <c r="S1129" s="25"/>
      <c r="T1129" s="10"/>
    </row>
    <row r="1130" s="35" customFormat="1" ht="18.5" customHeight="1" spans="1:20">
      <c r="A1130" s="16" t="s">
        <v>251</v>
      </c>
      <c r="B1130" s="41">
        <v>44386</v>
      </c>
      <c r="C1130" s="25">
        <v>5</v>
      </c>
      <c r="D1130" s="25"/>
      <c r="E1130" s="25"/>
      <c r="F1130" s="25"/>
      <c r="G1130" s="25"/>
      <c r="H1130" s="25"/>
      <c r="I1130" s="25"/>
      <c r="J1130" s="25"/>
      <c r="K1130" s="25"/>
      <c r="L1130" s="25"/>
      <c r="M1130" s="42" t="s">
        <v>253</v>
      </c>
      <c r="N1130" s="41">
        <v>45244</v>
      </c>
      <c r="O1130" s="25">
        <v>127</v>
      </c>
      <c r="P1130" s="25">
        <v>0</v>
      </c>
      <c r="Q1130" s="25"/>
      <c r="R1130" s="25"/>
      <c r="S1130" s="25"/>
      <c r="T1130" s="10"/>
    </row>
    <row r="1131" s="35" customFormat="1" ht="18.5" customHeight="1" spans="1:20">
      <c r="A1131" s="16" t="s">
        <v>251</v>
      </c>
      <c r="B1131" s="41">
        <v>44360</v>
      </c>
      <c r="C1131" s="25">
        <v>0</v>
      </c>
      <c r="D1131" s="25"/>
      <c r="E1131" s="25"/>
      <c r="F1131" s="25"/>
      <c r="G1131" s="25"/>
      <c r="H1131" s="25"/>
      <c r="I1131" s="25"/>
      <c r="J1131" s="25"/>
      <c r="K1131" s="25"/>
      <c r="L1131" s="25"/>
      <c r="M1131" s="42" t="s">
        <v>253</v>
      </c>
      <c r="N1131" s="41">
        <v>45219</v>
      </c>
      <c r="O1131" s="25">
        <v>127</v>
      </c>
      <c r="P1131" s="25">
        <v>0</v>
      </c>
      <c r="Q1131" s="25"/>
      <c r="R1131" s="25"/>
      <c r="S1131" s="25"/>
      <c r="T1131" s="10"/>
    </row>
    <row r="1132" s="35" customFormat="1" ht="18.5" customHeight="1" spans="1:20">
      <c r="A1132" s="16" t="s">
        <v>251</v>
      </c>
      <c r="B1132" s="41">
        <v>45112</v>
      </c>
      <c r="C1132" s="25">
        <v>8</v>
      </c>
      <c r="D1132" s="25"/>
      <c r="E1132" s="25"/>
      <c r="F1132" s="25"/>
      <c r="G1132" s="25"/>
      <c r="H1132" s="25"/>
      <c r="I1132" s="25"/>
      <c r="J1132" s="25"/>
      <c r="K1132" s="25"/>
      <c r="L1132" s="25"/>
      <c r="M1132" s="42" t="s">
        <v>253</v>
      </c>
      <c r="N1132" s="41">
        <v>45288</v>
      </c>
      <c r="O1132" s="25">
        <v>126</v>
      </c>
      <c r="P1132" s="25">
        <v>0</v>
      </c>
      <c r="Q1132" s="25"/>
      <c r="R1132" s="25"/>
      <c r="S1132" s="25"/>
      <c r="T1132" s="10"/>
    </row>
    <row r="1133" s="35" customFormat="1" ht="18.5" customHeight="1" spans="1:20">
      <c r="A1133" s="16" t="s">
        <v>251</v>
      </c>
      <c r="B1133" s="41">
        <v>44428</v>
      </c>
      <c r="C1133" s="25">
        <v>5</v>
      </c>
      <c r="D1133" s="25"/>
      <c r="E1133" s="25"/>
      <c r="F1133" s="25"/>
      <c r="G1133" s="25"/>
      <c r="H1133" s="25"/>
      <c r="I1133" s="25"/>
      <c r="J1133" s="25"/>
      <c r="K1133" s="25"/>
      <c r="L1133" s="25"/>
      <c r="M1133" s="42" t="s">
        <v>253</v>
      </c>
      <c r="N1133" s="41">
        <v>45236</v>
      </c>
      <c r="O1133" s="25">
        <v>126</v>
      </c>
      <c r="P1133" s="25">
        <v>0</v>
      </c>
      <c r="Q1133" s="25"/>
      <c r="R1133" s="25"/>
      <c r="S1133" s="25"/>
      <c r="T1133" s="10"/>
    </row>
    <row r="1134" s="35" customFormat="1" ht="18.5" customHeight="1" spans="1:20">
      <c r="A1134" s="16" t="s">
        <v>251</v>
      </c>
      <c r="B1134" s="41">
        <v>44444</v>
      </c>
      <c r="C1134" s="25">
        <v>0</v>
      </c>
      <c r="D1134" s="25"/>
      <c r="E1134" s="25"/>
      <c r="F1134" s="25"/>
      <c r="G1134" s="25"/>
      <c r="H1134" s="25"/>
      <c r="I1134" s="25"/>
      <c r="J1134" s="25"/>
      <c r="K1134" s="25"/>
      <c r="L1134" s="25"/>
      <c r="M1134" s="42" t="s">
        <v>253</v>
      </c>
      <c r="N1134" s="41">
        <v>45232</v>
      </c>
      <c r="O1134" s="25">
        <v>126</v>
      </c>
      <c r="P1134" s="25">
        <v>0</v>
      </c>
      <c r="Q1134" s="25"/>
      <c r="R1134" s="25"/>
      <c r="S1134" s="25"/>
      <c r="T1134" s="10"/>
    </row>
    <row r="1135" s="35" customFormat="1" ht="18.5" customHeight="1" spans="1:20">
      <c r="A1135" s="16" t="s">
        <v>251</v>
      </c>
      <c r="B1135" s="41">
        <v>44351</v>
      </c>
      <c r="C1135" s="25">
        <v>4</v>
      </c>
      <c r="D1135" s="25"/>
      <c r="E1135" s="25"/>
      <c r="F1135" s="25"/>
      <c r="G1135" s="25"/>
      <c r="H1135" s="25"/>
      <c r="I1135" s="25"/>
      <c r="J1135" s="25"/>
      <c r="K1135" s="25"/>
      <c r="L1135" s="25"/>
      <c r="M1135" s="42" t="s">
        <v>253</v>
      </c>
      <c r="N1135" s="41">
        <v>45048</v>
      </c>
      <c r="O1135" s="25">
        <v>126</v>
      </c>
      <c r="P1135" s="25">
        <v>0</v>
      </c>
      <c r="Q1135" s="25"/>
      <c r="R1135" s="25"/>
      <c r="S1135" s="25"/>
      <c r="T1135" s="10"/>
    </row>
    <row r="1136" s="35" customFormat="1" ht="18.5" customHeight="1" spans="1:20">
      <c r="A1136" s="16" t="s">
        <v>251</v>
      </c>
      <c r="B1136" s="41">
        <v>44434</v>
      </c>
      <c r="C1136" s="25">
        <v>0</v>
      </c>
      <c r="D1136" s="25"/>
      <c r="E1136" s="25"/>
      <c r="F1136" s="25"/>
      <c r="G1136" s="25"/>
      <c r="H1136" s="25"/>
      <c r="I1136" s="25"/>
      <c r="J1136" s="25"/>
      <c r="K1136" s="25"/>
      <c r="L1136" s="25"/>
      <c r="M1136" s="42" t="s">
        <v>253</v>
      </c>
      <c r="N1136" s="41">
        <v>45246</v>
      </c>
      <c r="O1136" s="25">
        <v>125</v>
      </c>
      <c r="P1136" s="25">
        <v>0</v>
      </c>
      <c r="Q1136" s="25"/>
      <c r="R1136" s="25"/>
      <c r="S1136" s="25"/>
      <c r="T1136" s="10"/>
    </row>
    <row r="1137" s="35" customFormat="1" ht="18.5" customHeight="1" spans="1:20">
      <c r="A1137" s="16" t="s">
        <v>251</v>
      </c>
      <c r="B1137" s="41">
        <v>44524</v>
      </c>
      <c r="C1137" s="25">
        <v>2</v>
      </c>
      <c r="D1137" s="25"/>
      <c r="E1137" s="25"/>
      <c r="F1137" s="25"/>
      <c r="G1137" s="25"/>
      <c r="H1137" s="25"/>
      <c r="I1137" s="25"/>
      <c r="J1137" s="25"/>
      <c r="K1137" s="25"/>
      <c r="L1137" s="25"/>
      <c r="M1137" s="42" t="s">
        <v>253</v>
      </c>
      <c r="N1137" s="41">
        <v>45239</v>
      </c>
      <c r="O1137" s="25">
        <v>125</v>
      </c>
      <c r="P1137" s="25">
        <v>0</v>
      </c>
      <c r="Q1137" s="25"/>
      <c r="R1137" s="25"/>
      <c r="S1137" s="25"/>
      <c r="T1137" s="10"/>
    </row>
    <row r="1138" s="35" customFormat="1" ht="18.5" customHeight="1" spans="1:20">
      <c r="A1138" s="16" t="s">
        <v>251</v>
      </c>
      <c r="B1138" s="41">
        <v>45277</v>
      </c>
      <c r="C1138" s="25">
        <v>2</v>
      </c>
      <c r="D1138" s="25"/>
      <c r="E1138" s="25"/>
      <c r="F1138" s="25"/>
      <c r="G1138" s="25"/>
      <c r="H1138" s="25"/>
      <c r="I1138" s="25"/>
      <c r="J1138" s="25"/>
      <c r="K1138" s="25"/>
      <c r="L1138" s="25"/>
      <c r="M1138" s="42" t="s">
        <v>253</v>
      </c>
      <c r="N1138" s="41">
        <v>45288</v>
      </c>
      <c r="O1138" s="25">
        <v>124</v>
      </c>
      <c r="P1138" s="25">
        <v>0</v>
      </c>
      <c r="Q1138" s="25"/>
      <c r="R1138" s="25"/>
      <c r="S1138" s="25"/>
      <c r="T1138" s="10"/>
    </row>
    <row r="1139" s="35" customFormat="1" ht="18.5" customHeight="1" spans="1:20">
      <c r="A1139" s="16" t="s">
        <v>251</v>
      </c>
      <c r="B1139" s="41">
        <v>44399</v>
      </c>
      <c r="C1139" s="25">
        <v>2</v>
      </c>
      <c r="D1139" s="25"/>
      <c r="E1139" s="25"/>
      <c r="F1139" s="25"/>
      <c r="G1139" s="25"/>
      <c r="H1139" s="25"/>
      <c r="I1139" s="25"/>
      <c r="J1139" s="25"/>
      <c r="K1139" s="25"/>
      <c r="L1139" s="25"/>
      <c r="M1139" s="42" t="s">
        <v>253</v>
      </c>
      <c r="N1139" s="41">
        <v>45281</v>
      </c>
      <c r="O1139" s="25">
        <v>124</v>
      </c>
      <c r="P1139" s="25">
        <v>0</v>
      </c>
      <c r="Q1139" s="25"/>
      <c r="R1139" s="25"/>
      <c r="S1139" s="25"/>
      <c r="T1139" s="10"/>
    </row>
    <row r="1140" s="35" customFormat="1" ht="18.5" customHeight="1" spans="1:20">
      <c r="A1140" s="16" t="s">
        <v>251</v>
      </c>
      <c r="B1140" s="41">
        <v>44362</v>
      </c>
      <c r="C1140" s="25">
        <v>6</v>
      </c>
      <c r="D1140" s="25"/>
      <c r="E1140" s="25"/>
      <c r="F1140" s="25"/>
      <c r="G1140" s="25"/>
      <c r="H1140" s="25"/>
      <c r="I1140" s="25"/>
      <c r="J1140" s="25"/>
      <c r="K1140" s="25"/>
      <c r="L1140" s="25"/>
      <c r="M1140" s="42" t="s">
        <v>253</v>
      </c>
      <c r="N1140" s="41">
        <v>45251</v>
      </c>
      <c r="O1140" s="25">
        <v>124</v>
      </c>
      <c r="P1140" s="25">
        <v>0</v>
      </c>
      <c r="Q1140" s="25"/>
      <c r="R1140" s="25"/>
      <c r="S1140" s="25"/>
      <c r="T1140" s="10"/>
    </row>
    <row r="1141" s="35" customFormat="1" ht="18.5" customHeight="1" spans="1:20">
      <c r="A1141" s="16" t="s">
        <v>251</v>
      </c>
      <c r="B1141" s="41">
        <v>44430</v>
      </c>
      <c r="C1141" s="25">
        <v>0</v>
      </c>
      <c r="D1141" s="25"/>
      <c r="E1141" s="25"/>
      <c r="F1141" s="25"/>
      <c r="G1141" s="25"/>
      <c r="H1141" s="25"/>
      <c r="I1141" s="25"/>
      <c r="J1141" s="25"/>
      <c r="K1141" s="25"/>
      <c r="L1141" s="25"/>
      <c r="M1141" s="42" t="s">
        <v>253</v>
      </c>
      <c r="N1141" s="41">
        <v>45079</v>
      </c>
      <c r="O1141" s="25">
        <v>124</v>
      </c>
      <c r="P1141" s="25">
        <v>0</v>
      </c>
      <c r="Q1141" s="25"/>
      <c r="R1141" s="25"/>
      <c r="S1141" s="25"/>
      <c r="T1141" s="10"/>
    </row>
    <row r="1142" s="35" customFormat="1" ht="18.5" customHeight="1" spans="1:20">
      <c r="A1142" s="16" t="s">
        <v>251</v>
      </c>
      <c r="B1142" s="41">
        <v>45285</v>
      </c>
      <c r="C1142" s="25">
        <v>4</v>
      </c>
      <c r="D1142" s="25"/>
      <c r="E1142" s="25"/>
      <c r="F1142" s="25"/>
      <c r="G1142" s="25"/>
      <c r="H1142" s="25"/>
      <c r="I1142" s="25"/>
      <c r="J1142" s="25"/>
      <c r="K1142" s="25"/>
      <c r="L1142" s="25"/>
      <c r="M1142" s="42" t="s">
        <v>253</v>
      </c>
      <c r="N1142" s="41">
        <v>45258</v>
      </c>
      <c r="O1142" s="25">
        <v>124</v>
      </c>
      <c r="P1142" s="25">
        <v>0</v>
      </c>
      <c r="Q1142" s="25"/>
      <c r="R1142" s="25"/>
      <c r="S1142" s="25"/>
      <c r="T1142" s="10"/>
    </row>
    <row r="1143" s="35" customFormat="1" ht="18.5" customHeight="1" spans="1:20">
      <c r="A1143" s="16" t="s">
        <v>251</v>
      </c>
      <c r="B1143" s="41">
        <v>45028</v>
      </c>
      <c r="C1143" s="25">
        <v>1</v>
      </c>
      <c r="D1143" s="25"/>
      <c r="E1143" s="25"/>
      <c r="F1143" s="25"/>
      <c r="G1143" s="25"/>
      <c r="H1143" s="25"/>
      <c r="I1143" s="25"/>
      <c r="J1143" s="25"/>
      <c r="K1143" s="25"/>
      <c r="L1143" s="25"/>
      <c r="M1143" s="42" t="s">
        <v>253</v>
      </c>
      <c r="N1143" s="41">
        <v>45245</v>
      </c>
      <c r="O1143" s="25">
        <v>123</v>
      </c>
      <c r="P1143" s="25">
        <v>0</v>
      </c>
      <c r="Q1143" s="25"/>
      <c r="R1143" s="25"/>
      <c r="S1143" s="25"/>
      <c r="T1143" s="10"/>
    </row>
    <row r="1144" s="35" customFormat="1" ht="18.5" customHeight="1" spans="1:20">
      <c r="A1144" s="16" t="s">
        <v>251</v>
      </c>
      <c r="B1144" s="41">
        <v>44451</v>
      </c>
      <c r="C1144" s="25">
        <v>3</v>
      </c>
      <c r="D1144" s="25"/>
      <c r="E1144" s="25"/>
      <c r="F1144" s="25"/>
      <c r="G1144" s="25"/>
      <c r="H1144" s="25"/>
      <c r="I1144" s="25"/>
      <c r="J1144" s="25"/>
      <c r="K1144" s="25"/>
      <c r="L1144" s="25"/>
      <c r="M1144" s="42" t="s">
        <v>253</v>
      </c>
      <c r="N1144" s="41">
        <v>45153</v>
      </c>
      <c r="O1144" s="25">
        <v>123</v>
      </c>
      <c r="P1144" s="25">
        <v>0</v>
      </c>
      <c r="Q1144" s="25"/>
      <c r="R1144" s="25"/>
      <c r="S1144" s="25"/>
      <c r="T1144" s="10"/>
    </row>
    <row r="1145" s="35" customFormat="1" ht="18.5" customHeight="1" spans="1:20">
      <c r="A1145" s="16" t="s">
        <v>251</v>
      </c>
      <c r="B1145" s="41">
        <v>45277</v>
      </c>
      <c r="C1145" s="25">
        <v>7</v>
      </c>
      <c r="D1145" s="25"/>
      <c r="E1145" s="25"/>
      <c r="F1145" s="25"/>
      <c r="G1145" s="25"/>
      <c r="H1145" s="25"/>
      <c r="I1145" s="25"/>
      <c r="J1145" s="25"/>
      <c r="K1145" s="25"/>
      <c r="L1145" s="25"/>
      <c r="M1145" s="42" t="s">
        <v>253</v>
      </c>
      <c r="N1145" s="41">
        <v>45072</v>
      </c>
      <c r="O1145" s="25">
        <v>123</v>
      </c>
      <c r="P1145" s="25">
        <v>0</v>
      </c>
      <c r="Q1145" s="25"/>
      <c r="R1145" s="25"/>
      <c r="S1145" s="25"/>
      <c r="T1145" s="10"/>
    </row>
    <row r="1146" s="35" customFormat="1" ht="18.5" customHeight="1" spans="1:20">
      <c r="A1146" s="16" t="s">
        <v>251</v>
      </c>
      <c r="B1146" s="41">
        <v>44434</v>
      </c>
      <c r="C1146" s="25">
        <v>1</v>
      </c>
      <c r="D1146" s="25"/>
      <c r="E1146" s="25"/>
      <c r="F1146" s="25"/>
      <c r="G1146" s="25"/>
      <c r="H1146" s="25"/>
      <c r="I1146" s="25"/>
      <c r="J1146" s="25"/>
      <c r="K1146" s="25"/>
      <c r="L1146" s="25"/>
      <c r="M1146" s="42" t="s">
        <v>253</v>
      </c>
      <c r="N1146" s="41">
        <v>45287</v>
      </c>
      <c r="O1146" s="25">
        <v>124</v>
      </c>
      <c r="P1146" s="25">
        <v>0</v>
      </c>
      <c r="Q1146" s="25"/>
      <c r="R1146" s="25"/>
      <c r="S1146" s="25"/>
      <c r="T1146" s="10"/>
    </row>
    <row r="1147" s="35" customFormat="1" ht="18.5" customHeight="1" spans="1:20">
      <c r="A1147" s="16" t="s">
        <v>251</v>
      </c>
      <c r="B1147" s="41">
        <v>44446</v>
      </c>
      <c r="C1147" s="25">
        <v>0</v>
      </c>
      <c r="D1147" s="25"/>
      <c r="E1147" s="25"/>
      <c r="F1147" s="25"/>
      <c r="G1147" s="25"/>
      <c r="H1147" s="25"/>
      <c r="I1147" s="25"/>
      <c r="J1147" s="25"/>
      <c r="K1147" s="25"/>
      <c r="L1147" s="25"/>
      <c r="M1147" s="42" t="s">
        <v>253</v>
      </c>
      <c r="N1147" s="41">
        <v>45287</v>
      </c>
      <c r="O1147" s="25">
        <v>122</v>
      </c>
      <c r="P1147" s="25">
        <v>0</v>
      </c>
      <c r="Q1147" s="25"/>
      <c r="R1147" s="25"/>
      <c r="S1147" s="25"/>
      <c r="T1147" s="10"/>
    </row>
    <row r="1148" s="35" customFormat="1" ht="18.5" customHeight="1" spans="1:20">
      <c r="A1148" s="16" t="s">
        <v>251</v>
      </c>
      <c r="B1148" s="41">
        <v>44408</v>
      </c>
      <c r="C1148" s="25">
        <v>1</v>
      </c>
      <c r="D1148" s="25"/>
      <c r="E1148" s="25"/>
      <c r="F1148" s="25"/>
      <c r="G1148" s="25"/>
      <c r="H1148" s="25"/>
      <c r="I1148" s="25"/>
      <c r="J1148" s="25"/>
      <c r="K1148" s="25"/>
      <c r="L1148" s="25"/>
      <c r="M1148" s="42" t="s">
        <v>253</v>
      </c>
      <c r="N1148" s="41">
        <v>45267</v>
      </c>
      <c r="O1148" s="25">
        <v>122</v>
      </c>
      <c r="P1148" s="25">
        <v>0</v>
      </c>
      <c r="Q1148" s="25"/>
      <c r="R1148" s="25"/>
      <c r="S1148" s="25"/>
      <c r="T1148" s="10"/>
    </row>
    <row r="1149" s="35" customFormat="1" ht="18.5" customHeight="1" spans="1:20">
      <c r="A1149" s="16" t="s">
        <v>251</v>
      </c>
      <c r="B1149" s="41">
        <v>44449</v>
      </c>
      <c r="C1149" s="25">
        <v>1</v>
      </c>
      <c r="D1149" s="25"/>
      <c r="E1149" s="25"/>
      <c r="F1149" s="25"/>
      <c r="G1149" s="25"/>
      <c r="H1149" s="25"/>
      <c r="I1149" s="25"/>
      <c r="J1149" s="25"/>
      <c r="K1149" s="25"/>
      <c r="L1149" s="25"/>
      <c r="M1149" s="42" t="s">
        <v>253</v>
      </c>
      <c r="N1149" s="41">
        <v>45250</v>
      </c>
      <c r="O1149" s="25">
        <v>122</v>
      </c>
      <c r="P1149" s="25">
        <v>0</v>
      </c>
      <c r="Q1149" s="25"/>
      <c r="R1149" s="25"/>
      <c r="S1149" s="25"/>
      <c r="T1149" s="10"/>
    </row>
    <row r="1150" s="35" customFormat="1" ht="18.5" customHeight="1" spans="1:20">
      <c r="A1150" s="16" t="s">
        <v>251</v>
      </c>
      <c r="B1150" s="41">
        <v>44360</v>
      </c>
      <c r="C1150" s="25">
        <v>1</v>
      </c>
      <c r="D1150" s="25"/>
      <c r="E1150" s="25"/>
      <c r="F1150" s="25"/>
      <c r="G1150" s="25"/>
      <c r="H1150" s="25"/>
      <c r="I1150" s="25"/>
      <c r="J1150" s="25"/>
      <c r="K1150" s="25"/>
      <c r="L1150" s="25"/>
      <c r="M1150" s="42" t="s">
        <v>253</v>
      </c>
      <c r="N1150" s="41">
        <v>45243</v>
      </c>
      <c r="O1150" s="25">
        <v>122</v>
      </c>
      <c r="P1150" s="25">
        <v>0</v>
      </c>
      <c r="Q1150" s="25"/>
      <c r="R1150" s="25"/>
      <c r="S1150" s="25"/>
      <c r="T1150" s="10"/>
    </row>
    <row r="1151" s="35" customFormat="1" ht="18.5" customHeight="1" spans="1:20">
      <c r="A1151" s="16" t="s">
        <v>251</v>
      </c>
      <c r="B1151" s="41">
        <v>44471</v>
      </c>
      <c r="C1151" s="25">
        <v>0</v>
      </c>
      <c r="D1151" s="25"/>
      <c r="E1151" s="25"/>
      <c r="F1151" s="25"/>
      <c r="G1151" s="25"/>
      <c r="H1151" s="25"/>
      <c r="I1151" s="25"/>
      <c r="J1151" s="25"/>
      <c r="K1151" s="25"/>
      <c r="L1151" s="25"/>
      <c r="M1151" s="42" t="s">
        <v>253</v>
      </c>
      <c r="N1151" s="41">
        <v>45237</v>
      </c>
      <c r="O1151" s="25">
        <v>123</v>
      </c>
      <c r="P1151" s="25">
        <v>0</v>
      </c>
      <c r="Q1151" s="25"/>
      <c r="R1151" s="25"/>
      <c r="S1151" s="25"/>
      <c r="T1151" s="10"/>
    </row>
    <row r="1152" s="35" customFormat="1" ht="18.5" customHeight="1" spans="1:20">
      <c r="A1152" s="16" t="s">
        <v>251</v>
      </c>
      <c r="B1152" s="41">
        <v>44377</v>
      </c>
      <c r="C1152" s="25">
        <v>3</v>
      </c>
      <c r="D1152" s="25"/>
      <c r="E1152" s="25"/>
      <c r="F1152" s="25"/>
      <c r="G1152" s="25"/>
      <c r="H1152" s="25"/>
      <c r="I1152" s="25"/>
      <c r="J1152" s="25"/>
      <c r="K1152" s="25"/>
      <c r="L1152" s="25"/>
      <c r="M1152" s="42" t="s">
        <v>253</v>
      </c>
      <c r="N1152" s="41">
        <v>45235</v>
      </c>
      <c r="O1152" s="25">
        <v>122</v>
      </c>
      <c r="P1152" s="25">
        <v>0</v>
      </c>
      <c r="Q1152" s="25"/>
      <c r="R1152" s="25"/>
      <c r="S1152" s="25"/>
      <c r="T1152" s="10"/>
    </row>
    <row r="1153" s="35" customFormat="1" ht="18.5" customHeight="1" spans="1:20">
      <c r="A1153" s="16" t="s">
        <v>251</v>
      </c>
      <c r="B1153" s="41">
        <v>44344</v>
      </c>
      <c r="C1153" s="25">
        <v>4</v>
      </c>
      <c r="D1153" s="25"/>
      <c r="E1153" s="25"/>
      <c r="F1153" s="25"/>
      <c r="G1153" s="25"/>
      <c r="H1153" s="25"/>
      <c r="I1153" s="25"/>
      <c r="J1153" s="25"/>
      <c r="K1153" s="25"/>
      <c r="L1153" s="25"/>
      <c r="M1153" s="42" t="s">
        <v>253</v>
      </c>
      <c r="N1153" s="41">
        <v>45261</v>
      </c>
      <c r="O1153" s="25">
        <v>121</v>
      </c>
      <c r="P1153" s="25">
        <v>0</v>
      </c>
      <c r="Q1153" s="25"/>
      <c r="R1153" s="25"/>
      <c r="S1153" s="25"/>
      <c r="T1153" s="10"/>
    </row>
    <row r="1154" s="35" customFormat="1" ht="18.5" customHeight="1" spans="1:20">
      <c r="A1154" s="16" t="s">
        <v>251</v>
      </c>
      <c r="B1154" s="41">
        <v>44532</v>
      </c>
      <c r="C1154" s="25">
        <v>0</v>
      </c>
      <c r="D1154" s="25"/>
      <c r="E1154" s="25"/>
      <c r="F1154" s="25"/>
      <c r="G1154" s="25"/>
      <c r="H1154" s="25"/>
      <c r="I1154" s="25"/>
      <c r="J1154" s="25"/>
      <c r="K1154" s="25"/>
      <c r="L1154" s="25"/>
      <c r="M1154" s="42" t="s">
        <v>253</v>
      </c>
      <c r="N1154" s="41">
        <v>45033</v>
      </c>
      <c r="O1154" s="25">
        <v>121</v>
      </c>
      <c r="P1154" s="25">
        <v>0</v>
      </c>
      <c r="Q1154" s="25"/>
      <c r="R1154" s="25"/>
      <c r="S1154" s="25"/>
      <c r="T1154" s="10"/>
    </row>
    <row r="1155" s="35" customFormat="1" ht="18.5" customHeight="1" spans="1:20">
      <c r="A1155" s="16" t="s">
        <v>251</v>
      </c>
      <c r="B1155" s="41">
        <v>45277</v>
      </c>
      <c r="C1155" s="25">
        <v>6</v>
      </c>
      <c r="D1155" s="25"/>
      <c r="E1155" s="25"/>
      <c r="F1155" s="25"/>
      <c r="G1155" s="25"/>
      <c r="H1155" s="25"/>
      <c r="I1155" s="25"/>
      <c r="J1155" s="25"/>
      <c r="K1155" s="25"/>
      <c r="L1155" s="25"/>
      <c r="M1155" s="42" t="s">
        <v>253</v>
      </c>
      <c r="N1155" s="41">
        <v>45268</v>
      </c>
      <c r="O1155" s="25">
        <v>120</v>
      </c>
      <c r="P1155" s="25">
        <v>0</v>
      </c>
      <c r="Q1155" s="25"/>
      <c r="R1155" s="25"/>
      <c r="S1155" s="25"/>
      <c r="T1155" s="10"/>
    </row>
    <row r="1156" s="35" customFormat="1" ht="18.5" customHeight="1" spans="1:20">
      <c r="A1156" s="16" t="s">
        <v>251</v>
      </c>
      <c r="B1156" s="41">
        <v>45294</v>
      </c>
      <c r="C1156" s="25">
        <v>3</v>
      </c>
      <c r="D1156" s="25"/>
      <c r="E1156" s="25"/>
      <c r="F1156" s="25"/>
      <c r="G1156" s="25"/>
      <c r="H1156" s="25"/>
      <c r="I1156" s="25"/>
      <c r="J1156" s="25"/>
      <c r="K1156" s="25"/>
      <c r="L1156" s="25"/>
      <c r="M1156" s="42" t="s">
        <v>253</v>
      </c>
      <c r="N1156" s="41">
        <v>45264</v>
      </c>
      <c r="O1156" s="25">
        <v>120</v>
      </c>
      <c r="P1156" s="25">
        <v>0</v>
      </c>
      <c r="Q1156" s="25"/>
      <c r="R1156" s="25"/>
      <c r="S1156" s="25"/>
      <c r="T1156" s="10"/>
    </row>
    <row r="1157" s="35" customFormat="1" ht="18.5" customHeight="1" spans="1:20">
      <c r="A1157" s="16" t="s">
        <v>251</v>
      </c>
      <c r="B1157" s="41">
        <v>44411</v>
      </c>
      <c r="C1157" s="25">
        <v>4</v>
      </c>
      <c r="D1157" s="25"/>
      <c r="E1157" s="25"/>
      <c r="F1157" s="25"/>
      <c r="G1157" s="25"/>
      <c r="H1157" s="25"/>
      <c r="I1157" s="25"/>
      <c r="J1157" s="25"/>
      <c r="K1157" s="25"/>
      <c r="L1157" s="25"/>
      <c r="M1157" s="42" t="s">
        <v>253</v>
      </c>
      <c r="N1157" s="41">
        <v>45279</v>
      </c>
      <c r="O1157" s="25">
        <v>119</v>
      </c>
      <c r="P1157" s="25">
        <v>0</v>
      </c>
      <c r="Q1157" s="25"/>
      <c r="R1157" s="25"/>
      <c r="S1157" s="25"/>
      <c r="T1157" s="10"/>
    </row>
    <row r="1158" s="35" customFormat="1" ht="18.5" customHeight="1" spans="1:20">
      <c r="A1158" s="16" t="s">
        <v>251</v>
      </c>
      <c r="B1158" s="41">
        <v>44545</v>
      </c>
      <c r="C1158" s="25">
        <v>2</v>
      </c>
      <c r="D1158" s="25"/>
      <c r="E1158" s="25"/>
      <c r="F1158" s="25"/>
      <c r="G1158" s="25"/>
      <c r="H1158" s="25"/>
      <c r="I1158" s="25"/>
      <c r="J1158" s="25"/>
      <c r="K1158" s="25"/>
      <c r="L1158" s="25"/>
      <c r="M1158" s="42" t="s">
        <v>253</v>
      </c>
      <c r="N1158" s="41">
        <v>45262</v>
      </c>
      <c r="O1158" s="25">
        <v>120</v>
      </c>
      <c r="P1158" s="25">
        <v>0</v>
      </c>
      <c r="Q1158" s="25"/>
      <c r="R1158" s="25"/>
      <c r="S1158" s="25"/>
      <c r="T1158" s="10"/>
    </row>
    <row r="1159" s="35" customFormat="1" ht="18.5" customHeight="1" spans="1:20">
      <c r="A1159" s="16" t="s">
        <v>251</v>
      </c>
      <c r="B1159" s="41">
        <v>44400</v>
      </c>
      <c r="C1159" s="25">
        <v>5</v>
      </c>
      <c r="D1159" s="25"/>
      <c r="E1159" s="25"/>
      <c r="F1159" s="25"/>
      <c r="G1159" s="25"/>
      <c r="H1159" s="25"/>
      <c r="I1159" s="25"/>
      <c r="J1159" s="25"/>
      <c r="K1159" s="25"/>
      <c r="L1159" s="25"/>
      <c r="M1159" s="42" t="s">
        <v>253</v>
      </c>
      <c r="N1159" s="41">
        <v>45248</v>
      </c>
      <c r="O1159" s="25">
        <v>119</v>
      </c>
      <c r="P1159" s="25">
        <v>0</v>
      </c>
      <c r="Q1159" s="25"/>
      <c r="R1159" s="25"/>
      <c r="S1159" s="25"/>
      <c r="T1159" s="10"/>
    </row>
    <row r="1160" s="35" customFormat="1" ht="18.5" customHeight="1" spans="1:20">
      <c r="A1160" s="16" t="s">
        <v>251</v>
      </c>
      <c r="B1160" s="41">
        <v>44370</v>
      </c>
      <c r="C1160" s="25">
        <v>7</v>
      </c>
      <c r="D1160" s="25"/>
      <c r="E1160" s="25"/>
      <c r="F1160" s="25"/>
      <c r="G1160" s="25"/>
      <c r="H1160" s="25"/>
      <c r="I1160" s="25"/>
      <c r="J1160" s="25"/>
      <c r="K1160" s="25"/>
      <c r="L1160" s="25"/>
      <c r="M1160" s="42" t="s">
        <v>253</v>
      </c>
      <c r="N1160" s="41">
        <v>45257</v>
      </c>
      <c r="O1160" s="25">
        <v>119</v>
      </c>
      <c r="P1160" s="25">
        <v>0</v>
      </c>
      <c r="Q1160" s="25"/>
      <c r="R1160" s="25"/>
      <c r="S1160" s="25"/>
      <c r="T1160" s="10"/>
    </row>
    <row r="1161" s="35" customFormat="1" ht="18.5" customHeight="1" spans="1:20">
      <c r="A1161" s="16" t="s">
        <v>251</v>
      </c>
      <c r="B1161" s="41">
        <v>45294</v>
      </c>
      <c r="C1161" s="25">
        <v>1</v>
      </c>
      <c r="D1161" s="25"/>
      <c r="E1161" s="25"/>
      <c r="F1161" s="25"/>
      <c r="G1161" s="25"/>
      <c r="H1161" s="25"/>
      <c r="I1161" s="25"/>
      <c r="J1161" s="25"/>
      <c r="K1161" s="25"/>
      <c r="L1161" s="25"/>
      <c r="M1161" s="42" t="s">
        <v>253</v>
      </c>
      <c r="N1161" s="41">
        <v>45222</v>
      </c>
      <c r="O1161" s="25">
        <v>118</v>
      </c>
      <c r="P1161" s="25">
        <v>0</v>
      </c>
      <c r="Q1161" s="25"/>
      <c r="R1161" s="25"/>
      <c r="S1161" s="25"/>
      <c r="T1161" s="10"/>
    </row>
    <row r="1162" s="35" customFormat="1" ht="18.5" customHeight="1" spans="1:20">
      <c r="A1162" s="16" t="s">
        <v>251</v>
      </c>
      <c r="B1162" s="41">
        <v>44370</v>
      </c>
      <c r="C1162" s="25">
        <v>2</v>
      </c>
      <c r="D1162" s="25"/>
      <c r="E1162" s="25"/>
      <c r="F1162" s="25"/>
      <c r="G1162" s="25"/>
      <c r="H1162" s="25"/>
      <c r="I1162" s="25"/>
      <c r="J1162" s="25"/>
      <c r="K1162" s="25"/>
      <c r="L1162" s="25"/>
      <c r="M1162" s="42" t="s">
        <v>253</v>
      </c>
      <c r="N1162" s="41">
        <v>45063</v>
      </c>
      <c r="O1162" s="25">
        <v>118</v>
      </c>
      <c r="P1162" s="25">
        <v>0</v>
      </c>
      <c r="Q1162" s="25"/>
      <c r="R1162" s="25"/>
      <c r="S1162" s="25"/>
      <c r="T1162" s="10"/>
    </row>
    <row r="1163" s="35" customFormat="1" ht="18.5" customHeight="1" spans="1:20">
      <c r="A1163" s="16" t="s">
        <v>251</v>
      </c>
      <c r="B1163" s="41">
        <v>44339</v>
      </c>
      <c r="C1163" s="25">
        <v>0</v>
      </c>
      <c r="D1163" s="25"/>
      <c r="E1163" s="25"/>
      <c r="F1163" s="25"/>
      <c r="G1163" s="25"/>
      <c r="H1163" s="25"/>
      <c r="I1163" s="25"/>
      <c r="J1163" s="25"/>
      <c r="K1163" s="25"/>
      <c r="L1163" s="25"/>
      <c r="M1163" s="42" t="s">
        <v>253</v>
      </c>
      <c r="N1163" s="41">
        <v>45284</v>
      </c>
      <c r="O1163" s="25">
        <v>117</v>
      </c>
      <c r="P1163" s="25">
        <v>0</v>
      </c>
      <c r="Q1163" s="25"/>
      <c r="R1163" s="25"/>
      <c r="S1163" s="25"/>
      <c r="T1163" s="10"/>
    </row>
    <row r="1164" s="35" customFormat="1" ht="18.5" customHeight="1" spans="1:20">
      <c r="A1164" s="16" t="s">
        <v>251</v>
      </c>
      <c r="B1164" s="41">
        <v>44329</v>
      </c>
      <c r="C1164" s="25">
        <v>0</v>
      </c>
      <c r="D1164" s="25"/>
      <c r="E1164" s="25"/>
      <c r="F1164" s="25"/>
      <c r="G1164" s="25"/>
      <c r="H1164" s="25"/>
      <c r="I1164" s="25"/>
      <c r="J1164" s="25"/>
      <c r="K1164" s="25"/>
      <c r="L1164" s="25"/>
      <c r="M1164" s="42" t="s">
        <v>253</v>
      </c>
      <c r="N1164" s="41">
        <v>45281</v>
      </c>
      <c r="O1164" s="25">
        <v>117</v>
      </c>
      <c r="P1164" s="25">
        <v>0</v>
      </c>
      <c r="Q1164" s="25"/>
      <c r="R1164" s="25"/>
      <c r="S1164" s="25"/>
      <c r="T1164" s="10"/>
    </row>
    <row r="1165" s="35" customFormat="1" ht="18.5" customHeight="1" spans="1:20">
      <c r="A1165" s="16" t="s">
        <v>251</v>
      </c>
      <c r="B1165" s="41">
        <v>44471</v>
      </c>
      <c r="C1165" s="25">
        <v>0</v>
      </c>
      <c r="D1165" s="25"/>
      <c r="E1165" s="25"/>
      <c r="F1165" s="25"/>
      <c r="G1165" s="25"/>
      <c r="H1165" s="25"/>
      <c r="I1165" s="25"/>
      <c r="J1165" s="25"/>
      <c r="K1165" s="25"/>
      <c r="L1165" s="25"/>
      <c r="M1165" s="42" t="s">
        <v>253</v>
      </c>
      <c r="N1165" s="41">
        <v>45258</v>
      </c>
      <c r="O1165" s="25">
        <v>116</v>
      </c>
      <c r="P1165" s="25">
        <v>0</v>
      </c>
      <c r="Q1165" s="25"/>
      <c r="R1165" s="25"/>
      <c r="S1165" s="25"/>
      <c r="T1165" s="10"/>
    </row>
    <row r="1166" s="35" customFormat="1" ht="18.5" customHeight="1" spans="1:20">
      <c r="A1166" s="16" t="s">
        <v>251</v>
      </c>
      <c r="B1166" s="41">
        <v>44353</v>
      </c>
      <c r="C1166" s="25">
        <v>4</v>
      </c>
      <c r="D1166" s="25"/>
      <c r="E1166" s="25"/>
      <c r="F1166" s="25"/>
      <c r="G1166" s="25"/>
      <c r="H1166" s="25"/>
      <c r="I1166" s="25"/>
      <c r="J1166" s="25"/>
      <c r="K1166" s="25"/>
      <c r="L1166" s="25"/>
      <c r="M1166" s="42" t="s">
        <v>253</v>
      </c>
      <c r="N1166" s="41">
        <v>45241</v>
      </c>
      <c r="O1166" s="25">
        <v>116</v>
      </c>
      <c r="P1166" s="25">
        <v>0</v>
      </c>
      <c r="Q1166" s="25"/>
      <c r="R1166" s="25"/>
      <c r="S1166" s="25"/>
      <c r="T1166" s="10"/>
    </row>
    <row r="1167" s="35" customFormat="1" ht="18.5" customHeight="1" spans="1:20">
      <c r="A1167" s="16" t="s">
        <v>251</v>
      </c>
      <c r="B1167" s="41">
        <v>44418</v>
      </c>
      <c r="C1167" s="25">
        <v>1</v>
      </c>
      <c r="D1167" s="25"/>
      <c r="E1167" s="25"/>
      <c r="F1167" s="25"/>
      <c r="G1167" s="25"/>
      <c r="H1167" s="25"/>
      <c r="I1167" s="25"/>
      <c r="J1167" s="25"/>
      <c r="K1167" s="25"/>
      <c r="L1167" s="25"/>
      <c r="M1167" s="42" t="s">
        <v>253</v>
      </c>
      <c r="N1167" s="41">
        <v>45237</v>
      </c>
      <c r="O1167" s="25">
        <v>116</v>
      </c>
      <c r="P1167" s="25">
        <v>0</v>
      </c>
      <c r="Q1167" s="25"/>
      <c r="R1167" s="25"/>
      <c r="S1167" s="25"/>
      <c r="T1167" s="10"/>
    </row>
    <row r="1168" s="35" customFormat="1" ht="18.5" customHeight="1" spans="1:20">
      <c r="A1168" s="16" t="s">
        <v>251</v>
      </c>
      <c r="B1168" s="41">
        <v>44351</v>
      </c>
      <c r="C1168" s="25">
        <v>6</v>
      </c>
      <c r="D1168" s="25"/>
      <c r="E1168" s="25"/>
      <c r="F1168" s="25"/>
      <c r="G1168" s="25"/>
      <c r="H1168" s="25"/>
      <c r="I1168" s="25"/>
      <c r="J1168" s="25"/>
      <c r="K1168" s="25"/>
      <c r="L1168" s="25"/>
      <c r="M1168" s="42" t="s">
        <v>253</v>
      </c>
      <c r="N1168" s="41">
        <v>45287</v>
      </c>
      <c r="O1168" s="25">
        <v>115</v>
      </c>
      <c r="P1168" s="25">
        <v>0</v>
      </c>
      <c r="Q1168" s="25"/>
      <c r="R1168" s="25"/>
      <c r="S1168" s="25"/>
      <c r="T1168" s="10"/>
    </row>
    <row r="1169" s="35" customFormat="1" ht="18.5" customHeight="1" spans="1:20">
      <c r="A1169" s="16" t="s">
        <v>251</v>
      </c>
      <c r="B1169" s="41">
        <v>44477</v>
      </c>
      <c r="C1169" s="25">
        <v>5</v>
      </c>
      <c r="D1169" s="25"/>
      <c r="E1169" s="25"/>
      <c r="F1169" s="25"/>
      <c r="G1169" s="25"/>
      <c r="H1169" s="25"/>
      <c r="I1169" s="25"/>
      <c r="J1169" s="25"/>
      <c r="K1169" s="25"/>
      <c r="L1169" s="25"/>
      <c r="M1169" s="42" t="s">
        <v>253</v>
      </c>
      <c r="N1169" s="41">
        <v>45274</v>
      </c>
      <c r="O1169" s="25">
        <v>116</v>
      </c>
      <c r="P1169" s="25">
        <v>0</v>
      </c>
      <c r="Q1169" s="25"/>
      <c r="R1169" s="25"/>
      <c r="S1169" s="25"/>
      <c r="T1169" s="10"/>
    </row>
    <row r="1170" s="35" customFormat="1" ht="18.5" customHeight="1" spans="1:20">
      <c r="A1170" s="16" t="s">
        <v>251</v>
      </c>
      <c r="B1170" s="41">
        <v>44487</v>
      </c>
      <c r="C1170" s="25">
        <v>0</v>
      </c>
      <c r="D1170" s="25"/>
      <c r="E1170" s="25"/>
      <c r="F1170" s="25"/>
      <c r="G1170" s="25"/>
      <c r="H1170" s="25"/>
      <c r="I1170" s="25"/>
      <c r="J1170" s="25"/>
      <c r="K1170" s="25"/>
      <c r="L1170" s="25"/>
      <c r="M1170" s="42" t="s">
        <v>253</v>
      </c>
      <c r="N1170" s="41">
        <v>45248</v>
      </c>
      <c r="O1170" s="25">
        <v>115</v>
      </c>
      <c r="P1170" s="25">
        <v>0</v>
      </c>
      <c r="Q1170" s="25"/>
      <c r="R1170" s="25"/>
      <c r="S1170" s="25"/>
      <c r="T1170" s="10"/>
    </row>
    <row r="1171" s="35" customFormat="1" ht="18.5" customHeight="1" spans="1:20">
      <c r="A1171" s="16" t="s">
        <v>251</v>
      </c>
      <c r="B1171" s="41">
        <v>44476</v>
      </c>
      <c r="C1171" s="25">
        <v>0</v>
      </c>
      <c r="D1171" s="25"/>
      <c r="E1171" s="25"/>
      <c r="F1171" s="25"/>
      <c r="G1171" s="25"/>
      <c r="H1171" s="25"/>
      <c r="I1171" s="25"/>
      <c r="J1171" s="25"/>
      <c r="K1171" s="25"/>
      <c r="L1171" s="25"/>
      <c r="M1171" s="42" t="s">
        <v>253</v>
      </c>
      <c r="N1171" s="41">
        <v>45247</v>
      </c>
      <c r="O1171" s="25">
        <v>115</v>
      </c>
      <c r="P1171" s="25">
        <v>0</v>
      </c>
      <c r="Q1171" s="25"/>
      <c r="R1171" s="25"/>
      <c r="S1171" s="25"/>
      <c r="T1171" s="10"/>
    </row>
    <row r="1172" s="35" customFormat="1" ht="18.5" customHeight="1" spans="1:20">
      <c r="A1172" s="16" t="s">
        <v>251</v>
      </c>
      <c r="B1172" s="41">
        <v>44467</v>
      </c>
      <c r="C1172" s="25">
        <v>0</v>
      </c>
      <c r="D1172" s="25"/>
      <c r="E1172" s="25"/>
      <c r="F1172" s="25"/>
      <c r="G1172" s="25"/>
      <c r="H1172" s="25"/>
      <c r="I1172" s="25"/>
      <c r="J1172" s="25"/>
      <c r="K1172" s="25"/>
      <c r="L1172" s="25"/>
      <c r="M1172" s="42" t="s">
        <v>253</v>
      </c>
      <c r="N1172" s="41">
        <v>45247</v>
      </c>
      <c r="O1172" s="25">
        <v>115</v>
      </c>
      <c r="P1172" s="25">
        <v>0</v>
      </c>
      <c r="Q1172" s="25"/>
      <c r="R1172" s="25"/>
      <c r="S1172" s="25"/>
      <c r="T1172" s="10"/>
    </row>
    <row r="1173" s="35" customFormat="1" ht="18.5" customHeight="1" spans="1:20">
      <c r="A1173" s="16" t="s">
        <v>251</v>
      </c>
      <c r="B1173" s="41">
        <v>44418</v>
      </c>
      <c r="C1173" s="25">
        <v>4</v>
      </c>
      <c r="D1173" s="25"/>
      <c r="E1173" s="25"/>
      <c r="F1173" s="25"/>
      <c r="G1173" s="25"/>
      <c r="H1173" s="25"/>
      <c r="I1173" s="25"/>
      <c r="J1173" s="25"/>
      <c r="K1173" s="25"/>
      <c r="L1173" s="25"/>
      <c r="M1173" s="42" t="s">
        <v>253</v>
      </c>
      <c r="N1173" s="41">
        <v>45244</v>
      </c>
      <c r="O1173" s="25">
        <v>115</v>
      </c>
      <c r="P1173" s="25">
        <v>0</v>
      </c>
      <c r="Q1173" s="25"/>
      <c r="R1173" s="25"/>
      <c r="S1173" s="25"/>
      <c r="T1173" s="10"/>
    </row>
    <row r="1174" s="35" customFormat="1" ht="18.5" customHeight="1" spans="1:20">
      <c r="A1174" s="16" t="s">
        <v>251</v>
      </c>
      <c r="B1174" s="41">
        <v>45284</v>
      </c>
      <c r="C1174" s="25">
        <v>3</v>
      </c>
      <c r="D1174" s="25"/>
      <c r="E1174" s="25"/>
      <c r="F1174" s="25"/>
      <c r="G1174" s="25"/>
      <c r="H1174" s="25"/>
      <c r="I1174" s="25"/>
      <c r="J1174" s="25"/>
      <c r="K1174" s="25"/>
      <c r="L1174" s="25"/>
      <c r="M1174" s="42" t="s">
        <v>253</v>
      </c>
      <c r="N1174" s="41">
        <v>45241</v>
      </c>
      <c r="O1174" s="25">
        <v>115</v>
      </c>
      <c r="P1174" s="25">
        <v>0</v>
      </c>
      <c r="Q1174" s="25"/>
      <c r="R1174" s="25"/>
      <c r="S1174" s="25"/>
      <c r="T1174" s="10"/>
    </row>
    <row r="1175" s="35" customFormat="1" ht="18.5" customHeight="1" spans="1:20">
      <c r="A1175" s="16" t="s">
        <v>251</v>
      </c>
      <c r="B1175" s="41">
        <v>44369</v>
      </c>
      <c r="C1175" s="25">
        <v>3</v>
      </c>
      <c r="D1175" s="25"/>
      <c r="E1175" s="25"/>
      <c r="F1175" s="25"/>
      <c r="G1175" s="25"/>
      <c r="H1175" s="25"/>
      <c r="I1175" s="25"/>
      <c r="J1175" s="25"/>
      <c r="K1175" s="25"/>
      <c r="L1175" s="25"/>
      <c r="M1175" s="42" t="s">
        <v>253</v>
      </c>
      <c r="N1175" s="41">
        <v>45009</v>
      </c>
      <c r="O1175" s="25">
        <v>115</v>
      </c>
      <c r="P1175" s="25">
        <v>0</v>
      </c>
      <c r="Q1175" s="25"/>
      <c r="R1175" s="25"/>
      <c r="S1175" s="25"/>
      <c r="T1175" s="10"/>
    </row>
    <row r="1176" s="35" customFormat="1" ht="18.5" customHeight="1" spans="1:20">
      <c r="A1176" s="16" t="s">
        <v>251</v>
      </c>
      <c r="B1176" s="41">
        <v>44356</v>
      </c>
      <c r="C1176" s="25">
        <v>3</v>
      </c>
      <c r="D1176" s="25"/>
      <c r="E1176" s="25"/>
      <c r="F1176" s="25"/>
      <c r="G1176" s="25"/>
      <c r="H1176" s="25"/>
      <c r="I1176" s="25"/>
      <c r="J1176" s="25"/>
      <c r="K1176" s="25"/>
      <c r="L1176" s="25"/>
      <c r="M1176" s="42" t="s">
        <v>253</v>
      </c>
      <c r="N1176" s="41">
        <v>45278</v>
      </c>
      <c r="O1176" s="25">
        <v>114</v>
      </c>
      <c r="P1176" s="25">
        <v>0</v>
      </c>
      <c r="Q1176" s="25"/>
      <c r="R1176" s="25"/>
      <c r="S1176" s="25"/>
      <c r="T1176" s="10"/>
    </row>
    <row r="1177" s="35" customFormat="1" ht="18.5" customHeight="1" spans="1:20">
      <c r="A1177" s="16" t="s">
        <v>251</v>
      </c>
      <c r="B1177" s="41">
        <v>44440</v>
      </c>
      <c r="C1177" s="25">
        <v>0</v>
      </c>
      <c r="D1177" s="25"/>
      <c r="E1177" s="25"/>
      <c r="F1177" s="25"/>
      <c r="G1177" s="25"/>
      <c r="H1177" s="25"/>
      <c r="I1177" s="25"/>
      <c r="J1177" s="25"/>
      <c r="K1177" s="25"/>
      <c r="L1177" s="25"/>
      <c r="M1177" s="42" t="s">
        <v>253</v>
      </c>
      <c r="N1177" s="41">
        <v>45254</v>
      </c>
      <c r="O1177" s="25">
        <v>114</v>
      </c>
      <c r="P1177" s="25">
        <v>0</v>
      </c>
      <c r="Q1177" s="25"/>
      <c r="R1177" s="25"/>
      <c r="S1177" s="25"/>
      <c r="T1177" s="10"/>
    </row>
    <row r="1178" s="35" customFormat="1" ht="18.5" customHeight="1" spans="1:20">
      <c r="A1178" s="16" t="s">
        <v>251</v>
      </c>
      <c r="B1178" s="41">
        <v>44438</v>
      </c>
      <c r="C1178" s="25">
        <v>1</v>
      </c>
      <c r="D1178" s="25"/>
      <c r="E1178" s="25"/>
      <c r="F1178" s="25"/>
      <c r="G1178" s="25"/>
      <c r="H1178" s="25"/>
      <c r="I1178" s="25"/>
      <c r="J1178" s="25"/>
      <c r="K1178" s="25"/>
      <c r="L1178" s="25"/>
      <c r="M1178" s="42" t="s">
        <v>253</v>
      </c>
      <c r="N1178" s="41">
        <v>45240</v>
      </c>
      <c r="O1178" s="25">
        <v>114</v>
      </c>
      <c r="P1178" s="25">
        <v>0</v>
      </c>
      <c r="Q1178" s="25"/>
      <c r="R1178" s="25"/>
      <c r="S1178" s="25"/>
      <c r="T1178" s="10"/>
    </row>
    <row r="1179" s="35" customFormat="1" ht="18.5" customHeight="1" spans="1:20">
      <c r="A1179" s="16" t="s">
        <v>251</v>
      </c>
      <c r="B1179" s="41">
        <v>44356</v>
      </c>
      <c r="C1179" s="25">
        <v>1</v>
      </c>
      <c r="D1179" s="25"/>
      <c r="E1179" s="25"/>
      <c r="F1179" s="25"/>
      <c r="G1179" s="25"/>
      <c r="H1179" s="25"/>
      <c r="I1179" s="25"/>
      <c r="J1179" s="25"/>
      <c r="K1179" s="25"/>
      <c r="L1179" s="25"/>
      <c r="M1179" s="42" t="s">
        <v>253</v>
      </c>
      <c r="N1179" s="41">
        <v>45287</v>
      </c>
      <c r="O1179" s="25">
        <v>114</v>
      </c>
      <c r="P1179" s="25">
        <v>0</v>
      </c>
      <c r="Q1179" s="25"/>
      <c r="R1179" s="25"/>
      <c r="S1179" s="25"/>
      <c r="T1179" s="10"/>
    </row>
    <row r="1180" s="35" customFormat="1" ht="18.5" customHeight="1" spans="1:20">
      <c r="A1180" s="16" t="s">
        <v>251</v>
      </c>
      <c r="B1180" s="41">
        <v>44417</v>
      </c>
      <c r="C1180" s="25">
        <v>3</v>
      </c>
      <c r="D1180" s="25"/>
      <c r="E1180" s="25"/>
      <c r="F1180" s="25"/>
      <c r="G1180" s="25"/>
      <c r="H1180" s="25"/>
      <c r="I1180" s="25"/>
      <c r="J1180" s="25"/>
      <c r="K1180" s="25"/>
      <c r="L1180" s="25"/>
      <c r="M1180" s="42" t="s">
        <v>253</v>
      </c>
      <c r="N1180" s="41">
        <v>45238</v>
      </c>
      <c r="O1180" s="25">
        <v>113</v>
      </c>
      <c r="P1180" s="25">
        <v>0</v>
      </c>
      <c r="Q1180" s="25"/>
      <c r="R1180" s="25"/>
      <c r="S1180" s="25"/>
      <c r="T1180" s="10"/>
    </row>
    <row r="1181" s="35" customFormat="1" ht="18.5" customHeight="1" spans="1:20">
      <c r="A1181" s="16" t="s">
        <v>251</v>
      </c>
      <c r="B1181" s="41">
        <v>44407</v>
      </c>
      <c r="C1181" s="25">
        <v>4</v>
      </c>
      <c r="D1181" s="25"/>
      <c r="E1181" s="25"/>
      <c r="F1181" s="25"/>
      <c r="G1181" s="25"/>
      <c r="H1181" s="25"/>
      <c r="I1181" s="25"/>
      <c r="J1181" s="25"/>
      <c r="K1181" s="25"/>
      <c r="L1181" s="25"/>
      <c r="M1181" s="42" t="s">
        <v>253</v>
      </c>
      <c r="N1181" s="41">
        <v>45264</v>
      </c>
      <c r="O1181" s="25">
        <v>112</v>
      </c>
      <c r="P1181" s="25">
        <v>0</v>
      </c>
      <c r="Q1181" s="25"/>
      <c r="R1181" s="25"/>
      <c r="S1181" s="25"/>
      <c r="T1181" s="10"/>
    </row>
    <row r="1182" s="35" customFormat="1" ht="18.5" customHeight="1" spans="1:20">
      <c r="A1182" s="16" t="s">
        <v>251</v>
      </c>
      <c r="B1182" s="41">
        <v>44547</v>
      </c>
      <c r="C1182" s="25">
        <v>3</v>
      </c>
      <c r="D1182" s="25"/>
      <c r="E1182" s="25"/>
      <c r="F1182" s="25"/>
      <c r="G1182" s="25"/>
      <c r="H1182" s="25"/>
      <c r="I1182" s="25"/>
      <c r="J1182" s="25"/>
      <c r="K1182" s="25"/>
      <c r="L1182" s="25"/>
      <c r="M1182" s="42" t="s">
        <v>253</v>
      </c>
      <c r="N1182" s="41">
        <v>45254</v>
      </c>
      <c r="O1182" s="25">
        <v>112</v>
      </c>
      <c r="P1182" s="25">
        <v>0</v>
      </c>
      <c r="Q1182" s="25"/>
      <c r="R1182" s="25"/>
      <c r="S1182" s="25"/>
      <c r="T1182" s="10"/>
    </row>
    <row r="1183" s="35" customFormat="1" ht="18.5" customHeight="1" spans="1:20">
      <c r="A1183" s="16" t="s">
        <v>251</v>
      </c>
      <c r="B1183" s="41">
        <v>45294</v>
      </c>
      <c r="C1183" s="25">
        <v>7</v>
      </c>
      <c r="D1183" s="25"/>
      <c r="E1183" s="25"/>
      <c r="F1183" s="25"/>
      <c r="G1183" s="25"/>
      <c r="H1183" s="25"/>
      <c r="I1183" s="25"/>
      <c r="J1183" s="25"/>
      <c r="K1183" s="25"/>
      <c r="L1183" s="25"/>
      <c r="M1183" s="42" t="s">
        <v>253</v>
      </c>
      <c r="N1183" s="41">
        <v>45044</v>
      </c>
      <c r="O1183" s="25">
        <v>112</v>
      </c>
      <c r="P1183" s="25">
        <v>0</v>
      </c>
      <c r="Q1183" s="25"/>
      <c r="R1183" s="25"/>
      <c r="S1183" s="25"/>
      <c r="T1183" s="10"/>
    </row>
    <row r="1184" s="35" customFormat="1" ht="18.5" customHeight="1" spans="1:20">
      <c r="A1184" s="16" t="s">
        <v>251</v>
      </c>
      <c r="B1184" s="41">
        <v>44978</v>
      </c>
      <c r="C1184" s="25">
        <v>3</v>
      </c>
      <c r="D1184" s="25"/>
      <c r="E1184" s="25"/>
      <c r="F1184" s="25"/>
      <c r="G1184" s="25"/>
      <c r="H1184" s="25"/>
      <c r="I1184" s="25"/>
      <c r="J1184" s="25"/>
      <c r="K1184" s="25"/>
      <c r="L1184" s="25"/>
      <c r="M1184" s="42" t="s">
        <v>253</v>
      </c>
      <c r="N1184" s="41">
        <v>45016</v>
      </c>
      <c r="O1184" s="25">
        <v>112</v>
      </c>
      <c r="P1184" s="25">
        <v>0</v>
      </c>
      <c r="Q1184" s="25"/>
      <c r="R1184" s="25"/>
      <c r="S1184" s="25"/>
      <c r="T1184" s="10"/>
    </row>
    <row r="1185" s="35" customFormat="1" ht="18.5" customHeight="1" spans="1:20">
      <c r="A1185" s="16" t="s">
        <v>251</v>
      </c>
      <c r="B1185" s="41">
        <v>44444</v>
      </c>
      <c r="C1185" s="25">
        <v>0</v>
      </c>
      <c r="D1185" s="25"/>
      <c r="E1185" s="25"/>
      <c r="F1185" s="25"/>
      <c r="G1185" s="25"/>
      <c r="H1185" s="25"/>
      <c r="I1185" s="25"/>
      <c r="J1185" s="25"/>
      <c r="K1185" s="25"/>
      <c r="L1185" s="25"/>
      <c r="M1185" s="42" t="s">
        <v>253</v>
      </c>
      <c r="N1185" s="41">
        <v>45279</v>
      </c>
      <c r="O1185" s="25">
        <v>111</v>
      </c>
      <c r="P1185" s="25">
        <v>0</v>
      </c>
      <c r="Q1185" s="25"/>
      <c r="R1185" s="25"/>
      <c r="S1185" s="25"/>
      <c r="T1185" s="10"/>
    </row>
    <row r="1186" s="35" customFormat="1" ht="18.5" customHeight="1" spans="1:20">
      <c r="A1186" s="16" t="s">
        <v>251</v>
      </c>
      <c r="B1186" s="41">
        <v>44428</v>
      </c>
      <c r="C1186" s="25">
        <v>4</v>
      </c>
      <c r="D1186" s="25"/>
      <c r="E1186" s="25"/>
      <c r="F1186" s="25"/>
      <c r="G1186" s="25"/>
      <c r="H1186" s="25"/>
      <c r="I1186" s="25"/>
      <c r="J1186" s="25"/>
      <c r="K1186" s="25"/>
      <c r="L1186" s="25"/>
      <c r="M1186" s="42" t="s">
        <v>253</v>
      </c>
      <c r="N1186" s="41">
        <v>45273</v>
      </c>
      <c r="O1186" s="25">
        <v>111</v>
      </c>
      <c r="P1186" s="25">
        <v>0</v>
      </c>
      <c r="Q1186" s="25"/>
      <c r="R1186" s="25"/>
      <c r="S1186" s="25"/>
      <c r="T1186" s="10"/>
    </row>
    <row r="1187" s="35" customFormat="1" ht="18.5" customHeight="1" spans="1:20">
      <c r="A1187" s="16" t="s">
        <v>251</v>
      </c>
      <c r="B1187" s="41">
        <v>45281</v>
      </c>
      <c r="C1187" s="25">
        <v>4</v>
      </c>
      <c r="D1187" s="25"/>
      <c r="E1187" s="25"/>
      <c r="F1187" s="25"/>
      <c r="G1187" s="25"/>
      <c r="H1187" s="25"/>
      <c r="I1187" s="25"/>
      <c r="J1187" s="25"/>
      <c r="K1187" s="25"/>
      <c r="L1187" s="25"/>
      <c r="M1187" s="42" t="s">
        <v>253</v>
      </c>
      <c r="N1187" s="41">
        <v>45239</v>
      </c>
      <c r="O1187" s="25">
        <v>112</v>
      </c>
      <c r="P1187" s="25">
        <v>0</v>
      </c>
      <c r="Q1187" s="25"/>
      <c r="R1187" s="25"/>
      <c r="S1187" s="25"/>
      <c r="T1187" s="10"/>
    </row>
    <row r="1188" s="35" customFormat="1" ht="18.5" customHeight="1" spans="1:20">
      <c r="A1188" s="16" t="s">
        <v>251</v>
      </c>
      <c r="B1188" s="41">
        <v>44436</v>
      </c>
      <c r="C1188" s="25">
        <v>5</v>
      </c>
      <c r="D1188" s="25"/>
      <c r="E1188" s="25"/>
      <c r="F1188" s="25"/>
      <c r="G1188" s="25"/>
      <c r="H1188" s="25"/>
      <c r="I1188" s="25"/>
      <c r="J1188" s="25"/>
      <c r="K1188" s="25"/>
      <c r="L1188" s="25"/>
      <c r="M1188" s="42" t="s">
        <v>253</v>
      </c>
      <c r="N1188" s="41">
        <v>45282</v>
      </c>
      <c r="O1188" s="25">
        <v>110</v>
      </c>
      <c r="P1188" s="25">
        <v>0</v>
      </c>
      <c r="Q1188" s="25"/>
      <c r="R1188" s="25"/>
      <c r="S1188" s="25"/>
      <c r="T1188" s="10"/>
    </row>
    <row r="1189" s="35" customFormat="1" ht="18.5" customHeight="1" spans="1:20">
      <c r="A1189" s="16" t="s">
        <v>251</v>
      </c>
      <c r="B1189" s="41">
        <v>45284</v>
      </c>
      <c r="C1189" s="25">
        <v>2</v>
      </c>
      <c r="D1189" s="25"/>
      <c r="E1189" s="25"/>
      <c r="F1189" s="25"/>
      <c r="G1189" s="25"/>
      <c r="H1189" s="25"/>
      <c r="I1189" s="25"/>
      <c r="J1189" s="25"/>
      <c r="K1189" s="25"/>
      <c r="L1189" s="25"/>
      <c r="M1189" s="42" t="s">
        <v>253</v>
      </c>
      <c r="N1189" s="41">
        <v>45281</v>
      </c>
      <c r="O1189" s="25">
        <v>110</v>
      </c>
      <c r="P1189" s="25">
        <v>0</v>
      </c>
      <c r="Q1189" s="25"/>
      <c r="R1189" s="25"/>
      <c r="S1189" s="25"/>
      <c r="T1189" s="10"/>
    </row>
    <row r="1190" s="35" customFormat="1" ht="18.5" customHeight="1" spans="1:20">
      <c r="A1190" s="16" t="s">
        <v>251</v>
      </c>
      <c r="B1190" s="41">
        <v>44464</v>
      </c>
      <c r="C1190" s="25">
        <v>1</v>
      </c>
      <c r="D1190" s="25"/>
      <c r="E1190" s="25"/>
      <c r="F1190" s="25"/>
      <c r="G1190" s="25"/>
      <c r="H1190" s="25"/>
      <c r="I1190" s="25"/>
      <c r="J1190" s="25"/>
      <c r="K1190" s="25"/>
      <c r="L1190" s="25"/>
      <c r="M1190" s="42" t="s">
        <v>253</v>
      </c>
      <c r="N1190" s="41">
        <v>45265</v>
      </c>
      <c r="O1190" s="25">
        <v>110</v>
      </c>
      <c r="P1190" s="25">
        <v>0</v>
      </c>
      <c r="Q1190" s="25"/>
      <c r="R1190" s="25"/>
      <c r="S1190" s="25"/>
      <c r="T1190" s="10"/>
    </row>
    <row r="1191" s="35" customFormat="1" ht="18.5" customHeight="1" spans="1:20">
      <c r="A1191" s="16" t="s">
        <v>251</v>
      </c>
      <c r="B1191" s="41">
        <v>45279</v>
      </c>
      <c r="C1191" s="25">
        <v>4</v>
      </c>
      <c r="D1191" s="25"/>
      <c r="E1191" s="25"/>
      <c r="F1191" s="25"/>
      <c r="G1191" s="25"/>
      <c r="H1191" s="25"/>
      <c r="I1191" s="25"/>
      <c r="J1191" s="25"/>
      <c r="K1191" s="25"/>
      <c r="L1191" s="25"/>
      <c r="M1191" s="42" t="s">
        <v>253</v>
      </c>
      <c r="N1191" s="41">
        <v>45247</v>
      </c>
      <c r="O1191" s="25">
        <v>111</v>
      </c>
      <c r="P1191" s="25">
        <v>0</v>
      </c>
      <c r="Q1191" s="25"/>
      <c r="R1191" s="25"/>
      <c r="S1191" s="25"/>
      <c r="T1191" s="10"/>
    </row>
    <row r="1192" s="35" customFormat="1" ht="18.5" customHeight="1" spans="1:20">
      <c r="A1192" s="16" t="s">
        <v>251</v>
      </c>
      <c r="B1192" s="41">
        <v>45277</v>
      </c>
      <c r="C1192" s="25">
        <v>6</v>
      </c>
      <c r="D1192" s="25"/>
      <c r="E1192" s="25"/>
      <c r="F1192" s="25"/>
      <c r="G1192" s="25"/>
      <c r="H1192" s="25"/>
      <c r="I1192" s="25"/>
      <c r="J1192" s="25"/>
      <c r="K1192" s="25"/>
      <c r="L1192" s="25"/>
      <c r="M1192" s="42" t="s">
        <v>253</v>
      </c>
      <c r="N1192" s="41">
        <v>45042</v>
      </c>
      <c r="O1192" s="25">
        <v>110</v>
      </c>
      <c r="P1192" s="25">
        <v>0</v>
      </c>
      <c r="Q1192" s="25"/>
      <c r="R1192" s="25"/>
      <c r="S1192" s="25"/>
      <c r="T1192" s="10"/>
    </row>
    <row r="1193" s="35" customFormat="1" ht="18.5" customHeight="1" spans="1:20">
      <c r="A1193" s="16" t="s">
        <v>251</v>
      </c>
      <c r="B1193" s="41">
        <v>44456</v>
      </c>
      <c r="C1193" s="25">
        <v>6</v>
      </c>
      <c r="D1193" s="25"/>
      <c r="E1193" s="25"/>
      <c r="F1193" s="25"/>
      <c r="G1193" s="25"/>
      <c r="H1193" s="25"/>
      <c r="I1193" s="25"/>
      <c r="J1193" s="25"/>
      <c r="K1193" s="25"/>
      <c r="L1193" s="25"/>
      <c r="M1193" s="42" t="s">
        <v>253</v>
      </c>
      <c r="N1193" s="41">
        <v>45281</v>
      </c>
      <c r="O1193" s="25">
        <v>110</v>
      </c>
      <c r="P1193" s="25">
        <v>0</v>
      </c>
      <c r="Q1193" s="25"/>
      <c r="R1193" s="25"/>
      <c r="S1193" s="25"/>
      <c r="T1193" s="10"/>
    </row>
    <row r="1194" s="35" customFormat="1" ht="18.5" customHeight="1" spans="1:20">
      <c r="A1194" s="16" t="s">
        <v>251</v>
      </c>
      <c r="B1194" s="41">
        <v>44441</v>
      </c>
      <c r="C1194" s="25">
        <v>2</v>
      </c>
      <c r="D1194" s="25"/>
      <c r="E1194" s="25"/>
      <c r="F1194" s="25"/>
      <c r="G1194" s="25"/>
      <c r="H1194" s="25"/>
      <c r="I1194" s="25"/>
      <c r="J1194" s="25"/>
      <c r="K1194" s="25"/>
      <c r="L1194" s="25"/>
      <c r="M1194" s="42" t="s">
        <v>253</v>
      </c>
      <c r="N1194" s="41">
        <v>45239</v>
      </c>
      <c r="O1194" s="25">
        <v>109</v>
      </c>
      <c r="P1194" s="25">
        <v>0</v>
      </c>
      <c r="Q1194" s="25"/>
      <c r="R1194" s="25"/>
      <c r="S1194" s="25"/>
      <c r="T1194" s="10"/>
    </row>
    <row r="1195" s="35" customFormat="1" ht="18.5" customHeight="1" spans="1:20">
      <c r="A1195" s="16" t="s">
        <v>251</v>
      </c>
      <c r="B1195" s="41">
        <v>45294</v>
      </c>
      <c r="C1195" s="25">
        <v>5</v>
      </c>
      <c r="D1195" s="25"/>
      <c r="E1195" s="25"/>
      <c r="F1195" s="25"/>
      <c r="G1195" s="25"/>
      <c r="H1195" s="25"/>
      <c r="I1195" s="25"/>
      <c r="J1195" s="25"/>
      <c r="K1195" s="25"/>
      <c r="L1195" s="25"/>
      <c r="M1195" s="42" t="s">
        <v>253</v>
      </c>
      <c r="N1195" s="41">
        <v>45263</v>
      </c>
      <c r="O1195" s="25">
        <v>108</v>
      </c>
      <c r="P1195" s="25">
        <v>0</v>
      </c>
      <c r="Q1195" s="25"/>
      <c r="R1195" s="25"/>
      <c r="S1195" s="25"/>
      <c r="T1195" s="10"/>
    </row>
    <row r="1196" s="35" customFormat="1" ht="18.5" customHeight="1" spans="1:20">
      <c r="A1196" s="16" t="s">
        <v>251</v>
      </c>
      <c r="B1196" s="41">
        <v>44404</v>
      </c>
      <c r="C1196" s="25">
        <v>1</v>
      </c>
      <c r="D1196" s="25"/>
      <c r="E1196" s="25"/>
      <c r="F1196" s="25"/>
      <c r="G1196" s="25"/>
      <c r="H1196" s="25"/>
      <c r="I1196" s="25"/>
      <c r="J1196" s="25"/>
      <c r="K1196" s="25"/>
      <c r="L1196" s="25"/>
      <c r="M1196" s="42" t="s">
        <v>253</v>
      </c>
      <c r="N1196" s="41">
        <v>45237</v>
      </c>
      <c r="O1196" s="25">
        <v>108</v>
      </c>
      <c r="P1196" s="25">
        <v>0</v>
      </c>
      <c r="Q1196" s="25"/>
      <c r="R1196" s="25"/>
      <c r="S1196" s="25"/>
      <c r="T1196" s="10"/>
    </row>
    <row r="1197" s="35" customFormat="1" ht="18.5" customHeight="1" spans="1:20">
      <c r="A1197" s="16" t="s">
        <v>251</v>
      </c>
      <c r="B1197" s="41">
        <v>44396</v>
      </c>
      <c r="C1197" s="25">
        <v>5</v>
      </c>
      <c r="D1197" s="25"/>
      <c r="E1197" s="25"/>
      <c r="F1197" s="25"/>
      <c r="G1197" s="25"/>
      <c r="H1197" s="25"/>
      <c r="I1197" s="25"/>
      <c r="J1197" s="25"/>
      <c r="K1197" s="25"/>
      <c r="L1197" s="25"/>
      <c r="M1197" s="42" t="s">
        <v>253</v>
      </c>
      <c r="N1197" s="41">
        <v>45044</v>
      </c>
      <c r="O1197" s="25">
        <v>108</v>
      </c>
      <c r="P1197" s="25">
        <v>0</v>
      </c>
      <c r="Q1197" s="25"/>
      <c r="R1197" s="25"/>
      <c r="S1197" s="25"/>
      <c r="T1197" s="10"/>
    </row>
    <row r="1198" s="35" customFormat="1" ht="18.5" customHeight="1" spans="1:20">
      <c r="A1198" s="16" t="s">
        <v>251</v>
      </c>
      <c r="B1198" s="41">
        <v>44336</v>
      </c>
      <c r="C1198" s="25">
        <v>3</v>
      </c>
      <c r="D1198" s="25"/>
      <c r="E1198" s="25"/>
      <c r="F1198" s="25"/>
      <c r="G1198" s="25"/>
      <c r="H1198" s="25"/>
      <c r="I1198" s="25"/>
      <c r="J1198" s="25"/>
      <c r="K1198" s="25"/>
      <c r="L1198" s="25"/>
      <c r="M1198" s="42" t="s">
        <v>253</v>
      </c>
      <c r="N1198" s="41">
        <v>45289</v>
      </c>
      <c r="O1198" s="25">
        <v>107</v>
      </c>
      <c r="P1198" s="25">
        <v>0</v>
      </c>
      <c r="Q1198" s="25"/>
      <c r="R1198" s="25"/>
      <c r="S1198" s="25"/>
      <c r="T1198" s="10"/>
    </row>
    <row r="1199" s="35" customFormat="1" ht="18.5" customHeight="1" spans="1:20">
      <c r="A1199" s="16" t="s">
        <v>251</v>
      </c>
      <c r="B1199" s="41">
        <v>44434</v>
      </c>
      <c r="C1199" s="25">
        <v>3</v>
      </c>
      <c r="D1199" s="25"/>
      <c r="E1199" s="25"/>
      <c r="F1199" s="25"/>
      <c r="G1199" s="25"/>
      <c r="H1199" s="25"/>
      <c r="I1199" s="25"/>
      <c r="J1199" s="25"/>
      <c r="K1199" s="25"/>
      <c r="L1199" s="25"/>
      <c r="M1199" s="42" t="s">
        <v>253</v>
      </c>
      <c r="N1199" s="41">
        <v>45238</v>
      </c>
      <c r="O1199" s="25">
        <v>107</v>
      </c>
      <c r="P1199" s="25">
        <v>0</v>
      </c>
      <c r="Q1199" s="25"/>
      <c r="R1199" s="25"/>
      <c r="S1199" s="25"/>
      <c r="T1199" s="10"/>
    </row>
    <row r="1200" s="35" customFormat="1" ht="18.5" customHeight="1" spans="1:20">
      <c r="A1200" s="16" t="s">
        <v>251</v>
      </c>
      <c r="B1200" s="41">
        <v>44398</v>
      </c>
      <c r="C1200" s="25">
        <v>0</v>
      </c>
      <c r="D1200" s="25"/>
      <c r="E1200" s="25"/>
      <c r="F1200" s="25"/>
      <c r="G1200" s="25"/>
      <c r="H1200" s="25"/>
      <c r="I1200" s="25"/>
      <c r="J1200" s="25"/>
      <c r="K1200" s="25"/>
      <c r="L1200" s="25"/>
      <c r="M1200" s="42" t="s">
        <v>253</v>
      </c>
      <c r="N1200" s="41">
        <v>45240</v>
      </c>
      <c r="O1200" s="25">
        <v>105</v>
      </c>
      <c r="P1200" s="25">
        <v>0</v>
      </c>
      <c r="Q1200" s="25"/>
      <c r="R1200" s="25"/>
      <c r="S1200" s="25"/>
      <c r="T1200" s="10"/>
    </row>
    <row r="1201" s="35" customFormat="1" ht="18.5" customHeight="1" spans="1:20">
      <c r="A1201" s="16" t="s">
        <v>251</v>
      </c>
      <c r="B1201" s="41">
        <v>45295</v>
      </c>
      <c r="C1201" s="25">
        <v>6</v>
      </c>
      <c r="D1201" s="25"/>
      <c r="E1201" s="25"/>
      <c r="F1201" s="25"/>
      <c r="G1201" s="25"/>
      <c r="H1201" s="25"/>
      <c r="I1201" s="25"/>
      <c r="J1201" s="25"/>
      <c r="K1201" s="25"/>
      <c r="L1201" s="25"/>
      <c r="M1201" s="42" t="s">
        <v>253</v>
      </c>
      <c r="N1201" s="41">
        <v>45236</v>
      </c>
      <c r="O1201" s="25">
        <v>103</v>
      </c>
      <c r="P1201" s="25">
        <v>0</v>
      </c>
      <c r="Q1201" s="25"/>
      <c r="R1201" s="25"/>
      <c r="S1201" s="25"/>
      <c r="T1201" s="10"/>
    </row>
    <row r="1202" s="35" customFormat="1" ht="18.5" customHeight="1" spans="1:20">
      <c r="A1202" s="16" t="s">
        <v>251</v>
      </c>
      <c r="B1202" s="41">
        <v>44397</v>
      </c>
      <c r="C1202" s="25">
        <v>2</v>
      </c>
      <c r="D1202" s="25"/>
      <c r="E1202" s="25"/>
      <c r="F1202" s="25"/>
      <c r="G1202" s="25"/>
      <c r="H1202" s="25"/>
      <c r="I1202" s="25"/>
      <c r="J1202" s="25"/>
      <c r="K1202" s="25"/>
      <c r="L1202" s="25"/>
      <c r="M1202" s="42" t="s">
        <v>253</v>
      </c>
      <c r="N1202" s="41">
        <v>45218</v>
      </c>
      <c r="O1202" s="25">
        <v>103</v>
      </c>
      <c r="P1202" s="25">
        <v>0</v>
      </c>
      <c r="Q1202" s="25"/>
      <c r="R1202" s="25"/>
      <c r="S1202" s="25"/>
      <c r="T1202" s="10"/>
    </row>
    <row r="1203" s="35" customFormat="1" ht="18.5" customHeight="1" spans="1:20">
      <c r="A1203" s="16" t="s">
        <v>251</v>
      </c>
      <c r="B1203" s="41">
        <v>45284</v>
      </c>
      <c r="C1203" s="25">
        <v>8</v>
      </c>
      <c r="D1203" s="25"/>
      <c r="E1203" s="25"/>
      <c r="F1203" s="25"/>
      <c r="G1203" s="25"/>
      <c r="H1203" s="25"/>
      <c r="I1203" s="25"/>
      <c r="J1203" s="25"/>
      <c r="K1203" s="25"/>
      <c r="L1203" s="25"/>
      <c r="M1203" s="42" t="s">
        <v>253</v>
      </c>
      <c r="N1203" s="41">
        <v>45281</v>
      </c>
      <c r="O1203" s="25">
        <v>102</v>
      </c>
      <c r="P1203" s="25">
        <v>0</v>
      </c>
      <c r="Q1203" s="25"/>
      <c r="R1203" s="25"/>
      <c r="S1203" s="25"/>
      <c r="T1203" s="10"/>
    </row>
    <row r="1204" s="35" customFormat="1" ht="18.5" customHeight="1" spans="1:20">
      <c r="A1204" s="16" t="s">
        <v>251</v>
      </c>
      <c r="B1204" s="41">
        <v>44433</v>
      </c>
      <c r="C1204" s="25">
        <v>2</v>
      </c>
      <c r="D1204" s="25"/>
      <c r="E1204" s="25"/>
      <c r="F1204" s="25"/>
      <c r="G1204" s="25"/>
      <c r="H1204" s="25"/>
      <c r="I1204" s="25"/>
      <c r="J1204" s="25"/>
      <c r="K1204" s="25"/>
      <c r="L1204" s="25"/>
      <c r="M1204" s="42" t="s">
        <v>253</v>
      </c>
      <c r="N1204" s="41">
        <v>45254</v>
      </c>
      <c r="O1204" s="25">
        <v>102</v>
      </c>
      <c r="P1204" s="25">
        <v>0</v>
      </c>
      <c r="Q1204" s="25"/>
      <c r="R1204" s="25"/>
      <c r="S1204" s="25"/>
      <c r="T1204" s="10"/>
    </row>
    <row r="1205" s="35" customFormat="1" ht="18.5" customHeight="1" spans="1:20">
      <c r="A1205" s="16" t="s">
        <v>251</v>
      </c>
      <c r="B1205" s="41">
        <v>44356</v>
      </c>
      <c r="C1205" s="25">
        <v>2</v>
      </c>
      <c r="D1205" s="25"/>
      <c r="E1205" s="25"/>
      <c r="F1205" s="25"/>
      <c r="G1205" s="25"/>
      <c r="H1205" s="25"/>
      <c r="I1205" s="25"/>
      <c r="J1205" s="25"/>
      <c r="K1205" s="25"/>
      <c r="L1205" s="25"/>
      <c r="M1205" s="42" t="s">
        <v>253</v>
      </c>
      <c r="N1205" s="41">
        <v>45243</v>
      </c>
      <c r="O1205" s="25">
        <v>102</v>
      </c>
      <c r="P1205" s="25">
        <v>0</v>
      </c>
      <c r="Q1205" s="25"/>
      <c r="R1205" s="25"/>
      <c r="S1205" s="25"/>
      <c r="T1205" s="10"/>
    </row>
    <row r="1206" s="35" customFormat="1" ht="18.5" customHeight="1" spans="1:20">
      <c r="A1206" s="16" t="s">
        <v>251</v>
      </c>
      <c r="B1206" s="41">
        <v>44412</v>
      </c>
      <c r="C1206" s="25">
        <v>1</v>
      </c>
      <c r="D1206" s="25"/>
      <c r="E1206" s="25"/>
      <c r="F1206" s="25"/>
      <c r="G1206" s="25"/>
      <c r="H1206" s="25"/>
      <c r="I1206" s="25"/>
      <c r="J1206" s="25"/>
      <c r="K1206" s="25"/>
      <c r="L1206" s="25"/>
      <c r="M1206" s="42" t="s">
        <v>253</v>
      </c>
      <c r="N1206" s="41">
        <v>45240</v>
      </c>
      <c r="O1206" s="25">
        <v>103</v>
      </c>
      <c r="P1206" s="25">
        <v>0</v>
      </c>
      <c r="Q1206" s="25"/>
      <c r="R1206" s="25"/>
      <c r="S1206" s="25"/>
      <c r="T1206" s="10"/>
    </row>
    <row r="1207" s="35" customFormat="1" ht="18.5" customHeight="1" spans="1:20">
      <c r="A1207" s="16" t="s">
        <v>251</v>
      </c>
      <c r="B1207" s="41">
        <v>45275</v>
      </c>
      <c r="C1207" s="25">
        <v>4</v>
      </c>
      <c r="D1207" s="25"/>
      <c r="E1207" s="25"/>
      <c r="F1207" s="25"/>
      <c r="G1207" s="25"/>
      <c r="H1207" s="25"/>
      <c r="I1207" s="25"/>
      <c r="J1207" s="25"/>
      <c r="K1207" s="25"/>
      <c r="L1207" s="25"/>
      <c r="M1207" s="42" t="s">
        <v>253</v>
      </c>
      <c r="N1207" s="41">
        <v>45276</v>
      </c>
      <c r="O1207" s="25">
        <v>101</v>
      </c>
      <c r="P1207" s="25">
        <v>0</v>
      </c>
      <c r="Q1207" s="25"/>
      <c r="R1207" s="25"/>
      <c r="S1207" s="25"/>
      <c r="T1207" s="10"/>
    </row>
    <row r="1208" s="35" customFormat="1" ht="18.5" customHeight="1" spans="1:20">
      <c r="A1208" s="16" t="s">
        <v>251</v>
      </c>
      <c r="B1208" s="41">
        <v>44482</v>
      </c>
      <c r="C1208" s="25">
        <v>3</v>
      </c>
      <c r="D1208" s="25"/>
      <c r="E1208" s="25"/>
      <c r="F1208" s="25"/>
      <c r="G1208" s="25"/>
      <c r="H1208" s="25"/>
      <c r="I1208" s="25"/>
      <c r="J1208" s="25"/>
      <c r="K1208" s="25"/>
      <c r="L1208" s="25"/>
      <c r="M1208" s="42" t="s">
        <v>253</v>
      </c>
      <c r="N1208" s="41">
        <v>45264</v>
      </c>
      <c r="O1208" s="25">
        <v>101</v>
      </c>
      <c r="P1208" s="25">
        <v>0</v>
      </c>
      <c r="Q1208" s="25"/>
      <c r="R1208" s="25"/>
      <c r="S1208" s="25"/>
      <c r="T1208" s="10"/>
    </row>
    <row r="1209" s="35" customFormat="1" ht="18.5" customHeight="1" spans="1:20">
      <c r="A1209" s="16" t="s">
        <v>251</v>
      </c>
      <c r="B1209" s="41">
        <v>45294</v>
      </c>
      <c r="C1209" s="25">
        <v>6</v>
      </c>
      <c r="D1209" s="25"/>
      <c r="E1209" s="25"/>
      <c r="F1209" s="25"/>
      <c r="G1209" s="25"/>
      <c r="H1209" s="25"/>
      <c r="I1209" s="25"/>
      <c r="J1209" s="25"/>
      <c r="K1209" s="25"/>
      <c r="L1209" s="25"/>
      <c r="M1209" s="42" t="s">
        <v>253</v>
      </c>
      <c r="N1209" s="41">
        <v>45261</v>
      </c>
      <c r="O1209" s="25">
        <v>101</v>
      </c>
      <c r="P1209" s="25">
        <v>0</v>
      </c>
      <c r="Q1209" s="25"/>
      <c r="R1209" s="25"/>
      <c r="S1209" s="25"/>
      <c r="T1209" s="10"/>
    </row>
    <row r="1210" s="35" customFormat="1" ht="18.5" customHeight="1" spans="1:20">
      <c r="A1210" s="16" t="s">
        <v>251</v>
      </c>
      <c r="B1210" s="41">
        <v>44506</v>
      </c>
      <c r="C1210" s="25">
        <v>1</v>
      </c>
      <c r="D1210" s="25"/>
      <c r="E1210" s="25"/>
      <c r="F1210" s="25"/>
      <c r="G1210" s="25"/>
      <c r="H1210" s="25"/>
      <c r="I1210" s="25"/>
      <c r="J1210" s="25"/>
      <c r="K1210" s="25"/>
      <c r="L1210" s="25"/>
      <c r="M1210" s="42" t="s">
        <v>253</v>
      </c>
      <c r="N1210" s="41">
        <v>45251</v>
      </c>
      <c r="O1210" s="25">
        <v>101</v>
      </c>
      <c r="P1210" s="25">
        <v>0</v>
      </c>
      <c r="Q1210" s="25"/>
      <c r="R1210" s="25"/>
      <c r="S1210" s="25"/>
      <c r="T1210" s="10"/>
    </row>
    <row r="1211" s="35" customFormat="1" ht="18.5" customHeight="1" spans="1:20">
      <c r="A1211" s="16" t="s">
        <v>251</v>
      </c>
      <c r="B1211" s="41">
        <v>44489</v>
      </c>
      <c r="C1211" s="25">
        <v>5</v>
      </c>
      <c r="D1211" s="25"/>
      <c r="E1211" s="25"/>
      <c r="F1211" s="25"/>
      <c r="G1211" s="25"/>
      <c r="H1211" s="25"/>
      <c r="I1211" s="25"/>
      <c r="J1211" s="25"/>
      <c r="K1211" s="25"/>
      <c r="L1211" s="25"/>
      <c r="M1211" s="42" t="s">
        <v>253</v>
      </c>
      <c r="N1211" s="41">
        <v>45242</v>
      </c>
      <c r="O1211" s="25">
        <v>101</v>
      </c>
      <c r="P1211" s="25">
        <v>0</v>
      </c>
      <c r="Q1211" s="25"/>
      <c r="R1211" s="25"/>
      <c r="S1211" s="25"/>
      <c r="T1211" s="10"/>
    </row>
    <row r="1212" s="35" customFormat="1" ht="18.5" customHeight="1" spans="1:20">
      <c r="A1212" s="16" t="s">
        <v>251</v>
      </c>
      <c r="B1212" s="41">
        <v>45284</v>
      </c>
      <c r="C1212" s="25">
        <v>4</v>
      </c>
      <c r="D1212" s="25"/>
      <c r="E1212" s="25"/>
      <c r="F1212" s="25"/>
      <c r="G1212" s="25"/>
      <c r="H1212" s="25"/>
      <c r="I1212" s="25"/>
      <c r="J1212" s="25"/>
      <c r="K1212" s="25"/>
      <c r="L1212" s="25"/>
      <c r="M1212" s="42" t="s">
        <v>253</v>
      </c>
      <c r="N1212" s="41">
        <v>45280</v>
      </c>
      <c r="O1212" s="25">
        <v>100</v>
      </c>
      <c r="P1212" s="25">
        <v>0</v>
      </c>
      <c r="Q1212" s="25"/>
      <c r="R1212" s="25"/>
      <c r="S1212" s="25"/>
      <c r="T1212" s="10"/>
    </row>
    <row r="1213" s="35" customFormat="1" ht="18.5" customHeight="1" spans="1:20">
      <c r="A1213" s="16" t="s">
        <v>251</v>
      </c>
      <c r="B1213" s="41">
        <v>44352</v>
      </c>
      <c r="C1213" s="25">
        <v>2</v>
      </c>
      <c r="D1213" s="25"/>
      <c r="E1213" s="25"/>
      <c r="F1213" s="25"/>
      <c r="G1213" s="25"/>
      <c r="H1213" s="25"/>
      <c r="I1213" s="25"/>
      <c r="J1213" s="25"/>
      <c r="K1213" s="25"/>
      <c r="L1213" s="25"/>
      <c r="M1213" s="42" t="s">
        <v>253</v>
      </c>
      <c r="N1213" s="41">
        <v>45265</v>
      </c>
      <c r="O1213" s="25">
        <v>101</v>
      </c>
      <c r="P1213" s="25">
        <v>0</v>
      </c>
      <c r="Q1213" s="25"/>
      <c r="R1213" s="25"/>
      <c r="S1213" s="25"/>
      <c r="T1213" s="10"/>
    </row>
    <row r="1214" s="35" customFormat="1" ht="18.5" customHeight="1" spans="1:20">
      <c r="A1214" s="16" t="s">
        <v>251</v>
      </c>
      <c r="B1214" s="41">
        <v>44398</v>
      </c>
      <c r="C1214" s="25">
        <v>6</v>
      </c>
      <c r="D1214" s="25"/>
      <c r="E1214" s="25"/>
      <c r="F1214" s="25"/>
      <c r="G1214" s="25"/>
      <c r="H1214" s="25"/>
      <c r="I1214" s="25"/>
      <c r="J1214" s="25"/>
      <c r="K1214" s="25"/>
      <c r="L1214" s="25"/>
      <c r="M1214" s="42" t="s">
        <v>253</v>
      </c>
      <c r="N1214" s="41">
        <v>45259</v>
      </c>
      <c r="O1214" s="25">
        <v>100</v>
      </c>
      <c r="P1214" s="25">
        <v>0</v>
      </c>
      <c r="Q1214" s="25"/>
      <c r="R1214" s="25"/>
      <c r="S1214" s="25"/>
      <c r="T1214" s="10"/>
    </row>
    <row r="1215" s="35" customFormat="1" ht="18.5" customHeight="1" spans="1:20">
      <c r="A1215" s="16" t="s">
        <v>251</v>
      </c>
      <c r="B1215" s="41">
        <v>45295</v>
      </c>
      <c r="C1215" s="25">
        <v>7</v>
      </c>
      <c r="D1215" s="25"/>
      <c r="E1215" s="25"/>
      <c r="F1215" s="25"/>
      <c r="G1215" s="25"/>
      <c r="H1215" s="25"/>
      <c r="I1215" s="25"/>
      <c r="J1215" s="25"/>
      <c r="K1215" s="25"/>
      <c r="L1215" s="25"/>
      <c r="M1215" s="42" t="s">
        <v>253</v>
      </c>
      <c r="N1215" s="41">
        <v>45246</v>
      </c>
      <c r="O1215" s="25">
        <v>100</v>
      </c>
      <c r="P1215" s="25">
        <v>0</v>
      </c>
      <c r="Q1215" s="25"/>
      <c r="R1215" s="25"/>
      <c r="S1215" s="25"/>
      <c r="T1215" s="10"/>
    </row>
    <row r="1216" s="35" customFormat="1" ht="18.5" customHeight="1" spans="1:20">
      <c r="A1216" s="16" t="s">
        <v>251</v>
      </c>
      <c r="B1216" s="41">
        <v>45277</v>
      </c>
      <c r="C1216" s="25">
        <v>4</v>
      </c>
      <c r="D1216" s="25"/>
      <c r="E1216" s="25"/>
      <c r="F1216" s="25"/>
      <c r="G1216" s="25"/>
      <c r="H1216" s="25"/>
      <c r="I1216" s="25"/>
      <c r="J1216" s="25"/>
      <c r="K1216" s="25"/>
      <c r="L1216" s="25"/>
      <c r="M1216" s="42" t="s">
        <v>253</v>
      </c>
      <c r="N1216" s="41">
        <v>45278</v>
      </c>
      <c r="O1216" s="25">
        <v>99</v>
      </c>
      <c r="P1216" s="25">
        <v>0</v>
      </c>
      <c r="Q1216" s="25"/>
      <c r="R1216" s="25"/>
      <c r="S1216" s="25"/>
      <c r="T1216" s="10"/>
    </row>
    <row r="1217" s="35" customFormat="1" ht="18.5" customHeight="1" spans="1:20">
      <c r="A1217" s="16" t="s">
        <v>251</v>
      </c>
      <c r="B1217" s="41">
        <v>44516</v>
      </c>
      <c r="C1217" s="25">
        <v>1</v>
      </c>
      <c r="D1217" s="25"/>
      <c r="E1217" s="25"/>
      <c r="F1217" s="25"/>
      <c r="G1217" s="25"/>
      <c r="H1217" s="25"/>
      <c r="I1217" s="25"/>
      <c r="J1217" s="25"/>
      <c r="K1217" s="25"/>
      <c r="L1217" s="25"/>
      <c r="M1217" s="42" t="s">
        <v>253</v>
      </c>
      <c r="N1217" s="41">
        <v>45270</v>
      </c>
      <c r="O1217" s="25">
        <v>99</v>
      </c>
      <c r="P1217" s="25">
        <v>0</v>
      </c>
      <c r="Q1217" s="25"/>
      <c r="R1217" s="25"/>
      <c r="S1217" s="25"/>
      <c r="T1217" s="10"/>
    </row>
    <row r="1218" s="35" customFormat="1" ht="18.5" customHeight="1" spans="1:20">
      <c r="A1218" s="16" t="s">
        <v>251</v>
      </c>
      <c r="B1218" s="41">
        <v>44415</v>
      </c>
      <c r="C1218" s="25">
        <v>2</v>
      </c>
      <c r="D1218" s="25"/>
      <c r="E1218" s="25"/>
      <c r="F1218" s="25"/>
      <c r="G1218" s="25"/>
      <c r="H1218" s="25"/>
      <c r="I1218" s="25"/>
      <c r="J1218" s="25"/>
      <c r="K1218" s="25"/>
      <c r="L1218" s="25"/>
      <c r="M1218" s="42" t="s">
        <v>253</v>
      </c>
      <c r="N1218" s="41">
        <v>45267</v>
      </c>
      <c r="O1218" s="25">
        <v>99</v>
      </c>
      <c r="P1218" s="25">
        <v>0</v>
      </c>
      <c r="Q1218" s="25"/>
      <c r="R1218" s="25"/>
      <c r="S1218" s="25"/>
      <c r="T1218" s="10"/>
    </row>
    <row r="1219" s="35" customFormat="1" ht="18.5" customHeight="1" spans="1:20">
      <c r="A1219" s="16" t="s">
        <v>251</v>
      </c>
      <c r="B1219" s="41">
        <v>44392</v>
      </c>
      <c r="C1219" s="25">
        <v>1</v>
      </c>
      <c r="D1219" s="25"/>
      <c r="E1219" s="25"/>
      <c r="F1219" s="25"/>
      <c r="G1219" s="25"/>
      <c r="H1219" s="25"/>
      <c r="I1219" s="25"/>
      <c r="J1219" s="25"/>
      <c r="K1219" s="25"/>
      <c r="L1219" s="25"/>
      <c r="M1219" s="42" t="s">
        <v>253</v>
      </c>
      <c r="N1219" s="41">
        <v>45258</v>
      </c>
      <c r="O1219" s="25">
        <v>99</v>
      </c>
      <c r="P1219" s="25">
        <v>0</v>
      </c>
      <c r="Q1219" s="25"/>
      <c r="R1219" s="25"/>
      <c r="S1219" s="25"/>
      <c r="T1219" s="10"/>
    </row>
    <row r="1220" s="35" customFormat="1" ht="18.5" customHeight="1" spans="1:20">
      <c r="A1220" s="16" t="s">
        <v>251</v>
      </c>
      <c r="B1220" s="41">
        <v>45295</v>
      </c>
      <c r="C1220" s="25">
        <v>4</v>
      </c>
      <c r="D1220" s="25"/>
      <c r="E1220" s="25"/>
      <c r="F1220" s="25"/>
      <c r="G1220" s="25"/>
      <c r="H1220" s="25"/>
      <c r="I1220" s="25"/>
      <c r="J1220" s="25"/>
      <c r="K1220" s="25"/>
      <c r="L1220" s="25"/>
      <c r="M1220" s="42" t="s">
        <v>253</v>
      </c>
      <c r="N1220" s="41">
        <v>45244</v>
      </c>
      <c r="O1220" s="25">
        <v>99</v>
      </c>
      <c r="P1220" s="25">
        <v>0</v>
      </c>
      <c r="Q1220" s="25"/>
      <c r="R1220" s="25"/>
      <c r="S1220" s="25"/>
      <c r="T1220" s="10"/>
    </row>
    <row r="1221" s="35" customFormat="1" ht="18.5" customHeight="1" spans="1:20">
      <c r="A1221" s="16" t="s">
        <v>251</v>
      </c>
      <c r="B1221" s="41">
        <v>44422</v>
      </c>
      <c r="C1221" s="25">
        <v>1</v>
      </c>
      <c r="D1221" s="25"/>
      <c r="E1221" s="25"/>
      <c r="F1221" s="25"/>
      <c r="G1221" s="25"/>
      <c r="H1221" s="25"/>
      <c r="I1221" s="25"/>
      <c r="J1221" s="25"/>
      <c r="K1221" s="25"/>
      <c r="L1221" s="25"/>
      <c r="M1221" s="42" t="s">
        <v>253</v>
      </c>
      <c r="N1221" s="41">
        <v>45244</v>
      </c>
      <c r="O1221" s="25">
        <v>99</v>
      </c>
      <c r="P1221" s="25">
        <v>0</v>
      </c>
      <c r="Q1221" s="25"/>
      <c r="R1221" s="25"/>
      <c r="S1221" s="25"/>
      <c r="T1221" s="10"/>
    </row>
    <row r="1222" s="35" customFormat="1" ht="18.5" customHeight="1" spans="1:20">
      <c r="A1222" s="16" t="s">
        <v>251</v>
      </c>
      <c r="B1222" s="41">
        <v>44439</v>
      </c>
      <c r="C1222" s="25">
        <v>2</v>
      </c>
      <c r="D1222" s="25"/>
      <c r="E1222" s="25"/>
      <c r="F1222" s="25"/>
      <c r="G1222" s="25"/>
      <c r="H1222" s="25"/>
      <c r="I1222" s="25"/>
      <c r="J1222" s="25"/>
      <c r="K1222" s="25"/>
      <c r="L1222" s="25"/>
      <c r="M1222" s="42" t="s">
        <v>253</v>
      </c>
      <c r="N1222" s="41">
        <v>45237</v>
      </c>
      <c r="O1222" s="25">
        <v>99</v>
      </c>
      <c r="P1222" s="25">
        <v>0</v>
      </c>
      <c r="Q1222" s="25"/>
      <c r="R1222" s="25"/>
      <c r="S1222" s="25"/>
      <c r="T1222" s="10"/>
    </row>
    <row r="1223" s="35" customFormat="1" ht="18.5" customHeight="1" spans="1:20">
      <c r="A1223" s="16" t="s">
        <v>251</v>
      </c>
      <c r="B1223" s="41">
        <v>44397</v>
      </c>
      <c r="C1223" s="25">
        <v>2</v>
      </c>
      <c r="D1223" s="25"/>
      <c r="E1223" s="25"/>
      <c r="F1223" s="25"/>
      <c r="G1223" s="25"/>
      <c r="H1223" s="25"/>
      <c r="I1223" s="25"/>
      <c r="J1223" s="25"/>
      <c r="K1223" s="25"/>
      <c r="L1223" s="25"/>
      <c r="M1223" s="42" t="s">
        <v>253</v>
      </c>
      <c r="N1223" s="41">
        <v>45278</v>
      </c>
      <c r="O1223" s="25">
        <v>98</v>
      </c>
      <c r="P1223" s="25">
        <v>0</v>
      </c>
      <c r="Q1223" s="25"/>
      <c r="R1223" s="25"/>
      <c r="S1223" s="25"/>
      <c r="T1223" s="10"/>
    </row>
    <row r="1224" s="35" customFormat="1" ht="18.5" customHeight="1" spans="1:20">
      <c r="A1224" s="16" t="s">
        <v>251</v>
      </c>
      <c r="B1224" s="41">
        <v>45281</v>
      </c>
      <c r="C1224" s="25">
        <v>6</v>
      </c>
      <c r="D1224" s="25"/>
      <c r="E1224" s="25"/>
      <c r="F1224" s="25"/>
      <c r="G1224" s="25"/>
      <c r="H1224" s="25"/>
      <c r="I1224" s="25"/>
      <c r="J1224" s="25"/>
      <c r="K1224" s="25"/>
      <c r="L1224" s="25"/>
      <c r="M1224" s="42" t="s">
        <v>253</v>
      </c>
      <c r="N1224" s="41">
        <v>45268</v>
      </c>
      <c r="O1224" s="25">
        <v>98</v>
      </c>
      <c r="P1224" s="25">
        <v>0</v>
      </c>
      <c r="Q1224" s="25"/>
      <c r="R1224" s="25"/>
      <c r="S1224" s="25"/>
      <c r="T1224" s="10"/>
    </row>
    <row r="1225" s="35" customFormat="1" ht="18.5" customHeight="1" spans="1:20">
      <c r="A1225" s="16" t="s">
        <v>251</v>
      </c>
      <c r="B1225" s="41">
        <v>44488</v>
      </c>
      <c r="C1225" s="25">
        <v>3</v>
      </c>
      <c r="D1225" s="25"/>
      <c r="E1225" s="25"/>
      <c r="F1225" s="25"/>
      <c r="G1225" s="25"/>
      <c r="H1225" s="25"/>
      <c r="I1225" s="25"/>
      <c r="J1225" s="25"/>
      <c r="K1225" s="25"/>
      <c r="L1225" s="25"/>
      <c r="M1225" s="42" t="s">
        <v>253</v>
      </c>
      <c r="N1225" s="41">
        <v>45254</v>
      </c>
      <c r="O1225" s="25">
        <v>98</v>
      </c>
      <c r="P1225" s="25">
        <v>0</v>
      </c>
      <c r="Q1225" s="25"/>
      <c r="R1225" s="25"/>
      <c r="S1225" s="25"/>
      <c r="T1225" s="10"/>
    </row>
    <row r="1226" s="35" customFormat="1" ht="18.5" customHeight="1" spans="1:20">
      <c r="A1226" s="16" t="s">
        <v>251</v>
      </c>
      <c r="B1226" s="41">
        <v>44403</v>
      </c>
      <c r="C1226" s="25">
        <v>2</v>
      </c>
      <c r="D1226" s="25"/>
      <c r="E1226" s="25"/>
      <c r="F1226" s="25"/>
      <c r="G1226" s="25"/>
      <c r="H1226" s="25"/>
      <c r="I1226" s="25"/>
      <c r="J1226" s="25"/>
      <c r="K1226" s="25"/>
      <c r="L1226" s="25"/>
      <c r="M1226" s="42" t="s">
        <v>253</v>
      </c>
      <c r="N1226" s="41">
        <v>45246</v>
      </c>
      <c r="O1226" s="25">
        <v>98</v>
      </c>
      <c r="P1226" s="25">
        <v>0</v>
      </c>
      <c r="Q1226" s="25"/>
      <c r="R1226" s="25"/>
      <c r="S1226" s="25"/>
      <c r="T1226" s="10"/>
    </row>
    <row r="1227" s="35" customFormat="1" ht="18.5" customHeight="1" spans="1:20">
      <c r="A1227" s="16" t="s">
        <v>251</v>
      </c>
      <c r="B1227" s="41">
        <v>44415</v>
      </c>
      <c r="C1227" s="25">
        <v>1</v>
      </c>
      <c r="D1227" s="25"/>
      <c r="E1227" s="25"/>
      <c r="F1227" s="25"/>
      <c r="G1227" s="25"/>
      <c r="H1227" s="25"/>
      <c r="I1227" s="25"/>
      <c r="J1227" s="25"/>
      <c r="K1227" s="25"/>
      <c r="L1227" s="25"/>
      <c r="M1227" s="42" t="s">
        <v>253</v>
      </c>
      <c r="N1227" s="41">
        <v>45291</v>
      </c>
      <c r="O1227" s="25">
        <v>97</v>
      </c>
      <c r="P1227" s="25">
        <v>0</v>
      </c>
      <c r="Q1227" s="25"/>
      <c r="R1227" s="25"/>
      <c r="S1227" s="25"/>
      <c r="T1227" s="10"/>
    </row>
    <row r="1228" s="35" customFormat="1" ht="18.5" customHeight="1" spans="1:20">
      <c r="A1228" s="16" t="s">
        <v>251</v>
      </c>
      <c r="B1228" s="41">
        <v>45285</v>
      </c>
      <c r="C1228" s="25">
        <v>3</v>
      </c>
      <c r="D1228" s="25"/>
      <c r="E1228" s="25"/>
      <c r="F1228" s="25"/>
      <c r="G1228" s="25"/>
      <c r="H1228" s="25"/>
      <c r="I1228" s="25"/>
      <c r="J1228" s="25"/>
      <c r="K1228" s="25"/>
      <c r="L1228" s="25"/>
      <c r="M1228" s="42" t="s">
        <v>253</v>
      </c>
      <c r="N1228" s="41">
        <v>45265</v>
      </c>
      <c r="O1228" s="25">
        <v>97</v>
      </c>
      <c r="P1228" s="25">
        <v>0</v>
      </c>
      <c r="Q1228" s="25"/>
      <c r="R1228" s="25"/>
      <c r="S1228" s="25"/>
      <c r="T1228" s="10"/>
    </row>
    <row r="1229" s="35" customFormat="1" ht="18.5" customHeight="1" spans="1:20">
      <c r="A1229" s="16" t="s">
        <v>251</v>
      </c>
      <c r="B1229" s="41">
        <v>44389</v>
      </c>
      <c r="C1229" s="25">
        <v>1</v>
      </c>
      <c r="D1229" s="25"/>
      <c r="E1229" s="25"/>
      <c r="F1229" s="25"/>
      <c r="G1229" s="25"/>
      <c r="H1229" s="25"/>
      <c r="I1229" s="25"/>
      <c r="J1229" s="25"/>
      <c r="K1229" s="25"/>
      <c r="L1229" s="25"/>
      <c r="M1229" s="42" t="s">
        <v>253</v>
      </c>
      <c r="N1229" s="41">
        <v>45259</v>
      </c>
      <c r="O1229" s="25">
        <v>97</v>
      </c>
      <c r="P1229" s="25">
        <v>0</v>
      </c>
      <c r="Q1229" s="25"/>
      <c r="R1229" s="25"/>
      <c r="S1229" s="25"/>
      <c r="T1229" s="10"/>
    </row>
    <row r="1230" s="35" customFormat="1" ht="18.5" customHeight="1" spans="1:20">
      <c r="A1230" s="16" t="s">
        <v>251</v>
      </c>
      <c r="B1230" s="41">
        <v>44351</v>
      </c>
      <c r="C1230" s="25">
        <v>4</v>
      </c>
      <c r="D1230" s="25"/>
      <c r="E1230" s="25"/>
      <c r="F1230" s="25"/>
      <c r="G1230" s="25"/>
      <c r="H1230" s="25"/>
      <c r="I1230" s="25"/>
      <c r="J1230" s="25"/>
      <c r="K1230" s="25"/>
      <c r="L1230" s="25"/>
      <c r="M1230" s="42" t="s">
        <v>253</v>
      </c>
      <c r="N1230" s="41">
        <v>45043</v>
      </c>
      <c r="O1230" s="25">
        <v>97</v>
      </c>
      <c r="P1230" s="25">
        <v>0</v>
      </c>
      <c r="Q1230" s="25"/>
      <c r="R1230" s="25"/>
      <c r="S1230" s="25"/>
      <c r="T1230" s="10"/>
    </row>
    <row r="1231" s="35" customFormat="1" ht="18.5" customHeight="1" spans="1:20">
      <c r="A1231" s="16" t="s">
        <v>251</v>
      </c>
      <c r="B1231" s="41">
        <v>44363</v>
      </c>
      <c r="C1231" s="25">
        <v>1</v>
      </c>
      <c r="D1231" s="25"/>
      <c r="E1231" s="25"/>
      <c r="F1231" s="25"/>
      <c r="G1231" s="25"/>
      <c r="H1231" s="25"/>
      <c r="I1231" s="25"/>
      <c r="J1231" s="25"/>
      <c r="K1231" s="25"/>
      <c r="L1231" s="25"/>
      <c r="M1231" s="42" t="s">
        <v>253</v>
      </c>
      <c r="N1231" s="41">
        <v>44988</v>
      </c>
      <c r="O1231" s="25">
        <v>97</v>
      </c>
      <c r="P1231" s="25">
        <v>0</v>
      </c>
      <c r="Q1231" s="25"/>
      <c r="R1231" s="25"/>
      <c r="S1231" s="25"/>
      <c r="T1231" s="10"/>
    </row>
    <row r="1232" s="35" customFormat="1" ht="18.5" customHeight="1" spans="1:20">
      <c r="A1232" s="16" t="s">
        <v>251</v>
      </c>
      <c r="B1232" s="41">
        <v>44489</v>
      </c>
      <c r="C1232" s="25">
        <v>0</v>
      </c>
      <c r="D1232" s="25"/>
      <c r="E1232" s="25"/>
      <c r="F1232" s="25"/>
      <c r="G1232" s="25"/>
      <c r="H1232" s="25"/>
      <c r="I1232" s="25"/>
      <c r="J1232" s="25"/>
      <c r="K1232" s="25"/>
      <c r="L1232" s="25"/>
      <c r="M1232" s="42" t="s">
        <v>253</v>
      </c>
      <c r="N1232" s="41">
        <v>45286</v>
      </c>
      <c r="O1232" s="25">
        <v>97</v>
      </c>
      <c r="P1232" s="25">
        <v>0</v>
      </c>
      <c r="Q1232" s="25"/>
      <c r="R1232" s="25"/>
      <c r="S1232" s="25"/>
      <c r="T1232" s="10"/>
    </row>
    <row r="1233" s="35" customFormat="1" ht="18.5" customHeight="1" spans="1:20">
      <c r="A1233" s="16" t="s">
        <v>251</v>
      </c>
      <c r="B1233" s="41">
        <v>44453</v>
      </c>
      <c r="C1233" s="25">
        <v>4</v>
      </c>
      <c r="D1233" s="25"/>
      <c r="E1233" s="25"/>
      <c r="F1233" s="25"/>
      <c r="G1233" s="25"/>
      <c r="H1233" s="25"/>
      <c r="I1233" s="25"/>
      <c r="J1233" s="25"/>
      <c r="K1233" s="25"/>
      <c r="L1233" s="25"/>
      <c r="M1233" s="42" t="s">
        <v>253</v>
      </c>
      <c r="N1233" s="41">
        <v>45283</v>
      </c>
      <c r="O1233" s="25">
        <v>96</v>
      </c>
      <c r="P1233" s="25">
        <v>0</v>
      </c>
      <c r="Q1233" s="25"/>
      <c r="R1233" s="25"/>
      <c r="S1233" s="25"/>
      <c r="T1233" s="10"/>
    </row>
    <row r="1234" s="35" customFormat="1" ht="18.5" customHeight="1" spans="1:20">
      <c r="A1234" s="16" t="s">
        <v>251</v>
      </c>
      <c r="B1234" s="41">
        <v>44400</v>
      </c>
      <c r="C1234" s="25">
        <v>2</v>
      </c>
      <c r="D1234" s="25"/>
      <c r="E1234" s="25"/>
      <c r="F1234" s="25"/>
      <c r="G1234" s="25"/>
      <c r="H1234" s="25"/>
      <c r="I1234" s="25"/>
      <c r="J1234" s="25"/>
      <c r="K1234" s="25"/>
      <c r="L1234" s="25"/>
      <c r="M1234" s="42" t="s">
        <v>253</v>
      </c>
      <c r="N1234" s="41">
        <v>45266</v>
      </c>
      <c r="O1234" s="25">
        <v>96</v>
      </c>
      <c r="P1234" s="25">
        <v>0</v>
      </c>
      <c r="Q1234" s="25"/>
      <c r="R1234" s="25"/>
      <c r="S1234" s="25"/>
      <c r="T1234" s="10"/>
    </row>
    <row r="1235" s="35" customFormat="1" ht="18.5" customHeight="1" spans="1:20">
      <c r="A1235" s="16" t="s">
        <v>251</v>
      </c>
      <c r="B1235" s="41">
        <v>44439</v>
      </c>
      <c r="C1235" s="25">
        <v>1</v>
      </c>
      <c r="D1235" s="25"/>
      <c r="E1235" s="25"/>
      <c r="F1235" s="25"/>
      <c r="G1235" s="25"/>
      <c r="H1235" s="25"/>
      <c r="I1235" s="25"/>
      <c r="J1235" s="25"/>
      <c r="K1235" s="25"/>
      <c r="L1235" s="25"/>
      <c r="M1235" s="42" t="s">
        <v>253</v>
      </c>
      <c r="N1235" s="41">
        <v>45264</v>
      </c>
      <c r="O1235" s="25">
        <v>96</v>
      </c>
      <c r="P1235" s="25">
        <v>0</v>
      </c>
      <c r="Q1235" s="25"/>
      <c r="R1235" s="25"/>
      <c r="S1235" s="25"/>
      <c r="T1235" s="10"/>
    </row>
    <row r="1236" s="35" customFormat="1" ht="18.5" customHeight="1" spans="1:20">
      <c r="A1236" s="16" t="s">
        <v>251</v>
      </c>
      <c r="B1236" s="41">
        <v>45284</v>
      </c>
      <c r="C1236" s="25">
        <v>3</v>
      </c>
      <c r="D1236" s="25"/>
      <c r="E1236" s="25"/>
      <c r="F1236" s="25"/>
      <c r="G1236" s="25"/>
      <c r="H1236" s="25"/>
      <c r="I1236" s="25"/>
      <c r="J1236" s="25"/>
      <c r="K1236" s="25"/>
      <c r="L1236" s="25"/>
      <c r="M1236" s="42" t="s">
        <v>253</v>
      </c>
      <c r="N1236" s="41">
        <v>45281</v>
      </c>
      <c r="O1236" s="25">
        <v>94</v>
      </c>
      <c r="P1236" s="25">
        <v>0</v>
      </c>
      <c r="Q1236" s="25"/>
      <c r="R1236" s="25"/>
      <c r="S1236" s="25"/>
      <c r="T1236" s="10"/>
    </row>
    <row r="1237" s="35" customFormat="1" ht="18.5" customHeight="1" spans="1:20">
      <c r="A1237" s="16" t="s">
        <v>251</v>
      </c>
      <c r="B1237" s="41">
        <v>44393</v>
      </c>
      <c r="C1237" s="25">
        <v>1</v>
      </c>
      <c r="D1237" s="25"/>
      <c r="E1237" s="25"/>
      <c r="F1237" s="25"/>
      <c r="G1237" s="25"/>
      <c r="H1237" s="25"/>
      <c r="I1237" s="25"/>
      <c r="J1237" s="25"/>
      <c r="K1237" s="25"/>
      <c r="L1237" s="25"/>
      <c r="M1237" s="42" t="s">
        <v>253</v>
      </c>
      <c r="N1237" s="41">
        <v>45248</v>
      </c>
      <c r="O1237" s="25">
        <v>94</v>
      </c>
      <c r="P1237" s="25">
        <v>0</v>
      </c>
      <c r="Q1237" s="25"/>
      <c r="R1237" s="25"/>
      <c r="S1237" s="25"/>
      <c r="T1237" s="10"/>
    </row>
    <row r="1238" s="35" customFormat="1" ht="18.5" customHeight="1" spans="1:20">
      <c r="A1238" s="16" t="s">
        <v>251</v>
      </c>
      <c r="B1238" s="41">
        <v>44612</v>
      </c>
      <c r="C1238" s="25">
        <v>8</v>
      </c>
      <c r="D1238" s="25"/>
      <c r="E1238" s="25"/>
      <c r="F1238" s="25"/>
      <c r="G1238" s="25"/>
      <c r="H1238" s="25"/>
      <c r="I1238" s="25"/>
      <c r="J1238" s="25"/>
      <c r="K1238" s="25"/>
      <c r="L1238" s="25"/>
      <c r="M1238" s="42" t="s">
        <v>253</v>
      </c>
      <c r="N1238" s="41">
        <v>45244</v>
      </c>
      <c r="O1238" s="25">
        <v>94</v>
      </c>
      <c r="P1238" s="25">
        <v>0</v>
      </c>
      <c r="Q1238" s="25"/>
      <c r="R1238" s="25"/>
      <c r="S1238" s="25"/>
      <c r="T1238" s="10"/>
    </row>
    <row r="1239" s="35" customFormat="1" ht="18.5" customHeight="1" spans="1:20">
      <c r="A1239" s="16" t="s">
        <v>251</v>
      </c>
      <c r="B1239" s="41">
        <v>44391</v>
      </c>
      <c r="C1239" s="25">
        <v>1</v>
      </c>
      <c r="D1239" s="25"/>
      <c r="E1239" s="25"/>
      <c r="F1239" s="25"/>
      <c r="G1239" s="25"/>
      <c r="H1239" s="25"/>
      <c r="I1239" s="25"/>
      <c r="J1239" s="25"/>
      <c r="K1239" s="25"/>
      <c r="L1239" s="25"/>
      <c r="M1239" s="42" t="s">
        <v>253</v>
      </c>
      <c r="N1239" s="41">
        <v>45243</v>
      </c>
      <c r="O1239" s="25">
        <v>93</v>
      </c>
      <c r="P1239" s="25">
        <v>0</v>
      </c>
      <c r="Q1239" s="25"/>
      <c r="R1239" s="25"/>
      <c r="S1239" s="25"/>
      <c r="T1239" s="10"/>
    </row>
    <row r="1240" s="35" customFormat="1" ht="18.5" customHeight="1" spans="1:20">
      <c r="A1240" s="16" t="s">
        <v>251</v>
      </c>
      <c r="B1240" s="41">
        <v>44518</v>
      </c>
      <c r="C1240" s="25">
        <v>1</v>
      </c>
      <c r="D1240" s="25"/>
      <c r="E1240" s="25"/>
      <c r="F1240" s="25"/>
      <c r="G1240" s="25"/>
      <c r="H1240" s="25"/>
      <c r="I1240" s="25"/>
      <c r="J1240" s="25"/>
      <c r="K1240" s="25"/>
      <c r="L1240" s="25"/>
      <c r="M1240" s="42" t="s">
        <v>253</v>
      </c>
      <c r="N1240" s="41">
        <v>45241</v>
      </c>
      <c r="O1240" s="25">
        <v>93</v>
      </c>
      <c r="P1240" s="25">
        <v>0</v>
      </c>
      <c r="Q1240" s="25"/>
      <c r="R1240" s="25"/>
      <c r="S1240" s="25"/>
      <c r="T1240" s="10"/>
    </row>
    <row r="1241" s="35" customFormat="1" ht="18.5" customHeight="1" spans="1:20">
      <c r="A1241" s="16" t="s">
        <v>251</v>
      </c>
      <c r="B1241" s="41">
        <v>44444</v>
      </c>
      <c r="C1241" s="25">
        <v>1</v>
      </c>
      <c r="D1241" s="25"/>
      <c r="E1241" s="25"/>
      <c r="F1241" s="25"/>
      <c r="G1241" s="25"/>
      <c r="H1241" s="25"/>
      <c r="I1241" s="25"/>
      <c r="J1241" s="25"/>
      <c r="K1241" s="25"/>
      <c r="L1241" s="25"/>
      <c r="M1241" s="42" t="s">
        <v>253</v>
      </c>
      <c r="N1241" s="41">
        <v>45219</v>
      </c>
      <c r="O1241" s="25">
        <v>93</v>
      </c>
      <c r="P1241" s="25">
        <v>0</v>
      </c>
      <c r="Q1241" s="25"/>
      <c r="R1241" s="25"/>
      <c r="S1241" s="25"/>
      <c r="T1241" s="10"/>
    </row>
    <row r="1242" s="35" customFormat="1" ht="18.5" customHeight="1" spans="1:20">
      <c r="A1242" s="16" t="s">
        <v>251</v>
      </c>
      <c r="B1242" s="41">
        <v>44373</v>
      </c>
      <c r="C1242" s="25">
        <v>6</v>
      </c>
      <c r="D1242" s="25"/>
      <c r="E1242" s="25"/>
      <c r="F1242" s="25"/>
      <c r="G1242" s="25"/>
      <c r="H1242" s="25"/>
      <c r="I1242" s="25"/>
      <c r="J1242" s="25"/>
      <c r="K1242" s="25"/>
      <c r="L1242" s="25"/>
      <c r="M1242" s="42" t="s">
        <v>253</v>
      </c>
      <c r="N1242" s="41">
        <v>45281</v>
      </c>
      <c r="O1242" s="25">
        <v>91</v>
      </c>
      <c r="P1242" s="25">
        <v>0</v>
      </c>
      <c r="Q1242" s="25"/>
      <c r="R1242" s="25"/>
      <c r="S1242" s="25"/>
      <c r="T1242" s="10"/>
    </row>
    <row r="1243" s="35" customFormat="1" ht="18.5" customHeight="1" spans="1:20">
      <c r="A1243" s="16" t="s">
        <v>251</v>
      </c>
      <c r="B1243" s="41">
        <v>44404</v>
      </c>
      <c r="C1243" s="25">
        <v>1</v>
      </c>
      <c r="D1243" s="25"/>
      <c r="E1243" s="25"/>
      <c r="F1243" s="25"/>
      <c r="G1243" s="25"/>
      <c r="H1243" s="25"/>
      <c r="I1243" s="25"/>
      <c r="J1243" s="25"/>
      <c r="K1243" s="25"/>
      <c r="L1243" s="25"/>
      <c r="M1243" s="42" t="s">
        <v>253</v>
      </c>
      <c r="N1243" s="41">
        <v>45280</v>
      </c>
      <c r="O1243" s="25">
        <v>90</v>
      </c>
      <c r="P1243" s="25">
        <v>0</v>
      </c>
      <c r="Q1243" s="25"/>
      <c r="R1243" s="25"/>
      <c r="S1243" s="25"/>
      <c r="T1243" s="10"/>
    </row>
    <row r="1244" s="35" customFormat="1" ht="18.5" customHeight="1" spans="1:20">
      <c r="A1244" s="16" t="s">
        <v>251</v>
      </c>
      <c r="B1244" s="41">
        <v>44438</v>
      </c>
      <c r="C1244" s="25">
        <v>3</v>
      </c>
      <c r="D1244" s="25"/>
      <c r="E1244" s="25"/>
      <c r="F1244" s="25"/>
      <c r="G1244" s="25"/>
      <c r="H1244" s="25"/>
      <c r="I1244" s="25"/>
      <c r="J1244" s="25"/>
      <c r="K1244" s="25"/>
      <c r="L1244" s="25"/>
      <c r="M1244" s="42" t="s">
        <v>253</v>
      </c>
      <c r="N1244" s="41">
        <v>45245</v>
      </c>
      <c r="O1244" s="25">
        <v>90</v>
      </c>
      <c r="P1244" s="25">
        <v>0</v>
      </c>
      <c r="Q1244" s="25"/>
      <c r="R1244" s="25"/>
      <c r="S1244" s="25"/>
      <c r="T1244" s="10"/>
    </row>
    <row r="1245" s="35" customFormat="1" ht="18.5" customHeight="1" spans="1:20">
      <c r="A1245" s="16" t="s">
        <v>251</v>
      </c>
      <c r="B1245" s="41">
        <v>45276</v>
      </c>
      <c r="C1245" s="25">
        <v>2</v>
      </c>
      <c r="D1245" s="25"/>
      <c r="E1245" s="25"/>
      <c r="F1245" s="25"/>
      <c r="G1245" s="25"/>
      <c r="H1245" s="25"/>
      <c r="I1245" s="25"/>
      <c r="J1245" s="25"/>
      <c r="K1245" s="25"/>
      <c r="L1245" s="25"/>
      <c r="M1245" s="42" t="s">
        <v>253</v>
      </c>
      <c r="N1245" s="41">
        <v>45240</v>
      </c>
      <c r="O1245" s="25">
        <v>90</v>
      </c>
      <c r="P1245" s="25">
        <v>0</v>
      </c>
      <c r="Q1245" s="25"/>
      <c r="R1245" s="25"/>
      <c r="S1245" s="25"/>
      <c r="T1245" s="10"/>
    </row>
    <row r="1246" s="35" customFormat="1" ht="18.5" customHeight="1" spans="1:20">
      <c r="A1246" s="16" t="s">
        <v>251</v>
      </c>
      <c r="B1246" s="41">
        <v>44433</v>
      </c>
      <c r="C1246" s="25">
        <v>0</v>
      </c>
      <c r="D1246" s="25"/>
      <c r="E1246" s="25"/>
      <c r="F1246" s="25"/>
      <c r="G1246" s="25"/>
      <c r="H1246" s="25"/>
      <c r="I1246" s="25"/>
      <c r="J1246" s="25"/>
      <c r="K1246" s="25"/>
      <c r="L1246" s="25"/>
      <c r="M1246" s="42" t="s">
        <v>253</v>
      </c>
      <c r="N1246" s="41">
        <v>45239</v>
      </c>
      <c r="O1246" s="25">
        <v>90</v>
      </c>
      <c r="P1246" s="25">
        <v>0</v>
      </c>
      <c r="Q1246" s="25"/>
      <c r="R1246" s="25"/>
      <c r="S1246" s="25"/>
      <c r="T1246" s="10"/>
    </row>
    <row r="1247" s="35" customFormat="1" ht="18.5" customHeight="1" spans="1:20">
      <c r="A1247" s="16" t="s">
        <v>251</v>
      </c>
      <c r="B1247" s="41">
        <v>45294</v>
      </c>
      <c r="C1247" s="25">
        <v>3</v>
      </c>
      <c r="D1247" s="25"/>
      <c r="E1247" s="25"/>
      <c r="F1247" s="25"/>
      <c r="G1247" s="25"/>
      <c r="H1247" s="25"/>
      <c r="I1247" s="25"/>
      <c r="J1247" s="25"/>
      <c r="K1247" s="25"/>
      <c r="L1247" s="25"/>
      <c r="M1247" s="42" t="s">
        <v>253</v>
      </c>
      <c r="N1247" s="41">
        <v>45287</v>
      </c>
      <c r="O1247" s="25">
        <v>89</v>
      </c>
      <c r="P1247" s="25">
        <v>0</v>
      </c>
      <c r="Q1247" s="25"/>
      <c r="R1247" s="25"/>
      <c r="S1247" s="25"/>
      <c r="T1247" s="10"/>
    </row>
    <row r="1248" s="35" customFormat="1" ht="18.5" customHeight="1" spans="1:20">
      <c r="A1248" s="16" t="s">
        <v>251</v>
      </c>
      <c r="B1248" s="41">
        <v>44475</v>
      </c>
      <c r="C1248" s="25">
        <v>3</v>
      </c>
      <c r="D1248" s="25"/>
      <c r="E1248" s="25"/>
      <c r="F1248" s="25"/>
      <c r="G1248" s="25"/>
      <c r="H1248" s="25"/>
      <c r="I1248" s="25"/>
      <c r="J1248" s="25"/>
      <c r="K1248" s="25"/>
      <c r="L1248" s="25"/>
      <c r="M1248" s="42" t="s">
        <v>253</v>
      </c>
      <c r="N1248" s="41">
        <v>45227</v>
      </c>
      <c r="O1248" s="25">
        <v>89</v>
      </c>
      <c r="P1248" s="25">
        <v>0</v>
      </c>
      <c r="Q1248" s="25"/>
      <c r="R1248" s="25"/>
      <c r="S1248" s="25"/>
      <c r="T1248" s="10"/>
    </row>
    <row r="1249" s="35" customFormat="1" ht="18.5" customHeight="1" spans="1:20">
      <c r="A1249" s="16" t="s">
        <v>251</v>
      </c>
      <c r="B1249" s="41">
        <v>45274</v>
      </c>
      <c r="C1249" s="25">
        <v>5</v>
      </c>
      <c r="D1249" s="25"/>
      <c r="E1249" s="25"/>
      <c r="F1249" s="25"/>
      <c r="G1249" s="25"/>
      <c r="H1249" s="25"/>
      <c r="I1249" s="25"/>
      <c r="J1249" s="25"/>
      <c r="K1249" s="25"/>
      <c r="L1249" s="25"/>
      <c r="M1249" s="42" t="s">
        <v>253</v>
      </c>
      <c r="N1249" s="41">
        <v>45286</v>
      </c>
      <c r="O1249" s="25">
        <v>88</v>
      </c>
      <c r="P1249" s="25">
        <v>0</v>
      </c>
      <c r="Q1249" s="25"/>
      <c r="R1249" s="25"/>
      <c r="S1249" s="25"/>
      <c r="T1249" s="10"/>
    </row>
    <row r="1250" s="35" customFormat="1" ht="18.5" customHeight="1" spans="1:20">
      <c r="A1250" s="16" t="s">
        <v>251</v>
      </c>
      <c r="B1250" s="41">
        <v>44397</v>
      </c>
      <c r="C1250" s="25">
        <v>0</v>
      </c>
      <c r="D1250" s="25"/>
      <c r="E1250" s="25"/>
      <c r="F1250" s="25"/>
      <c r="G1250" s="25"/>
      <c r="H1250" s="25"/>
      <c r="I1250" s="25"/>
      <c r="J1250" s="25"/>
      <c r="K1250" s="25"/>
      <c r="L1250" s="25"/>
      <c r="M1250" s="42" t="s">
        <v>253</v>
      </c>
      <c r="N1250" s="41">
        <v>45282</v>
      </c>
      <c r="O1250" s="25">
        <v>89</v>
      </c>
      <c r="P1250" s="25">
        <v>0</v>
      </c>
      <c r="Q1250" s="25"/>
      <c r="R1250" s="25"/>
      <c r="S1250" s="25"/>
      <c r="T1250" s="10"/>
    </row>
    <row r="1251" s="35" customFormat="1" ht="18.5" customHeight="1" spans="1:20">
      <c r="A1251" s="16" t="s">
        <v>251</v>
      </c>
      <c r="B1251" s="41">
        <v>44459</v>
      </c>
      <c r="C1251" s="25">
        <v>0</v>
      </c>
      <c r="D1251" s="25"/>
      <c r="E1251" s="25"/>
      <c r="F1251" s="25"/>
      <c r="G1251" s="25"/>
      <c r="H1251" s="25"/>
      <c r="I1251" s="25"/>
      <c r="J1251" s="25"/>
      <c r="K1251" s="25"/>
      <c r="L1251" s="25"/>
      <c r="M1251" s="42" t="s">
        <v>253</v>
      </c>
      <c r="N1251" s="41">
        <v>45259</v>
      </c>
      <c r="O1251" s="25">
        <v>88</v>
      </c>
      <c r="P1251" s="25">
        <v>0</v>
      </c>
      <c r="Q1251" s="25"/>
      <c r="R1251" s="25"/>
      <c r="S1251" s="25"/>
      <c r="T1251" s="10"/>
    </row>
    <row r="1252" s="35" customFormat="1" ht="18.5" customHeight="1" spans="1:20">
      <c r="A1252" s="16" t="s">
        <v>251</v>
      </c>
      <c r="B1252" s="41">
        <v>45295</v>
      </c>
      <c r="C1252" s="25">
        <v>8</v>
      </c>
      <c r="D1252" s="25"/>
      <c r="E1252" s="25"/>
      <c r="F1252" s="25"/>
      <c r="G1252" s="25"/>
      <c r="H1252" s="25"/>
      <c r="I1252" s="25"/>
      <c r="J1252" s="25"/>
      <c r="K1252" s="25"/>
      <c r="L1252" s="25"/>
      <c r="M1252" s="42" t="s">
        <v>253</v>
      </c>
      <c r="N1252" s="41">
        <v>45257</v>
      </c>
      <c r="O1252" s="25">
        <v>88</v>
      </c>
      <c r="P1252" s="25">
        <v>0</v>
      </c>
      <c r="Q1252" s="25"/>
      <c r="R1252" s="25"/>
      <c r="S1252" s="25"/>
      <c r="T1252" s="10"/>
    </row>
    <row r="1253" s="35" customFormat="1" ht="18.5" customHeight="1" spans="1:20">
      <c r="A1253" s="16" t="s">
        <v>251</v>
      </c>
      <c r="B1253" s="41">
        <v>44451</v>
      </c>
      <c r="C1253" s="25">
        <v>1</v>
      </c>
      <c r="D1253" s="25"/>
      <c r="E1253" s="25"/>
      <c r="F1253" s="25"/>
      <c r="G1253" s="25"/>
      <c r="H1253" s="25"/>
      <c r="I1253" s="25"/>
      <c r="J1253" s="25"/>
      <c r="K1253" s="25"/>
      <c r="L1253" s="25"/>
      <c r="M1253" s="42" t="s">
        <v>253</v>
      </c>
      <c r="N1253" s="41">
        <v>45242</v>
      </c>
      <c r="O1253" s="25">
        <v>88</v>
      </c>
      <c r="P1253" s="25">
        <v>0</v>
      </c>
      <c r="Q1253" s="25"/>
      <c r="R1253" s="25"/>
      <c r="S1253" s="25"/>
      <c r="T1253" s="10"/>
    </row>
    <row r="1254" s="35" customFormat="1" ht="18.5" customHeight="1" spans="1:20">
      <c r="A1254" s="16" t="s">
        <v>251</v>
      </c>
      <c r="B1254" s="41">
        <v>44546</v>
      </c>
      <c r="C1254" s="25">
        <v>0</v>
      </c>
      <c r="D1254" s="25"/>
      <c r="E1254" s="25"/>
      <c r="F1254" s="25"/>
      <c r="G1254" s="25"/>
      <c r="H1254" s="25"/>
      <c r="I1254" s="25"/>
      <c r="J1254" s="25"/>
      <c r="K1254" s="25"/>
      <c r="L1254" s="25"/>
      <c r="M1254" s="42" t="s">
        <v>253</v>
      </c>
      <c r="N1254" s="41">
        <v>45286</v>
      </c>
      <c r="O1254" s="25">
        <v>87</v>
      </c>
      <c r="P1254" s="25">
        <v>0</v>
      </c>
      <c r="Q1254" s="25"/>
      <c r="R1254" s="25"/>
      <c r="S1254" s="25"/>
      <c r="T1254" s="10"/>
    </row>
    <row r="1255" s="35" customFormat="1" ht="18.5" customHeight="1" spans="1:20">
      <c r="A1255" s="16" t="s">
        <v>251</v>
      </c>
      <c r="B1255" s="41">
        <v>44479</v>
      </c>
      <c r="C1255" s="25">
        <v>0</v>
      </c>
      <c r="D1255" s="25"/>
      <c r="E1255" s="25"/>
      <c r="F1255" s="25"/>
      <c r="G1255" s="25"/>
      <c r="H1255" s="25"/>
      <c r="I1255" s="25"/>
      <c r="J1255" s="25"/>
      <c r="K1255" s="25"/>
      <c r="L1255" s="25"/>
      <c r="M1255" s="42" t="s">
        <v>253</v>
      </c>
      <c r="N1255" s="41">
        <v>45267</v>
      </c>
      <c r="O1255" s="25">
        <v>87</v>
      </c>
      <c r="P1255" s="25">
        <v>0</v>
      </c>
      <c r="Q1255" s="25"/>
      <c r="R1255" s="25"/>
      <c r="S1255" s="25"/>
      <c r="T1255" s="10"/>
    </row>
    <row r="1256" s="35" customFormat="1" ht="18.5" customHeight="1" spans="1:20">
      <c r="A1256" s="16" t="s">
        <v>251</v>
      </c>
      <c r="B1256" s="41">
        <v>44526</v>
      </c>
      <c r="C1256" s="25">
        <v>4</v>
      </c>
      <c r="D1256" s="25"/>
      <c r="E1256" s="25"/>
      <c r="F1256" s="25"/>
      <c r="G1256" s="25"/>
      <c r="H1256" s="25"/>
      <c r="I1256" s="25"/>
      <c r="J1256" s="25"/>
      <c r="K1256" s="25"/>
      <c r="L1256" s="25"/>
      <c r="M1256" s="42" t="s">
        <v>253</v>
      </c>
      <c r="N1256" s="41">
        <v>45257</v>
      </c>
      <c r="O1256" s="25">
        <v>87</v>
      </c>
      <c r="P1256" s="25">
        <v>0</v>
      </c>
      <c r="Q1256" s="25"/>
      <c r="R1256" s="25"/>
      <c r="S1256" s="25"/>
      <c r="T1256" s="10"/>
    </row>
    <row r="1257" s="35" customFormat="1" ht="18.5" customHeight="1" spans="1:20">
      <c r="A1257" s="16" t="s">
        <v>251</v>
      </c>
      <c r="B1257" s="41">
        <v>44463</v>
      </c>
      <c r="C1257" s="25">
        <v>0</v>
      </c>
      <c r="D1257" s="25"/>
      <c r="E1257" s="25"/>
      <c r="F1257" s="25"/>
      <c r="G1257" s="25"/>
      <c r="H1257" s="25"/>
      <c r="I1257" s="25"/>
      <c r="J1257" s="25"/>
      <c r="K1257" s="25"/>
      <c r="L1257" s="25"/>
      <c r="M1257" s="42" t="s">
        <v>253</v>
      </c>
      <c r="N1257" s="41">
        <v>45255</v>
      </c>
      <c r="O1257" s="25">
        <v>87</v>
      </c>
      <c r="P1257" s="25">
        <v>0</v>
      </c>
      <c r="Q1257" s="25"/>
      <c r="R1257" s="25"/>
      <c r="S1257" s="25"/>
      <c r="T1257" s="10"/>
    </row>
    <row r="1258" s="35" customFormat="1" ht="18.5" customHeight="1" spans="1:20">
      <c r="A1258" s="16" t="s">
        <v>251</v>
      </c>
      <c r="B1258" s="41">
        <v>44517</v>
      </c>
      <c r="C1258" s="25">
        <v>6</v>
      </c>
      <c r="D1258" s="25"/>
      <c r="E1258" s="25"/>
      <c r="F1258" s="25"/>
      <c r="G1258" s="25"/>
      <c r="H1258" s="25"/>
      <c r="I1258" s="25"/>
      <c r="J1258" s="25"/>
      <c r="K1258" s="25"/>
      <c r="L1258" s="25"/>
      <c r="M1258" s="42" t="s">
        <v>253</v>
      </c>
      <c r="N1258" s="41">
        <v>45237</v>
      </c>
      <c r="O1258" s="25">
        <v>87</v>
      </c>
      <c r="P1258" s="25">
        <v>0</v>
      </c>
      <c r="Q1258" s="25"/>
      <c r="R1258" s="25"/>
      <c r="S1258" s="25"/>
      <c r="T1258" s="10"/>
    </row>
    <row r="1259" s="35" customFormat="1" ht="18.5" customHeight="1" spans="1:20">
      <c r="A1259" s="16" t="s">
        <v>251</v>
      </c>
      <c r="B1259" s="41">
        <v>45294</v>
      </c>
      <c r="C1259" s="25">
        <v>2</v>
      </c>
      <c r="D1259" s="25"/>
      <c r="E1259" s="25"/>
      <c r="F1259" s="25"/>
      <c r="G1259" s="25"/>
      <c r="H1259" s="25"/>
      <c r="I1259" s="25"/>
      <c r="J1259" s="25"/>
      <c r="K1259" s="25"/>
      <c r="L1259" s="25"/>
      <c r="M1259" s="42" t="s">
        <v>253</v>
      </c>
      <c r="N1259" s="41">
        <v>45236</v>
      </c>
      <c r="O1259" s="25">
        <v>87</v>
      </c>
      <c r="P1259" s="25">
        <v>0</v>
      </c>
      <c r="Q1259" s="25"/>
      <c r="R1259" s="25"/>
      <c r="S1259" s="25"/>
      <c r="T1259" s="10"/>
    </row>
    <row r="1260" s="35" customFormat="1" ht="18.5" customHeight="1" spans="1:20">
      <c r="A1260" s="16" t="s">
        <v>251</v>
      </c>
      <c r="B1260" s="41">
        <v>44448</v>
      </c>
      <c r="C1260" s="25">
        <v>0</v>
      </c>
      <c r="D1260" s="25"/>
      <c r="E1260" s="25"/>
      <c r="F1260" s="25"/>
      <c r="G1260" s="25"/>
      <c r="H1260" s="25"/>
      <c r="I1260" s="25"/>
      <c r="J1260" s="25"/>
      <c r="K1260" s="25"/>
      <c r="L1260" s="25"/>
      <c r="M1260" s="42" t="s">
        <v>253</v>
      </c>
      <c r="N1260" s="41">
        <v>45287</v>
      </c>
      <c r="O1260" s="25">
        <v>86</v>
      </c>
      <c r="P1260" s="25">
        <v>0</v>
      </c>
      <c r="Q1260" s="25"/>
      <c r="R1260" s="25"/>
      <c r="S1260" s="25"/>
      <c r="T1260" s="10"/>
    </row>
    <row r="1261" s="35" customFormat="1" ht="18.5" customHeight="1" spans="1:20">
      <c r="A1261" s="16" t="s">
        <v>251</v>
      </c>
      <c r="B1261" s="41">
        <v>44545</v>
      </c>
      <c r="C1261" s="25">
        <v>3</v>
      </c>
      <c r="D1261" s="25"/>
      <c r="E1261" s="25"/>
      <c r="F1261" s="25"/>
      <c r="G1261" s="25"/>
      <c r="H1261" s="25"/>
      <c r="I1261" s="25"/>
      <c r="J1261" s="25"/>
      <c r="K1261" s="25"/>
      <c r="L1261" s="25"/>
      <c r="M1261" s="42" t="s">
        <v>253</v>
      </c>
      <c r="N1261" s="41">
        <v>45242</v>
      </c>
      <c r="O1261" s="25">
        <v>85</v>
      </c>
      <c r="P1261" s="25">
        <v>0</v>
      </c>
      <c r="Q1261" s="25"/>
      <c r="R1261" s="25"/>
      <c r="S1261" s="25"/>
      <c r="T1261" s="10"/>
    </row>
    <row r="1262" s="35" customFormat="1" ht="18.5" customHeight="1" spans="1:20">
      <c r="A1262" s="16" t="s">
        <v>251</v>
      </c>
      <c r="B1262" s="41">
        <v>44448</v>
      </c>
      <c r="C1262" s="25">
        <v>6</v>
      </c>
      <c r="D1262" s="25"/>
      <c r="E1262" s="25"/>
      <c r="F1262" s="25"/>
      <c r="G1262" s="25"/>
      <c r="H1262" s="25"/>
      <c r="I1262" s="25"/>
      <c r="J1262" s="25"/>
      <c r="K1262" s="25"/>
      <c r="L1262" s="25"/>
      <c r="M1262" s="42" t="s">
        <v>253</v>
      </c>
      <c r="N1262" s="41">
        <v>45273</v>
      </c>
      <c r="O1262" s="25">
        <v>83</v>
      </c>
      <c r="P1262" s="25">
        <v>0</v>
      </c>
      <c r="Q1262" s="25"/>
      <c r="R1262" s="25"/>
      <c r="S1262" s="25"/>
      <c r="T1262" s="10"/>
    </row>
    <row r="1263" s="35" customFormat="1" ht="18.5" customHeight="1" spans="1:20">
      <c r="A1263" s="16" t="s">
        <v>251</v>
      </c>
      <c r="B1263" s="41">
        <v>45278</v>
      </c>
      <c r="C1263" s="25">
        <v>2</v>
      </c>
      <c r="D1263" s="25"/>
      <c r="E1263" s="25"/>
      <c r="F1263" s="25"/>
      <c r="G1263" s="25"/>
      <c r="H1263" s="25"/>
      <c r="I1263" s="25"/>
      <c r="J1263" s="25"/>
      <c r="K1263" s="25"/>
      <c r="L1263" s="25"/>
      <c r="M1263" s="42" t="s">
        <v>253</v>
      </c>
      <c r="N1263" s="41">
        <v>45267</v>
      </c>
      <c r="O1263" s="25">
        <v>83</v>
      </c>
      <c r="P1263" s="25">
        <v>0</v>
      </c>
      <c r="Q1263" s="25"/>
      <c r="R1263" s="25"/>
      <c r="S1263" s="25"/>
      <c r="T1263" s="10"/>
    </row>
    <row r="1264" s="35" customFormat="1" ht="18.5" customHeight="1" spans="1:20">
      <c r="A1264" s="16" t="s">
        <v>251</v>
      </c>
      <c r="B1264" s="41">
        <v>45284</v>
      </c>
      <c r="C1264" s="25">
        <v>2</v>
      </c>
      <c r="D1264" s="25"/>
      <c r="E1264" s="25"/>
      <c r="F1264" s="25"/>
      <c r="G1264" s="25"/>
      <c r="H1264" s="25"/>
      <c r="I1264" s="25"/>
      <c r="J1264" s="25"/>
      <c r="K1264" s="25"/>
      <c r="L1264" s="25"/>
      <c r="M1264" s="42" t="s">
        <v>253</v>
      </c>
      <c r="N1264" s="41">
        <v>45239</v>
      </c>
      <c r="O1264" s="25">
        <v>83</v>
      </c>
      <c r="P1264" s="25">
        <v>0</v>
      </c>
      <c r="Q1264" s="25"/>
      <c r="R1264" s="25"/>
      <c r="S1264" s="25"/>
      <c r="T1264" s="10"/>
    </row>
    <row r="1265" s="35" customFormat="1" ht="18.5" customHeight="1" spans="1:20">
      <c r="A1265" s="16" t="s">
        <v>251</v>
      </c>
      <c r="B1265" s="41">
        <v>44459</v>
      </c>
      <c r="C1265" s="25">
        <v>6</v>
      </c>
      <c r="D1265" s="25"/>
      <c r="E1265" s="25"/>
      <c r="F1265" s="25"/>
      <c r="G1265" s="25"/>
      <c r="H1265" s="25"/>
      <c r="I1265" s="25"/>
      <c r="J1265" s="25"/>
      <c r="K1265" s="25"/>
      <c r="L1265" s="25"/>
      <c r="M1265" s="42" t="s">
        <v>253</v>
      </c>
      <c r="N1265" s="41">
        <v>45290</v>
      </c>
      <c r="O1265" s="25">
        <v>82</v>
      </c>
      <c r="P1265" s="25">
        <v>0</v>
      </c>
      <c r="Q1265" s="25"/>
      <c r="R1265" s="25"/>
      <c r="S1265" s="25"/>
      <c r="T1265" s="10"/>
    </row>
    <row r="1266" s="35" customFormat="1" ht="18.5" customHeight="1" spans="1:20">
      <c r="A1266" s="16" t="s">
        <v>251</v>
      </c>
      <c r="B1266" s="41">
        <v>44471</v>
      </c>
      <c r="C1266" s="25">
        <v>0</v>
      </c>
      <c r="D1266" s="25"/>
      <c r="E1266" s="25"/>
      <c r="F1266" s="25"/>
      <c r="G1266" s="25"/>
      <c r="H1266" s="25"/>
      <c r="I1266" s="25"/>
      <c r="J1266" s="25"/>
      <c r="K1266" s="25"/>
      <c r="L1266" s="25"/>
      <c r="M1266" s="42" t="s">
        <v>253</v>
      </c>
      <c r="N1266" s="41">
        <v>45279</v>
      </c>
      <c r="O1266" s="25">
        <v>82</v>
      </c>
      <c r="P1266" s="25">
        <v>0</v>
      </c>
      <c r="Q1266" s="25"/>
      <c r="R1266" s="25"/>
      <c r="S1266" s="25"/>
      <c r="T1266" s="10"/>
    </row>
    <row r="1267" s="35" customFormat="1" ht="18.5" customHeight="1" spans="1:20">
      <c r="A1267" s="16" t="s">
        <v>251</v>
      </c>
      <c r="B1267" s="41">
        <v>44328</v>
      </c>
      <c r="C1267" s="25">
        <v>0</v>
      </c>
      <c r="D1267" s="25"/>
      <c r="E1267" s="25"/>
      <c r="F1267" s="25"/>
      <c r="G1267" s="25"/>
      <c r="H1267" s="25"/>
      <c r="I1267" s="25"/>
      <c r="J1267" s="25"/>
      <c r="K1267" s="25"/>
      <c r="L1267" s="25"/>
      <c r="M1267" s="42" t="s">
        <v>253</v>
      </c>
      <c r="N1267" s="41">
        <v>45267</v>
      </c>
      <c r="O1267" s="25">
        <v>82</v>
      </c>
      <c r="P1267" s="25">
        <v>0</v>
      </c>
      <c r="Q1267" s="25"/>
      <c r="R1267" s="25"/>
      <c r="S1267" s="25"/>
      <c r="T1267" s="10"/>
    </row>
    <row r="1268" s="35" customFormat="1" ht="18.5" customHeight="1" spans="1:20">
      <c r="A1268" s="16" t="s">
        <v>251</v>
      </c>
      <c r="B1268" s="41">
        <v>44477</v>
      </c>
      <c r="C1268" s="25">
        <v>2</v>
      </c>
      <c r="D1268" s="25"/>
      <c r="E1268" s="25"/>
      <c r="F1268" s="25"/>
      <c r="G1268" s="25"/>
      <c r="H1268" s="25"/>
      <c r="I1268" s="25"/>
      <c r="J1268" s="25"/>
      <c r="K1268" s="25"/>
      <c r="L1268" s="25"/>
      <c r="M1268" s="42" t="s">
        <v>253</v>
      </c>
      <c r="N1268" s="41">
        <v>45265</v>
      </c>
      <c r="O1268" s="25">
        <v>82</v>
      </c>
      <c r="P1268" s="25">
        <v>0</v>
      </c>
      <c r="Q1268" s="25"/>
      <c r="R1268" s="25"/>
      <c r="S1268" s="25"/>
      <c r="T1268" s="10"/>
    </row>
    <row r="1269" s="35" customFormat="1" ht="18.5" customHeight="1" spans="1:20">
      <c r="A1269" s="16" t="s">
        <v>251</v>
      </c>
      <c r="B1269" s="41">
        <v>44470</v>
      </c>
      <c r="C1269" s="25">
        <v>0</v>
      </c>
      <c r="D1269" s="25"/>
      <c r="E1269" s="25"/>
      <c r="F1269" s="25"/>
      <c r="G1269" s="25"/>
      <c r="H1269" s="25"/>
      <c r="I1269" s="25"/>
      <c r="J1269" s="25"/>
      <c r="K1269" s="25"/>
      <c r="L1269" s="25"/>
      <c r="M1269" s="42" t="s">
        <v>253</v>
      </c>
      <c r="N1269" s="41">
        <v>45272</v>
      </c>
      <c r="O1269" s="25">
        <v>80</v>
      </c>
      <c r="P1269" s="25">
        <v>0</v>
      </c>
      <c r="Q1269" s="25"/>
      <c r="R1269" s="25"/>
      <c r="S1269" s="25"/>
      <c r="T1269" s="10"/>
    </row>
    <row r="1270" s="35" customFormat="1" ht="18.5" customHeight="1" spans="1:20">
      <c r="A1270" s="16" t="s">
        <v>251</v>
      </c>
      <c r="B1270" s="41">
        <v>44664</v>
      </c>
      <c r="C1270" s="25">
        <v>3</v>
      </c>
      <c r="D1270" s="25"/>
      <c r="E1270" s="25"/>
      <c r="F1270" s="25"/>
      <c r="G1270" s="25"/>
      <c r="H1270" s="25"/>
      <c r="I1270" s="25"/>
      <c r="J1270" s="25"/>
      <c r="K1270" s="25"/>
      <c r="L1270" s="25"/>
      <c r="M1270" s="42" t="s">
        <v>253</v>
      </c>
      <c r="N1270" s="41">
        <v>45247</v>
      </c>
      <c r="O1270" s="25">
        <v>80</v>
      </c>
      <c r="P1270" s="25">
        <v>0</v>
      </c>
      <c r="Q1270" s="25"/>
      <c r="R1270" s="25"/>
      <c r="S1270" s="25"/>
      <c r="T1270" s="10"/>
    </row>
    <row r="1271" s="35" customFormat="1" ht="18.5" customHeight="1" spans="1:20">
      <c r="A1271" s="16" t="s">
        <v>251</v>
      </c>
      <c r="B1271" s="41">
        <v>44451</v>
      </c>
      <c r="C1271" s="25">
        <v>0</v>
      </c>
      <c r="D1271" s="25"/>
      <c r="E1271" s="25"/>
      <c r="F1271" s="25"/>
      <c r="G1271" s="25"/>
      <c r="H1271" s="25"/>
      <c r="I1271" s="25"/>
      <c r="J1271" s="25"/>
      <c r="K1271" s="25"/>
      <c r="L1271" s="25"/>
      <c r="M1271" s="42" t="s">
        <v>253</v>
      </c>
      <c r="N1271" s="41">
        <v>45267</v>
      </c>
      <c r="O1271" s="25">
        <v>79</v>
      </c>
      <c r="P1271" s="25">
        <v>0</v>
      </c>
      <c r="Q1271" s="25"/>
      <c r="R1271" s="25"/>
      <c r="S1271" s="25"/>
      <c r="T1271" s="10"/>
    </row>
    <row r="1272" s="35" customFormat="1" ht="18.5" customHeight="1" spans="1:20">
      <c r="A1272" s="16" t="s">
        <v>251</v>
      </c>
      <c r="B1272" s="41">
        <v>45294</v>
      </c>
      <c r="C1272" s="25">
        <v>5</v>
      </c>
      <c r="D1272" s="25"/>
      <c r="E1272" s="25"/>
      <c r="F1272" s="25"/>
      <c r="G1272" s="25"/>
      <c r="H1272" s="25"/>
      <c r="I1272" s="25"/>
      <c r="J1272" s="25"/>
      <c r="K1272" s="25"/>
      <c r="L1272" s="25"/>
      <c r="M1272" s="42" t="s">
        <v>253</v>
      </c>
      <c r="N1272" s="41">
        <v>45240</v>
      </c>
      <c r="O1272" s="25">
        <v>78</v>
      </c>
      <c r="P1272" s="25">
        <v>0</v>
      </c>
      <c r="Q1272" s="25"/>
      <c r="R1272" s="25"/>
      <c r="S1272" s="25"/>
      <c r="T1272" s="10"/>
    </row>
    <row r="1273" s="35" customFormat="1" ht="18.5" customHeight="1" spans="1:20">
      <c r="A1273" s="16" t="s">
        <v>251</v>
      </c>
      <c r="B1273" s="41">
        <v>44431</v>
      </c>
      <c r="C1273" s="25">
        <v>0</v>
      </c>
      <c r="D1273" s="25"/>
      <c r="E1273" s="25"/>
      <c r="F1273" s="25"/>
      <c r="G1273" s="25"/>
      <c r="H1273" s="25"/>
      <c r="I1273" s="25"/>
      <c r="J1273" s="25"/>
      <c r="K1273" s="25"/>
      <c r="L1273" s="25"/>
      <c r="M1273" s="42" t="s">
        <v>253</v>
      </c>
      <c r="N1273" s="41">
        <v>45267</v>
      </c>
      <c r="O1273" s="25">
        <v>77</v>
      </c>
      <c r="P1273" s="25">
        <v>0</v>
      </c>
      <c r="Q1273" s="25"/>
      <c r="R1273" s="25"/>
      <c r="S1273" s="25"/>
      <c r="T1273" s="10"/>
    </row>
    <row r="1274" s="35" customFormat="1" ht="18.5" customHeight="1" spans="1:20">
      <c r="A1274" s="16" t="s">
        <v>251</v>
      </c>
      <c r="B1274" s="41">
        <v>45277</v>
      </c>
      <c r="C1274" s="25">
        <v>3</v>
      </c>
      <c r="D1274" s="25"/>
      <c r="E1274" s="25"/>
      <c r="F1274" s="25"/>
      <c r="G1274" s="25"/>
      <c r="H1274" s="25"/>
      <c r="I1274" s="25"/>
      <c r="J1274" s="25"/>
      <c r="K1274" s="25"/>
      <c r="L1274" s="25"/>
      <c r="M1274" s="42" t="s">
        <v>253</v>
      </c>
      <c r="N1274" s="41">
        <v>45237</v>
      </c>
      <c r="O1274" s="25">
        <v>77</v>
      </c>
      <c r="P1274" s="25">
        <v>0</v>
      </c>
      <c r="Q1274" s="25"/>
      <c r="R1274" s="25"/>
      <c r="S1274" s="25"/>
      <c r="T1274" s="10"/>
    </row>
    <row r="1275" s="35" customFormat="1" ht="18.5" customHeight="1" spans="1:20">
      <c r="A1275" s="16" t="s">
        <v>251</v>
      </c>
      <c r="B1275" s="41">
        <v>44493</v>
      </c>
      <c r="C1275" s="25">
        <v>4</v>
      </c>
      <c r="D1275" s="25"/>
      <c r="E1275" s="25"/>
      <c r="F1275" s="25"/>
      <c r="G1275" s="25"/>
      <c r="H1275" s="25"/>
      <c r="I1275" s="25"/>
      <c r="J1275" s="25"/>
      <c r="K1275" s="25"/>
      <c r="L1275" s="25"/>
      <c r="M1275" s="42" t="s">
        <v>253</v>
      </c>
      <c r="N1275" s="41">
        <v>45274</v>
      </c>
      <c r="O1275" s="25">
        <v>76</v>
      </c>
      <c r="P1275" s="25">
        <v>0</v>
      </c>
      <c r="Q1275" s="25"/>
      <c r="R1275" s="25"/>
      <c r="S1275" s="25"/>
      <c r="T1275" s="10"/>
    </row>
    <row r="1276" s="35" customFormat="1" ht="18.5" customHeight="1" spans="1:20">
      <c r="A1276" s="16" t="s">
        <v>251</v>
      </c>
      <c r="B1276" s="41">
        <v>44477</v>
      </c>
      <c r="C1276" s="25">
        <v>2</v>
      </c>
      <c r="D1276" s="25"/>
      <c r="E1276" s="25"/>
      <c r="F1276" s="25"/>
      <c r="G1276" s="25"/>
      <c r="H1276" s="25"/>
      <c r="I1276" s="25"/>
      <c r="J1276" s="25"/>
      <c r="K1276" s="25"/>
      <c r="L1276" s="25"/>
      <c r="M1276" s="42" t="s">
        <v>253</v>
      </c>
      <c r="N1276" s="41">
        <v>45247</v>
      </c>
      <c r="O1276" s="25">
        <v>76</v>
      </c>
      <c r="P1276" s="25">
        <v>0</v>
      </c>
      <c r="Q1276" s="25"/>
      <c r="R1276" s="25"/>
      <c r="S1276" s="25"/>
      <c r="T1276" s="10"/>
    </row>
    <row r="1277" s="35" customFormat="1" ht="18.5" customHeight="1" spans="1:20">
      <c r="A1277" s="16" t="s">
        <v>251</v>
      </c>
      <c r="B1277" s="41">
        <v>45277</v>
      </c>
      <c r="C1277" s="25">
        <v>3</v>
      </c>
      <c r="D1277" s="25"/>
      <c r="E1277" s="25"/>
      <c r="F1277" s="25"/>
      <c r="G1277" s="25"/>
      <c r="H1277" s="25"/>
      <c r="I1277" s="25"/>
      <c r="J1277" s="25"/>
      <c r="K1277" s="25"/>
      <c r="L1277" s="25"/>
      <c r="M1277" s="42" t="s">
        <v>253</v>
      </c>
      <c r="N1277" s="41">
        <v>45241</v>
      </c>
      <c r="O1277" s="25">
        <v>76</v>
      </c>
      <c r="P1277" s="25">
        <v>0</v>
      </c>
      <c r="Q1277" s="25"/>
      <c r="R1277" s="25"/>
      <c r="S1277" s="25"/>
      <c r="T1277" s="10"/>
    </row>
    <row r="1278" s="35" customFormat="1" ht="18.5" customHeight="1" spans="1:20">
      <c r="A1278" s="16" t="s">
        <v>251</v>
      </c>
      <c r="B1278" s="41">
        <v>45294</v>
      </c>
      <c r="C1278" s="25">
        <v>4</v>
      </c>
      <c r="D1278" s="25"/>
      <c r="E1278" s="25"/>
      <c r="F1278" s="25"/>
      <c r="G1278" s="25"/>
      <c r="H1278" s="25"/>
      <c r="I1278" s="25"/>
      <c r="J1278" s="25"/>
      <c r="K1278" s="25"/>
      <c r="L1278" s="25"/>
      <c r="M1278" s="42" t="s">
        <v>253</v>
      </c>
      <c r="N1278" s="41">
        <v>45279</v>
      </c>
      <c r="O1278" s="25">
        <v>75</v>
      </c>
      <c r="P1278" s="25">
        <v>0</v>
      </c>
      <c r="Q1278" s="25"/>
      <c r="R1278" s="25"/>
      <c r="S1278" s="25"/>
      <c r="T1278" s="10"/>
    </row>
    <row r="1279" s="35" customFormat="1" ht="18.5" customHeight="1" spans="1:20">
      <c r="A1279" s="16" t="s">
        <v>251</v>
      </c>
      <c r="B1279" s="41">
        <v>44409</v>
      </c>
      <c r="C1279" s="25">
        <v>4</v>
      </c>
      <c r="D1279" s="25"/>
      <c r="E1279" s="25"/>
      <c r="F1279" s="25"/>
      <c r="G1279" s="25"/>
      <c r="H1279" s="25"/>
      <c r="I1279" s="25"/>
      <c r="J1279" s="25"/>
      <c r="K1279" s="25"/>
      <c r="L1279" s="25"/>
      <c r="M1279" s="42" t="s">
        <v>253</v>
      </c>
      <c r="N1279" s="41">
        <v>45271</v>
      </c>
      <c r="O1279" s="25">
        <v>75</v>
      </c>
      <c r="P1279" s="25">
        <v>0</v>
      </c>
      <c r="Q1279" s="25"/>
      <c r="R1279" s="25"/>
      <c r="S1279" s="25"/>
      <c r="T1279" s="10"/>
    </row>
    <row r="1280" s="35" customFormat="1" ht="18.5" customHeight="1" spans="1:20">
      <c r="A1280" s="16" t="s">
        <v>251</v>
      </c>
      <c r="B1280" s="41">
        <v>45294</v>
      </c>
      <c r="C1280" s="25">
        <v>3</v>
      </c>
      <c r="D1280" s="25"/>
      <c r="E1280" s="25"/>
      <c r="F1280" s="25"/>
      <c r="G1280" s="25"/>
      <c r="H1280" s="25"/>
      <c r="I1280" s="25"/>
      <c r="J1280" s="25"/>
      <c r="K1280" s="25"/>
      <c r="L1280" s="25"/>
      <c r="M1280" s="42" t="s">
        <v>253</v>
      </c>
      <c r="N1280" s="41">
        <v>45241</v>
      </c>
      <c r="O1280" s="25">
        <v>75</v>
      </c>
      <c r="P1280" s="25">
        <v>0</v>
      </c>
      <c r="Q1280" s="25"/>
      <c r="R1280" s="25"/>
      <c r="S1280" s="25"/>
      <c r="T1280" s="10"/>
    </row>
    <row r="1281" s="35" customFormat="1" ht="18.5" customHeight="1" spans="1:20">
      <c r="A1281" s="16" t="s">
        <v>251</v>
      </c>
      <c r="B1281" s="41">
        <v>44348</v>
      </c>
      <c r="C1281" s="25">
        <v>3</v>
      </c>
      <c r="D1281" s="25"/>
      <c r="E1281" s="25"/>
      <c r="F1281" s="25"/>
      <c r="G1281" s="25"/>
      <c r="H1281" s="25"/>
      <c r="I1281" s="25"/>
      <c r="J1281" s="25"/>
      <c r="K1281" s="25"/>
      <c r="L1281" s="25"/>
      <c r="M1281" s="42" t="s">
        <v>253</v>
      </c>
      <c r="N1281" s="41">
        <v>45274</v>
      </c>
      <c r="O1281" s="25">
        <v>73</v>
      </c>
      <c r="P1281" s="25">
        <v>0</v>
      </c>
      <c r="Q1281" s="25"/>
      <c r="R1281" s="25"/>
      <c r="S1281" s="25"/>
      <c r="T1281" s="10"/>
    </row>
    <row r="1282" s="35" customFormat="1" ht="18.5" customHeight="1" spans="1:20">
      <c r="A1282" s="16" t="s">
        <v>251</v>
      </c>
      <c r="B1282" s="41">
        <v>44359</v>
      </c>
      <c r="C1282" s="25">
        <v>2</v>
      </c>
      <c r="D1282" s="25"/>
      <c r="E1282" s="25"/>
      <c r="F1282" s="25"/>
      <c r="G1282" s="25"/>
      <c r="H1282" s="25"/>
      <c r="I1282" s="25"/>
      <c r="J1282" s="25"/>
      <c r="K1282" s="25"/>
      <c r="L1282" s="25"/>
      <c r="M1282" s="42" t="s">
        <v>253</v>
      </c>
      <c r="N1282" s="41">
        <v>45254</v>
      </c>
      <c r="O1282" s="25">
        <v>73</v>
      </c>
      <c r="P1282" s="25">
        <v>0</v>
      </c>
      <c r="Q1282" s="25"/>
      <c r="R1282" s="25"/>
      <c r="S1282" s="25"/>
      <c r="T1282" s="10"/>
    </row>
    <row r="1283" s="35" customFormat="1" ht="18.5" customHeight="1" spans="1:20">
      <c r="A1283" s="16" t="s">
        <v>251</v>
      </c>
      <c r="B1283" s="41">
        <v>45260</v>
      </c>
      <c r="C1283" s="25">
        <v>1</v>
      </c>
      <c r="D1283" s="25"/>
      <c r="E1283" s="25"/>
      <c r="F1283" s="25"/>
      <c r="G1283" s="25"/>
      <c r="H1283" s="25"/>
      <c r="I1283" s="25"/>
      <c r="J1283" s="25"/>
      <c r="K1283" s="25"/>
      <c r="L1283" s="25"/>
      <c r="M1283" s="42" t="s">
        <v>253</v>
      </c>
      <c r="N1283" s="41">
        <v>45263</v>
      </c>
      <c r="O1283" s="25">
        <v>70</v>
      </c>
      <c r="P1283" s="25">
        <v>0</v>
      </c>
      <c r="Q1283" s="25"/>
      <c r="R1283" s="25"/>
      <c r="S1283" s="25"/>
      <c r="T1283" s="10"/>
    </row>
    <row r="1284" s="35" customFormat="1" ht="18.5" customHeight="1" spans="1:20">
      <c r="A1284" s="16" t="s">
        <v>251</v>
      </c>
      <c r="B1284" s="41">
        <v>45281</v>
      </c>
      <c r="C1284" s="25">
        <v>2</v>
      </c>
      <c r="D1284" s="25"/>
      <c r="E1284" s="25"/>
      <c r="F1284" s="25"/>
      <c r="G1284" s="25"/>
      <c r="H1284" s="25"/>
      <c r="I1284" s="25"/>
      <c r="J1284" s="25"/>
      <c r="K1284" s="25"/>
      <c r="L1284" s="25"/>
      <c r="M1284" s="42" t="s">
        <v>253</v>
      </c>
      <c r="N1284" s="41">
        <v>45243</v>
      </c>
      <c r="O1284" s="25">
        <v>70</v>
      </c>
      <c r="P1284" s="25">
        <v>0</v>
      </c>
      <c r="Q1284" s="25"/>
      <c r="R1284" s="25"/>
      <c r="S1284" s="25"/>
      <c r="T1284" s="10"/>
    </row>
    <row r="1285" s="35" customFormat="1" ht="18.5" customHeight="1" spans="1:20">
      <c r="A1285" s="16" t="s">
        <v>251</v>
      </c>
      <c r="B1285" s="41">
        <v>44466</v>
      </c>
      <c r="C1285" s="25">
        <v>2</v>
      </c>
      <c r="D1285" s="25"/>
      <c r="E1285" s="25"/>
      <c r="F1285" s="25"/>
      <c r="G1285" s="25"/>
      <c r="H1285" s="25"/>
      <c r="I1285" s="25"/>
      <c r="J1285" s="25"/>
      <c r="K1285" s="25"/>
      <c r="L1285" s="25"/>
      <c r="M1285" s="42" t="s">
        <v>253</v>
      </c>
      <c r="N1285" s="41">
        <v>45239</v>
      </c>
      <c r="O1285" s="25">
        <v>70</v>
      </c>
      <c r="P1285" s="25">
        <v>0</v>
      </c>
      <c r="Q1285" s="25"/>
      <c r="R1285" s="25"/>
      <c r="S1285" s="25"/>
      <c r="T1285" s="10"/>
    </row>
    <row r="1286" s="35" customFormat="1" ht="18.5" customHeight="1" spans="1:20">
      <c r="A1286" s="16" t="s">
        <v>251</v>
      </c>
      <c r="B1286" s="41">
        <v>44363</v>
      </c>
      <c r="C1286" s="25">
        <v>2</v>
      </c>
      <c r="D1286" s="25"/>
      <c r="E1286" s="25"/>
      <c r="F1286" s="25"/>
      <c r="G1286" s="25"/>
      <c r="H1286" s="25"/>
      <c r="I1286" s="25"/>
      <c r="J1286" s="25"/>
      <c r="K1286" s="25"/>
      <c r="L1286" s="25"/>
      <c r="M1286" s="42" t="s">
        <v>253</v>
      </c>
      <c r="N1286" s="41">
        <v>45290</v>
      </c>
      <c r="O1286" s="25">
        <v>69</v>
      </c>
      <c r="P1286" s="25">
        <v>0</v>
      </c>
      <c r="Q1286" s="25"/>
      <c r="R1286" s="25"/>
      <c r="S1286" s="25"/>
      <c r="T1286" s="10"/>
    </row>
    <row r="1287" s="35" customFormat="1" ht="18.5" customHeight="1" spans="1:20">
      <c r="A1287" s="16" t="s">
        <v>251</v>
      </c>
      <c r="B1287" s="41">
        <v>45279</v>
      </c>
      <c r="C1287" s="25">
        <v>2</v>
      </c>
      <c r="D1287" s="25"/>
      <c r="E1287" s="25"/>
      <c r="F1287" s="25"/>
      <c r="G1287" s="25"/>
      <c r="H1287" s="25"/>
      <c r="I1287" s="25"/>
      <c r="J1287" s="25"/>
      <c r="K1287" s="25"/>
      <c r="L1287" s="25"/>
      <c r="M1287" s="42" t="s">
        <v>253</v>
      </c>
      <c r="N1287" s="41">
        <v>45290</v>
      </c>
      <c r="O1287" s="25">
        <v>69</v>
      </c>
      <c r="P1287" s="25">
        <v>0</v>
      </c>
      <c r="Q1287" s="25"/>
      <c r="R1287" s="25"/>
      <c r="S1287" s="25"/>
      <c r="T1287" s="10"/>
    </row>
    <row r="1288" s="35" customFormat="1" ht="18.5" customHeight="1" spans="1:20">
      <c r="A1288" s="16" t="s">
        <v>251</v>
      </c>
      <c r="B1288" s="41">
        <v>44473</v>
      </c>
      <c r="C1288" s="25">
        <v>1</v>
      </c>
      <c r="D1288" s="25"/>
      <c r="E1288" s="25"/>
      <c r="F1288" s="25"/>
      <c r="G1288" s="25"/>
      <c r="H1288" s="25"/>
      <c r="I1288" s="25"/>
      <c r="J1288" s="25"/>
      <c r="K1288" s="25"/>
      <c r="L1288" s="25"/>
      <c r="M1288" s="42" t="s">
        <v>253</v>
      </c>
      <c r="N1288" s="41">
        <v>45264</v>
      </c>
      <c r="O1288" s="25">
        <v>69</v>
      </c>
      <c r="P1288" s="25">
        <v>0</v>
      </c>
      <c r="Q1288" s="25"/>
      <c r="R1288" s="25"/>
      <c r="S1288" s="25"/>
      <c r="T1288" s="10"/>
    </row>
    <row r="1289" s="35" customFormat="1" ht="18.5" customHeight="1" spans="1:20">
      <c r="A1289" s="16" t="s">
        <v>251</v>
      </c>
      <c r="B1289" s="41">
        <v>44403</v>
      </c>
      <c r="C1289" s="25">
        <v>2</v>
      </c>
      <c r="D1289" s="25"/>
      <c r="E1289" s="25"/>
      <c r="F1289" s="25"/>
      <c r="G1289" s="25"/>
      <c r="H1289" s="25"/>
      <c r="I1289" s="25"/>
      <c r="J1289" s="25"/>
      <c r="K1289" s="25"/>
      <c r="L1289" s="25"/>
      <c r="M1289" s="42" t="s">
        <v>253</v>
      </c>
      <c r="N1289" s="41">
        <v>45268</v>
      </c>
      <c r="O1289" s="25">
        <v>68</v>
      </c>
      <c r="P1289" s="25">
        <v>0</v>
      </c>
      <c r="Q1289" s="25"/>
      <c r="R1289" s="25"/>
      <c r="S1289" s="25"/>
      <c r="T1289" s="10"/>
    </row>
    <row r="1290" s="35" customFormat="1" ht="18.5" customHeight="1" spans="1:20">
      <c r="A1290" s="16" t="s">
        <v>251</v>
      </c>
      <c r="B1290" s="41">
        <v>45284</v>
      </c>
      <c r="C1290" s="25">
        <v>1</v>
      </c>
      <c r="D1290" s="25"/>
      <c r="E1290" s="25"/>
      <c r="F1290" s="25"/>
      <c r="G1290" s="25"/>
      <c r="H1290" s="25"/>
      <c r="I1290" s="25"/>
      <c r="J1290" s="25"/>
      <c r="K1290" s="25"/>
      <c r="L1290" s="25"/>
      <c r="M1290" s="42" t="s">
        <v>253</v>
      </c>
      <c r="N1290" s="41">
        <v>45241</v>
      </c>
      <c r="O1290" s="25">
        <v>68</v>
      </c>
      <c r="P1290" s="25">
        <v>0</v>
      </c>
      <c r="Q1290" s="25"/>
      <c r="R1290" s="25"/>
      <c r="S1290" s="25"/>
      <c r="T1290" s="10"/>
    </row>
    <row r="1291" s="35" customFormat="1" ht="18.5" customHeight="1" spans="1:20">
      <c r="A1291" s="16" t="s">
        <v>251</v>
      </c>
      <c r="B1291" s="41">
        <v>44400</v>
      </c>
      <c r="C1291" s="25">
        <v>1</v>
      </c>
      <c r="D1291" s="25"/>
      <c r="E1291" s="25"/>
      <c r="F1291" s="25"/>
      <c r="G1291" s="25"/>
      <c r="H1291" s="25"/>
      <c r="I1291" s="25"/>
      <c r="J1291" s="25"/>
      <c r="K1291" s="25"/>
      <c r="L1291" s="25"/>
      <c r="M1291" s="42" t="s">
        <v>253</v>
      </c>
      <c r="N1291" s="41">
        <v>45288</v>
      </c>
      <c r="O1291" s="25">
        <v>66</v>
      </c>
      <c r="P1291" s="25">
        <v>0</v>
      </c>
      <c r="Q1291" s="25"/>
      <c r="R1291" s="25"/>
      <c r="S1291" s="25"/>
      <c r="T1291" s="10"/>
    </row>
    <row r="1292" s="35" customFormat="1" ht="18.5" customHeight="1" spans="1:20">
      <c r="A1292" s="16" t="s">
        <v>251</v>
      </c>
      <c r="B1292" s="41">
        <v>44451</v>
      </c>
      <c r="C1292" s="25">
        <v>5</v>
      </c>
      <c r="D1292" s="25"/>
      <c r="E1292" s="25"/>
      <c r="F1292" s="25"/>
      <c r="G1292" s="25"/>
      <c r="H1292" s="25"/>
      <c r="I1292" s="25"/>
      <c r="J1292" s="25"/>
      <c r="K1292" s="25"/>
      <c r="L1292" s="25"/>
      <c r="M1292" s="42" t="s">
        <v>253</v>
      </c>
      <c r="N1292" s="41">
        <v>45285</v>
      </c>
      <c r="O1292" s="25">
        <v>65</v>
      </c>
      <c r="P1292" s="25">
        <v>0</v>
      </c>
      <c r="Q1292" s="25"/>
      <c r="R1292" s="25"/>
      <c r="S1292" s="25"/>
      <c r="T1292" s="10"/>
    </row>
    <row r="1293" s="35" customFormat="1" ht="18.5" customHeight="1" spans="1:20">
      <c r="A1293" s="16" t="s">
        <v>251</v>
      </c>
      <c r="B1293" s="41">
        <v>45277</v>
      </c>
      <c r="C1293" s="25">
        <v>2</v>
      </c>
      <c r="D1293" s="25"/>
      <c r="E1293" s="25"/>
      <c r="F1293" s="25"/>
      <c r="G1293" s="25"/>
      <c r="H1293" s="25"/>
      <c r="I1293" s="25"/>
      <c r="J1293" s="25"/>
      <c r="K1293" s="25"/>
      <c r="L1293" s="25"/>
      <c r="M1293" s="42" t="s">
        <v>253</v>
      </c>
      <c r="N1293" s="41">
        <v>45279</v>
      </c>
      <c r="O1293" s="25">
        <v>64</v>
      </c>
      <c r="P1293" s="25">
        <v>0</v>
      </c>
      <c r="Q1293" s="25"/>
      <c r="R1293" s="25"/>
      <c r="S1293" s="25"/>
      <c r="T1293" s="10"/>
    </row>
    <row r="1294" s="35" customFormat="1" ht="18.5" customHeight="1" spans="1:20">
      <c r="A1294" s="16" t="s">
        <v>251</v>
      </c>
      <c r="B1294" s="41">
        <v>45277</v>
      </c>
      <c r="C1294" s="25">
        <v>5</v>
      </c>
      <c r="D1294" s="25"/>
      <c r="E1294" s="25"/>
      <c r="F1294" s="25"/>
      <c r="G1294" s="25"/>
      <c r="H1294" s="25"/>
      <c r="I1294" s="25"/>
      <c r="J1294" s="25"/>
      <c r="K1294" s="25"/>
      <c r="L1294" s="25"/>
      <c r="M1294" s="42" t="s">
        <v>253</v>
      </c>
      <c r="N1294" s="41">
        <v>45289</v>
      </c>
      <c r="O1294" s="25">
        <v>61</v>
      </c>
      <c r="P1294" s="25">
        <v>0</v>
      </c>
      <c r="Q1294" s="25"/>
      <c r="R1294" s="25"/>
      <c r="S1294" s="25"/>
      <c r="T1294" s="10"/>
    </row>
    <row r="1295" s="35" customFormat="1" ht="18.5" customHeight="1" spans="1:20">
      <c r="A1295" s="16" t="s">
        <v>251</v>
      </c>
      <c r="B1295" s="41">
        <v>44354</v>
      </c>
      <c r="C1295" s="25">
        <v>1</v>
      </c>
      <c r="D1295" s="25"/>
      <c r="E1295" s="25"/>
      <c r="F1295" s="25"/>
      <c r="G1295" s="25"/>
      <c r="H1295" s="25"/>
      <c r="I1295" s="25"/>
      <c r="J1295" s="25"/>
      <c r="K1295" s="25"/>
      <c r="L1295" s="25"/>
      <c r="M1295" s="42" t="s">
        <v>253</v>
      </c>
      <c r="N1295" s="41">
        <v>45267</v>
      </c>
      <c r="O1295" s="25">
        <v>60</v>
      </c>
      <c r="P1295" s="25">
        <v>0</v>
      </c>
      <c r="Q1295" s="25"/>
      <c r="R1295" s="25"/>
      <c r="S1295" s="25"/>
      <c r="T1295" s="10"/>
    </row>
    <row r="1296" s="35" customFormat="1" ht="18.5" customHeight="1" spans="1:20">
      <c r="A1296" s="16" t="s">
        <v>251</v>
      </c>
      <c r="B1296" s="41">
        <v>45294</v>
      </c>
      <c r="C1296" s="25">
        <v>2</v>
      </c>
      <c r="D1296" s="25"/>
      <c r="E1296" s="25"/>
      <c r="F1296" s="25"/>
      <c r="G1296" s="25"/>
      <c r="H1296" s="25"/>
      <c r="I1296" s="25"/>
      <c r="J1296" s="25"/>
      <c r="K1296" s="25"/>
      <c r="L1296" s="25"/>
      <c r="M1296" s="42" t="s">
        <v>253</v>
      </c>
      <c r="N1296" s="41">
        <v>45276</v>
      </c>
      <c r="O1296" s="25">
        <v>58</v>
      </c>
      <c r="P1296" s="25">
        <v>0</v>
      </c>
      <c r="Q1296" s="25"/>
      <c r="R1296" s="25"/>
      <c r="S1296" s="25"/>
      <c r="T1296" s="10"/>
    </row>
    <row r="1297" s="35" customFormat="1" ht="18.5" customHeight="1" spans="1:20">
      <c r="A1297" s="16" t="s">
        <v>251</v>
      </c>
      <c r="B1297" s="41">
        <v>45277</v>
      </c>
      <c r="C1297" s="25">
        <v>1</v>
      </c>
      <c r="D1297" s="25"/>
      <c r="E1297" s="25"/>
      <c r="F1297" s="25"/>
      <c r="G1297" s="25"/>
      <c r="H1297" s="25"/>
      <c r="I1297" s="25"/>
      <c r="J1297" s="25"/>
      <c r="K1297" s="25"/>
      <c r="L1297" s="25"/>
      <c r="M1297" s="42" t="s">
        <v>253</v>
      </c>
      <c r="N1297" s="41">
        <v>45267</v>
      </c>
      <c r="O1297" s="25">
        <v>57</v>
      </c>
      <c r="P1297" s="25">
        <v>0</v>
      </c>
      <c r="Q1297" s="25"/>
      <c r="R1297" s="25"/>
      <c r="S1297" s="25"/>
      <c r="T1297" s="10"/>
    </row>
    <row r="1298" s="35" customFormat="1" ht="18.5" customHeight="1" spans="1:20">
      <c r="A1298" s="16" t="s">
        <v>251</v>
      </c>
      <c r="B1298" s="41">
        <v>44343</v>
      </c>
      <c r="C1298" s="25">
        <v>1</v>
      </c>
      <c r="D1298" s="25"/>
      <c r="E1298" s="25"/>
      <c r="F1298" s="25"/>
      <c r="G1298" s="25"/>
      <c r="H1298" s="25"/>
      <c r="I1298" s="25"/>
      <c r="J1298" s="25"/>
      <c r="K1298" s="25"/>
      <c r="L1298" s="25"/>
      <c r="M1298" s="42" t="s">
        <v>253</v>
      </c>
      <c r="N1298" s="41">
        <v>45268</v>
      </c>
      <c r="O1298" s="25">
        <v>55</v>
      </c>
      <c r="P1298" s="25">
        <v>0</v>
      </c>
      <c r="Q1298" s="25"/>
      <c r="R1298" s="25"/>
      <c r="S1298" s="25"/>
      <c r="T1298" s="10"/>
    </row>
    <row r="1299" s="35" customFormat="1" ht="18.5" customHeight="1" spans="1:20">
      <c r="A1299" s="16" t="s">
        <v>251</v>
      </c>
      <c r="B1299" s="41">
        <v>45277</v>
      </c>
      <c r="C1299" s="25">
        <v>3</v>
      </c>
      <c r="D1299" s="25"/>
      <c r="E1299" s="25"/>
      <c r="F1299" s="25"/>
      <c r="G1299" s="25"/>
      <c r="H1299" s="25"/>
      <c r="I1299" s="25"/>
      <c r="J1299" s="25"/>
      <c r="K1299" s="25"/>
      <c r="L1299" s="25"/>
      <c r="M1299" s="42" t="s">
        <v>253</v>
      </c>
      <c r="N1299" s="41">
        <v>45240</v>
      </c>
      <c r="O1299" s="25">
        <v>51</v>
      </c>
      <c r="P1299" s="25">
        <v>0</v>
      </c>
      <c r="Q1299" s="25"/>
      <c r="R1299" s="25"/>
      <c r="S1299" s="25"/>
      <c r="T1299" s="10"/>
    </row>
    <row r="1300" s="35" customFormat="1" ht="18.5" customHeight="1" spans="1:20">
      <c r="A1300" s="16" t="s">
        <v>251</v>
      </c>
      <c r="B1300" s="41">
        <v>44561</v>
      </c>
      <c r="C1300" s="25">
        <v>3</v>
      </c>
      <c r="D1300" s="25"/>
      <c r="E1300" s="25"/>
      <c r="F1300" s="25"/>
      <c r="G1300" s="25"/>
      <c r="H1300" s="25"/>
      <c r="I1300" s="25"/>
      <c r="J1300" s="25"/>
      <c r="K1300" s="25"/>
      <c r="L1300" s="25"/>
      <c r="M1300" s="42" t="s">
        <v>253</v>
      </c>
      <c r="N1300" s="41">
        <v>45252</v>
      </c>
      <c r="O1300" s="25">
        <v>31</v>
      </c>
      <c r="P1300" s="25">
        <v>0</v>
      </c>
      <c r="Q1300" s="25"/>
      <c r="R1300" s="25"/>
      <c r="S1300" s="25"/>
      <c r="T1300" s="10"/>
    </row>
    <row r="1301" s="35" customFormat="1" ht="18.5" customHeight="1" spans="1:20">
      <c r="A1301" s="16" t="s">
        <v>251</v>
      </c>
      <c r="B1301" s="41">
        <v>44519</v>
      </c>
      <c r="C1301" s="25">
        <v>1</v>
      </c>
      <c r="D1301" s="25"/>
      <c r="E1301" s="25"/>
      <c r="F1301" s="25"/>
      <c r="G1301" s="25"/>
      <c r="H1301" s="25"/>
      <c r="I1301" s="25"/>
      <c r="J1301" s="25"/>
      <c r="K1301" s="25"/>
      <c r="L1301" s="25"/>
      <c r="M1301" s="42" t="s">
        <v>253</v>
      </c>
      <c r="N1301" s="41">
        <v>45250</v>
      </c>
      <c r="O1301" s="25">
        <v>30</v>
      </c>
      <c r="P1301" s="25">
        <v>0</v>
      </c>
      <c r="Q1301" s="25"/>
      <c r="R1301" s="25"/>
      <c r="S1301" s="25"/>
      <c r="T1301" s="10"/>
    </row>
    <row r="1302" s="35" customFormat="1" ht="18.5" customHeight="1" spans="1:20">
      <c r="A1302" s="16" t="s">
        <v>251</v>
      </c>
      <c r="B1302" s="41">
        <v>44446</v>
      </c>
      <c r="C1302" s="25">
        <v>0</v>
      </c>
      <c r="D1302" s="25"/>
      <c r="E1302" s="25"/>
      <c r="F1302" s="25"/>
      <c r="G1302" s="25"/>
      <c r="H1302" s="25"/>
      <c r="I1302" s="25"/>
      <c r="J1302" s="25"/>
      <c r="K1302" s="25"/>
      <c r="L1302" s="25"/>
      <c r="M1302" s="42" t="s">
        <v>253</v>
      </c>
      <c r="N1302" s="41">
        <v>45127</v>
      </c>
      <c r="O1302" s="25">
        <v>734</v>
      </c>
      <c r="P1302" s="25">
        <v>0</v>
      </c>
      <c r="Q1302" s="25"/>
      <c r="R1302" s="25"/>
      <c r="S1302" s="25"/>
      <c r="T1302" s="10"/>
    </row>
    <row r="1303" s="35" customFormat="1" ht="18.5" customHeight="1" spans="1:20">
      <c r="A1303" s="16" t="s">
        <v>251</v>
      </c>
      <c r="B1303" s="41">
        <v>45294</v>
      </c>
      <c r="C1303" s="25">
        <v>2</v>
      </c>
      <c r="D1303" s="25"/>
      <c r="E1303" s="25"/>
      <c r="F1303" s="25"/>
      <c r="G1303" s="25"/>
      <c r="H1303" s="25"/>
      <c r="I1303" s="25"/>
      <c r="J1303" s="25"/>
      <c r="K1303" s="25"/>
      <c r="L1303" s="25"/>
      <c r="M1303" s="42" t="s">
        <v>253</v>
      </c>
      <c r="N1303" s="41">
        <v>45237</v>
      </c>
      <c r="O1303" s="25">
        <v>688</v>
      </c>
      <c r="P1303" s="25">
        <v>0</v>
      </c>
      <c r="Q1303" s="25"/>
      <c r="R1303" s="25"/>
      <c r="S1303" s="25"/>
      <c r="T1303" s="10"/>
    </row>
    <row r="1304" s="35" customFormat="1" ht="18.5" customHeight="1" spans="1:20">
      <c r="A1304" s="16" t="s">
        <v>251</v>
      </c>
      <c r="B1304" s="41">
        <v>44518</v>
      </c>
      <c r="C1304" s="25">
        <v>1</v>
      </c>
      <c r="D1304" s="25"/>
      <c r="E1304" s="25"/>
      <c r="F1304" s="25"/>
      <c r="G1304" s="25"/>
      <c r="H1304" s="25"/>
      <c r="I1304" s="25"/>
      <c r="J1304" s="25"/>
      <c r="K1304" s="25"/>
      <c r="L1304" s="25"/>
      <c r="M1304" s="42" t="s">
        <v>253</v>
      </c>
      <c r="N1304" s="41">
        <v>45197</v>
      </c>
      <c r="O1304" s="25">
        <v>250</v>
      </c>
      <c r="P1304" s="25">
        <v>0</v>
      </c>
      <c r="Q1304" s="25"/>
      <c r="R1304" s="25"/>
      <c r="S1304" s="25"/>
      <c r="T1304" s="10"/>
    </row>
    <row r="1305" s="35" customFormat="1" ht="18.5" customHeight="1" spans="1:20">
      <c r="A1305" s="16" t="s">
        <v>251</v>
      </c>
      <c r="B1305" s="41">
        <v>44558</v>
      </c>
      <c r="C1305" s="25">
        <v>1</v>
      </c>
      <c r="D1305" s="25"/>
      <c r="E1305" s="25"/>
      <c r="F1305" s="25"/>
      <c r="G1305" s="25"/>
      <c r="H1305" s="25"/>
      <c r="I1305" s="25"/>
      <c r="J1305" s="25"/>
      <c r="K1305" s="25"/>
      <c r="L1305" s="25"/>
      <c r="M1305" s="42" t="s">
        <v>253</v>
      </c>
      <c r="N1305" s="41">
        <v>45240</v>
      </c>
      <c r="O1305" s="25">
        <v>1046</v>
      </c>
      <c r="P1305" s="25">
        <v>0</v>
      </c>
      <c r="Q1305" s="25"/>
      <c r="R1305" s="25"/>
      <c r="S1305" s="25"/>
      <c r="T1305" s="10"/>
    </row>
    <row r="1306" s="35" customFormat="1" ht="18.5" customHeight="1" spans="1:20">
      <c r="A1306" s="16" t="s">
        <v>251</v>
      </c>
      <c r="B1306" s="41">
        <v>44452</v>
      </c>
      <c r="C1306" s="25">
        <v>2</v>
      </c>
      <c r="D1306" s="25"/>
      <c r="E1306" s="25"/>
      <c r="F1306" s="25"/>
      <c r="G1306" s="25"/>
      <c r="H1306" s="25"/>
      <c r="I1306" s="25"/>
      <c r="J1306" s="25"/>
      <c r="K1306" s="25"/>
      <c r="L1306" s="25"/>
      <c r="M1306" s="42" t="s">
        <v>253</v>
      </c>
      <c r="N1306" s="41">
        <v>45243</v>
      </c>
      <c r="O1306" s="25">
        <v>1630</v>
      </c>
      <c r="P1306" s="25">
        <v>0</v>
      </c>
      <c r="Q1306" s="25"/>
      <c r="R1306" s="25"/>
      <c r="S1306" s="25"/>
      <c r="T1306" s="10"/>
    </row>
    <row r="1307" s="35" customFormat="1" ht="18.5" customHeight="1" spans="1:20">
      <c r="A1307" s="16" t="s">
        <v>251</v>
      </c>
      <c r="B1307" s="41">
        <v>44340</v>
      </c>
      <c r="C1307" s="25">
        <v>2</v>
      </c>
      <c r="D1307" s="25"/>
      <c r="E1307" s="25"/>
      <c r="F1307" s="25"/>
      <c r="G1307" s="25"/>
      <c r="H1307" s="25"/>
      <c r="I1307" s="25"/>
      <c r="J1307" s="25"/>
      <c r="K1307" s="25"/>
      <c r="L1307" s="25"/>
      <c r="M1307" s="42" t="s">
        <v>253</v>
      </c>
      <c r="N1307" s="41">
        <v>45274</v>
      </c>
      <c r="O1307" s="25">
        <v>160</v>
      </c>
      <c r="P1307" s="25">
        <v>0</v>
      </c>
      <c r="Q1307" s="25"/>
      <c r="R1307" s="25"/>
      <c r="S1307" s="25"/>
      <c r="T1307" s="10"/>
    </row>
    <row r="1308" s="35" customFormat="1" ht="18.5" customHeight="1" spans="1:20">
      <c r="A1308" s="16" t="s">
        <v>251</v>
      </c>
      <c r="B1308" s="41">
        <v>44487</v>
      </c>
      <c r="C1308" s="25">
        <v>2</v>
      </c>
      <c r="D1308" s="25"/>
      <c r="E1308" s="25"/>
      <c r="F1308" s="25"/>
      <c r="G1308" s="25"/>
      <c r="H1308" s="25"/>
      <c r="I1308" s="25"/>
      <c r="J1308" s="25"/>
      <c r="K1308" s="25"/>
      <c r="L1308" s="25"/>
      <c r="M1308" s="42" t="s">
        <v>253</v>
      </c>
      <c r="N1308" s="41">
        <v>45253</v>
      </c>
      <c r="O1308" s="25">
        <v>108</v>
      </c>
      <c r="P1308" s="25">
        <v>0</v>
      </c>
      <c r="Q1308" s="25"/>
      <c r="R1308" s="25"/>
      <c r="S1308" s="25"/>
      <c r="T1308" s="10"/>
    </row>
    <row r="1309" s="35" customFormat="1" ht="18.5" customHeight="1" spans="1:20">
      <c r="A1309" s="16" t="s">
        <v>251</v>
      </c>
      <c r="B1309" s="41">
        <v>45285</v>
      </c>
      <c r="C1309" s="25">
        <v>1</v>
      </c>
      <c r="D1309" s="25"/>
      <c r="E1309" s="25"/>
      <c r="F1309" s="25"/>
      <c r="G1309" s="25"/>
      <c r="H1309" s="25"/>
      <c r="I1309" s="25"/>
      <c r="J1309" s="25"/>
      <c r="K1309" s="25"/>
      <c r="L1309" s="25"/>
      <c r="M1309" s="42" t="s">
        <v>253</v>
      </c>
      <c r="N1309" s="41">
        <v>45238</v>
      </c>
      <c r="O1309" s="25">
        <v>357</v>
      </c>
      <c r="P1309" s="25">
        <v>0</v>
      </c>
      <c r="Q1309" s="25"/>
      <c r="R1309" s="25"/>
      <c r="S1309" s="25"/>
      <c r="T1309" s="10"/>
    </row>
    <row r="1310" s="35" customFormat="1" ht="18.5" customHeight="1" spans="1:20">
      <c r="A1310" s="16" t="s">
        <v>251</v>
      </c>
      <c r="B1310" s="41">
        <v>44435</v>
      </c>
      <c r="C1310" s="25">
        <v>2</v>
      </c>
      <c r="D1310" s="25"/>
      <c r="E1310" s="25"/>
      <c r="F1310" s="25"/>
      <c r="G1310" s="25"/>
      <c r="H1310" s="25"/>
      <c r="I1310" s="25"/>
      <c r="J1310" s="25"/>
      <c r="K1310" s="25"/>
      <c r="L1310" s="25"/>
      <c r="M1310" s="42" t="s">
        <v>253</v>
      </c>
      <c r="N1310" s="41">
        <v>45240</v>
      </c>
      <c r="O1310" s="25">
        <v>317</v>
      </c>
      <c r="P1310" s="25">
        <v>0</v>
      </c>
      <c r="Q1310" s="25"/>
      <c r="R1310" s="25"/>
      <c r="S1310" s="25"/>
      <c r="T1310" s="10"/>
    </row>
    <row r="1311" s="35" customFormat="1" ht="18.5" customHeight="1" spans="1:20">
      <c r="A1311" s="16" t="s">
        <v>251</v>
      </c>
      <c r="B1311" s="41">
        <v>44351</v>
      </c>
      <c r="C1311" s="25">
        <v>1</v>
      </c>
      <c r="D1311" s="25"/>
      <c r="E1311" s="25"/>
      <c r="F1311" s="25"/>
      <c r="G1311" s="25"/>
      <c r="H1311" s="25"/>
      <c r="I1311" s="25"/>
      <c r="J1311" s="25"/>
      <c r="K1311" s="25"/>
      <c r="L1311" s="25"/>
      <c r="M1311" s="42" t="s">
        <v>253</v>
      </c>
      <c r="N1311" s="41">
        <v>45274</v>
      </c>
      <c r="O1311" s="25">
        <v>212</v>
      </c>
      <c r="P1311" s="25">
        <v>0</v>
      </c>
      <c r="Q1311" s="25"/>
      <c r="R1311" s="25"/>
      <c r="S1311" s="25"/>
      <c r="T1311" s="10"/>
    </row>
    <row r="1312" s="35" customFormat="1" ht="18.5" customHeight="1" spans="1:20">
      <c r="A1312" s="16" t="s">
        <v>251</v>
      </c>
      <c r="B1312" s="41">
        <v>44463</v>
      </c>
      <c r="C1312" s="25">
        <v>0</v>
      </c>
      <c r="D1312" s="25"/>
      <c r="E1312" s="25"/>
      <c r="F1312" s="25"/>
      <c r="G1312" s="25"/>
      <c r="H1312" s="25"/>
      <c r="I1312" s="25"/>
      <c r="J1312" s="25"/>
      <c r="K1312" s="25"/>
      <c r="L1312" s="25"/>
      <c r="M1312" s="42" t="s">
        <v>253</v>
      </c>
      <c r="N1312" s="41">
        <v>45270</v>
      </c>
      <c r="O1312" s="25">
        <v>188</v>
      </c>
      <c r="P1312" s="25">
        <v>0</v>
      </c>
      <c r="Q1312" s="25"/>
      <c r="R1312" s="25"/>
      <c r="S1312" s="25"/>
      <c r="T1312" s="10"/>
    </row>
    <row r="1313" s="35" customFormat="1" ht="18.5" customHeight="1" spans="1:20">
      <c r="A1313" s="16" t="s">
        <v>251</v>
      </c>
      <c r="B1313" s="41">
        <v>45285</v>
      </c>
      <c r="C1313" s="25">
        <v>1</v>
      </c>
      <c r="D1313" s="25"/>
      <c r="E1313" s="25"/>
      <c r="F1313" s="25"/>
      <c r="G1313" s="25"/>
      <c r="H1313" s="25"/>
      <c r="I1313" s="25"/>
      <c r="J1313" s="25"/>
      <c r="K1313" s="25"/>
      <c r="L1313" s="25"/>
      <c r="M1313" s="42" t="s">
        <v>253</v>
      </c>
      <c r="N1313" s="41">
        <v>45257</v>
      </c>
      <c r="O1313" s="25">
        <v>179</v>
      </c>
      <c r="P1313" s="25">
        <v>0</v>
      </c>
      <c r="Q1313" s="25"/>
      <c r="R1313" s="25"/>
      <c r="S1313" s="25"/>
      <c r="T1313" s="10"/>
    </row>
    <row r="1314" s="35" customFormat="1" ht="18.5" customHeight="1" spans="1:20">
      <c r="A1314" s="16" t="s">
        <v>251</v>
      </c>
      <c r="B1314" s="41">
        <v>44462</v>
      </c>
      <c r="C1314" s="25">
        <v>1</v>
      </c>
      <c r="D1314" s="25"/>
      <c r="E1314" s="25"/>
      <c r="F1314" s="25"/>
      <c r="G1314" s="25"/>
      <c r="H1314" s="25"/>
      <c r="I1314" s="25"/>
      <c r="J1314" s="25"/>
      <c r="K1314" s="25"/>
      <c r="L1314" s="25"/>
      <c r="M1314" s="42" t="s">
        <v>253</v>
      </c>
      <c r="N1314" s="41">
        <v>45265</v>
      </c>
      <c r="O1314" s="25">
        <v>478</v>
      </c>
      <c r="P1314" s="25">
        <v>0</v>
      </c>
      <c r="Q1314" s="25"/>
      <c r="R1314" s="25"/>
      <c r="S1314" s="25"/>
      <c r="T1314" s="10"/>
    </row>
    <row r="1315" s="35" customFormat="1" ht="18.5" customHeight="1" spans="1:20">
      <c r="A1315" s="16" t="s">
        <v>251</v>
      </c>
      <c r="B1315" s="41">
        <v>44459</v>
      </c>
      <c r="C1315" s="25">
        <v>0</v>
      </c>
      <c r="D1315" s="25"/>
      <c r="E1315" s="25"/>
      <c r="F1315" s="25"/>
      <c r="G1315" s="25"/>
      <c r="H1315" s="25"/>
      <c r="I1315" s="25"/>
      <c r="J1315" s="25"/>
      <c r="K1315" s="25"/>
      <c r="L1315" s="25"/>
      <c r="M1315" s="42" t="s">
        <v>253</v>
      </c>
      <c r="N1315" s="41">
        <v>45246</v>
      </c>
      <c r="O1315" s="25">
        <v>463</v>
      </c>
      <c r="P1315" s="25">
        <v>0</v>
      </c>
      <c r="Q1315" s="25"/>
      <c r="R1315" s="25"/>
      <c r="S1315" s="25"/>
      <c r="T1315" s="10"/>
    </row>
    <row r="1316" s="35" customFormat="1" ht="18.5" customHeight="1" spans="1:20">
      <c r="A1316" s="16" t="s">
        <v>251</v>
      </c>
      <c r="B1316" s="41">
        <v>44550</v>
      </c>
      <c r="C1316" s="25">
        <v>0</v>
      </c>
      <c r="D1316" s="25"/>
      <c r="E1316" s="25"/>
      <c r="F1316" s="25"/>
      <c r="G1316" s="25"/>
      <c r="H1316" s="25"/>
      <c r="I1316" s="25"/>
      <c r="J1316" s="25"/>
      <c r="K1316" s="25"/>
      <c r="L1316" s="25"/>
      <c r="M1316" s="42" t="s">
        <v>253</v>
      </c>
      <c r="N1316" s="41">
        <v>45244</v>
      </c>
      <c r="O1316" s="25">
        <v>360</v>
      </c>
      <c r="P1316" s="25">
        <v>0</v>
      </c>
      <c r="Q1316" s="25"/>
      <c r="R1316" s="25"/>
      <c r="S1316" s="25"/>
      <c r="T1316" s="10"/>
    </row>
    <row r="1317" s="35" customFormat="1" ht="18.5" customHeight="1" spans="1:20">
      <c r="A1317" s="16" t="s">
        <v>251</v>
      </c>
      <c r="B1317" s="41">
        <v>44457</v>
      </c>
      <c r="C1317" s="25">
        <v>1</v>
      </c>
      <c r="D1317" s="25"/>
      <c r="E1317" s="25"/>
      <c r="F1317" s="25"/>
      <c r="G1317" s="25"/>
      <c r="H1317" s="25"/>
      <c r="I1317" s="25"/>
      <c r="J1317" s="25"/>
      <c r="K1317" s="25"/>
      <c r="L1317" s="25"/>
      <c r="M1317" s="42" t="s">
        <v>253</v>
      </c>
      <c r="N1317" s="41">
        <v>45257</v>
      </c>
      <c r="O1317" s="25">
        <v>333</v>
      </c>
      <c r="P1317" s="25">
        <v>0</v>
      </c>
      <c r="Q1317" s="25"/>
      <c r="R1317" s="25"/>
      <c r="S1317" s="25"/>
      <c r="T1317" s="10"/>
    </row>
    <row r="1318" s="35" customFormat="1" ht="18.5" customHeight="1" spans="1:20">
      <c r="A1318" s="16" t="s">
        <v>251</v>
      </c>
      <c r="B1318" s="41">
        <v>44473</v>
      </c>
      <c r="C1318" s="25">
        <v>0</v>
      </c>
      <c r="D1318" s="25"/>
      <c r="E1318" s="25"/>
      <c r="F1318" s="25"/>
      <c r="G1318" s="25"/>
      <c r="H1318" s="25"/>
      <c r="I1318" s="25"/>
      <c r="J1318" s="25"/>
      <c r="K1318" s="25"/>
      <c r="L1318" s="25"/>
      <c r="M1318" s="42" t="s">
        <v>253</v>
      </c>
      <c r="N1318" s="41">
        <v>45281</v>
      </c>
      <c r="O1318" s="25">
        <v>295</v>
      </c>
      <c r="P1318" s="25">
        <v>0</v>
      </c>
      <c r="Q1318" s="25"/>
      <c r="R1318" s="25"/>
      <c r="S1318" s="25"/>
      <c r="T1318" s="10"/>
    </row>
    <row r="1319" s="35" customFormat="1" ht="18.5" customHeight="1" spans="1:20">
      <c r="A1319" s="16" t="s">
        <v>251</v>
      </c>
      <c r="B1319" s="41">
        <v>44452</v>
      </c>
      <c r="C1319" s="25">
        <v>0</v>
      </c>
      <c r="D1319" s="25"/>
      <c r="E1319" s="25"/>
      <c r="F1319" s="25"/>
      <c r="G1319" s="25"/>
      <c r="H1319" s="25"/>
      <c r="I1319" s="25"/>
      <c r="J1319" s="25"/>
      <c r="K1319" s="25"/>
      <c r="L1319" s="25"/>
      <c r="M1319" s="42" t="s">
        <v>253</v>
      </c>
      <c r="N1319" s="41">
        <v>45278</v>
      </c>
      <c r="O1319" s="25">
        <v>287</v>
      </c>
      <c r="P1319" s="25">
        <v>0</v>
      </c>
      <c r="Q1319" s="25"/>
      <c r="R1319" s="25"/>
      <c r="S1319" s="25"/>
      <c r="T1319" s="10"/>
    </row>
    <row r="1320" s="35" customFormat="1" ht="18.5" customHeight="1" spans="1:20">
      <c r="A1320" s="16" t="s">
        <v>251</v>
      </c>
      <c r="B1320" s="41">
        <v>44531</v>
      </c>
      <c r="C1320" s="25">
        <v>0</v>
      </c>
      <c r="D1320" s="25"/>
      <c r="E1320" s="25"/>
      <c r="F1320" s="25"/>
      <c r="G1320" s="25"/>
      <c r="H1320" s="25"/>
      <c r="I1320" s="25"/>
      <c r="J1320" s="25"/>
      <c r="K1320" s="25"/>
      <c r="L1320" s="25"/>
      <c r="M1320" s="42" t="s">
        <v>253</v>
      </c>
      <c r="N1320" s="41">
        <v>45263</v>
      </c>
      <c r="O1320" s="25">
        <v>223</v>
      </c>
      <c r="P1320" s="25">
        <v>0</v>
      </c>
      <c r="Q1320" s="25"/>
      <c r="R1320" s="25"/>
      <c r="S1320" s="25"/>
      <c r="T1320" s="10"/>
    </row>
    <row r="1321" s="35" customFormat="1" ht="18.5" customHeight="1" spans="1:20">
      <c r="A1321" s="16" t="s">
        <v>251</v>
      </c>
      <c r="B1321" s="41">
        <v>44397</v>
      </c>
      <c r="C1321" s="25">
        <v>0</v>
      </c>
      <c r="D1321" s="25"/>
      <c r="E1321" s="25"/>
      <c r="F1321" s="25"/>
      <c r="G1321" s="25"/>
      <c r="H1321" s="25"/>
      <c r="I1321" s="25"/>
      <c r="J1321" s="25"/>
      <c r="K1321" s="25"/>
      <c r="L1321" s="25"/>
      <c r="M1321" s="42" t="s">
        <v>253</v>
      </c>
      <c r="N1321" s="41">
        <v>45204</v>
      </c>
      <c r="O1321" s="25">
        <v>218</v>
      </c>
      <c r="P1321" s="25">
        <v>0</v>
      </c>
      <c r="Q1321" s="25"/>
      <c r="R1321" s="25"/>
      <c r="S1321" s="25"/>
      <c r="T1321" s="10"/>
    </row>
    <row r="1322" s="35" customFormat="1" ht="18.5" customHeight="1" spans="1:20">
      <c r="A1322" s="16" t="s">
        <v>251</v>
      </c>
      <c r="B1322" s="41">
        <v>44403</v>
      </c>
      <c r="C1322" s="25">
        <v>0</v>
      </c>
      <c r="D1322" s="25"/>
      <c r="E1322" s="25"/>
      <c r="F1322" s="25"/>
      <c r="G1322" s="25"/>
      <c r="H1322" s="25"/>
      <c r="I1322" s="25"/>
      <c r="J1322" s="25"/>
      <c r="K1322" s="25"/>
      <c r="L1322" s="25"/>
      <c r="M1322" s="42" t="s">
        <v>253</v>
      </c>
      <c r="N1322" s="41">
        <v>45242</v>
      </c>
      <c r="O1322" s="25">
        <v>213</v>
      </c>
      <c r="P1322" s="25">
        <v>0</v>
      </c>
      <c r="Q1322" s="25"/>
      <c r="R1322" s="25"/>
      <c r="S1322" s="25"/>
      <c r="T1322" s="10"/>
    </row>
    <row r="1323" s="35" customFormat="1" ht="18.5" customHeight="1" spans="1:20">
      <c r="A1323" s="16" t="s">
        <v>251</v>
      </c>
      <c r="B1323" s="41">
        <v>44468</v>
      </c>
      <c r="C1323" s="25">
        <v>0</v>
      </c>
      <c r="D1323" s="25"/>
      <c r="E1323" s="25"/>
      <c r="F1323" s="25"/>
      <c r="G1323" s="25"/>
      <c r="H1323" s="25"/>
      <c r="I1323" s="25"/>
      <c r="J1323" s="25"/>
      <c r="K1323" s="25"/>
      <c r="L1323" s="25"/>
      <c r="M1323" s="42" t="s">
        <v>253</v>
      </c>
      <c r="N1323" s="41">
        <v>45240</v>
      </c>
      <c r="O1323" s="25">
        <v>198</v>
      </c>
      <c r="P1323" s="25">
        <v>0</v>
      </c>
      <c r="Q1323" s="25"/>
      <c r="R1323" s="25"/>
      <c r="S1323" s="25"/>
      <c r="T1323" s="10"/>
    </row>
    <row r="1324" s="35" customFormat="1" ht="18.5" customHeight="1" spans="1:20">
      <c r="A1324" s="16" t="s">
        <v>251</v>
      </c>
      <c r="B1324" s="41">
        <v>45005</v>
      </c>
      <c r="C1324" s="25">
        <v>17</v>
      </c>
      <c r="D1324" s="25"/>
      <c r="E1324" s="25"/>
      <c r="F1324" s="25"/>
      <c r="G1324" s="25"/>
      <c r="H1324" s="25"/>
      <c r="I1324" s="25"/>
      <c r="J1324" s="25"/>
      <c r="K1324" s="25"/>
      <c r="L1324" s="25"/>
      <c r="M1324" s="42" t="s">
        <v>253</v>
      </c>
      <c r="N1324" s="41">
        <v>45268</v>
      </c>
      <c r="O1324" s="25">
        <v>196</v>
      </c>
      <c r="P1324" s="25">
        <v>0</v>
      </c>
      <c r="Q1324" s="25"/>
      <c r="R1324" s="25"/>
      <c r="S1324" s="25"/>
      <c r="T1324" s="10"/>
    </row>
    <row r="1325" s="35" customFormat="1" ht="18.5" customHeight="1" spans="1:20">
      <c r="A1325" s="9"/>
      <c r="B1325" s="25"/>
      <c r="C1325" s="25">
        <f>COUNT(C10:C1324)</f>
        <v>1315</v>
      </c>
      <c r="D1325" s="25"/>
      <c r="E1325" s="25"/>
      <c r="F1325" s="25"/>
      <c r="G1325" s="25"/>
      <c r="H1325" s="25"/>
      <c r="I1325" s="25"/>
      <c r="J1325" s="25"/>
      <c r="K1325" s="25"/>
      <c r="L1325" s="25"/>
      <c r="M1325" s="42" t="s">
        <v>253</v>
      </c>
      <c r="N1325" s="41">
        <v>45246</v>
      </c>
      <c r="O1325" s="25">
        <v>186</v>
      </c>
      <c r="P1325" s="25">
        <v>0</v>
      </c>
      <c r="Q1325" s="25"/>
      <c r="R1325" s="25"/>
      <c r="S1325" s="25"/>
      <c r="T1325" s="10"/>
    </row>
    <row r="1326" s="35" customFormat="1" ht="18.5" customHeight="1" spans="1:20">
      <c r="A1326" s="9"/>
      <c r="B1326" s="25"/>
      <c r="C1326" s="25"/>
      <c r="D1326" s="25"/>
      <c r="E1326" s="25"/>
      <c r="F1326" s="25"/>
      <c r="G1326" s="25"/>
      <c r="H1326" s="25"/>
      <c r="I1326" s="25"/>
      <c r="J1326" s="25"/>
      <c r="K1326" s="25"/>
      <c r="L1326" s="25"/>
      <c r="M1326" s="42" t="s">
        <v>253</v>
      </c>
      <c r="N1326" s="41">
        <v>45236</v>
      </c>
      <c r="O1326" s="25">
        <v>184</v>
      </c>
      <c r="P1326" s="25">
        <v>0</v>
      </c>
      <c r="Q1326" s="25"/>
      <c r="R1326" s="25"/>
      <c r="S1326" s="25"/>
      <c r="T1326" s="10"/>
    </row>
    <row r="1327" s="35" customFormat="1" ht="18.5" customHeight="1" spans="1:20">
      <c r="A1327" s="9"/>
      <c r="B1327" s="25"/>
      <c r="C1327" s="25"/>
      <c r="D1327" s="25"/>
      <c r="E1327" s="25"/>
      <c r="F1327" s="25"/>
      <c r="G1327" s="25"/>
      <c r="H1327" s="25"/>
      <c r="I1327" s="25"/>
      <c r="J1327" s="25"/>
      <c r="K1327" s="25"/>
      <c r="L1327" s="25"/>
      <c r="M1327" s="42" t="s">
        <v>253</v>
      </c>
      <c r="N1327" s="41">
        <v>45264</v>
      </c>
      <c r="O1327" s="25">
        <v>179</v>
      </c>
      <c r="P1327" s="25">
        <v>0</v>
      </c>
      <c r="Q1327" s="25"/>
      <c r="R1327" s="25"/>
      <c r="S1327" s="25"/>
      <c r="T1327" s="10"/>
    </row>
    <row r="1328" s="35" customFormat="1" ht="18.5" customHeight="1" spans="1:20">
      <c r="A1328" s="9"/>
      <c r="B1328" s="25"/>
      <c r="C1328" s="25"/>
      <c r="D1328" s="25"/>
      <c r="E1328" s="25"/>
      <c r="F1328" s="25"/>
      <c r="G1328" s="25"/>
      <c r="H1328" s="25"/>
      <c r="I1328" s="25"/>
      <c r="J1328" s="25"/>
      <c r="K1328" s="25"/>
      <c r="L1328" s="25"/>
      <c r="M1328" s="42" t="s">
        <v>253</v>
      </c>
      <c r="N1328" s="41">
        <v>45240</v>
      </c>
      <c r="O1328" s="25">
        <v>173</v>
      </c>
      <c r="P1328" s="25">
        <v>0</v>
      </c>
      <c r="Q1328" s="25"/>
      <c r="R1328" s="25"/>
      <c r="S1328" s="25"/>
      <c r="T1328" s="10"/>
    </row>
    <row r="1329" s="35" customFormat="1" ht="18.5" customHeight="1" spans="1:20">
      <c r="A1329" s="9"/>
      <c r="B1329" s="25"/>
      <c r="C1329" s="25"/>
      <c r="D1329" s="25"/>
      <c r="E1329" s="25"/>
      <c r="F1329" s="25"/>
      <c r="G1329" s="25"/>
      <c r="H1329" s="25"/>
      <c r="I1329" s="25"/>
      <c r="J1329" s="25"/>
      <c r="K1329" s="25"/>
      <c r="L1329" s="25"/>
      <c r="M1329" s="42" t="s">
        <v>253</v>
      </c>
      <c r="N1329" s="41">
        <v>45241</v>
      </c>
      <c r="O1329" s="25">
        <v>153</v>
      </c>
      <c r="P1329" s="25">
        <v>0</v>
      </c>
      <c r="Q1329" s="25"/>
      <c r="R1329" s="25"/>
      <c r="S1329" s="25"/>
      <c r="T1329" s="10"/>
    </row>
    <row r="1330" s="35" customFormat="1" ht="18.5" customHeight="1" spans="1:20">
      <c r="A1330" s="9"/>
      <c r="B1330" s="25"/>
      <c r="C1330" s="25"/>
      <c r="D1330" s="25"/>
      <c r="E1330" s="25"/>
      <c r="F1330" s="25"/>
      <c r="G1330" s="25"/>
      <c r="H1330" s="25"/>
      <c r="I1330" s="25"/>
      <c r="J1330" s="25"/>
      <c r="K1330" s="25"/>
      <c r="L1330" s="25"/>
      <c r="M1330" s="42" t="s">
        <v>253</v>
      </c>
      <c r="N1330" s="41">
        <v>45276</v>
      </c>
      <c r="O1330" s="25">
        <v>149</v>
      </c>
      <c r="P1330" s="25">
        <v>0</v>
      </c>
      <c r="Q1330" s="25"/>
      <c r="R1330" s="25"/>
      <c r="S1330" s="25"/>
      <c r="T1330" s="10"/>
    </row>
    <row r="1331" s="35" customFormat="1" ht="18.5" customHeight="1" spans="1:20">
      <c r="A1331" s="9"/>
      <c r="B1331" s="25"/>
      <c r="C1331" s="25"/>
      <c r="D1331" s="25"/>
      <c r="E1331" s="25"/>
      <c r="F1331" s="25"/>
      <c r="G1331" s="25"/>
      <c r="H1331" s="25"/>
      <c r="I1331" s="25"/>
      <c r="J1331" s="25"/>
      <c r="K1331" s="25"/>
      <c r="L1331" s="25"/>
      <c r="M1331" s="42" t="s">
        <v>253</v>
      </c>
      <c r="N1331" s="41">
        <v>45274</v>
      </c>
      <c r="O1331" s="25">
        <v>148</v>
      </c>
      <c r="P1331" s="25">
        <v>0</v>
      </c>
      <c r="Q1331" s="25"/>
      <c r="R1331" s="25"/>
      <c r="S1331" s="25"/>
      <c r="T1331" s="10"/>
    </row>
    <row r="1332" s="35" customFormat="1" ht="18.5" customHeight="1" spans="1:20">
      <c r="A1332" s="9"/>
      <c r="B1332" s="25"/>
      <c r="C1332" s="25"/>
      <c r="D1332" s="25"/>
      <c r="E1332" s="25"/>
      <c r="F1332" s="25"/>
      <c r="G1332" s="25"/>
      <c r="H1332" s="25"/>
      <c r="I1332" s="25"/>
      <c r="J1332" s="25"/>
      <c r="K1332" s="25"/>
      <c r="L1332" s="25"/>
      <c r="M1332" s="42" t="s">
        <v>253</v>
      </c>
      <c r="N1332" s="41">
        <v>45244</v>
      </c>
      <c r="O1332" s="25">
        <v>146</v>
      </c>
      <c r="P1332" s="25">
        <v>0</v>
      </c>
      <c r="Q1332" s="25"/>
      <c r="R1332" s="25"/>
      <c r="S1332" s="25"/>
      <c r="T1332" s="10"/>
    </row>
    <row r="1333" s="35" customFormat="1" ht="18.5" customHeight="1" spans="1:20">
      <c r="A1333" s="9"/>
      <c r="B1333" s="25"/>
      <c r="C1333" s="25"/>
      <c r="D1333" s="25"/>
      <c r="E1333" s="25"/>
      <c r="F1333" s="25"/>
      <c r="G1333" s="25"/>
      <c r="H1333" s="25"/>
      <c r="I1333" s="25"/>
      <c r="J1333" s="25"/>
      <c r="K1333" s="25"/>
      <c r="L1333" s="25"/>
      <c r="M1333" s="42" t="s">
        <v>253</v>
      </c>
      <c r="N1333" s="41">
        <v>45290</v>
      </c>
      <c r="O1333" s="25">
        <v>144</v>
      </c>
      <c r="P1333" s="25">
        <v>0</v>
      </c>
      <c r="Q1333" s="25"/>
      <c r="R1333" s="25"/>
      <c r="S1333" s="25"/>
      <c r="T1333" s="10"/>
    </row>
    <row r="1334" s="35" customFormat="1" ht="18.5" customHeight="1" spans="1:20">
      <c r="A1334" s="9"/>
      <c r="B1334" s="25"/>
      <c r="C1334" s="25"/>
      <c r="D1334" s="25"/>
      <c r="E1334" s="25"/>
      <c r="F1334" s="25"/>
      <c r="G1334" s="25"/>
      <c r="H1334" s="25"/>
      <c r="I1334" s="25"/>
      <c r="J1334" s="25"/>
      <c r="K1334" s="25"/>
      <c r="L1334" s="25"/>
      <c r="M1334" s="42" t="s">
        <v>253</v>
      </c>
      <c r="N1334" s="41">
        <v>45278</v>
      </c>
      <c r="O1334" s="25">
        <v>144</v>
      </c>
      <c r="P1334" s="25">
        <v>0</v>
      </c>
      <c r="Q1334" s="25"/>
      <c r="R1334" s="25"/>
      <c r="S1334" s="25"/>
      <c r="T1334" s="10"/>
    </row>
    <row r="1335" s="35" customFormat="1" ht="18.5" customHeight="1" spans="1:20">
      <c r="A1335" s="9"/>
      <c r="B1335" s="25"/>
      <c r="C1335" s="25"/>
      <c r="D1335" s="25"/>
      <c r="E1335" s="25"/>
      <c r="F1335" s="25"/>
      <c r="G1335" s="25"/>
      <c r="H1335" s="25"/>
      <c r="I1335" s="25"/>
      <c r="J1335" s="25"/>
      <c r="K1335" s="25"/>
      <c r="L1335" s="25"/>
      <c r="M1335" s="42" t="s">
        <v>253</v>
      </c>
      <c r="N1335" s="41">
        <v>45258</v>
      </c>
      <c r="O1335" s="25">
        <v>144</v>
      </c>
      <c r="P1335" s="25">
        <v>0</v>
      </c>
      <c r="Q1335" s="25"/>
      <c r="R1335" s="25"/>
      <c r="S1335" s="25"/>
      <c r="T1335" s="10"/>
    </row>
    <row r="1336" s="35" customFormat="1" ht="18.5" customHeight="1" spans="1:20">
      <c r="A1336" s="9"/>
      <c r="B1336" s="25"/>
      <c r="C1336" s="25"/>
      <c r="D1336" s="25"/>
      <c r="E1336" s="25"/>
      <c r="F1336" s="25"/>
      <c r="G1336" s="25"/>
      <c r="H1336" s="25"/>
      <c r="I1336" s="25"/>
      <c r="J1336" s="25"/>
      <c r="K1336" s="25"/>
      <c r="L1336" s="25"/>
      <c r="M1336" s="42" t="s">
        <v>253</v>
      </c>
      <c r="N1336" s="41">
        <v>45264</v>
      </c>
      <c r="O1336" s="25">
        <v>141</v>
      </c>
      <c r="P1336" s="25">
        <v>0</v>
      </c>
      <c r="Q1336" s="25"/>
      <c r="R1336" s="25"/>
      <c r="S1336" s="25"/>
      <c r="T1336" s="10"/>
    </row>
    <row r="1337" s="35" customFormat="1" ht="18.5" customHeight="1" spans="1:20">
      <c r="A1337" s="9"/>
      <c r="B1337" s="25"/>
      <c r="C1337" s="25"/>
      <c r="D1337" s="25"/>
      <c r="E1337" s="25"/>
      <c r="F1337" s="25"/>
      <c r="G1337" s="25"/>
      <c r="H1337" s="25"/>
      <c r="I1337" s="25"/>
      <c r="J1337" s="25"/>
      <c r="K1337" s="25"/>
      <c r="L1337" s="25"/>
      <c r="M1337" s="42" t="s">
        <v>253</v>
      </c>
      <c r="N1337" s="41">
        <v>45275</v>
      </c>
      <c r="O1337" s="25">
        <v>133</v>
      </c>
      <c r="P1337" s="25">
        <v>0</v>
      </c>
      <c r="Q1337" s="25"/>
      <c r="R1337" s="25"/>
      <c r="S1337" s="25"/>
      <c r="T1337" s="10"/>
    </row>
    <row r="1338" s="35" customFormat="1" ht="18.5" customHeight="1" spans="1:20">
      <c r="A1338" s="9"/>
      <c r="B1338" s="25"/>
      <c r="C1338" s="25"/>
      <c r="D1338" s="25"/>
      <c r="E1338" s="25"/>
      <c r="F1338" s="25"/>
      <c r="G1338" s="25"/>
      <c r="H1338" s="25"/>
      <c r="I1338" s="25"/>
      <c r="J1338" s="25"/>
      <c r="K1338" s="25"/>
      <c r="L1338" s="25"/>
      <c r="M1338" s="42" t="s">
        <v>253</v>
      </c>
      <c r="N1338" s="41">
        <v>45242</v>
      </c>
      <c r="O1338" s="25">
        <v>129</v>
      </c>
      <c r="P1338" s="25">
        <v>0</v>
      </c>
      <c r="Q1338" s="25"/>
      <c r="R1338" s="25"/>
      <c r="S1338" s="25"/>
      <c r="T1338" s="10"/>
    </row>
    <row r="1339" s="35" customFormat="1" ht="18.5" customHeight="1" spans="1:20">
      <c r="A1339" s="9"/>
      <c r="B1339" s="25"/>
      <c r="C1339" s="25"/>
      <c r="D1339" s="25"/>
      <c r="E1339" s="25"/>
      <c r="F1339" s="25"/>
      <c r="G1339" s="25"/>
      <c r="H1339" s="25"/>
      <c r="I1339" s="25"/>
      <c r="J1339" s="25"/>
      <c r="K1339" s="25"/>
      <c r="L1339" s="25"/>
      <c r="M1339" s="42" t="s">
        <v>253</v>
      </c>
      <c r="N1339" s="41">
        <v>45267</v>
      </c>
      <c r="O1339" s="25">
        <v>126</v>
      </c>
      <c r="P1339" s="25">
        <v>0</v>
      </c>
      <c r="Q1339" s="25"/>
      <c r="R1339" s="25"/>
      <c r="S1339" s="25"/>
      <c r="T1339" s="10"/>
    </row>
    <row r="1340" s="35" customFormat="1" ht="18.5" customHeight="1" spans="1:20">
      <c r="A1340" s="9"/>
      <c r="B1340" s="25"/>
      <c r="C1340" s="25"/>
      <c r="D1340" s="25"/>
      <c r="E1340" s="25"/>
      <c r="F1340" s="25"/>
      <c r="G1340" s="25"/>
      <c r="H1340" s="25"/>
      <c r="I1340" s="25"/>
      <c r="J1340" s="25"/>
      <c r="K1340" s="25"/>
      <c r="L1340" s="25"/>
      <c r="M1340" s="42" t="s">
        <v>253</v>
      </c>
      <c r="N1340" s="41">
        <v>45272</v>
      </c>
      <c r="O1340" s="25">
        <v>117</v>
      </c>
      <c r="P1340" s="25">
        <v>0</v>
      </c>
      <c r="Q1340" s="25"/>
      <c r="R1340" s="25"/>
      <c r="S1340" s="25"/>
      <c r="T1340" s="10"/>
    </row>
    <row r="1341" s="35" customFormat="1" ht="18.5" customHeight="1" spans="1:20">
      <c r="A1341" s="9"/>
      <c r="B1341" s="25"/>
      <c r="C1341" s="25"/>
      <c r="D1341" s="25"/>
      <c r="E1341" s="25"/>
      <c r="F1341" s="25"/>
      <c r="G1341" s="25"/>
      <c r="H1341" s="25"/>
      <c r="I1341" s="25"/>
      <c r="J1341" s="25"/>
      <c r="K1341" s="25"/>
      <c r="L1341" s="25"/>
      <c r="M1341" s="42" t="s">
        <v>253</v>
      </c>
      <c r="N1341" s="41">
        <v>45288</v>
      </c>
      <c r="O1341" s="25">
        <v>114</v>
      </c>
      <c r="P1341" s="25">
        <v>0</v>
      </c>
      <c r="Q1341" s="25"/>
      <c r="R1341" s="25"/>
      <c r="S1341" s="25"/>
      <c r="T1341" s="10"/>
    </row>
    <row r="1342" s="35" customFormat="1" ht="18.5" customHeight="1" spans="1:20">
      <c r="A1342" s="9"/>
      <c r="B1342" s="25"/>
      <c r="C1342" s="25"/>
      <c r="D1342" s="25"/>
      <c r="E1342" s="25"/>
      <c r="F1342" s="25"/>
      <c r="G1342" s="25"/>
      <c r="H1342" s="25"/>
      <c r="I1342" s="25"/>
      <c r="J1342" s="25"/>
      <c r="K1342" s="25"/>
      <c r="L1342" s="25"/>
      <c r="M1342" s="42" t="s">
        <v>253</v>
      </c>
      <c r="N1342" s="41">
        <v>45282</v>
      </c>
      <c r="O1342" s="25">
        <v>113</v>
      </c>
      <c r="P1342" s="25">
        <v>0</v>
      </c>
      <c r="Q1342" s="25"/>
      <c r="R1342" s="25"/>
      <c r="S1342" s="25"/>
      <c r="T1342" s="10"/>
    </row>
    <row r="1343" s="35" customFormat="1" ht="18.5" customHeight="1" spans="1:20">
      <c r="A1343" s="9"/>
      <c r="B1343" s="25"/>
      <c r="C1343" s="25"/>
      <c r="D1343" s="25"/>
      <c r="E1343" s="25"/>
      <c r="F1343" s="25"/>
      <c r="G1343" s="25"/>
      <c r="H1343" s="25"/>
      <c r="I1343" s="25"/>
      <c r="J1343" s="25"/>
      <c r="K1343" s="25"/>
      <c r="L1343" s="25"/>
      <c r="M1343" s="42" t="s">
        <v>253</v>
      </c>
      <c r="N1343" s="41">
        <v>45273</v>
      </c>
      <c r="O1343" s="25">
        <v>105</v>
      </c>
      <c r="P1343" s="25">
        <v>0</v>
      </c>
      <c r="Q1343" s="25"/>
      <c r="R1343" s="25"/>
      <c r="S1343" s="25"/>
      <c r="T1343" s="10"/>
    </row>
    <row r="1344" s="35" customFormat="1" ht="18.5" customHeight="1" spans="1:20">
      <c r="A1344" s="9"/>
      <c r="B1344" s="25"/>
      <c r="C1344" s="25"/>
      <c r="D1344" s="25"/>
      <c r="E1344" s="25"/>
      <c r="F1344" s="25"/>
      <c r="G1344" s="25"/>
      <c r="H1344" s="25"/>
      <c r="I1344" s="25"/>
      <c r="J1344" s="25"/>
      <c r="K1344" s="25"/>
      <c r="L1344" s="25"/>
      <c r="M1344" s="42" t="s">
        <v>253</v>
      </c>
      <c r="N1344" s="41">
        <v>45244</v>
      </c>
      <c r="O1344" s="25">
        <v>92</v>
      </c>
      <c r="P1344" s="25">
        <v>0</v>
      </c>
      <c r="Q1344" s="25"/>
      <c r="R1344" s="25"/>
      <c r="S1344" s="25"/>
      <c r="T1344" s="10"/>
    </row>
    <row r="1345" s="35" customFormat="1" ht="18.5" customHeight="1" spans="1:20">
      <c r="A1345" s="9"/>
      <c r="B1345" s="25"/>
      <c r="C1345" s="25"/>
      <c r="D1345" s="25"/>
      <c r="E1345" s="25"/>
      <c r="F1345" s="25"/>
      <c r="G1345" s="25"/>
      <c r="H1345" s="25"/>
      <c r="I1345" s="25"/>
      <c r="J1345" s="25"/>
      <c r="K1345" s="25"/>
      <c r="L1345" s="25"/>
      <c r="M1345" s="42" t="s">
        <v>253</v>
      </c>
      <c r="N1345" s="41">
        <v>45238</v>
      </c>
      <c r="O1345" s="25">
        <v>88</v>
      </c>
      <c r="P1345" s="25">
        <v>0</v>
      </c>
      <c r="Q1345" s="25"/>
      <c r="R1345" s="25"/>
      <c r="S1345" s="25"/>
      <c r="T1345" s="10"/>
    </row>
    <row r="1346" s="35" customFormat="1" ht="18.5" customHeight="1" spans="1:20">
      <c r="A1346" s="9"/>
      <c r="B1346" s="25"/>
      <c r="C1346" s="25"/>
      <c r="D1346" s="25"/>
      <c r="E1346" s="25"/>
      <c r="F1346" s="25"/>
      <c r="G1346" s="25"/>
      <c r="H1346" s="25"/>
      <c r="I1346" s="25"/>
      <c r="J1346" s="25"/>
      <c r="K1346" s="25"/>
      <c r="L1346" s="25"/>
      <c r="M1346" s="42" t="s">
        <v>253</v>
      </c>
      <c r="N1346" s="41">
        <v>44991</v>
      </c>
      <c r="O1346" s="25">
        <v>8229</v>
      </c>
      <c r="P1346" s="25">
        <v>0</v>
      </c>
      <c r="Q1346" s="25"/>
      <c r="R1346" s="25"/>
      <c r="S1346" s="25"/>
      <c r="T1346" s="10"/>
    </row>
    <row r="1347" s="35" customFormat="1" ht="18.5" customHeight="1" spans="1:20">
      <c r="A1347" s="9"/>
      <c r="B1347" s="25"/>
      <c r="C1347" s="25"/>
      <c r="D1347" s="25"/>
      <c r="E1347" s="25"/>
      <c r="F1347" s="25"/>
      <c r="G1347" s="25"/>
      <c r="H1347" s="25"/>
      <c r="I1347" s="25"/>
      <c r="J1347" s="25"/>
      <c r="K1347" s="25"/>
      <c r="L1347" s="25"/>
      <c r="M1347" s="42" t="s">
        <v>253</v>
      </c>
      <c r="N1347" s="41">
        <v>45067</v>
      </c>
      <c r="O1347" s="25">
        <v>614</v>
      </c>
      <c r="P1347" s="25">
        <v>0</v>
      </c>
      <c r="Q1347" s="25"/>
      <c r="R1347" s="25"/>
      <c r="S1347" s="25"/>
      <c r="T1347" s="10"/>
    </row>
    <row r="1348" s="35" customFormat="1" ht="18.5" customHeight="1" spans="1:20">
      <c r="A1348" s="9"/>
      <c r="B1348" s="25"/>
      <c r="C1348" s="25"/>
      <c r="D1348" s="25"/>
      <c r="E1348" s="25"/>
      <c r="F1348" s="25"/>
      <c r="G1348" s="25"/>
      <c r="H1348" s="25"/>
      <c r="I1348" s="25"/>
      <c r="J1348" s="25"/>
      <c r="K1348" s="25"/>
      <c r="L1348" s="25"/>
      <c r="M1348" s="42" t="s">
        <v>253</v>
      </c>
      <c r="N1348" s="41">
        <v>45140</v>
      </c>
      <c r="O1348" s="25">
        <v>892</v>
      </c>
      <c r="P1348" s="25">
        <v>0</v>
      </c>
      <c r="Q1348" s="25"/>
      <c r="R1348" s="25"/>
      <c r="S1348" s="25"/>
      <c r="T1348" s="10"/>
    </row>
    <row r="1349" s="35" customFormat="1" ht="18.5" customHeight="1" spans="1:20">
      <c r="A1349" s="9"/>
      <c r="B1349" s="25"/>
      <c r="C1349" s="25"/>
      <c r="D1349" s="25"/>
      <c r="E1349" s="25"/>
      <c r="F1349" s="25"/>
      <c r="G1349" s="25"/>
      <c r="H1349" s="25"/>
      <c r="I1349" s="25"/>
      <c r="J1349" s="25"/>
      <c r="K1349" s="25"/>
      <c r="L1349" s="25"/>
      <c r="M1349" s="42" t="s">
        <v>253</v>
      </c>
      <c r="N1349" s="41">
        <v>45082</v>
      </c>
      <c r="O1349" s="25">
        <v>2100</v>
      </c>
      <c r="P1349" s="25">
        <v>0</v>
      </c>
      <c r="Q1349" s="25"/>
      <c r="R1349" s="25"/>
      <c r="S1349" s="25"/>
      <c r="T1349" s="10"/>
    </row>
    <row r="1350" s="35" customFormat="1" ht="18.5" customHeight="1" spans="1:20">
      <c r="A1350" s="9"/>
      <c r="B1350" s="25"/>
      <c r="C1350" s="25"/>
      <c r="D1350" s="25"/>
      <c r="E1350" s="25"/>
      <c r="F1350" s="25"/>
      <c r="G1350" s="25"/>
      <c r="H1350" s="25"/>
      <c r="I1350" s="25"/>
      <c r="J1350" s="25"/>
      <c r="K1350" s="25"/>
      <c r="L1350" s="25"/>
      <c r="M1350" s="42" t="s">
        <v>253</v>
      </c>
      <c r="N1350" s="41">
        <v>45203</v>
      </c>
      <c r="O1350" s="25">
        <v>649</v>
      </c>
      <c r="P1350" s="25">
        <v>0</v>
      </c>
      <c r="Q1350" s="25"/>
      <c r="R1350" s="25"/>
      <c r="S1350" s="25"/>
      <c r="T1350" s="10"/>
    </row>
    <row r="1351" s="35" customFormat="1" ht="18.5" customHeight="1" spans="1:20">
      <c r="A1351" s="9"/>
      <c r="B1351" s="25"/>
      <c r="C1351" s="25"/>
      <c r="D1351" s="25"/>
      <c r="E1351" s="25"/>
      <c r="F1351" s="25"/>
      <c r="G1351" s="25"/>
      <c r="H1351" s="25"/>
      <c r="I1351" s="25"/>
      <c r="J1351" s="25"/>
      <c r="K1351" s="25"/>
      <c r="L1351" s="25"/>
      <c r="M1351" s="42" t="s">
        <v>253</v>
      </c>
      <c r="N1351" s="41">
        <v>45068</v>
      </c>
      <c r="O1351" s="25">
        <v>353</v>
      </c>
      <c r="P1351" s="25">
        <v>0</v>
      </c>
      <c r="Q1351" s="25"/>
      <c r="R1351" s="25"/>
      <c r="S1351" s="25"/>
      <c r="T1351" s="10"/>
    </row>
    <row r="1352" s="35" customFormat="1" ht="18.5" customHeight="1" spans="1:20">
      <c r="A1352" s="9"/>
      <c r="B1352" s="25"/>
      <c r="C1352" s="25"/>
      <c r="D1352" s="25"/>
      <c r="E1352" s="25"/>
      <c r="F1352" s="25"/>
      <c r="G1352" s="25"/>
      <c r="H1352" s="25"/>
      <c r="I1352" s="25"/>
      <c r="J1352" s="25"/>
      <c r="K1352" s="25"/>
      <c r="L1352" s="25"/>
      <c r="M1352" s="42" t="s">
        <v>253</v>
      </c>
      <c r="N1352" s="41">
        <v>45098</v>
      </c>
      <c r="O1352" s="25">
        <v>4130</v>
      </c>
      <c r="P1352" s="25">
        <v>0</v>
      </c>
      <c r="Q1352" s="25"/>
      <c r="R1352" s="25"/>
      <c r="S1352" s="25"/>
      <c r="T1352" s="10"/>
    </row>
    <row r="1353" s="35" customFormat="1" ht="18.5" customHeight="1" spans="1:20">
      <c r="A1353" s="9"/>
      <c r="B1353" s="25"/>
      <c r="C1353" s="25"/>
      <c r="D1353" s="25"/>
      <c r="E1353" s="25"/>
      <c r="F1353" s="25"/>
      <c r="G1353" s="25"/>
      <c r="H1353" s="25"/>
      <c r="I1353" s="25"/>
      <c r="J1353" s="25"/>
      <c r="K1353" s="25"/>
      <c r="L1353" s="25"/>
      <c r="M1353" s="42" t="s">
        <v>253</v>
      </c>
      <c r="N1353" s="41">
        <v>45027</v>
      </c>
      <c r="O1353" s="25">
        <v>3500</v>
      </c>
      <c r="P1353" s="25">
        <v>0</v>
      </c>
      <c r="Q1353" s="25"/>
      <c r="R1353" s="25"/>
      <c r="S1353" s="25"/>
      <c r="T1353" s="10"/>
    </row>
    <row r="1354" s="35" customFormat="1" ht="18.5" customHeight="1" spans="1:20">
      <c r="A1354" s="9"/>
      <c r="B1354" s="25"/>
      <c r="C1354" s="25"/>
      <c r="D1354" s="25"/>
      <c r="E1354" s="25"/>
      <c r="F1354" s="25"/>
      <c r="G1354" s="25"/>
      <c r="H1354" s="25"/>
      <c r="I1354" s="25"/>
      <c r="J1354" s="25"/>
      <c r="K1354" s="25"/>
      <c r="L1354" s="25"/>
      <c r="M1354" s="42" t="s">
        <v>253</v>
      </c>
      <c r="N1354" s="41">
        <v>45176</v>
      </c>
      <c r="O1354" s="25">
        <v>2569</v>
      </c>
      <c r="P1354" s="25">
        <v>0</v>
      </c>
      <c r="Q1354" s="25"/>
      <c r="R1354" s="25"/>
      <c r="S1354" s="25"/>
      <c r="T1354" s="10"/>
    </row>
    <row r="1355" s="35" customFormat="1" ht="18.5" customHeight="1" spans="1:20">
      <c r="A1355" s="9"/>
      <c r="B1355" s="25"/>
      <c r="C1355" s="25"/>
      <c r="D1355" s="25"/>
      <c r="E1355" s="25"/>
      <c r="F1355" s="25"/>
      <c r="G1355" s="25"/>
      <c r="H1355" s="25"/>
      <c r="I1355" s="25"/>
      <c r="J1355" s="25"/>
      <c r="K1355" s="25"/>
      <c r="L1355" s="25"/>
      <c r="M1355" s="42" t="s">
        <v>253</v>
      </c>
      <c r="N1355" s="41">
        <v>45045</v>
      </c>
      <c r="O1355" s="25">
        <v>2026</v>
      </c>
      <c r="P1355" s="25">
        <v>0</v>
      </c>
      <c r="Q1355" s="25"/>
      <c r="R1355" s="25"/>
      <c r="S1355" s="25"/>
      <c r="T1355" s="10"/>
    </row>
    <row r="1356" s="35" customFormat="1" ht="18.5" customHeight="1" spans="1:20">
      <c r="A1356" s="9"/>
      <c r="B1356" s="25"/>
      <c r="C1356" s="25"/>
      <c r="D1356" s="25"/>
      <c r="E1356" s="25"/>
      <c r="F1356" s="25"/>
      <c r="G1356" s="25"/>
      <c r="H1356" s="25"/>
      <c r="I1356" s="25"/>
      <c r="J1356" s="25"/>
      <c r="K1356" s="25"/>
      <c r="L1356" s="25"/>
      <c r="M1356" s="42" t="s">
        <v>253</v>
      </c>
      <c r="N1356" s="41">
        <v>45114</v>
      </c>
      <c r="O1356" s="25">
        <v>1267</v>
      </c>
      <c r="P1356" s="25">
        <v>0</v>
      </c>
      <c r="Q1356" s="25"/>
      <c r="R1356" s="25"/>
      <c r="S1356" s="25"/>
      <c r="T1356" s="10"/>
    </row>
    <row r="1357" s="35" customFormat="1" ht="18.5" customHeight="1" spans="1:20">
      <c r="A1357" s="9"/>
      <c r="B1357" s="25"/>
      <c r="C1357" s="25"/>
      <c r="D1357" s="25"/>
      <c r="E1357" s="25"/>
      <c r="F1357" s="25"/>
      <c r="G1357" s="25"/>
      <c r="H1357" s="25"/>
      <c r="I1357" s="25"/>
      <c r="J1357" s="25"/>
      <c r="K1357" s="25"/>
      <c r="L1357" s="25"/>
      <c r="M1357" s="42" t="s">
        <v>253</v>
      </c>
      <c r="N1357" s="41">
        <v>45063</v>
      </c>
      <c r="O1357" s="25">
        <v>543</v>
      </c>
      <c r="P1357" s="25">
        <v>0</v>
      </c>
      <c r="Q1357" s="25"/>
      <c r="R1357" s="25"/>
      <c r="S1357" s="25"/>
      <c r="T1357" s="10"/>
    </row>
    <row r="1358" s="35" customFormat="1" ht="18.5" customHeight="1" spans="1:20">
      <c r="A1358" s="9"/>
      <c r="B1358" s="25"/>
      <c r="C1358" s="25"/>
      <c r="D1358" s="25"/>
      <c r="E1358" s="25"/>
      <c r="F1358" s="25"/>
      <c r="G1358" s="25"/>
      <c r="H1358" s="25"/>
      <c r="I1358" s="25"/>
      <c r="J1358" s="25"/>
      <c r="K1358" s="25"/>
      <c r="L1358" s="25"/>
      <c r="M1358" s="42" t="s">
        <v>253</v>
      </c>
      <c r="N1358" s="41">
        <v>44960</v>
      </c>
      <c r="O1358" s="25">
        <v>925</v>
      </c>
      <c r="P1358" s="25">
        <v>0</v>
      </c>
      <c r="Q1358" s="25"/>
      <c r="R1358" s="25"/>
      <c r="S1358" s="25"/>
      <c r="T1358" s="10"/>
    </row>
    <row r="1359" s="35" customFormat="1" ht="18.5" customHeight="1" spans="1:20">
      <c r="A1359" s="9"/>
      <c r="B1359" s="25"/>
      <c r="C1359" s="25"/>
      <c r="D1359" s="25"/>
      <c r="E1359" s="25"/>
      <c r="F1359" s="25"/>
      <c r="G1359" s="25"/>
      <c r="H1359" s="25"/>
      <c r="I1359" s="25"/>
      <c r="J1359" s="25"/>
      <c r="K1359" s="25"/>
      <c r="L1359" s="25"/>
      <c r="M1359" s="42" t="s">
        <v>253</v>
      </c>
      <c r="N1359" s="41">
        <v>45052</v>
      </c>
      <c r="O1359" s="25">
        <v>500</v>
      </c>
      <c r="P1359" s="25">
        <v>0</v>
      </c>
      <c r="Q1359" s="25"/>
      <c r="R1359" s="25"/>
      <c r="S1359" s="25"/>
      <c r="T1359" s="10"/>
    </row>
    <row r="1360" s="35" customFormat="1" ht="18.5" customHeight="1" spans="1:20">
      <c r="A1360" s="9"/>
      <c r="B1360" s="25"/>
      <c r="C1360" s="25"/>
      <c r="D1360" s="25"/>
      <c r="E1360" s="25"/>
      <c r="F1360" s="25"/>
      <c r="G1360" s="25"/>
      <c r="H1360" s="25"/>
      <c r="I1360" s="25"/>
      <c r="J1360" s="25"/>
      <c r="K1360" s="25"/>
      <c r="L1360" s="25"/>
      <c r="M1360" s="42" t="s">
        <v>253</v>
      </c>
      <c r="N1360" s="41">
        <v>45049</v>
      </c>
      <c r="O1360" s="25">
        <v>704</v>
      </c>
      <c r="P1360" s="25">
        <v>0</v>
      </c>
      <c r="Q1360" s="25"/>
      <c r="R1360" s="25"/>
      <c r="S1360" s="25"/>
      <c r="T1360" s="10"/>
    </row>
    <row r="1361" s="35" customFormat="1" ht="18.5" customHeight="1" spans="1:20">
      <c r="A1361" s="9"/>
      <c r="B1361" s="25"/>
      <c r="C1361" s="25"/>
      <c r="D1361" s="25"/>
      <c r="E1361" s="25"/>
      <c r="F1361" s="25"/>
      <c r="G1361" s="25"/>
      <c r="H1361" s="25"/>
      <c r="I1361" s="25"/>
      <c r="J1361" s="25"/>
      <c r="K1361" s="25"/>
      <c r="L1361" s="25"/>
      <c r="M1361" s="42" t="s">
        <v>253</v>
      </c>
      <c r="N1361" s="41">
        <v>45026</v>
      </c>
      <c r="O1361" s="25">
        <v>561</v>
      </c>
      <c r="P1361" s="25">
        <v>0</v>
      </c>
      <c r="Q1361" s="25"/>
      <c r="R1361" s="25"/>
      <c r="S1361" s="25"/>
      <c r="T1361" s="10"/>
    </row>
    <row r="1362" s="35" customFormat="1" ht="18.5" customHeight="1" spans="1:20">
      <c r="A1362" s="9"/>
      <c r="B1362" s="25"/>
      <c r="C1362" s="25"/>
      <c r="D1362" s="25"/>
      <c r="E1362" s="25"/>
      <c r="F1362" s="25"/>
      <c r="G1362" s="25"/>
      <c r="H1362" s="25"/>
      <c r="I1362" s="25"/>
      <c r="J1362" s="25"/>
      <c r="K1362" s="25"/>
      <c r="L1362" s="25"/>
      <c r="M1362" s="42" t="s">
        <v>253</v>
      </c>
      <c r="N1362" s="41">
        <v>44986</v>
      </c>
      <c r="O1362" s="25">
        <v>547</v>
      </c>
      <c r="P1362" s="25">
        <v>0</v>
      </c>
      <c r="Q1362" s="25"/>
      <c r="R1362" s="25"/>
      <c r="S1362" s="25"/>
      <c r="T1362" s="10"/>
    </row>
    <row r="1363" s="35" customFormat="1" ht="18.5" customHeight="1" spans="1:20">
      <c r="A1363" s="9"/>
      <c r="B1363" s="25"/>
      <c r="C1363" s="25"/>
      <c r="D1363" s="25"/>
      <c r="E1363" s="25"/>
      <c r="F1363" s="25"/>
      <c r="G1363" s="25"/>
      <c r="H1363" s="25"/>
      <c r="I1363" s="25"/>
      <c r="J1363" s="25"/>
      <c r="K1363" s="25"/>
      <c r="L1363" s="25"/>
      <c r="M1363" s="42" t="s">
        <v>253</v>
      </c>
      <c r="N1363" s="41">
        <v>45261</v>
      </c>
      <c r="O1363" s="25">
        <v>545</v>
      </c>
      <c r="P1363" s="25">
        <v>0</v>
      </c>
      <c r="Q1363" s="25"/>
      <c r="R1363" s="25"/>
      <c r="S1363" s="25"/>
      <c r="T1363" s="10"/>
    </row>
    <row r="1364" s="35" customFormat="1" ht="18.5" customHeight="1" spans="1:20">
      <c r="A1364" s="9"/>
      <c r="B1364" s="25"/>
      <c r="C1364" s="25"/>
      <c r="D1364" s="25"/>
      <c r="E1364" s="25"/>
      <c r="F1364" s="25"/>
      <c r="G1364" s="25"/>
      <c r="H1364" s="25"/>
      <c r="I1364" s="25"/>
      <c r="J1364" s="25"/>
      <c r="K1364" s="25"/>
      <c r="L1364" s="25"/>
      <c r="M1364" s="42" t="s">
        <v>253</v>
      </c>
      <c r="N1364" s="41">
        <v>44933</v>
      </c>
      <c r="O1364" s="25">
        <v>535</v>
      </c>
      <c r="P1364" s="25">
        <v>0</v>
      </c>
      <c r="Q1364" s="25"/>
      <c r="R1364" s="25"/>
      <c r="S1364" s="25"/>
      <c r="T1364" s="10"/>
    </row>
    <row r="1365" s="35" customFormat="1" ht="18.5" customHeight="1" spans="1:20">
      <c r="A1365" s="9"/>
      <c r="B1365" s="25"/>
      <c r="C1365" s="25"/>
      <c r="D1365" s="25"/>
      <c r="E1365" s="25"/>
      <c r="F1365" s="25"/>
      <c r="G1365" s="25"/>
      <c r="H1365" s="25"/>
      <c r="I1365" s="25"/>
      <c r="J1365" s="25"/>
      <c r="K1365" s="25"/>
      <c r="L1365" s="25"/>
      <c r="M1365" s="42" t="s">
        <v>253</v>
      </c>
      <c r="N1365" s="41">
        <v>45178</v>
      </c>
      <c r="O1365" s="25">
        <v>497</v>
      </c>
      <c r="P1365" s="25">
        <v>0</v>
      </c>
      <c r="Q1365" s="25"/>
      <c r="R1365" s="25"/>
      <c r="S1365" s="25"/>
      <c r="T1365" s="10"/>
    </row>
    <row r="1366" s="35" customFormat="1" ht="18.5" customHeight="1" spans="1:20">
      <c r="A1366" s="9"/>
      <c r="B1366" s="25"/>
      <c r="C1366" s="25"/>
      <c r="D1366" s="25"/>
      <c r="E1366" s="25"/>
      <c r="F1366" s="25"/>
      <c r="G1366" s="25"/>
      <c r="H1366" s="25"/>
      <c r="I1366" s="25"/>
      <c r="J1366" s="25"/>
      <c r="K1366" s="25"/>
      <c r="L1366" s="25"/>
      <c r="M1366" s="42" t="s">
        <v>253</v>
      </c>
      <c r="N1366" s="41">
        <v>44996</v>
      </c>
      <c r="O1366" s="25">
        <v>485</v>
      </c>
      <c r="P1366" s="25">
        <v>0</v>
      </c>
      <c r="Q1366" s="25"/>
      <c r="R1366" s="25"/>
      <c r="S1366" s="25"/>
      <c r="T1366" s="10"/>
    </row>
    <row r="1367" s="35" customFormat="1" ht="18.5" customHeight="1" spans="1:20">
      <c r="A1367" s="9"/>
      <c r="B1367" s="25"/>
      <c r="C1367" s="25"/>
      <c r="D1367" s="25"/>
      <c r="E1367" s="25"/>
      <c r="F1367" s="25"/>
      <c r="G1367" s="25"/>
      <c r="H1367" s="25"/>
      <c r="I1367" s="25"/>
      <c r="J1367" s="25"/>
      <c r="K1367" s="25"/>
      <c r="L1367" s="25"/>
      <c r="M1367" s="42" t="s">
        <v>253</v>
      </c>
      <c r="N1367" s="41">
        <v>45104</v>
      </c>
      <c r="O1367" s="25">
        <v>245</v>
      </c>
      <c r="P1367" s="25">
        <v>0</v>
      </c>
      <c r="Q1367" s="25"/>
      <c r="R1367" s="25"/>
      <c r="S1367" s="25"/>
      <c r="T1367" s="10"/>
    </row>
    <row r="1368" s="35" customFormat="1" ht="18.5" customHeight="1" spans="1:20">
      <c r="A1368" s="9"/>
      <c r="B1368" s="25"/>
      <c r="C1368" s="25"/>
      <c r="D1368" s="25"/>
      <c r="E1368" s="25"/>
      <c r="F1368" s="25"/>
      <c r="G1368" s="25"/>
      <c r="H1368" s="25"/>
      <c r="I1368" s="25"/>
      <c r="J1368" s="25"/>
      <c r="K1368" s="25"/>
      <c r="L1368" s="25"/>
      <c r="M1368" s="42" t="s">
        <v>253</v>
      </c>
      <c r="N1368" s="41">
        <v>45142</v>
      </c>
      <c r="O1368" s="25">
        <v>398</v>
      </c>
      <c r="P1368" s="25">
        <v>0</v>
      </c>
      <c r="Q1368" s="25"/>
      <c r="R1368" s="25"/>
      <c r="S1368" s="25"/>
      <c r="T1368" s="10"/>
    </row>
    <row r="1369" s="35" customFormat="1" ht="18.5" customHeight="1" spans="1:20">
      <c r="A1369" s="9"/>
      <c r="B1369" s="25"/>
      <c r="C1369" s="25"/>
      <c r="D1369" s="25"/>
      <c r="E1369" s="25"/>
      <c r="F1369" s="25"/>
      <c r="G1369" s="25"/>
      <c r="H1369" s="25"/>
      <c r="I1369" s="25"/>
      <c r="J1369" s="25"/>
      <c r="K1369" s="25"/>
      <c r="L1369" s="25"/>
      <c r="M1369" s="42" t="s">
        <v>253</v>
      </c>
      <c r="N1369" s="41">
        <v>45031</v>
      </c>
      <c r="O1369" s="25">
        <v>2141</v>
      </c>
      <c r="P1369" s="25">
        <v>0</v>
      </c>
      <c r="Q1369" s="25"/>
      <c r="R1369" s="25"/>
      <c r="S1369" s="25"/>
      <c r="T1369" s="10"/>
    </row>
    <row r="1370" s="35" customFormat="1" ht="18.5" customHeight="1" spans="1:20">
      <c r="A1370" s="9"/>
      <c r="B1370" s="25"/>
      <c r="C1370" s="25"/>
      <c r="D1370" s="25"/>
      <c r="E1370" s="25"/>
      <c r="F1370" s="25"/>
      <c r="G1370" s="25"/>
      <c r="H1370" s="25"/>
      <c r="I1370" s="25"/>
      <c r="J1370" s="25"/>
      <c r="K1370" s="25"/>
      <c r="L1370" s="25"/>
      <c r="M1370" s="42" t="s">
        <v>253</v>
      </c>
      <c r="N1370" s="41">
        <v>45010</v>
      </c>
      <c r="O1370" s="25">
        <v>376</v>
      </c>
      <c r="P1370" s="25">
        <v>0</v>
      </c>
      <c r="Q1370" s="25"/>
      <c r="R1370" s="25"/>
      <c r="S1370" s="25"/>
      <c r="T1370" s="10"/>
    </row>
    <row r="1371" s="35" customFormat="1" ht="18.5" customHeight="1" spans="1:20">
      <c r="A1371" s="9"/>
      <c r="B1371" s="25"/>
      <c r="C1371" s="25"/>
      <c r="D1371" s="25"/>
      <c r="E1371" s="25"/>
      <c r="F1371" s="25"/>
      <c r="G1371" s="25"/>
      <c r="H1371" s="25"/>
      <c r="I1371" s="25"/>
      <c r="J1371" s="25"/>
      <c r="K1371" s="25"/>
      <c r="L1371" s="25"/>
      <c r="M1371" s="42" t="s">
        <v>253</v>
      </c>
      <c r="N1371" s="41">
        <v>45117</v>
      </c>
      <c r="O1371" s="25">
        <v>368</v>
      </c>
      <c r="P1371" s="25">
        <v>0</v>
      </c>
      <c r="Q1371" s="25"/>
      <c r="R1371" s="25"/>
      <c r="S1371" s="25"/>
      <c r="T1371" s="10"/>
    </row>
    <row r="1372" s="35" customFormat="1" ht="18.5" customHeight="1" spans="1:20">
      <c r="A1372" s="9"/>
      <c r="B1372" s="25"/>
      <c r="C1372" s="25"/>
      <c r="D1372" s="25"/>
      <c r="E1372" s="25"/>
      <c r="F1372" s="25"/>
      <c r="G1372" s="25"/>
      <c r="H1372" s="25"/>
      <c r="I1372" s="25"/>
      <c r="J1372" s="25"/>
      <c r="K1372" s="25"/>
      <c r="L1372" s="25"/>
      <c r="M1372" s="42" t="s">
        <v>253</v>
      </c>
      <c r="N1372" s="41">
        <v>45250</v>
      </c>
      <c r="O1372" s="25">
        <v>196</v>
      </c>
      <c r="P1372" s="25">
        <v>0</v>
      </c>
      <c r="Q1372" s="25"/>
      <c r="R1372" s="25"/>
      <c r="S1372" s="25"/>
      <c r="T1372" s="10"/>
    </row>
    <row r="1373" s="35" customFormat="1" ht="18.5" customHeight="1" spans="1:20">
      <c r="A1373" s="9"/>
      <c r="B1373" s="25"/>
      <c r="C1373" s="25"/>
      <c r="D1373" s="25"/>
      <c r="E1373" s="25"/>
      <c r="F1373" s="25"/>
      <c r="G1373" s="25"/>
      <c r="H1373" s="25"/>
      <c r="I1373" s="25"/>
      <c r="J1373" s="25"/>
      <c r="K1373" s="25"/>
      <c r="L1373" s="25"/>
      <c r="M1373" s="42" t="s">
        <v>253</v>
      </c>
      <c r="N1373" s="41">
        <v>44968</v>
      </c>
      <c r="O1373" s="25">
        <v>323</v>
      </c>
      <c r="P1373" s="25">
        <v>0</v>
      </c>
      <c r="Q1373" s="25"/>
      <c r="R1373" s="25"/>
      <c r="S1373" s="25"/>
      <c r="T1373" s="10"/>
    </row>
    <row r="1374" s="35" customFormat="1" ht="18.5" customHeight="1" spans="1:20">
      <c r="A1374" s="9"/>
      <c r="B1374" s="25"/>
      <c r="C1374" s="25"/>
      <c r="D1374" s="25"/>
      <c r="E1374" s="25"/>
      <c r="F1374" s="25"/>
      <c r="G1374" s="25"/>
      <c r="H1374" s="25"/>
      <c r="I1374" s="25"/>
      <c r="J1374" s="25"/>
      <c r="K1374" s="25"/>
      <c r="L1374" s="25"/>
      <c r="M1374" s="42" t="s">
        <v>253</v>
      </c>
      <c r="N1374" s="41">
        <v>44966</v>
      </c>
      <c r="O1374" s="25">
        <v>318</v>
      </c>
      <c r="P1374" s="25">
        <v>0</v>
      </c>
      <c r="Q1374" s="25"/>
      <c r="R1374" s="25"/>
      <c r="S1374" s="25"/>
      <c r="T1374" s="10"/>
    </row>
    <row r="1375" s="35" customFormat="1" ht="18.5" customHeight="1" spans="1:20">
      <c r="A1375" s="9"/>
      <c r="B1375" s="25"/>
      <c r="C1375" s="25"/>
      <c r="D1375" s="25"/>
      <c r="E1375" s="25"/>
      <c r="F1375" s="25"/>
      <c r="G1375" s="25"/>
      <c r="H1375" s="25"/>
      <c r="I1375" s="25"/>
      <c r="J1375" s="25"/>
      <c r="K1375" s="25"/>
      <c r="L1375" s="25"/>
      <c r="M1375" s="42" t="s">
        <v>253</v>
      </c>
      <c r="N1375" s="41">
        <v>44941</v>
      </c>
      <c r="O1375" s="25">
        <v>296</v>
      </c>
      <c r="P1375" s="25">
        <v>0</v>
      </c>
      <c r="Q1375" s="25"/>
      <c r="R1375" s="25"/>
      <c r="S1375" s="25"/>
      <c r="T1375" s="10"/>
    </row>
    <row r="1376" s="35" customFormat="1" ht="18.5" customHeight="1" spans="1:20">
      <c r="A1376" s="9"/>
      <c r="B1376" s="25"/>
      <c r="C1376" s="25"/>
      <c r="D1376" s="25"/>
      <c r="E1376" s="25"/>
      <c r="F1376" s="25"/>
      <c r="G1376" s="25"/>
      <c r="H1376" s="25"/>
      <c r="I1376" s="25"/>
      <c r="J1376" s="25"/>
      <c r="K1376" s="25"/>
      <c r="L1376" s="25"/>
      <c r="M1376" s="42" t="s">
        <v>253</v>
      </c>
      <c r="N1376" s="41">
        <v>45232</v>
      </c>
      <c r="O1376" s="25">
        <v>223</v>
      </c>
      <c r="P1376" s="25">
        <v>0</v>
      </c>
      <c r="Q1376" s="25"/>
      <c r="R1376" s="25"/>
      <c r="S1376" s="25"/>
      <c r="T1376" s="10"/>
    </row>
    <row r="1377" s="35" customFormat="1" ht="18.5" customHeight="1" spans="1:20">
      <c r="A1377" s="9"/>
      <c r="B1377" s="25"/>
      <c r="C1377" s="25"/>
      <c r="D1377" s="25"/>
      <c r="E1377" s="25"/>
      <c r="F1377" s="25"/>
      <c r="G1377" s="25"/>
      <c r="H1377" s="25"/>
      <c r="I1377" s="25"/>
      <c r="J1377" s="25"/>
      <c r="K1377" s="25"/>
      <c r="L1377" s="25"/>
      <c r="M1377" s="42" t="s">
        <v>253</v>
      </c>
      <c r="N1377" s="41">
        <v>45052</v>
      </c>
      <c r="O1377" s="25">
        <v>971</v>
      </c>
      <c r="P1377" s="25">
        <v>0</v>
      </c>
      <c r="Q1377" s="25"/>
      <c r="R1377" s="25"/>
      <c r="S1377" s="25"/>
      <c r="T1377" s="10"/>
    </row>
    <row r="1378" s="35" customFormat="1" ht="18.5" customHeight="1" spans="1:20">
      <c r="A1378" s="9"/>
      <c r="B1378" s="25"/>
      <c r="C1378" s="25"/>
      <c r="D1378" s="25"/>
      <c r="E1378" s="25"/>
      <c r="F1378" s="25"/>
      <c r="G1378" s="25"/>
      <c r="H1378" s="25"/>
      <c r="I1378" s="25"/>
      <c r="J1378" s="25"/>
      <c r="K1378" s="25"/>
      <c r="L1378" s="25"/>
      <c r="M1378" s="42" t="s">
        <v>253</v>
      </c>
      <c r="N1378" s="41">
        <v>44989</v>
      </c>
      <c r="O1378" s="25">
        <v>934</v>
      </c>
      <c r="P1378" s="25">
        <v>0</v>
      </c>
      <c r="Q1378" s="25"/>
      <c r="R1378" s="25"/>
      <c r="S1378" s="25"/>
      <c r="T1378" s="10"/>
    </row>
    <row r="1379" s="35" customFormat="1" ht="18.5" customHeight="1" spans="1:20">
      <c r="A1379" s="9"/>
      <c r="B1379" s="25"/>
      <c r="C1379" s="25"/>
      <c r="D1379" s="25"/>
      <c r="E1379" s="25"/>
      <c r="F1379" s="25"/>
      <c r="G1379" s="25"/>
      <c r="H1379" s="25"/>
      <c r="I1379" s="25"/>
      <c r="J1379" s="25"/>
      <c r="K1379" s="25"/>
      <c r="L1379" s="25"/>
      <c r="M1379" s="42" t="s">
        <v>253</v>
      </c>
      <c r="N1379" s="41">
        <v>45049</v>
      </c>
      <c r="O1379" s="25">
        <v>752</v>
      </c>
      <c r="P1379" s="25">
        <v>0</v>
      </c>
      <c r="Q1379" s="25"/>
      <c r="R1379" s="25"/>
      <c r="S1379" s="25"/>
      <c r="T1379" s="10"/>
    </row>
    <row r="1380" s="35" customFormat="1" ht="18.5" customHeight="1" spans="1:20">
      <c r="A1380" s="9"/>
      <c r="B1380" s="25"/>
      <c r="C1380" s="25"/>
      <c r="D1380" s="25"/>
      <c r="E1380" s="25"/>
      <c r="F1380" s="25"/>
      <c r="G1380" s="25"/>
      <c r="H1380" s="25"/>
      <c r="I1380" s="25"/>
      <c r="J1380" s="25"/>
      <c r="K1380" s="25"/>
      <c r="L1380" s="25"/>
      <c r="M1380" s="42" t="s">
        <v>253</v>
      </c>
      <c r="N1380" s="41">
        <v>45058</v>
      </c>
      <c r="O1380" s="25">
        <v>742</v>
      </c>
      <c r="P1380" s="25">
        <v>0</v>
      </c>
      <c r="Q1380" s="25"/>
      <c r="R1380" s="25"/>
      <c r="S1380" s="25"/>
      <c r="T1380" s="10"/>
    </row>
    <row r="1381" s="35" customFormat="1" ht="18.5" customHeight="1" spans="1:20">
      <c r="A1381" s="9"/>
      <c r="B1381" s="25"/>
      <c r="C1381" s="25"/>
      <c r="D1381" s="25"/>
      <c r="E1381" s="25"/>
      <c r="F1381" s="25"/>
      <c r="G1381" s="25"/>
      <c r="H1381" s="25"/>
      <c r="I1381" s="25"/>
      <c r="J1381" s="25"/>
      <c r="K1381" s="25"/>
      <c r="L1381" s="25"/>
      <c r="M1381" s="42" t="s">
        <v>253</v>
      </c>
      <c r="N1381" s="41">
        <v>44929</v>
      </c>
      <c r="O1381" s="25">
        <v>596</v>
      </c>
      <c r="P1381" s="25">
        <v>0</v>
      </c>
      <c r="Q1381" s="25"/>
      <c r="R1381" s="25"/>
      <c r="S1381" s="25"/>
      <c r="T1381" s="10"/>
    </row>
    <row r="1382" s="35" customFormat="1" ht="18.5" customHeight="1" spans="1:20">
      <c r="A1382" s="9"/>
      <c r="B1382" s="25"/>
      <c r="C1382" s="25"/>
      <c r="D1382" s="25"/>
      <c r="E1382" s="25"/>
      <c r="F1382" s="25"/>
      <c r="G1382" s="25"/>
      <c r="H1382" s="25"/>
      <c r="I1382" s="25"/>
      <c r="J1382" s="25"/>
      <c r="K1382" s="25"/>
      <c r="L1382" s="25"/>
      <c r="M1382" s="42" t="s">
        <v>253</v>
      </c>
      <c r="N1382" s="41">
        <v>45180</v>
      </c>
      <c r="O1382" s="25">
        <v>585</v>
      </c>
      <c r="P1382" s="25">
        <v>0</v>
      </c>
      <c r="Q1382" s="25"/>
      <c r="R1382" s="25"/>
      <c r="S1382" s="25"/>
      <c r="T1382" s="10"/>
    </row>
    <row r="1383" s="35" customFormat="1" ht="18.5" customHeight="1" spans="1:20">
      <c r="A1383" s="9"/>
      <c r="B1383" s="25"/>
      <c r="C1383" s="25"/>
      <c r="D1383" s="25"/>
      <c r="E1383" s="25"/>
      <c r="F1383" s="25"/>
      <c r="G1383" s="25"/>
      <c r="H1383" s="25"/>
      <c r="I1383" s="25"/>
      <c r="J1383" s="25"/>
      <c r="K1383" s="25"/>
      <c r="L1383" s="25"/>
      <c r="M1383" s="42" t="s">
        <v>253</v>
      </c>
      <c r="N1383" s="41">
        <v>45047</v>
      </c>
      <c r="O1383" s="25">
        <v>583</v>
      </c>
      <c r="P1383" s="25">
        <v>0</v>
      </c>
      <c r="Q1383" s="25"/>
      <c r="R1383" s="25"/>
      <c r="S1383" s="25"/>
      <c r="T1383" s="10"/>
    </row>
    <row r="1384" s="35" customFormat="1" ht="18.5" customHeight="1" spans="1:20">
      <c r="A1384" s="9"/>
      <c r="B1384" s="25"/>
      <c r="C1384" s="25"/>
      <c r="D1384" s="25"/>
      <c r="E1384" s="25"/>
      <c r="F1384" s="25"/>
      <c r="G1384" s="25"/>
      <c r="H1384" s="25"/>
      <c r="I1384" s="25"/>
      <c r="J1384" s="25"/>
      <c r="K1384" s="25"/>
      <c r="L1384" s="25"/>
      <c r="M1384" s="42" t="s">
        <v>253</v>
      </c>
      <c r="N1384" s="41">
        <v>44989</v>
      </c>
      <c r="O1384" s="25">
        <v>526</v>
      </c>
      <c r="P1384" s="25">
        <v>0</v>
      </c>
      <c r="Q1384" s="25"/>
      <c r="R1384" s="25"/>
      <c r="S1384" s="25"/>
      <c r="T1384" s="10"/>
    </row>
    <row r="1385" s="35" customFormat="1" ht="18.5" customHeight="1" spans="1:20">
      <c r="A1385" s="9"/>
      <c r="B1385" s="25"/>
      <c r="C1385" s="25"/>
      <c r="D1385" s="25"/>
      <c r="E1385" s="25"/>
      <c r="F1385" s="25"/>
      <c r="G1385" s="25"/>
      <c r="H1385" s="25"/>
      <c r="I1385" s="25"/>
      <c r="J1385" s="25"/>
      <c r="K1385" s="25"/>
      <c r="L1385" s="25"/>
      <c r="M1385" s="42" t="s">
        <v>253</v>
      </c>
      <c r="N1385" s="41">
        <v>45062</v>
      </c>
      <c r="O1385" s="25">
        <v>486</v>
      </c>
      <c r="P1385" s="25">
        <v>0</v>
      </c>
      <c r="Q1385" s="25"/>
      <c r="R1385" s="25"/>
      <c r="S1385" s="25"/>
      <c r="T1385" s="10"/>
    </row>
    <row r="1386" s="35" customFormat="1" ht="18.5" customHeight="1" spans="1:20">
      <c r="A1386" s="9"/>
      <c r="B1386" s="25"/>
      <c r="C1386" s="25"/>
      <c r="D1386" s="25"/>
      <c r="E1386" s="25"/>
      <c r="F1386" s="25"/>
      <c r="G1386" s="25"/>
      <c r="H1386" s="25"/>
      <c r="I1386" s="25"/>
      <c r="J1386" s="25"/>
      <c r="K1386" s="25"/>
      <c r="L1386" s="25"/>
      <c r="M1386" s="42" t="s">
        <v>253</v>
      </c>
      <c r="N1386" s="41">
        <v>45028</v>
      </c>
      <c r="O1386" s="25">
        <v>2701</v>
      </c>
      <c r="P1386" s="25">
        <v>0</v>
      </c>
      <c r="Q1386" s="25"/>
      <c r="R1386" s="25"/>
      <c r="S1386" s="25"/>
      <c r="T1386" s="10"/>
    </row>
    <row r="1387" s="35" customFormat="1" ht="18.5" customHeight="1" spans="1:20">
      <c r="A1387" s="9"/>
      <c r="B1387" s="25"/>
      <c r="C1387" s="25"/>
      <c r="D1387" s="25"/>
      <c r="E1387" s="25"/>
      <c r="F1387" s="25"/>
      <c r="G1387" s="25"/>
      <c r="H1387" s="25"/>
      <c r="I1387" s="25"/>
      <c r="J1387" s="25"/>
      <c r="K1387" s="25"/>
      <c r="L1387" s="25"/>
      <c r="M1387" s="42" t="s">
        <v>253</v>
      </c>
      <c r="N1387" s="41">
        <v>45029</v>
      </c>
      <c r="O1387" s="25">
        <v>453</v>
      </c>
      <c r="P1387" s="25">
        <v>0</v>
      </c>
      <c r="Q1387" s="25"/>
      <c r="R1387" s="25"/>
      <c r="S1387" s="25"/>
      <c r="T1387" s="10"/>
    </row>
    <row r="1388" s="35" customFormat="1" ht="18.5" customHeight="1" spans="1:20">
      <c r="A1388" s="9"/>
      <c r="B1388" s="25"/>
      <c r="C1388" s="25"/>
      <c r="D1388" s="25"/>
      <c r="E1388" s="25"/>
      <c r="F1388" s="25"/>
      <c r="G1388" s="25"/>
      <c r="H1388" s="25"/>
      <c r="I1388" s="25"/>
      <c r="J1388" s="25"/>
      <c r="K1388" s="25"/>
      <c r="L1388" s="25"/>
      <c r="M1388" s="42" t="s">
        <v>253</v>
      </c>
      <c r="N1388" s="41">
        <v>45040</v>
      </c>
      <c r="O1388" s="25">
        <v>433</v>
      </c>
      <c r="P1388" s="25">
        <v>0</v>
      </c>
      <c r="Q1388" s="25"/>
      <c r="R1388" s="25"/>
      <c r="S1388" s="25"/>
      <c r="T1388" s="10"/>
    </row>
    <row r="1389" s="35" customFormat="1" ht="18.5" customHeight="1" spans="1:20">
      <c r="A1389" s="9"/>
      <c r="B1389" s="25"/>
      <c r="C1389" s="25"/>
      <c r="D1389" s="25"/>
      <c r="E1389" s="25"/>
      <c r="F1389" s="25"/>
      <c r="G1389" s="25"/>
      <c r="H1389" s="25"/>
      <c r="I1389" s="25"/>
      <c r="J1389" s="25"/>
      <c r="K1389" s="25"/>
      <c r="L1389" s="25"/>
      <c r="M1389" s="42" t="s">
        <v>253</v>
      </c>
      <c r="N1389" s="41">
        <v>44999</v>
      </c>
      <c r="O1389" s="25">
        <v>420</v>
      </c>
      <c r="P1389" s="25">
        <v>0</v>
      </c>
      <c r="Q1389" s="25"/>
      <c r="R1389" s="25"/>
      <c r="S1389" s="25"/>
      <c r="T1389" s="10"/>
    </row>
    <row r="1390" s="35" customFormat="1" ht="18.5" customHeight="1" spans="1:20">
      <c r="A1390" s="9"/>
      <c r="B1390" s="25"/>
      <c r="C1390" s="25"/>
      <c r="D1390" s="25"/>
      <c r="E1390" s="25"/>
      <c r="F1390" s="25"/>
      <c r="G1390" s="25"/>
      <c r="H1390" s="25"/>
      <c r="I1390" s="25"/>
      <c r="J1390" s="25"/>
      <c r="K1390" s="25"/>
      <c r="L1390" s="25"/>
      <c r="M1390" s="42" t="s">
        <v>253</v>
      </c>
      <c r="N1390" s="41">
        <v>44966</v>
      </c>
      <c r="O1390" s="25">
        <v>372</v>
      </c>
      <c r="P1390" s="25">
        <v>0</v>
      </c>
      <c r="Q1390" s="25"/>
      <c r="R1390" s="25"/>
      <c r="S1390" s="25"/>
      <c r="T1390" s="10"/>
    </row>
    <row r="1391" s="35" customFormat="1" ht="18.5" customHeight="1" spans="1:20">
      <c r="A1391" s="9"/>
      <c r="B1391" s="25"/>
      <c r="C1391" s="25"/>
      <c r="D1391" s="25"/>
      <c r="E1391" s="25"/>
      <c r="F1391" s="25"/>
      <c r="G1391" s="25"/>
      <c r="H1391" s="25"/>
      <c r="I1391" s="25"/>
      <c r="J1391" s="25"/>
      <c r="K1391" s="25"/>
      <c r="L1391" s="25"/>
      <c r="M1391" s="42" t="s">
        <v>253</v>
      </c>
      <c r="N1391" s="41">
        <v>44974</v>
      </c>
      <c r="O1391" s="25">
        <v>365</v>
      </c>
      <c r="P1391" s="25">
        <v>0</v>
      </c>
      <c r="Q1391" s="25"/>
      <c r="R1391" s="25"/>
      <c r="S1391" s="25"/>
      <c r="T1391" s="10"/>
    </row>
    <row r="1392" s="35" customFormat="1" ht="18.5" customHeight="1" spans="1:20">
      <c r="A1392" s="9"/>
      <c r="B1392" s="25"/>
      <c r="C1392" s="25"/>
      <c r="D1392" s="25"/>
      <c r="E1392" s="25"/>
      <c r="F1392" s="25"/>
      <c r="G1392" s="25"/>
      <c r="H1392" s="25"/>
      <c r="I1392" s="25"/>
      <c r="J1392" s="25"/>
      <c r="K1392" s="25"/>
      <c r="L1392" s="25"/>
      <c r="M1392" s="42" t="s">
        <v>253</v>
      </c>
      <c r="N1392" s="41">
        <v>45036</v>
      </c>
      <c r="O1392" s="25">
        <v>364</v>
      </c>
      <c r="P1392" s="25">
        <v>0</v>
      </c>
      <c r="Q1392" s="25"/>
      <c r="R1392" s="25"/>
      <c r="S1392" s="25"/>
      <c r="T1392" s="10"/>
    </row>
    <row r="1393" s="35" customFormat="1" ht="18.5" customHeight="1" spans="1:20">
      <c r="A1393" s="9"/>
      <c r="B1393" s="25"/>
      <c r="C1393" s="25"/>
      <c r="D1393" s="25"/>
      <c r="E1393" s="25"/>
      <c r="F1393" s="25"/>
      <c r="G1393" s="25"/>
      <c r="H1393" s="25"/>
      <c r="I1393" s="25"/>
      <c r="J1393" s="25"/>
      <c r="K1393" s="25"/>
      <c r="L1393" s="25"/>
      <c r="M1393" s="42" t="s">
        <v>253</v>
      </c>
      <c r="N1393" s="41">
        <v>44943</v>
      </c>
      <c r="O1393" s="25">
        <v>350</v>
      </c>
      <c r="P1393" s="25">
        <v>0</v>
      </c>
      <c r="Q1393" s="25"/>
      <c r="R1393" s="25"/>
      <c r="S1393" s="25"/>
      <c r="T1393" s="10"/>
    </row>
    <row r="1394" s="35" customFormat="1" ht="18.5" customHeight="1" spans="1:20">
      <c r="A1394" s="9"/>
      <c r="B1394" s="25"/>
      <c r="C1394" s="25"/>
      <c r="D1394" s="25"/>
      <c r="E1394" s="25"/>
      <c r="F1394" s="25"/>
      <c r="G1394" s="25"/>
      <c r="H1394" s="25"/>
      <c r="I1394" s="25"/>
      <c r="J1394" s="25"/>
      <c r="K1394" s="25"/>
      <c r="L1394" s="25"/>
      <c r="M1394" s="42" t="s">
        <v>253</v>
      </c>
      <c r="N1394" s="41">
        <v>44990</v>
      </c>
      <c r="O1394" s="25">
        <v>339</v>
      </c>
      <c r="P1394" s="25">
        <v>0</v>
      </c>
      <c r="Q1394" s="25"/>
      <c r="R1394" s="25"/>
      <c r="S1394" s="25"/>
      <c r="T1394" s="10"/>
    </row>
    <row r="1395" s="35" customFormat="1" ht="18.5" customHeight="1" spans="1:20">
      <c r="A1395" s="9"/>
      <c r="B1395" s="25"/>
      <c r="C1395" s="25"/>
      <c r="D1395" s="25"/>
      <c r="E1395" s="25"/>
      <c r="F1395" s="25"/>
      <c r="G1395" s="25"/>
      <c r="H1395" s="25"/>
      <c r="I1395" s="25"/>
      <c r="J1395" s="25"/>
      <c r="K1395" s="25"/>
      <c r="L1395" s="25"/>
      <c r="M1395" s="42" t="s">
        <v>253</v>
      </c>
      <c r="N1395" s="41">
        <v>45067</v>
      </c>
      <c r="O1395" s="25">
        <v>337</v>
      </c>
      <c r="P1395" s="25">
        <v>0</v>
      </c>
      <c r="Q1395" s="25"/>
      <c r="R1395" s="25"/>
      <c r="S1395" s="25"/>
      <c r="T1395" s="10"/>
    </row>
    <row r="1396" s="35" customFormat="1" ht="18.5" customHeight="1" spans="1:20">
      <c r="A1396" s="9"/>
      <c r="B1396" s="25"/>
      <c r="C1396" s="25"/>
      <c r="D1396" s="25"/>
      <c r="E1396" s="25"/>
      <c r="F1396" s="25"/>
      <c r="G1396" s="25"/>
      <c r="H1396" s="25"/>
      <c r="I1396" s="25"/>
      <c r="J1396" s="25"/>
      <c r="K1396" s="25"/>
      <c r="L1396" s="25"/>
      <c r="M1396" s="42" t="s">
        <v>253</v>
      </c>
      <c r="N1396" s="41">
        <v>45099</v>
      </c>
      <c r="O1396" s="25">
        <v>333</v>
      </c>
      <c r="P1396" s="25">
        <v>0</v>
      </c>
      <c r="Q1396" s="25"/>
      <c r="R1396" s="25"/>
      <c r="S1396" s="25"/>
      <c r="T1396" s="10"/>
    </row>
    <row r="1397" s="35" customFormat="1" ht="18.5" customHeight="1" spans="1:20">
      <c r="A1397" s="9"/>
      <c r="B1397" s="25"/>
      <c r="C1397" s="25"/>
      <c r="D1397" s="25"/>
      <c r="E1397" s="25"/>
      <c r="F1397" s="25"/>
      <c r="G1397" s="25"/>
      <c r="H1397" s="25"/>
      <c r="I1397" s="25"/>
      <c r="J1397" s="25"/>
      <c r="K1397" s="25"/>
      <c r="L1397" s="25"/>
      <c r="M1397" s="42" t="s">
        <v>253</v>
      </c>
      <c r="N1397" s="41">
        <v>45186</v>
      </c>
      <c r="O1397" s="25">
        <v>333</v>
      </c>
      <c r="P1397" s="25">
        <v>0</v>
      </c>
      <c r="Q1397" s="25"/>
      <c r="R1397" s="25"/>
      <c r="S1397" s="25"/>
      <c r="T1397" s="10"/>
    </row>
    <row r="1398" s="35" customFormat="1" ht="18.5" customHeight="1" spans="1:20">
      <c r="A1398" s="9"/>
      <c r="B1398" s="25"/>
      <c r="C1398" s="25"/>
      <c r="D1398" s="25"/>
      <c r="E1398" s="25"/>
      <c r="F1398" s="25"/>
      <c r="G1398" s="25"/>
      <c r="H1398" s="25"/>
      <c r="I1398" s="25"/>
      <c r="J1398" s="25"/>
      <c r="K1398" s="25"/>
      <c r="L1398" s="25"/>
      <c r="M1398" s="42" t="s">
        <v>253</v>
      </c>
      <c r="N1398" s="41">
        <v>44943</v>
      </c>
      <c r="O1398" s="25">
        <v>327</v>
      </c>
      <c r="P1398" s="25">
        <v>0</v>
      </c>
      <c r="Q1398" s="25"/>
      <c r="R1398" s="25"/>
      <c r="S1398" s="25"/>
      <c r="T1398" s="10"/>
    </row>
    <row r="1399" s="35" customFormat="1" ht="18.5" customHeight="1" spans="1:20">
      <c r="A1399" s="9"/>
      <c r="B1399" s="25"/>
      <c r="C1399" s="25"/>
      <c r="D1399" s="25"/>
      <c r="E1399" s="25"/>
      <c r="F1399" s="25"/>
      <c r="G1399" s="25"/>
      <c r="H1399" s="25"/>
      <c r="I1399" s="25"/>
      <c r="J1399" s="25"/>
      <c r="K1399" s="25"/>
      <c r="L1399" s="25"/>
      <c r="M1399" s="42" t="s">
        <v>253</v>
      </c>
      <c r="N1399" s="41">
        <v>45191</v>
      </c>
      <c r="O1399" s="25">
        <v>312</v>
      </c>
      <c r="P1399" s="25">
        <v>0</v>
      </c>
      <c r="Q1399" s="25"/>
      <c r="R1399" s="25"/>
      <c r="S1399" s="25"/>
      <c r="T1399" s="10"/>
    </row>
    <row r="1400" s="35" customFormat="1" ht="18.5" customHeight="1" spans="1:20">
      <c r="A1400" s="9"/>
      <c r="B1400" s="25"/>
      <c r="C1400" s="25"/>
      <c r="D1400" s="25"/>
      <c r="E1400" s="25"/>
      <c r="F1400" s="25"/>
      <c r="G1400" s="25"/>
      <c r="H1400" s="25"/>
      <c r="I1400" s="25"/>
      <c r="J1400" s="25"/>
      <c r="K1400" s="25"/>
      <c r="L1400" s="25"/>
      <c r="M1400" s="42" t="s">
        <v>253</v>
      </c>
      <c r="N1400" s="41">
        <v>44987</v>
      </c>
      <c r="O1400" s="25">
        <v>308</v>
      </c>
      <c r="P1400" s="25">
        <v>0</v>
      </c>
      <c r="Q1400" s="25"/>
      <c r="R1400" s="25"/>
      <c r="S1400" s="25"/>
      <c r="T1400" s="10"/>
    </row>
    <row r="1401" s="35" customFormat="1" ht="18.5" customHeight="1" spans="1:20">
      <c r="A1401" s="9"/>
      <c r="B1401" s="25"/>
      <c r="C1401" s="25"/>
      <c r="D1401" s="25"/>
      <c r="E1401" s="25"/>
      <c r="F1401" s="25"/>
      <c r="G1401" s="25"/>
      <c r="H1401" s="25"/>
      <c r="I1401" s="25"/>
      <c r="J1401" s="25"/>
      <c r="K1401" s="25"/>
      <c r="L1401" s="25"/>
      <c r="M1401" s="42" t="s">
        <v>253</v>
      </c>
      <c r="N1401" s="41">
        <v>45047</v>
      </c>
      <c r="O1401" s="25">
        <v>294</v>
      </c>
      <c r="P1401" s="25">
        <v>0</v>
      </c>
      <c r="Q1401" s="25"/>
      <c r="R1401" s="25"/>
      <c r="S1401" s="25"/>
      <c r="T1401" s="10"/>
    </row>
    <row r="1402" s="35" customFormat="1" ht="18.5" customHeight="1" spans="1:20">
      <c r="A1402" s="9"/>
      <c r="B1402" s="25"/>
      <c r="C1402" s="25"/>
      <c r="D1402" s="25"/>
      <c r="E1402" s="25"/>
      <c r="F1402" s="25"/>
      <c r="G1402" s="25"/>
      <c r="H1402" s="25"/>
      <c r="I1402" s="25"/>
      <c r="J1402" s="25"/>
      <c r="K1402" s="25"/>
      <c r="L1402" s="25"/>
      <c r="M1402" s="42" t="s">
        <v>253</v>
      </c>
      <c r="N1402" s="41">
        <v>45009</v>
      </c>
      <c r="O1402" s="25">
        <v>290</v>
      </c>
      <c r="P1402" s="25">
        <v>0</v>
      </c>
      <c r="Q1402" s="25"/>
      <c r="R1402" s="25"/>
      <c r="S1402" s="25"/>
      <c r="T1402" s="10"/>
    </row>
    <row r="1403" s="35" customFormat="1" ht="18.5" customHeight="1" spans="1:20">
      <c r="A1403" s="9"/>
      <c r="B1403" s="25"/>
      <c r="C1403" s="25"/>
      <c r="D1403" s="25"/>
      <c r="E1403" s="25"/>
      <c r="F1403" s="25"/>
      <c r="G1403" s="25"/>
      <c r="H1403" s="25"/>
      <c r="I1403" s="25"/>
      <c r="J1403" s="25"/>
      <c r="K1403" s="25"/>
      <c r="L1403" s="25"/>
      <c r="M1403" s="42" t="s">
        <v>253</v>
      </c>
      <c r="N1403" s="41">
        <v>45272</v>
      </c>
      <c r="O1403" s="25">
        <v>276</v>
      </c>
      <c r="P1403" s="25">
        <v>0</v>
      </c>
      <c r="Q1403" s="25"/>
      <c r="R1403" s="25"/>
      <c r="S1403" s="25"/>
      <c r="T1403" s="10"/>
    </row>
    <row r="1404" s="35" customFormat="1" ht="18.5" customHeight="1" spans="1:20">
      <c r="A1404" s="9"/>
      <c r="B1404" s="25"/>
      <c r="C1404" s="25"/>
      <c r="D1404" s="25"/>
      <c r="E1404" s="25"/>
      <c r="F1404" s="25"/>
      <c r="G1404" s="25"/>
      <c r="H1404" s="25"/>
      <c r="I1404" s="25"/>
      <c r="J1404" s="25"/>
      <c r="K1404" s="25"/>
      <c r="L1404" s="25"/>
      <c r="M1404" s="42" t="s">
        <v>253</v>
      </c>
      <c r="N1404" s="41">
        <v>44982</v>
      </c>
      <c r="O1404" s="25">
        <v>273</v>
      </c>
      <c r="P1404" s="25">
        <v>0</v>
      </c>
      <c r="Q1404" s="25"/>
      <c r="R1404" s="25"/>
      <c r="S1404" s="25"/>
      <c r="T1404" s="10"/>
    </row>
    <row r="1405" s="35" customFormat="1" ht="18.5" customHeight="1" spans="1:20">
      <c r="A1405" s="9"/>
      <c r="B1405" s="25"/>
      <c r="C1405" s="25"/>
      <c r="D1405" s="25"/>
      <c r="E1405" s="25"/>
      <c r="F1405" s="25"/>
      <c r="G1405" s="25"/>
      <c r="H1405" s="25"/>
      <c r="I1405" s="25"/>
      <c r="J1405" s="25"/>
      <c r="K1405" s="25"/>
      <c r="L1405" s="25"/>
      <c r="M1405" s="42" t="s">
        <v>253</v>
      </c>
      <c r="N1405" s="41">
        <v>45008</v>
      </c>
      <c r="O1405" s="25">
        <v>1471</v>
      </c>
      <c r="P1405" s="25">
        <v>0</v>
      </c>
      <c r="Q1405" s="25"/>
      <c r="R1405" s="25"/>
      <c r="S1405" s="25"/>
      <c r="T1405" s="10"/>
    </row>
    <row r="1406" s="35" customFormat="1" ht="18.5" customHeight="1" spans="1:20">
      <c r="A1406" s="9"/>
      <c r="B1406" s="25"/>
      <c r="C1406" s="25"/>
      <c r="D1406" s="25"/>
      <c r="E1406" s="25"/>
      <c r="F1406" s="25"/>
      <c r="G1406" s="25"/>
      <c r="H1406" s="25"/>
      <c r="I1406" s="25"/>
      <c r="J1406" s="25"/>
      <c r="K1406" s="25"/>
      <c r="L1406" s="25"/>
      <c r="M1406" s="42" t="s">
        <v>253</v>
      </c>
      <c r="N1406" s="41">
        <v>45042</v>
      </c>
      <c r="O1406" s="25">
        <v>7731</v>
      </c>
      <c r="P1406" s="25">
        <v>0</v>
      </c>
      <c r="Q1406" s="25"/>
      <c r="R1406" s="25"/>
      <c r="S1406" s="25"/>
      <c r="T1406" s="10"/>
    </row>
    <row r="1407" s="35" customFormat="1" ht="18.5" customHeight="1" spans="1:20">
      <c r="A1407" s="9"/>
      <c r="B1407" s="25"/>
      <c r="C1407" s="25"/>
      <c r="D1407" s="25"/>
      <c r="E1407" s="25"/>
      <c r="F1407" s="25"/>
      <c r="G1407" s="25"/>
      <c r="H1407" s="25"/>
      <c r="I1407" s="25"/>
      <c r="J1407" s="25"/>
      <c r="K1407" s="25"/>
      <c r="L1407" s="25"/>
      <c r="M1407" s="42" t="s">
        <v>253</v>
      </c>
      <c r="N1407" s="41">
        <v>45247</v>
      </c>
      <c r="O1407" s="25">
        <v>241</v>
      </c>
      <c r="P1407" s="25">
        <v>0</v>
      </c>
      <c r="Q1407" s="25"/>
      <c r="R1407" s="25"/>
      <c r="S1407" s="25"/>
      <c r="T1407" s="10"/>
    </row>
    <row r="1408" s="35" customFormat="1" ht="18.5" customHeight="1" spans="1:20">
      <c r="A1408" s="9"/>
      <c r="B1408" s="25"/>
      <c r="C1408" s="25"/>
      <c r="D1408" s="25"/>
      <c r="E1408" s="25"/>
      <c r="F1408" s="25"/>
      <c r="G1408" s="25"/>
      <c r="H1408" s="25"/>
      <c r="I1408" s="25"/>
      <c r="J1408" s="25"/>
      <c r="K1408" s="25"/>
      <c r="L1408" s="25"/>
      <c r="M1408" s="42" t="s">
        <v>253</v>
      </c>
      <c r="N1408" s="41">
        <v>45075</v>
      </c>
      <c r="O1408" s="25">
        <v>1281</v>
      </c>
      <c r="P1408" s="25">
        <v>0</v>
      </c>
      <c r="Q1408" s="25"/>
      <c r="R1408" s="25"/>
      <c r="S1408" s="25"/>
      <c r="T1408" s="10"/>
    </row>
    <row r="1409" s="35" customFormat="1" ht="18.5" customHeight="1" spans="1:20">
      <c r="A1409" s="9"/>
      <c r="B1409" s="25"/>
      <c r="C1409" s="25"/>
      <c r="D1409" s="25"/>
      <c r="E1409" s="25"/>
      <c r="F1409" s="25"/>
      <c r="G1409" s="25"/>
      <c r="H1409" s="25"/>
      <c r="I1409" s="25"/>
      <c r="J1409" s="25"/>
      <c r="K1409" s="25"/>
      <c r="L1409" s="25"/>
      <c r="M1409" s="42" t="s">
        <v>253</v>
      </c>
      <c r="N1409" s="41">
        <v>45044</v>
      </c>
      <c r="O1409" s="25">
        <v>1167</v>
      </c>
      <c r="P1409" s="25">
        <v>0</v>
      </c>
      <c r="Q1409" s="25"/>
      <c r="R1409" s="25"/>
      <c r="S1409" s="25"/>
      <c r="T1409" s="10"/>
    </row>
    <row r="1410" s="35" customFormat="1" ht="18.5" customHeight="1" spans="1:20">
      <c r="A1410" s="9"/>
      <c r="B1410" s="25"/>
      <c r="C1410" s="25"/>
      <c r="D1410" s="25"/>
      <c r="E1410" s="25"/>
      <c r="F1410" s="25"/>
      <c r="G1410" s="25"/>
      <c r="H1410" s="25"/>
      <c r="I1410" s="25"/>
      <c r="J1410" s="25"/>
      <c r="K1410" s="25"/>
      <c r="L1410" s="25"/>
      <c r="M1410" s="42" t="s">
        <v>253</v>
      </c>
      <c r="N1410" s="41">
        <v>44930</v>
      </c>
      <c r="O1410" s="25">
        <v>1135</v>
      </c>
      <c r="P1410" s="25">
        <v>0</v>
      </c>
      <c r="Q1410" s="25"/>
      <c r="R1410" s="25"/>
      <c r="S1410" s="25"/>
      <c r="T1410" s="10"/>
    </row>
    <row r="1411" s="35" customFormat="1" ht="18.5" customHeight="1" spans="1:20">
      <c r="A1411" s="9"/>
      <c r="B1411" s="25"/>
      <c r="C1411" s="25"/>
      <c r="D1411" s="25"/>
      <c r="E1411" s="25"/>
      <c r="F1411" s="25"/>
      <c r="G1411" s="25"/>
      <c r="H1411" s="25"/>
      <c r="I1411" s="25"/>
      <c r="J1411" s="25"/>
      <c r="K1411" s="25"/>
      <c r="L1411" s="25"/>
      <c r="M1411" s="42" t="s">
        <v>253</v>
      </c>
      <c r="N1411" s="41">
        <v>45239</v>
      </c>
      <c r="O1411" s="25">
        <v>1131</v>
      </c>
      <c r="P1411" s="25">
        <v>0</v>
      </c>
      <c r="Q1411" s="25"/>
      <c r="R1411" s="25"/>
      <c r="S1411" s="25"/>
      <c r="T1411" s="10"/>
    </row>
    <row r="1412" s="35" customFormat="1" ht="18.5" customHeight="1" spans="1:20">
      <c r="A1412" s="9"/>
      <c r="B1412" s="25"/>
      <c r="C1412" s="25"/>
      <c r="D1412" s="25"/>
      <c r="E1412" s="25"/>
      <c r="F1412" s="25"/>
      <c r="G1412" s="25"/>
      <c r="H1412" s="25"/>
      <c r="I1412" s="25"/>
      <c r="J1412" s="25"/>
      <c r="K1412" s="25"/>
      <c r="L1412" s="25"/>
      <c r="M1412" s="42" t="s">
        <v>253</v>
      </c>
      <c r="N1412" s="41">
        <v>45280</v>
      </c>
      <c r="O1412" s="25">
        <v>199</v>
      </c>
      <c r="P1412" s="25">
        <v>0</v>
      </c>
      <c r="Q1412" s="25"/>
      <c r="R1412" s="25"/>
      <c r="S1412" s="25"/>
      <c r="T1412" s="10"/>
    </row>
    <row r="1413" s="35" customFormat="1" ht="18.5" customHeight="1" spans="1:20">
      <c r="A1413" s="9"/>
      <c r="B1413" s="25"/>
      <c r="C1413" s="25"/>
      <c r="D1413" s="25"/>
      <c r="E1413" s="25"/>
      <c r="F1413" s="25"/>
      <c r="G1413" s="25"/>
      <c r="H1413" s="25"/>
      <c r="I1413" s="25"/>
      <c r="J1413" s="25"/>
      <c r="K1413" s="25"/>
      <c r="L1413" s="25"/>
      <c r="M1413" s="42" t="s">
        <v>253</v>
      </c>
      <c r="N1413" s="41">
        <v>44973</v>
      </c>
      <c r="O1413" s="25">
        <v>1056</v>
      </c>
      <c r="P1413" s="25">
        <v>0</v>
      </c>
      <c r="Q1413" s="25"/>
      <c r="R1413" s="25"/>
      <c r="S1413" s="25"/>
      <c r="T1413" s="10"/>
    </row>
    <row r="1414" s="35" customFormat="1" ht="18.5" customHeight="1" spans="1:20">
      <c r="A1414" s="9"/>
      <c r="B1414" s="25"/>
      <c r="C1414" s="25"/>
      <c r="D1414" s="25"/>
      <c r="E1414" s="25"/>
      <c r="F1414" s="25"/>
      <c r="G1414" s="25"/>
      <c r="H1414" s="25"/>
      <c r="I1414" s="25"/>
      <c r="J1414" s="25"/>
      <c r="K1414" s="25"/>
      <c r="L1414" s="25"/>
      <c r="M1414" s="42" t="s">
        <v>253</v>
      </c>
      <c r="N1414" s="41">
        <v>45013</v>
      </c>
      <c r="O1414" s="25">
        <v>1035</v>
      </c>
      <c r="P1414" s="25">
        <v>0</v>
      </c>
      <c r="Q1414" s="25"/>
      <c r="R1414" s="25"/>
      <c r="S1414" s="25"/>
      <c r="T1414" s="10"/>
    </row>
    <row r="1415" s="35" customFormat="1" ht="18.5" customHeight="1" spans="1:20">
      <c r="A1415" s="9"/>
      <c r="B1415" s="25"/>
      <c r="C1415" s="25"/>
      <c r="D1415" s="25"/>
      <c r="E1415" s="25"/>
      <c r="F1415" s="25"/>
      <c r="G1415" s="25"/>
      <c r="H1415" s="25"/>
      <c r="I1415" s="25"/>
      <c r="J1415" s="25"/>
      <c r="K1415" s="25"/>
      <c r="L1415" s="25"/>
      <c r="M1415" s="42" t="s">
        <v>253</v>
      </c>
      <c r="N1415" s="41">
        <v>45075</v>
      </c>
      <c r="O1415" s="25">
        <v>1020</v>
      </c>
      <c r="P1415" s="25">
        <v>0</v>
      </c>
      <c r="Q1415" s="25"/>
      <c r="R1415" s="25"/>
      <c r="S1415" s="25"/>
      <c r="T1415" s="10"/>
    </row>
    <row r="1416" s="35" customFormat="1" ht="18.5" customHeight="1" spans="1:20">
      <c r="A1416" s="9"/>
      <c r="B1416" s="25"/>
      <c r="C1416" s="25"/>
      <c r="D1416" s="25"/>
      <c r="E1416" s="25"/>
      <c r="F1416" s="25"/>
      <c r="G1416" s="25"/>
      <c r="H1416" s="25"/>
      <c r="I1416" s="25"/>
      <c r="J1416" s="25"/>
      <c r="K1416" s="25"/>
      <c r="L1416" s="25"/>
      <c r="M1416" s="42" t="s">
        <v>253</v>
      </c>
      <c r="N1416" s="41">
        <v>44940</v>
      </c>
      <c r="O1416" s="25">
        <v>1007</v>
      </c>
      <c r="P1416" s="25">
        <v>0</v>
      </c>
      <c r="Q1416" s="25"/>
      <c r="R1416" s="25"/>
      <c r="S1416" s="25"/>
      <c r="T1416" s="10"/>
    </row>
    <row r="1417" s="35" customFormat="1" ht="18.5" customHeight="1" spans="1:20">
      <c r="A1417" s="9"/>
      <c r="B1417" s="25"/>
      <c r="C1417" s="25"/>
      <c r="D1417" s="25"/>
      <c r="E1417" s="25"/>
      <c r="F1417" s="25"/>
      <c r="G1417" s="25"/>
      <c r="H1417" s="25"/>
      <c r="I1417" s="25"/>
      <c r="J1417" s="25"/>
      <c r="K1417" s="25"/>
      <c r="L1417" s="25"/>
      <c r="M1417" s="42" t="s">
        <v>253</v>
      </c>
      <c r="N1417" s="41">
        <v>44966</v>
      </c>
      <c r="O1417" s="25">
        <v>974</v>
      </c>
      <c r="P1417" s="25">
        <v>0</v>
      </c>
      <c r="Q1417" s="25"/>
      <c r="R1417" s="25"/>
      <c r="S1417" s="25"/>
      <c r="T1417" s="10"/>
    </row>
    <row r="1418" s="35" customFormat="1" ht="18.5" customHeight="1" spans="1:20">
      <c r="A1418" s="9"/>
      <c r="B1418" s="25"/>
      <c r="C1418" s="25"/>
      <c r="D1418" s="25"/>
      <c r="E1418" s="25"/>
      <c r="F1418" s="25"/>
      <c r="G1418" s="25"/>
      <c r="H1418" s="25"/>
      <c r="I1418" s="25"/>
      <c r="J1418" s="25"/>
      <c r="K1418" s="25"/>
      <c r="L1418" s="25"/>
      <c r="M1418" s="42" t="s">
        <v>253</v>
      </c>
      <c r="N1418" s="41">
        <v>45243</v>
      </c>
      <c r="O1418" s="25">
        <v>171</v>
      </c>
      <c r="P1418" s="25">
        <v>0</v>
      </c>
      <c r="Q1418" s="25"/>
      <c r="R1418" s="25"/>
      <c r="S1418" s="25"/>
      <c r="T1418" s="10"/>
    </row>
    <row r="1419" s="35" customFormat="1" ht="18.5" customHeight="1" spans="1:20">
      <c r="A1419" s="9"/>
      <c r="B1419" s="25"/>
      <c r="C1419" s="25"/>
      <c r="D1419" s="25"/>
      <c r="E1419" s="25"/>
      <c r="F1419" s="25"/>
      <c r="G1419" s="25"/>
      <c r="H1419" s="25"/>
      <c r="I1419" s="25"/>
      <c r="J1419" s="25"/>
      <c r="K1419" s="25"/>
      <c r="L1419" s="25"/>
      <c r="M1419" s="42" t="s">
        <v>253</v>
      </c>
      <c r="N1419" s="41">
        <v>45244</v>
      </c>
      <c r="O1419" s="25">
        <v>946</v>
      </c>
      <c r="P1419" s="25">
        <v>0</v>
      </c>
      <c r="Q1419" s="25"/>
      <c r="R1419" s="25"/>
      <c r="S1419" s="25"/>
      <c r="T1419" s="10"/>
    </row>
    <row r="1420" s="35" customFormat="1" ht="18.5" customHeight="1" spans="1:20">
      <c r="A1420" s="9"/>
      <c r="B1420" s="25"/>
      <c r="C1420" s="25"/>
      <c r="D1420" s="25"/>
      <c r="E1420" s="25"/>
      <c r="F1420" s="25"/>
      <c r="G1420" s="25"/>
      <c r="H1420" s="25"/>
      <c r="I1420" s="25"/>
      <c r="J1420" s="25"/>
      <c r="K1420" s="25"/>
      <c r="L1420" s="25"/>
      <c r="M1420" s="42" t="s">
        <v>253</v>
      </c>
      <c r="N1420" s="41">
        <v>45190</v>
      </c>
      <c r="O1420" s="25">
        <v>938</v>
      </c>
      <c r="P1420" s="25">
        <v>0</v>
      </c>
      <c r="Q1420" s="25"/>
      <c r="R1420" s="25"/>
      <c r="S1420" s="25"/>
      <c r="T1420" s="10"/>
    </row>
    <row r="1421" s="35" customFormat="1" ht="18.5" customHeight="1" spans="1:20">
      <c r="A1421" s="9"/>
      <c r="B1421" s="25"/>
      <c r="C1421" s="25"/>
      <c r="D1421" s="25"/>
      <c r="E1421" s="25"/>
      <c r="F1421" s="25"/>
      <c r="G1421" s="25"/>
      <c r="H1421" s="25"/>
      <c r="I1421" s="25"/>
      <c r="J1421" s="25"/>
      <c r="K1421" s="25"/>
      <c r="L1421" s="25"/>
      <c r="M1421" s="42" t="s">
        <v>253</v>
      </c>
      <c r="N1421" s="41">
        <v>45007</v>
      </c>
      <c r="O1421" s="25">
        <v>926</v>
      </c>
      <c r="P1421" s="25">
        <v>0</v>
      </c>
      <c r="Q1421" s="25"/>
      <c r="R1421" s="25"/>
      <c r="S1421" s="25"/>
      <c r="T1421" s="10"/>
    </row>
    <row r="1422" s="35" customFormat="1" ht="18.5" customHeight="1" spans="1:20">
      <c r="A1422" s="9"/>
      <c r="B1422" s="25"/>
      <c r="C1422" s="25"/>
      <c r="D1422" s="25"/>
      <c r="E1422" s="25"/>
      <c r="F1422" s="25"/>
      <c r="G1422" s="25"/>
      <c r="H1422" s="25"/>
      <c r="I1422" s="25"/>
      <c r="J1422" s="25"/>
      <c r="K1422" s="25"/>
      <c r="L1422" s="25"/>
      <c r="M1422" s="42" t="s">
        <v>253</v>
      </c>
      <c r="N1422" s="41">
        <v>45244</v>
      </c>
      <c r="O1422" s="25">
        <v>162</v>
      </c>
      <c r="P1422" s="25">
        <v>0</v>
      </c>
      <c r="Q1422" s="25"/>
      <c r="R1422" s="25"/>
      <c r="S1422" s="25"/>
      <c r="T1422" s="10"/>
    </row>
    <row r="1423" s="35" customFormat="1" ht="18.5" customHeight="1" spans="1:20">
      <c r="A1423" s="9"/>
      <c r="B1423" s="25"/>
      <c r="C1423" s="25"/>
      <c r="D1423" s="25"/>
      <c r="E1423" s="25"/>
      <c r="F1423" s="25"/>
      <c r="G1423" s="25"/>
      <c r="H1423" s="25"/>
      <c r="I1423" s="25"/>
      <c r="J1423" s="25"/>
      <c r="K1423" s="25"/>
      <c r="L1423" s="25"/>
      <c r="M1423" s="42" t="s">
        <v>253</v>
      </c>
      <c r="N1423" s="41">
        <v>45004</v>
      </c>
      <c r="O1423" s="25">
        <v>899</v>
      </c>
      <c r="P1423" s="25">
        <v>0</v>
      </c>
      <c r="Q1423" s="25"/>
      <c r="R1423" s="25"/>
      <c r="S1423" s="25"/>
      <c r="T1423" s="10"/>
    </row>
    <row r="1424" s="35" customFormat="1" ht="18.5" customHeight="1" spans="1:20">
      <c r="A1424" s="9"/>
      <c r="B1424" s="25"/>
      <c r="C1424" s="25"/>
      <c r="D1424" s="25"/>
      <c r="E1424" s="25"/>
      <c r="F1424" s="25"/>
      <c r="G1424" s="25"/>
      <c r="H1424" s="25"/>
      <c r="I1424" s="25"/>
      <c r="J1424" s="25"/>
      <c r="K1424" s="25"/>
      <c r="L1424" s="25"/>
      <c r="M1424" s="42" t="s">
        <v>253</v>
      </c>
      <c r="N1424" s="41">
        <v>44970</v>
      </c>
      <c r="O1424" s="25">
        <v>879</v>
      </c>
      <c r="P1424" s="25">
        <v>0</v>
      </c>
      <c r="Q1424" s="25"/>
      <c r="R1424" s="25"/>
      <c r="S1424" s="25"/>
      <c r="T1424" s="10"/>
    </row>
    <row r="1425" s="35" customFormat="1" ht="18.5" customHeight="1" spans="1:20">
      <c r="A1425" s="9"/>
      <c r="B1425" s="25"/>
      <c r="C1425" s="25"/>
      <c r="D1425" s="25"/>
      <c r="E1425" s="25"/>
      <c r="F1425" s="25"/>
      <c r="G1425" s="25"/>
      <c r="H1425" s="25"/>
      <c r="I1425" s="25"/>
      <c r="J1425" s="25"/>
      <c r="K1425" s="25"/>
      <c r="L1425" s="25"/>
      <c r="M1425" s="42" t="s">
        <v>253</v>
      </c>
      <c r="N1425" s="41">
        <v>45285</v>
      </c>
      <c r="O1425" s="25">
        <v>152</v>
      </c>
      <c r="P1425" s="25">
        <v>0</v>
      </c>
      <c r="Q1425" s="25"/>
      <c r="R1425" s="25"/>
      <c r="S1425" s="25"/>
      <c r="T1425" s="10"/>
    </row>
    <row r="1426" s="35" customFormat="1" ht="18.5" customHeight="1" spans="1:20">
      <c r="A1426" s="9"/>
      <c r="B1426" s="25"/>
      <c r="C1426" s="25"/>
      <c r="D1426" s="25"/>
      <c r="E1426" s="25"/>
      <c r="F1426" s="25"/>
      <c r="G1426" s="25"/>
      <c r="H1426" s="25"/>
      <c r="I1426" s="25"/>
      <c r="J1426" s="25"/>
      <c r="K1426" s="25"/>
      <c r="L1426" s="25"/>
      <c r="M1426" s="42" t="s">
        <v>253</v>
      </c>
      <c r="N1426" s="41">
        <v>45056</v>
      </c>
      <c r="O1426" s="25">
        <v>842</v>
      </c>
      <c r="P1426" s="25">
        <v>0</v>
      </c>
      <c r="Q1426" s="25"/>
      <c r="R1426" s="25"/>
      <c r="S1426" s="25"/>
      <c r="T1426" s="10"/>
    </row>
    <row r="1427" s="35" customFormat="1" ht="18.5" customHeight="1" spans="1:20">
      <c r="A1427" s="9"/>
      <c r="B1427" s="25"/>
      <c r="C1427" s="25"/>
      <c r="D1427" s="25"/>
      <c r="E1427" s="25"/>
      <c r="F1427" s="25"/>
      <c r="G1427" s="25"/>
      <c r="H1427" s="25"/>
      <c r="I1427" s="25"/>
      <c r="J1427" s="25"/>
      <c r="K1427" s="25"/>
      <c r="L1427" s="25"/>
      <c r="M1427" s="42" t="s">
        <v>253</v>
      </c>
      <c r="N1427" s="41">
        <v>44961</v>
      </c>
      <c r="O1427" s="25">
        <v>801</v>
      </c>
      <c r="P1427" s="25">
        <v>0</v>
      </c>
      <c r="Q1427" s="25"/>
      <c r="R1427" s="25"/>
      <c r="S1427" s="25"/>
      <c r="T1427" s="10"/>
    </row>
    <row r="1428" s="35" customFormat="1" ht="18.5" customHeight="1" spans="1:20">
      <c r="A1428" s="9"/>
      <c r="B1428" s="25"/>
      <c r="C1428" s="25"/>
      <c r="D1428" s="25"/>
      <c r="E1428" s="25"/>
      <c r="F1428" s="25"/>
      <c r="G1428" s="25"/>
      <c r="H1428" s="25"/>
      <c r="I1428" s="25"/>
      <c r="J1428" s="25"/>
      <c r="K1428" s="25"/>
      <c r="L1428" s="25"/>
      <c r="M1428" s="42" t="s">
        <v>253</v>
      </c>
      <c r="N1428" s="41">
        <v>45033</v>
      </c>
      <c r="O1428" s="25">
        <v>766</v>
      </c>
      <c r="P1428" s="25">
        <v>0</v>
      </c>
      <c r="Q1428" s="25"/>
      <c r="R1428" s="25"/>
      <c r="S1428" s="25"/>
      <c r="T1428" s="10"/>
    </row>
    <row r="1429" s="35" customFormat="1" ht="18.5" customHeight="1" spans="1:20">
      <c r="A1429" s="9"/>
      <c r="B1429" s="25"/>
      <c r="C1429" s="25"/>
      <c r="D1429" s="25"/>
      <c r="E1429" s="25"/>
      <c r="F1429" s="25"/>
      <c r="G1429" s="25"/>
      <c r="H1429" s="25"/>
      <c r="I1429" s="25"/>
      <c r="J1429" s="25"/>
      <c r="K1429" s="25"/>
      <c r="L1429" s="25"/>
      <c r="M1429" s="42" t="s">
        <v>253</v>
      </c>
      <c r="N1429" s="41">
        <v>45267</v>
      </c>
      <c r="O1429" s="25">
        <v>132</v>
      </c>
      <c r="P1429" s="25">
        <v>0</v>
      </c>
      <c r="Q1429" s="25"/>
      <c r="R1429" s="25"/>
      <c r="S1429" s="25"/>
      <c r="T1429" s="10"/>
    </row>
    <row r="1430" s="35" customFormat="1" ht="18.5" customHeight="1" spans="1:20">
      <c r="A1430" s="9"/>
      <c r="B1430" s="25"/>
      <c r="C1430" s="25"/>
      <c r="D1430" s="25"/>
      <c r="E1430" s="25"/>
      <c r="F1430" s="25"/>
      <c r="G1430" s="25"/>
      <c r="H1430" s="25"/>
      <c r="I1430" s="25"/>
      <c r="J1430" s="25"/>
      <c r="K1430" s="25"/>
      <c r="L1430" s="25"/>
      <c r="M1430" s="42" t="s">
        <v>253</v>
      </c>
      <c r="N1430" s="41">
        <v>45208</v>
      </c>
      <c r="O1430" s="25">
        <v>677</v>
      </c>
      <c r="P1430" s="25">
        <v>0</v>
      </c>
      <c r="Q1430" s="25"/>
      <c r="R1430" s="25"/>
      <c r="S1430" s="25"/>
      <c r="T1430" s="10"/>
    </row>
    <row r="1431" s="35" customFormat="1" ht="18.5" customHeight="1" spans="1:20">
      <c r="A1431" s="9"/>
      <c r="B1431" s="25"/>
      <c r="C1431" s="25"/>
      <c r="D1431" s="25"/>
      <c r="E1431" s="25"/>
      <c r="F1431" s="25"/>
      <c r="G1431" s="25"/>
      <c r="H1431" s="25"/>
      <c r="I1431" s="25"/>
      <c r="J1431" s="25"/>
      <c r="K1431" s="25"/>
      <c r="L1431" s="25"/>
      <c r="M1431" s="42" t="s">
        <v>253</v>
      </c>
      <c r="N1431" s="41">
        <v>44954</v>
      </c>
      <c r="O1431" s="25">
        <v>657</v>
      </c>
      <c r="P1431" s="25">
        <v>0</v>
      </c>
      <c r="Q1431" s="25"/>
      <c r="R1431" s="25"/>
      <c r="S1431" s="25"/>
      <c r="T1431" s="10"/>
    </row>
    <row r="1432" s="35" customFormat="1" ht="18.5" customHeight="1" spans="1:20">
      <c r="A1432" s="9"/>
      <c r="B1432" s="25"/>
      <c r="C1432" s="25"/>
      <c r="D1432" s="25"/>
      <c r="E1432" s="25"/>
      <c r="F1432" s="25"/>
      <c r="G1432" s="25"/>
      <c r="H1432" s="25"/>
      <c r="I1432" s="25"/>
      <c r="J1432" s="25"/>
      <c r="K1432" s="25"/>
      <c r="L1432" s="25"/>
      <c r="M1432" s="42" t="s">
        <v>253</v>
      </c>
      <c r="N1432" s="41">
        <v>45063</v>
      </c>
      <c r="O1432" s="25">
        <v>613</v>
      </c>
      <c r="P1432" s="25">
        <v>0</v>
      </c>
      <c r="Q1432" s="25"/>
      <c r="R1432" s="25"/>
      <c r="S1432" s="25"/>
      <c r="T1432" s="10"/>
    </row>
    <row r="1433" s="35" customFormat="1" ht="18.5" customHeight="1" spans="1:20">
      <c r="A1433" s="9"/>
      <c r="B1433" s="25"/>
      <c r="C1433" s="25"/>
      <c r="D1433" s="25"/>
      <c r="E1433" s="25"/>
      <c r="F1433" s="25"/>
      <c r="G1433" s="25"/>
      <c r="H1433" s="25"/>
      <c r="I1433" s="25"/>
      <c r="J1433" s="25"/>
      <c r="K1433" s="25"/>
      <c r="L1433" s="25"/>
      <c r="M1433" s="42" t="s">
        <v>253</v>
      </c>
      <c r="N1433" s="41">
        <v>45093</v>
      </c>
      <c r="O1433" s="25">
        <v>611</v>
      </c>
      <c r="P1433" s="25">
        <v>0</v>
      </c>
      <c r="Q1433" s="25"/>
      <c r="R1433" s="25"/>
      <c r="S1433" s="25"/>
      <c r="T1433" s="10"/>
    </row>
    <row r="1434" s="35" customFormat="1" ht="18.5" customHeight="1" spans="1:20">
      <c r="A1434" s="9"/>
      <c r="B1434" s="25"/>
      <c r="C1434" s="25"/>
      <c r="D1434" s="25"/>
      <c r="E1434" s="25"/>
      <c r="F1434" s="25"/>
      <c r="G1434" s="25"/>
      <c r="H1434" s="25"/>
      <c r="I1434" s="25"/>
      <c r="J1434" s="25"/>
      <c r="K1434" s="25"/>
      <c r="L1434" s="25"/>
      <c r="M1434" s="42" t="s">
        <v>253</v>
      </c>
      <c r="N1434" s="41">
        <v>45027</v>
      </c>
      <c r="O1434" s="25">
        <v>598</v>
      </c>
      <c r="P1434" s="25">
        <v>0</v>
      </c>
      <c r="Q1434" s="25"/>
      <c r="R1434" s="25"/>
      <c r="S1434" s="25"/>
      <c r="T1434" s="10"/>
    </row>
    <row r="1435" s="35" customFormat="1" ht="18.5" customHeight="1" spans="1:20">
      <c r="A1435" s="9"/>
      <c r="B1435" s="25"/>
      <c r="C1435" s="25"/>
      <c r="D1435" s="25"/>
      <c r="E1435" s="25"/>
      <c r="F1435" s="25"/>
      <c r="G1435" s="25"/>
      <c r="H1435" s="25"/>
      <c r="I1435" s="25"/>
      <c r="J1435" s="25"/>
      <c r="K1435" s="25"/>
      <c r="L1435" s="25"/>
      <c r="M1435" s="42" t="s">
        <v>253</v>
      </c>
      <c r="N1435" s="41">
        <v>44981</v>
      </c>
      <c r="O1435" s="25">
        <v>583</v>
      </c>
      <c r="P1435" s="25">
        <v>0</v>
      </c>
      <c r="Q1435" s="25"/>
      <c r="R1435" s="25"/>
      <c r="S1435" s="25"/>
      <c r="T1435" s="10"/>
    </row>
    <row r="1436" s="35" customFormat="1" ht="18.5" customHeight="1" spans="1:20">
      <c r="A1436" s="9"/>
      <c r="B1436" s="25"/>
      <c r="C1436" s="25"/>
      <c r="D1436" s="25"/>
      <c r="E1436" s="25"/>
      <c r="F1436" s="25"/>
      <c r="G1436" s="25"/>
      <c r="H1436" s="25"/>
      <c r="I1436" s="25"/>
      <c r="J1436" s="25"/>
      <c r="K1436" s="25"/>
      <c r="L1436" s="25"/>
      <c r="M1436" s="42" t="s">
        <v>253</v>
      </c>
      <c r="N1436" s="41">
        <v>45208</v>
      </c>
      <c r="O1436" s="25">
        <v>581</v>
      </c>
      <c r="P1436" s="25">
        <v>0</v>
      </c>
      <c r="Q1436" s="25"/>
      <c r="R1436" s="25"/>
      <c r="S1436" s="25"/>
      <c r="T1436" s="10"/>
    </row>
    <row r="1437" s="35" customFormat="1" ht="18.5" customHeight="1" spans="1:20">
      <c r="A1437" s="9"/>
      <c r="B1437" s="25"/>
      <c r="C1437" s="25"/>
      <c r="D1437" s="25"/>
      <c r="E1437" s="25"/>
      <c r="F1437" s="25"/>
      <c r="G1437" s="25"/>
      <c r="H1437" s="25"/>
      <c r="I1437" s="25"/>
      <c r="J1437" s="25"/>
      <c r="K1437" s="25"/>
      <c r="L1437" s="25"/>
      <c r="M1437" s="42" t="s">
        <v>253</v>
      </c>
      <c r="N1437" s="41">
        <v>45248</v>
      </c>
      <c r="O1437" s="25">
        <v>577</v>
      </c>
      <c r="P1437" s="25">
        <v>0</v>
      </c>
      <c r="Q1437" s="25"/>
      <c r="R1437" s="25"/>
      <c r="S1437" s="25"/>
      <c r="T1437" s="10"/>
    </row>
    <row r="1438" s="35" customFormat="1" ht="18.5" customHeight="1" spans="1:20">
      <c r="A1438" s="9"/>
      <c r="B1438" s="25"/>
      <c r="C1438" s="25"/>
      <c r="D1438" s="25"/>
      <c r="E1438" s="25"/>
      <c r="F1438" s="25"/>
      <c r="G1438" s="25"/>
      <c r="H1438" s="25"/>
      <c r="I1438" s="25"/>
      <c r="J1438" s="25"/>
      <c r="K1438" s="25"/>
      <c r="L1438" s="25"/>
      <c r="M1438" s="42" t="s">
        <v>253</v>
      </c>
      <c r="N1438" s="41">
        <v>44971</v>
      </c>
      <c r="O1438" s="25">
        <v>571</v>
      </c>
      <c r="P1438" s="25">
        <v>0</v>
      </c>
      <c r="Q1438" s="25"/>
      <c r="R1438" s="25"/>
      <c r="S1438" s="25"/>
      <c r="T1438" s="10"/>
    </row>
    <row r="1439" s="35" customFormat="1" ht="18.5" customHeight="1" spans="1:20">
      <c r="A1439" s="9"/>
      <c r="B1439" s="25"/>
      <c r="C1439" s="25"/>
      <c r="D1439" s="25"/>
      <c r="E1439" s="25"/>
      <c r="F1439" s="25"/>
      <c r="G1439" s="25"/>
      <c r="H1439" s="25"/>
      <c r="I1439" s="25"/>
      <c r="J1439" s="25"/>
      <c r="K1439" s="25"/>
      <c r="L1439" s="25"/>
      <c r="M1439" s="42" t="s">
        <v>253</v>
      </c>
      <c r="N1439" s="41">
        <v>44993</v>
      </c>
      <c r="O1439" s="25">
        <v>547</v>
      </c>
      <c r="P1439" s="25">
        <v>0</v>
      </c>
      <c r="Q1439" s="25"/>
      <c r="R1439" s="25"/>
      <c r="S1439" s="25"/>
      <c r="T1439" s="10"/>
    </row>
    <row r="1440" s="35" customFormat="1" ht="18.5" customHeight="1" spans="1:20">
      <c r="A1440" s="9"/>
      <c r="B1440" s="25"/>
      <c r="C1440" s="25"/>
      <c r="D1440" s="25"/>
      <c r="E1440" s="25"/>
      <c r="F1440" s="25"/>
      <c r="G1440" s="25"/>
      <c r="H1440" s="25"/>
      <c r="I1440" s="25"/>
      <c r="J1440" s="25"/>
      <c r="K1440" s="25"/>
      <c r="L1440" s="25"/>
      <c r="M1440" s="42" t="s">
        <v>253</v>
      </c>
      <c r="N1440" s="41">
        <v>45033</v>
      </c>
      <c r="O1440" s="25">
        <v>3063</v>
      </c>
      <c r="P1440" s="25">
        <v>0</v>
      </c>
      <c r="Q1440" s="25"/>
      <c r="R1440" s="25"/>
      <c r="S1440" s="25"/>
      <c r="T1440" s="10"/>
    </row>
    <row r="1441" s="35" customFormat="1" ht="18.5" customHeight="1" spans="1:20">
      <c r="A1441" s="9"/>
      <c r="B1441" s="25"/>
      <c r="C1441" s="25"/>
      <c r="D1441" s="25"/>
      <c r="E1441" s="25"/>
      <c r="F1441" s="25"/>
      <c r="G1441" s="25"/>
      <c r="H1441" s="25"/>
      <c r="I1441" s="25"/>
      <c r="J1441" s="25"/>
      <c r="K1441" s="25"/>
      <c r="L1441" s="25"/>
      <c r="M1441" s="42" t="s">
        <v>253</v>
      </c>
      <c r="N1441" s="41">
        <v>44934</v>
      </c>
      <c r="O1441" s="25">
        <v>538</v>
      </c>
      <c r="P1441" s="25">
        <v>0</v>
      </c>
      <c r="Q1441" s="25"/>
      <c r="R1441" s="25"/>
      <c r="S1441" s="25"/>
      <c r="T1441" s="10"/>
    </row>
    <row r="1442" s="35" customFormat="1" ht="18.5" customHeight="1" spans="1:20">
      <c r="A1442" s="9"/>
      <c r="B1442" s="25"/>
      <c r="C1442" s="25"/>
      <c r="D1442" s="25"/>
      <c r="E1442" s="25"/>
      <c r="F1442" s="25"/>
      <c r="G1442" s="25"/>
      <c r="H1442" s="25"/>
      <c r="I1442" s="25"/>
      <c r="J1442" s="25"/>
      <c r="K1442" s="25"/>
      <c r="L1442" s="25"/>
      <c r="M1442" s="42" t="s">
        <v>253</v>
      </c>
      <c r="N1442" s="41">
        <v>45114</v>
      </c>
      <c r="O1442" s="25">
        <v>535</v>
      </c>
      <c r="P1442" s="25">
        <v>0</v>
      </c>
      <c r="Q1442" s="25"/>
      <c r="R1442" s="25"/>
      <c r="S1442" s="25"/>
      <c r="T1442" s="10"/>
    </row>
    <row r="1443" s="35" customFormat="1" ht="18.5" customHeight="1" spans="1:20">
      <c r="A1443" s="9"/>
      <c r="B1443" s="25"/>
      <c r="C1443" s="25"/>
      <c r="D1443" s="25"/>
      <c r="E1443" s="25"/>
      <c r="F1443" s="25"/>
      <c r="G1443" s="25"/>
      <c r="H1443" s="25"/>
      <c r="I1443" s="25"/>
      <c r="J1443" s="25"/>
      <c r="K1443" s="25"/>
      <c r="L1443" s="25"/>
      <c r="M1443" s="42" t="s">
        <v>253</v>
      </c>
      <c r="N1443" s="41">
        <v>44972</v>
      </c>
      <c r="O1443" s="25">
        <v>535</v>
      </c>
      <c r="P1443" s="25">
        <v>0</v>
      </c>
      <c r="Q1443" s="25"/>
      <c r="R1443" s="25"/>
      <c r="S1443" s="25"/>
      <c r="T1443" s="10"/>
    </row>
    <row r="1444" s="35" customFormat="1" ht="18.5" customHeight="1" spans="1:20">
      <c r="A1444" s="9"/>
      <c r="B1444" s="25"/>
      <c r="C1444" s="25"/>
      <c r="D1444" s="25"/>
      <c r="E1444" s="25"/>
      <c r="F1444" s="25"/>
      <c r="G1444" s="25"/>
      <c r="H1444" s="25"/>
      <c r="I1444" s="25"/>
      <c r="J1444" s="25"/>
      <c r="K1444" s="25"/>
      <c r="L1444" s="25"/>
      <c r="M1444" s="42" t="s">
        <v>253</v>
      </c>
      <c r="N1444" s="41">
        <v>45268</v>
      </c>
      <c r="O1444" s="25">
        <v>2955</v>
      </c>
      <c r="P1444" s="25">
        <v>0</v>
      </c>
      <c r="Q1444" s="25"/>
      <c r="R1444" s="25"/>
      <c r="S1444" s="25"/>
      <c r="T1444" s="10"/>
    </row>
    <row r="1445" s="35" customFormat="1" ht="18.5" customHeight="1" spans="1:20">
      <c r="A1445" s="9"/>
      <c r="B1445" s="25"/>
      <c r="C1445" s="25"/>
      <c r="D1445" s="25"/>
      <c r="E1445" s="25"/>
      <c r="F1445" s="25"/>
      <c r="G1445" s="25"/>
      <c r="H1445" s="25"/>
      <c r="I1445" s="25"/>
      <c r="J1445" s="25"/>
      <c r="K1445" s="25"/>
      <c r="L1445" s="25"/>
      <c r="M1445" s="42" t="s">
        <v>253</v>
      </c>
      <c r="N1445" s="41">
        <v>45241</v>
      </c>
      <c r="O1445" s="25">
        <v>521</v>
      </c>
      <c r="P1445" s="25">
        <v>0</v>
      </c>
      <c r="Q1445" s="25"/>
      <c r="R1445" s="25"/>
      <c r="S1445" s="25"/>
      <c r="T1445" s="10"/>
    </row>
    <row r="1446" s="35" customFormat="1" ht="18.5" customHeight="1" spans="1:20">
      <c r="A1446" s="9"/>
      <c r="B1446" s="25"/>
      <c r="C1446" s="25"/>
      <c r="D1446" s="25"/>
      <c r="E1446" s="25"/>
      <c r="F1446" s="25"/>
      <c r="G1446" s="25"/>
      <c r="H1446" s="25"/>
      <c r="I1446" s="25"/>
      <c r="J1446" s="25"/>
      <c r="K1446" s="25"/>
      <c r="L1446" s="25"/>
      <c r="M1446" s="42" t="s">
        <v>253</v>
      </c>
      <c r="N1446" s="41">
        <v>45254</v>
      </c>
      <c r="O1446" s="25">
        <v>510</v>
      </c>
      <c r="P1446" s="25">
        <v>0</v>
      </c>
      <c r="Q1446" s="25"/>
      <c r="R1446" s="25"/>
      <c r="S1446" s="25"/>
      <c r="T1446" s="10"/>
    </row>
    <row r="1447" s="35" customFormat="1" ht="18.5" customHeight="1" spans="1:20">
      <c r="A1447" s="9"/>
      <c r="B1447" s="25"/>
      <c r="C1447" s="25"/>
      <c r="D1447" s="25"/>
      <c r="E1447" s="25"/>
      <c r="F1447" s="25"/>
      <c r="G1447" s="25"/>
      <c r="H1447" s="25"/>
      <c r="I1447" s="25"/>
      <c r="J1447" s="25"/>
      <c r="K1447" s="25"/>
      <c r="L1447" s="25"/>
      <c r="M1447" s="42" t="s">
        <v>253</v>
      </c>
      <c r="N1447" s="41">
        <v>45033</v>
      </c>
      <c r="O1447" s="25">
        <v>510</v>
      </c>
      <c r="P1447" s="25">
        <v>0</v>
      </c>
      <c r="Q1447" s="25"/>
      <c r="R1447" s="25"/>
      <c r="S1447" s="25"/>
      <c r="T1447" s="10"/>
    </row>
    <row r="1448" s="35" customFormat="1" ht="18.5" customHeight="1" spans="1:20">
      <c r="A1448" s="9"/>
      <c r="B1448" s="25"/>
      <c r="C1448" s="25"/>
      <c r="D1448" s="25"/>
      <c r="E1448" s="25"/>
      <c r="F1448" s="25"/>
      <c r="G1448" s="25"/>
      <c r="H1448" s="25"/>
      <c r="I1448" s="25"/>
      <c r="J1448" s="25"/>
      <c r="K1448" s="25"/>
      <c r="L1448" s="25"/>
      <c r="M1448" s="42" t="s">
        <v>253</v>
      </c>
      <c r="N1448" s="41">
        <v>45259</v>
      </c>
      <c r="O1448" s="25">
        <v>89</v>
      </c>
      <c r="P1448" s="25">
        <v>0</v>
      </c>
      <c r="Q1448" s="25"/>
      <c r="R1448" s="25"/>
      <c r="S1448" s="25"/>
      <c r="T1448" s="10"/>
    </row>
    <row r="1449" s="35" customFormat="1" ht="18.5" customHeight="1" spans="1:20">
      <c r="A1449" s="9"/>
      <c r="B1449" s="25"/>
      <c r="C1449" s="25"/>
      <c r="D1449" s="25"/>
      <c r="E1449" s="25"/>
      <c r="F1449" s="25"/>
      <c r="G1449" s="25"/>
      <c r="H1449" s="25"/>
      <c r="I1449" s="25"/>
      <c r="J1449" s="25"/>
      <c r="K1449" s="25"/>
      <c r="L1449" s="25"/>
      <c r="M1449" s="42" t="s">
        <v>253</v>
      </c>
      <c r="N1449" s="41">
        <v>44983</v>
      </c>
      <c r="O1449" s="25">
        <v>2663</v>
      </c>
      <c r="P1449" s="25">
        <v>0</v>
      </c>
      <c r="Q1449" s="25"/>
      <c r="R1449" s="25"/>
      <c r="S1449" s="25"/>
      <c r="T1449" s="10"/>
    </row>
    <row r="1450" s="35" customFormat="1" ht="18.5" customHeight="1" spans="1:20">
      <c r="A1450" s="9"/>
      <c r="B1450" s="25"/>
      <c r="C1450" s="25"/>
      <c r="D1450" s="25"/>
      <c r="E1450" s="25"/>
      <c r="F1450" s="25"/>
      <c r="G1450" s="25"/>
      <c r="H1450" s="25"/>
      <c r="I1450" s="25"/>
      <c r="J1450" s="25"/>
      <c r="K1450" s="25"/>
      <c r="L1450" s="25"/>
      <c r="M1450" s="42" t="s">
        <v>253</v>
      </c>
      <c r="N1450" s="41">
        <v>45068</v>
      </c>
      <c r="O1450" s="25">
        <v>470</v>
      </c>
      <c r="P1450" s="25">
        <v>0</v>
      </c>
      <c r="Q1450" s="25"/>
      <c r="R1450" s="25"/>
      <c r="S1450" s="25"/>
      <c r="T1450" s="10"/>
    </row>
    <row r="1451" s="35" customFormat="1" ht="18.5" customHeight="1" spans="1:20">
      <c r="A1451" s="9"/>
      <c r="B1451" s="25"/>
      <c r="C1451" s="25"/>
      <c r="D1451" s="25"/>
      <c r="E1451" s="25"/>
      <c r="F1451" s="25"/>
      <c r="G1451" s="25"/>
      <c r="H1451" s="25"/>
      <c r="I1451" s="25"/>
      <c r="J1451" s="25"/>
      <c r="K1451" s="25"/>
      <c r="L1451" s="25"/>
      <c r="M1451" s="42" t="s">
        <v>253</v>
      </c>
      <c r="N1451" s="41">
        <v>45001</v>
      </c>
      <c r="O1451" s="25">
        <v>468</v>
      </c>
      <c r="P1451" s="25">
        <v>0</v>
      </c>
      <c r="Q1451" s="25"/>
      <c r="R1451" s="25"/>
      <c r="S1451" s="25"/>
      <c r="T1451" s="10"/>
    </row>
    <row r="1452" s="35" customFormat="1" ht="18.5" customHeight="1" spans="1:20">
      <c r="A1452" s="9"/>
      <c r="B1452" s="25"/>
      <c r="C1452" s="25"/>
      <c r="D1452" s="25"/>
      <c r="E1452" s="25"/>
      <c r="F1452" s="25"/>
      <c r="G1452" s="25"/>
      <c r="H1452" s="25"/>
      <c r="I1452" s="25"/>
      <c r="J1452" s="25"/>
      <c r="K1452" s="25"/>
      <c r="L1452" s="25"/>
      <c r="M1452" s="42" t="s">
        <v>253</v>
      </c>
      <c r="N1452" s="41">
        <v>44984</v>
      </c>
      <c r="O1452" s="25">
        <v>468</v>
      </c>
      <c r="P1452" s="25">
        <v>0</v>
      </c>
      <c r="Q1452" s="25"/>
      <c r="R1452" s="25"/>
      <c r="S1452" s="25"/>
      <c r="T1452" s="10"/>
    </row>
    <row r="1453" s="35" customFormat="1" ht="18.5" customHeight="1" spans="1:20">
      <c r="A1453" s="9"/>
      <c r="B1453" s="25"/>
      <c r="C1453" s="25"/>
      <c r="D1453" s="25"/>
      <c r="E1453" s="25"/>
      <c r="F1453" s="25"/>
      <c r="G1453" s="25"/>
      <c r="H1453" s="25"/>
      <c r="I1453" s="25"/>
      <c r="J1453" s="25"/>
      <c r="K1453" s="25"/>
      <c r="L1453" s="25"/>
      <c r="M1453" s="42" t="s">
        <v>253</v>
      </c>
      <c r="N1453" s="41">
        <v>44994</v>
      </c>
      <c r="O1453" s="25">
        <v>465</v>
      </c>
      <c r="P1453" s="25">
        <v>0</v>
      </c>
      <c r="Q1453" s="25"/>
      <c r="R1453" s="25"/>
      <c r="S1453" s="25"/>
      <c r="T1453" s="10"/>
    </row>
    <row r="1454" s="35" customFormat="1" ht="18.5" customHeight="1" spans="1:20">
      <c r="A1454" s="9"/>
      <c r="B1454" s="25"/>
      <c r="C1454" s="25"/>
      <c r="D1454" s="25"/>
      <c r="E1454" s="25"/>
      <c r="F1454" s="25"/>
      <c r="G1454" s="25"/>
      <c r="H1454" s="25"/>
      <c r="I1454" s="25"/>
      <c r="J1454" s="25"/>
      <c r="K1454" s="25"/>
      <c r="L1454" s="25"/>
      <c r="M1454" s="42" t="s">
        <v>253</v>
      </c>
      <c r="N1454" s="41">
        <v>45145</v>
      </c>
      <c r="O1454" s="25">
        <v>458</v>
      </c>
      <c r="P1454" s="25">
        <v>0</v>
      </c>
      <c r="Q1454" s="25"/>
      <c r="R1454" s="25"/>
      <c r="S1454" s="25"/>
      <c r="T1454" s="10"/>
    </row>
    <row r="1455" s="35" customFormat="1" ht="18.5" customHeight="1" spans="1:20">
      <c r="A1455" s="9"/>
      <c r="B1455" s="25"/>
      <c r="C1455" s="25"/>
      <c r="D1455" s="25"/>
      <c r="E1455" s="25"/>
      <c r="F1455" s="25"/>
      <c r="G1455" s="25"/>
      <c r="H1455" s="25"/>
      <c r="I1455" s="25"/>
      <c r="J1455" s="25"/>
      <c r="K1455" s="25"/>
      <c r="L1455" s="25"/>
      <c r="M1455" s="42" t="s">
        <v>253</v>
      </c>
      <c r="N1455" s="41">
        <v>45069</v>
      </c>
      <c r="O1455" s="25">
        <v>432</v>
      </c>
      <c r="P1455" s="25">
        <v>0</v>
      </c>
      <c r="Q1455" s="25"/>
      <c r="R1455" s="25"/>
      <c r="S1455" s="25"/>
      <c r="T1455" s="10"/>
    </row>
    <row r="1456" s="35" customFormat="1" ht="18.5" customHeight="1" spans="1:20">
      <c r="A1456" s="9"/>
      <c r="B1456" s="25"/>
      <c r="C1456" s="25"/>
      <c r="D1456" s="25"/>
      <c r="E1456" s="25"/>
      <c r="F1456" s="25"/>
      <c r="G1456" s="25"/>
      <c r="H1456" s="25"/>
      <c r="I1456" s="25"/>
      <c r="J1456" s="25"/>
      <c r="K1456" s="25"/>
      <c r="L1456" s="25"/>
      <c r="M1456" s="42" t="s">
        <v>253</v>
      </c>
      <c r="N1456" s="41">
        <v>45237</v>
      </c>
      <c r="O1456" s="25">
        <v>409</v>
      </c>
      <c r="P1456" s="25">
        <v>0</v>
      </c>
      <c r="Q1456" s="25"/>
      <c r="R1456" s="25"/>
      <c r="S1456" s="25"/>
      <c r="T1456" s="10"/>
    </row>
    <row r="1457" s="35" customFormat="1" ht="18.5" customHeight="1" spans="1:20">
      <c r="A1457" s="9"/>
      <c r="B1457" s="25"/>
      <c r="C1457" s="25"/>
      <c r="D1457" s="25"/>
      <c r="E1457" s="25"/>
      <c r="F1457" s="25"/>
      <c r="G1457" s="25"/>
      <c r="H1457" s="25"/>
      <c r="I1457" s="25"/>
      <c r="J1457" s="25"/>
      <c r="K1457" s="25"/>
      <c r="L1457" s="25"/>
      <c r="M1457" s="42" t="s">
        <v>253</v>
      </c>
      <c r="N1457" s="41">
        <v>45015</v>
      </c>
      <c r="O1457" s="25">
        <v>406</v>
      </c>
      <c r="P1457" s="25">
        <v>0</v>
      </c>
      <c r="Q1457" s="25"/>
      <c r="R1457" s="25"/>
      <c r="S1457" s="25"/>
      <c r="T1457" s="10"/>
    </row>
    <row r="1458" s="35" customFormat="1" ht="18.5" customHeight="1" spans="1:20">
      <c r="A1458" s="9"/>
      <c r="B1458" s="25"/>
      <c r="C1458" s="25"/>
      <c r="D1458" s="25"/>
      <c r="E1458" s="25"/>
      <c r="F1458" s="25"/>
      <c r="G1458" s="25"/>
      <c r="H1458" s="25"/>
      <c r="I1458" s="25"/>
      <c r="J1458" s="25"/>
      <c r="K1458" s="25"/>
      <c r="L1458" s="25"/>
      <c r="M1458" s="42" t="s">
        <v>253</v>
      </c>
      <c r="N1458" s="41">
        <v>45113</v>
      </c>
      <c r="O1458" s="25">
        <v>394</v>
      </c>
      <c r="P1458" s="25">
        <v>0</v>
      </c>
      <c r="Q1458" s="25"/>
      <c r="R1458" s="25"/>
      <c r="S1458" s="25"/>
      <c r="T1458" s="10"/>
    </row>
    <row r="1459" s="35" customFormat="1" ht="18.5" customHeight="1" spans="1:20">
      <c r="A1459" s="9"/>
      <c r="B1459" s="25"/>
      <c r="C1459" s="25"/>
      <c r="D1459" s="25"/>
      <c r="E1459" s="25"/>
      <c r="F1459" s="25"/>
      <c r="G1459" s="25"/>
      <c r="H1459" s="25"/>
      <c r="I1459" s="25"/>
      <c r="J1459" s="25"/>
      <c r="K1459" s="25"/>
      <c r="L1459" s="25"/>
      <c r="M1459" s="42" t="s">
        <v>253</v>
      </c>
      <c r="N1459" s="41">
        <v>44973</v>
      </c>
      <c r="O1459" s="25">
        <v>384</v>
      </c>
      <c r="P1459" s="25">
        <v>0</v>
      </c>
      <c r="Q1459" s="25"/>
      <c r="R1459" s="25"/>
      <c r="S1459" s="25"/>
      <c r="T1459" s="10"/>
    </row>
    <row r="1460" s="35" customFormat="1" ht="18.5" customHeight="1" spans="1:20">
      <c r="A1460" s="9"/>
      <c r="B1460" s="25"/>
      <c r="C1460" s="25"/>
      <c r="D1460" s="25"/>
      <c r="E1460" s="25"/>
      <c r="F1460" s="25"/>
      <c r="G1460" s="25"/>
      <c r="H1460" s="25"/>
      <c r="I1460" s="25"/>
      <c r="J1460" s="25"/>
      <c r="K1460" s="25"/>
      <c r="L1460" s="25"/>
      <c r="M1460" s="42" t="s">
        <v>253</v>
      </c>
      <c r="N1460" s="41">
        <v>45027</v>
      </c>
      <c r="O1460" s="25">
        <v>382</v>
      </c>
      <c r="P1460" s="25">
        <v>0</v>
      </c>
      <c r="Q1460" s="25"/>
      <c r="R1460" s="25"/>
      <c r="S1460" s="25"/>
      <c r="T1460" s="10"/>
    </row>
    <row r="1461" s="35" customFormat="1" ht="18.5" customHeight="1" spans="1:20">
      <c r="A1461" s="9"/>
      <c r="B1461" s="25"/>
      <c r="C1461" s="25"/>
      <c r="D1461" s="25"/>
      <c r="E1461" s="25"/>
      <c r="F1461" s="25"/>
      <c r="G1461" s="25"/>
      <c r="H1461" s="25"/>
      <c r="I1461" s="25"/>
      <c r="J1461" s="25"/>
      <c r="K1461" s="25"/>
      <c r="L1461" s="25"/>
      <c r="M1461" s="42" t="s">
        <v>253</v>
      </c>
      <c r="N1461" s="41">
        <v>45243</v>
      </c>
      <c r="O1461" s="25">
        <v>381</v>
      </c>
      <c r="P1461" s="25">
        <v>0</v>
      </c>
      <c r="Q1461" s="25"/>
      <c r="R1461" s="25"/>
      <c r="S1461" s="25"/>
      <c r="T1461" s="10"/>
    </row>
    <row r="1462" s="35" customFormat="1" ht="18.5" customHeight="1" spans="1:20">
      <c r="A1462" s="9"/>
      <c r="B1462" s="25"/>
      <c r="C1462" s="25"/>
      <c r="D1462" s="25"/>
      <c r="E1462" s="25"/>
      <c r="F1462" s="25"/>
      <c r="G1462" s="25"/>
      <c r="H1462" s="25"/>
      <c r="I1462" s="25"/>
      <c r="J1462" s="25"/>
      <c r="K1462" s="25"/>
      <c r="L1462" s="25"/>
      <c r="M1462" s="42" t="s">
        <v>253</v>
      </c>
      <c r="N1462" s="41">
        <v>45051</v>
      </c>
      <c r="O1462" s="25">
        <v>379</v>
      </c>
      <c r="P1462" s="25">
        <v>0</v>
      </c>
      <c r="Q1462" s="25"/>
      <c r="R1462" s="25"/>
      <c r="S1462" s="25"/>
      <c r="T1462" s="10"/>
    </row>
    <row r="1463" s="35" customFormat="1" ht="18.5" customHeight="1" spans="1:20">
      <c r="A1463" s="9"/>
      <c r="B1463" s="25"/>
      <c r="C1463" s="25"/>
      <c r="D1463" s="25"/>
      <c r="E1463" s="25"/>
      <c r="F1463" s="25"/>
      <c r="G1463" s="25"/>
      <c r="H1463" s="25"/>
      <c r="I1463" s="25"/>
      <c r="J1463" s="25"/>
      <c r="K1463" s="25"/>
      <c r="L1463" s="25"/>
      <c r="M1463" s="42" t="s">
        <v>253</v>
      </c>
      <c r="N1463" s="41">
        <v>45109</v>
      </c>
      <c r="O1463" s="25">
        <v>374</v>
      </c>
      <c r="P1463" s="25">
        <v>0</v>
      </c>
      <c r="Q1463" s="25"/>
      <c r="R1463" s="25"/>
      <c r="S1463" s="25"/>
      <c r="T1463" s="10"/>
    </row>
    <row r="1464" s="35" customFormat="1" ht="18.5" customHeight="1" spans="1:20">
      <c r="A1464" s="9"/>
      <c r="B1464" s="25"/>
      <c r="C1464" s="25"/>
      <c r="D1464" s="25"/>
      <c r="E1464" s="25"/>
      <c r="F1464" s="25"/>
      <c r="G1464" s="25"/>
      <c r="H1464" s="25"/>
      <c r="I1464" s="25"/>
      <c r="J1464" s="25"/>
      <c r="K1464" s="25"/>
      <c r="L1464" s="25"/>
      <c r="M1464" s="42" t="s">
        <v>253</v>
      </c>
      <c r="N1464" s="41">
        <v>45043</v>
      </c>
      <c r="O1464" s="25">
        <v>374</v>
      </c>
      <c r="P1464" s="25">
        <v>0</v>
      </c>
      <c r="Q1464" s="25"/>
      <c r="R1464" s="25"/>
      <c r="S1464" s="25"/>
      <c r="T1464" s="10"/>
    </row>
    <row r="1465" s="35" customFormat="1" ht="18.5" customHeight="1" spans="1:20">
      <c r="A1465" s="9"/>
      <c r="B1465" s="25"/>
      <c r="C1465" s="25"/>
      <c r="D1465" s="25"/>
      <c r="E1465" s="25"/>
      <c r="F1465" s="25"/>
      <c r="G1465" s="25"/>
      <c r="H1465" s="25"/>
      <c r="I1465" s="25"/>
      <c r="J1465" s="25"/>
      <c r="K1465" s="25"/>
      <c r="L1465" s="25"/>
      <c r="M1465" s="42" t="s">
        <v>253</v>
      </c>
      <c r="N1465" s="41">
        <v>45269</v>
      </c>
      <c r="O1465" s="25">
        <v>373</v>
      </c>
      <c r="P1465" s="25">
        <v>0</v>
      </c>
      <c r="Q1465" s="25"/>
      <c r="R1465" s="25"/>
      <c r="S1465" s="25"/>
      <c r="T1465" s="10"/>
    </row>
    <row r="1466" s="35" customFormat="1" ht="18.5" customHeight="1" spans="1:20">
      <c r="A1466" s="9"/>
      <c r="B1466" s="25"/>
      <c r="C1466" s="25"/>
      <c r="D1466" s="25"/>
      <c r="E1466" s="25"/>
      <c r="F1466" s="25"/>
      <c r="G1466" s="25"/>
      <c r="H1466" s="25"/>
      <c r="I1466" s="25"/>
      <c r="J1466" s="25"/>
      <c r="K1466" s="25"/>
      <c r="L1466" s="25"/>
      <c r="M1466" s="42" t="s">
        <v>253</v>
      </c>
      <c r="N1466" s="41">
        <v>45252</v>
      </c>
      <c r="O1466" s="25">
        <v>372</v>
      </c>
      <c r="P1466" s="25">
        <v>0</v>
      </c>
      <c r="Q1466" s="25"/>
      <c r="R1466" s="25"/>
      <c r="S1466" s="25"/>
      <c r="T1466" s="10"/>
    </row>
    <row r="1467" s="35" customFormat="1" ht="18.5" customHeight="1" spans="1:20">
      <c r="A1467" s="9"/>
      <c r="B1467" s="25"/>
      <c r="C1467" s="25"/>
      <c r="D1467" s="25"/>
      <c r="E1467" s="25"/>
      <c r="F1467" s="25"/>
      <c r="G1467" s="25"/>
      <c r="H1467" s="25"/>
      <c r="I1467" s="25"/>
      <c r="J1467" s="25"/>
      <c r="K1467" s="25"/>
      <c r="L1467" s="25"/>
      <c r="M1467" s="42" t="s">
        <v>253</v>
      </c>
      <c r="N1467" s="41">
        <v>45022</v>
      </c>
      <c r="O1467" s="25">
        <v>368</v>
      </c>
      <c r="P1467" s="25">
        <v>0</v>
      </c>
      <c r="Q1467" s="25"/>
      <c r="R1467" s="25"/>
      <c r="S1467" s="25"/>
      <c r="T1467" s="10"/>
    </row>
    <row r="1468" s="35" customFormat="1" ht="18.5" customHeight="1" spans="1:20">
      <c r="A1468" s="9"/>
      <c r="B1468" s="25"/>
      <c r="C1468" s="25"/>
      <c r="D1468" s="25"/>
      <c r="E1468" s="25"/>
      <c r="F1468" s="25"/>
      <c r="G1468" s="25"/>
      <c r="H1468" s="25"/>
      <c r="I1468" s="25"/>
      <c r="J1468" s="25"/>
      <c r="K1468" s="25"/>
      <c r="L1468" s="25"/>
      <c r="M1468" s="42" t="s">
        <v>253</v>
      </c>
      <c r="N1468" s="41">
        <v>44934</v>
      </c>
      <c r="O1468" s="25">
        <v>649</v>
      </c>
      <c r="P1468" s="25">
        <v>0</v>
      </c>
      <c r="Q1468" s="25"/>
      <c r="R1468" s="25"/>
      <c r="S1468" s="25"/>
      <c r="T1468" s="10"/>
    </row>
    <row r="1469" s="35" customFormat="1" ht="18.5" customHeight="1" spans="1:20">
      <c r="A1469" s="9"/>
      <c r="B1469" s="25"/>
      <c r="C1469" s="25"/>
      <c r="D1469" s="25"/>
      <c r="E1469" s="25"/>
      <c r="F1469" s="25"/>
      <c r="G1469" s="25"/>
      <c r="H1469" s="25"/>
      <c r="I1469" s="25"/>
      <c r="J1469" s="25"/>
      <c r="K1469" s="25"/>
      <c r="L1469" s="25"/>
      <c r="M1469" s="42" t="s">
        <v>253</v>
      </c>
      <c r="N1469" s="41">
        <v>45012</v>
      </c>
      <c r="O1469" s="25">
        <v>360</v>
      </c>
      <c r="P1469" s="25">
        <v>0</v>
      </c>
      <c r="Q1469" s="25"/>
      <c r="R1469" s="25"/>
      <c r="S1469" s="25"/>
      <c r="T1469" s="10"/>
    </row>
    <row r="1470" s="35" customFormat="1" ht="18.5" customHeight="1" spans="1:20">
      <c r="A1470" s="9"/>
      <c r="B1470" s="25"/>
      <c r="C1470" s="25"/>
      <c r="D1470" s="25"/>
      <c r="E1470" s="25"/>
      <c r="F1470" s="25"/>
      <c r="G1470" s="25"/>
      <c r="H1470" s="25"/>
      <c r="I1470" s="25"/>
      <c r="J1470" s="25"/>
      <c r="K1470" s="25"/>
      <c r="L1470" s="25"/>
      <c r="M1470" s="42" t="s">
        <v>253</v>
      </c>
      <c r="N1470" s="41">
        <v>45013</v>
      </c>
      <c r="O1470" s="25">
        <v>354</v>
      </c>
      <c r="P1470" s="25">
        <v>0</v>
      </c>
      <c r="Q1470" s="25"/>
      <c r="R1470" s="25"/>
      <c r="S1470" s="25"/>
      <c r="T1470" s="10"/>
    </row>
    <row r="1471" s="35" customFormat="1" ht="18.5" customHeight="1" spans="1:20">
      <c r="A1471" s="9"/>
      <c r="B1471" s="25"/>
      <c r="C1471" s="25"/>
      <c r="D1471" s="25"/>
      <c r="E1471" s="25"/>
      <c r="F1471" s="25"/>
      <c r="G1471" s="25"/>
      <c r="H1471" s="25"/>
      <c r="I1471" s="25"/>
      <c r="J1471" s="25"/>
      <c r="K1471" s="25"/>
      <c r="L1471" s="25"/>
      <c r="M1471" s="42" t="s">
        <v>253</v>
      </c>
      <c r="N1471" s="41">
        <v>44929</v>
      </c>
      <c r="O1471" s="25">
        <v>345</v>
      </c>
      <c r="P1471" s="25">
        <v>0</v>
      </c>
      <c r="Q1471" s="25"/>
      <c r="R1471" s="25"/>
      <c r="S1471" s="25"/>
      <c r="T1471" s="10"/>
    </row>
    <row r="1472" s="35" customFormat="1" ht="18.5" customHeight="1" spans="1:20">
      <c r="A1472" s="9"/>
      <c r="B1472" s="25"/>
      <c r="C1472" s="25"/>
      <c r="D1472" s="25"/>
      <c r="E1472" s="25"/>
      <c r="F1472" s="25"/>
      <c r="G1472" s="25"/>
      <c r="H1472" s="25"/>
      <c r="I1472" s="25"/>
      <c r="J1472" s="25"/>
      <c r="K1472" s="25"/>
      <c r="L1472" s="25"/>
      <c r="M1472" s="42" t="s">
        <v>253</v>
      </c>
      <c r="N1472" s="41">
        <v>45165</v>
      </c>
      <c r="O1472" s="25">
        <v>342</v>
      </c>
      <c r="P1472" s="25">
        <v>0</v>
      </c>
      <c r="Q1472" s="25"/>
      <c r="R1472" s="25"/>
      <c r="S1472" s="25"/>
      <c r="T1472" s="10"/>
    </row>
    <row r="1473" s="35" customFormat="1" ht="18.5" customHeight="1" spans="1:20">
      <c r="A1473" s="9"/>
      <c r="B1473" s="25"/>
      <c r="C1473" s="25"/>
      <c r="D1473" s="25"/>
      <c r="E1473" s="25"/>
      <c r="F1473" s="25"/>
      <c r="G1473" s="25"/>
      <c r="H1473" s="25"/>
      <c r="I1473" s="25"/>
      <c r="J1473" s="25"/>
      <c r="K1473" s="25"/>
      <c r="L1473" s="25"/>
      <c r="M1473" s="42" t="s">
        <v>253</v>
      </c>
      <c r="N1473" s="41">
        <v>44945</v>
      </c>
      <c r="O1473" s="25">
        <v>334</v>
      </c>
      <c r="P1473" s="25">
        <v>0</v>
      </c>
      <c r="Q1473" s="25"/>
      <c r="R1473" s="25"/>
      <c r="S1473" s="25"/>
      <c r="T1473" s="10"/>
    </row>
    <row r="1474" s="35" customFormat="1" ht="18.5" customHeight="1" spans="1:20">
      <c r="A1474" s="9"/>
      <c r="B1474" s="25"/>
      <c r="C1474" s="25"/>
      <c r="D1474" s="25"/>
      <c r="E1474" s="25"/>
      <c r="F1474" s="25"/>
      <c r="G1474" s="25"/>
      <c r="H1474" s="25"/>
      <c r="I1474" s="25"/>
      <c r="J1474" s="25"/>
      <c r="K1474" s="25"/>
      <c r="L1474" s="25"/>
      <c r="M1474" s="42" t="s">
        <v>253</v>
      </c>
      <c r="N1474" s="41">
        <v>45255</v>
      </c>
      <c r="O1474" s="25">
        <v>331</v>
      </c>
      <c r="P1474" s="25">
        <v>0</v>
      </c>
      <c r="Q1474" s="25"/>
      <c r="R1474" s="25"/>
      <c r="S1474" s="25"/>
      <c r="T1474" s="10"/>
    </row>
    <row r="1475" s="35" customFormat="1" ht="18.5" customHeight="1" spans="1:20">
      <c r="A1475" s="9"/>
      <c r="B1475" s="25"/>
      <c r="C1475" s="25"/>
      <c r="D1475" s="25"/>
      <c r="E1475" s="25"/>
      <c r="F1475" s="25"/>
      <c r="G1475" s="25"/>
      <c r="H1475" s="25"/>
      <c r="I1475" s="25"/>
      <c r="J1475" s="25"/>
      <c r="K1475" s="25"/>
      <c r="L1475" s="25"/>
      <c r="M1475" s="42" t="s">
        <v>253</v>
      </c>
      <c r="N1475" s="41">
        <v>45132</v>
      </c>
      <c r="O1475" s="25">
        <v>329</v>
      </c>
      <c r="P1475" s="25">
        <v>0</v>
      </c>
      <c r="Q1475" s="25"/>
      <c r="R1475" s="25"/>
      <c r="S1475" s="25"/>
      <c r="T1475" s="10"/>
    </row>
    <row r="1476" s="35" customFormat="1" ht="18.5" customHeight="1" spans="1:20">
      <c r="A1476" s="9"/>
      <c r="B1476" s="25"/>
      <c r="C1476" s="25"/>
      <c r="D1476" s="25"/>
      <c r="E1476" s="25"/>
      <c r="F1476" s="25"/>
      <c r="G1476" s="25"/>
      <c r="H1476" s="25"/>
      <c r="I1476" s="25"/>
      <c r="J1476" s="25"/>
      <c r="K1476" s="25"/>
      <c r="L1476" s="25"/>
      <c r="M1476" s="42" t="s">
        <v>253</v>
      </c>
      <c r="N1476" s="41">
        <v>45156</v>
      </c>
      <c r="O1476" s="25">
        <v>326</v>
      </c>
      <c r="P1476" s="25">
        <v>0</v>
      </c>
      <c r="Q1476" s="25"/>
      <c r="R1476" s="25"/>
      <c r="S1476" s="25"/>
      <c r="T1476" s="10"/>
    </row>
    <row r="1477" s="35" customFormat="1" ht="18.5" customHeight="1" spans="1:20">
      <c r="A1477" s="9"/>
      <c r="B1477" s="25"/>
      <c r="C1477" s="25"/>
      <c r="D1477" s="25"/>
      <c r="E1477" s="25"/>
      <c r="F1477" s="25"/>
      <c r="G1477" s="25"/>
      <c r="H1477" s="25"/>
      <c r="I1477" s="25"/>
      <c r="J1477" s="25"/>
      <c r="K1477" s="25"/>
      <c r="L1477" s="25"/>
      <c r="M1477" s="42" t="s">
        <v>253</v>
      </c>
      <c r="N1477" s="41">
        <v>45100</v>
      </c>
      <c r="O1477" s="25">
        <v>322</v>
      </c>
      <c r="P1477" s="25">
        <v>0</v>
      </c>
      <c r="Q1477" s="25"/>
      <c r="R1477" s="25"/>
      <c r="S1477" s="25"/>
      <c r="T1477" s="10"/>
    </row>
    <row r="1478" s="35" customFormat="1" ht="18.5" customHeight="1" spans="1:20">
      <c r="A1478" s="9"/>
      <c r="B1478" s="25"/>
      <c r="C1478" s="25"/>
      <c r="D1478" s="25"/>
      <c r="E1478" s="25"/>
      <c r="F1478" s="25"/>
      <c r="G1478" s="25"/>
      <c r="H1478" s="25"/>
      <c r="I1478" s="25"/>
      <c r="J1478" s="25"/>
      <c r="K1478" s="25"/>
      <c r="L1478" s="25"/>
      <c r="M1478" s="42" t="s">
        <v>253</v>
      </c>
      <c r="N1478" s="41">
        <v>44990</v>
      </c>
      <c r="O1478" s="25">
        <v>1805</v>
      </c>
      <c r="P1478" s="25">
        <v>0</v>
      </c>
      <c r="Q1478" s="25"/>
      <c r="R1478" s="25"/>
      <c r="S1478" s="25"/>
      <c r="T1478" s="10"/>
    </row>
    <row r="1479" s="35" customFormat="1" ht="18.5" customHeight="1" spans="1:20">
      <c r="A1479" s="9"/>
      <c r="B1479" s="25"/>
      <c r="C1479" s="25"/>
      <c r="D1479" s="25"/>
      <c r="E1479" s="25"/>
      <c r="F1479" s="25"/>
      <c r="G1479" s="25"/>
      <c r="H1479" s="25"/>
      <c r="I1479" s="25"/>
      <c r="J1479" s="25"/>
      <c r="K1479" s="25"/>
      <c r="L1479" s="25"/>
      <c r="M1479" s="42" t="s">
        <v>253</v>
      </c>
      <c r="N1479" s="41">
        <v>45192</v>
      </c>
      <c r="O1479" s="25">
        <v>1790</v>
      </c>
      <c r="P1479" s="25">
        <v>0</v>
      </c>
      <c r="Q1479" s="25"/>
      <c r="R1479" s="25"/>
      <c r="S1479" s="25"/>
      <c r="T1479" s="10"/>
    </row>
    <row r="1480" s="35" customFormat="1" ht="18.5" customHeight="1" spans="1:20">
      <c r="A1480" s="9"/>
      <c r="B1480" s="25"/>
      <c r="C1480" s="25"/>
      <c r="D1480" s="25"/>
      <c r="E1480" s="25"/>
      <c r="F1480" s="25"/>
      <c r="G1480" s="25"/>
      <c r="H1480" s="25"/>
      <c r="I1480" s="25"/>
      <c r="J1480" s="25"/>
      <c r="K1480" s="25"/>
      <c r="L1480" s="25"/>
      <c r="M1480" s="42" t="s">
        <v>253</v>
      </c>
      <c r="N1480" s="41">
        <v>45241</v>
      </c>
      <c r="O1480" s="25">
        <v>314</v>
      </c>
      <c r="P1480" s="25">
        <v>0</v>
      </c>
      <c r="Q1480" s="25"/>
      <c r="R1480" s="25"/>
      <c r="S1480" s="25"/>
      <c r="T1480" s="10"/>
    </row>
    <row r="1481" s="35" customFormat="1" ht="18.5" customHeight="1" spans="1:20">
      <c r="A1481" s="9"/>
      <c r="B1481" s="25"/>
      <c r="C1481" s="25"/>
      <c r="D1481" s="25"/>
      <c r="E1481" s="25"/>
      <c r="F1481" s="25"/>
      <c r="G1481" s="25"/>
      <c r="H1481" s="25"/>
      <c r="I1481" s="25"/>
      <c r="J1481" s="25"/>
      <c r="K1481" s="25"/>
      <c r="L1481" s="25"/>
      <c r="M1481" s="42" t="s">
        <v>253</v>
      </c>
      <c r="N1481" s="41">
        <v>45099</v>
      </c>
      <c r="O1481" s="25">
        <v>314</v>
      </c>
      <c r="P1481" s="25">
        <v>0</v>
      </c>
      <c r="Q1481" s="25"/>
      <c r="R1481" s="25"/>
      <c r="S1481" s="25"/>
      <c r="T1481" s="10"/>
    </row>
    <row r="1482" s="35" customFormat="1" ht="18.5" customHeight="1" spans="1:20">
      <c r="A1482" s="9"/>
      <c r="B1482" s="25"/>
      <c r="C1482" s="25"/>
      <c r="D1482" s="25"/>
      <c r="E1482" s="25"/>
      <c r="F1482" s="25"/>
      <c r="G1482" s="25"/>
      <c r="H1482" s="25"/>
      <c r="I1482" s="25"/>
      <c r="J1482" s="25"/>
      <c r="K1482" s="25"/>
      <c r="L1482" s="25"/>
      <c r="M1482" s="42" t="s">
        <v>253</v>
      </c>
      <c r="N1482" s="41">
        <v>44975</v>
      </c>
      <c r="O1482" s="25">
        <v>311</v>
      </c>
      <c r="P1482" s="25">
        <v>0</v>
      </c>
      <c r="Q1482" s="25"/>
      <c r="R1482" s="25"/>
      <c r="S1482" s="25"/>
      <c r="T1482" s="10"/>
    </row>
    <row r="1483" s="35" customFormat="1" ht="18.5" customHeight="1" spans="1:20">
      <c r="A1483" s="9"/>
      <c r="B1483" s="25"/>
      <c r="C1483" s="25"/>
      <c r="D1483" s="25"/>
      <c r="E1483" s="25"/>
      <c r="F1483" s="25"/>
      <c r="G1483" s="25"/>
      <c r="H1483" s="25"/>
      <c r="I1483" s="25"/>
      <c r="J1483" s="25"/>
      <c r="K1483" s="25"/>
      <c r="L1483" s="25"/>
      <c r="M1483" s="42" t="s">
        <v>253</v>
      </c>
      <c r="N1483" s="41">
        <v>45250</v>
      </c>
      <c r="O1483" s="25">
        <v>309</v>
      </c>
      <c r="P1483" s="25">
        <v>0</v>
      </c>
      <c r="Q1483" s="25"/>
      <c r="R1483" s="25"/>
      <c r="S1483" s="25"/>
      <c r="T1483" s="10"/>
    </row>
    <row r="1484" s="35" customFormat="1" ht="18.5" customHeight="1" spans="1:20">
      <c r="A1484" s="9"/>
      <c r="B1484" s="25"/>
      <c r="C1484" s="25"/>
      <c r="D1484" s="25"/>
      <c r="E1484" s="25"/>
      <c r="F1484" s="25"/>
      <c r="G1484" s="25"/>
      <c r="H1484" s="25"/>
      <c r="I1484" s="25"/>
      <c r="J1484" s="25"/>
      <c r="K1484" s="25"/>
      <c r="L1484" s="25"/>
      <c r="M1484" s="42" t="s">
        <v>253</v>
      </c>
      <c r="N1484" s="41">
        <v>45014</v>
      </c>
      <c r="O1484" s="25">
        <v>309</v>
      </c>
      <c r="P1484" s="25">
        <v>0</v>
      </c>
      <c r="Q1484" s="25"/>
      <c r="R1484" s="25"/>
      <c r="S1484" s="25"/>
      <c r="T1484" s="10"/>
    </row>
    <row r="1485" s="35" customFormat="1" ht="18.5" customHeight="1" spans="1:20">
      <c r="A1485" s="9"/>
      <c r="B1485" s="25"/>
      <c r="C1485" s="25"/>
      <c r="D1485" s="25"/>
      <c r="E1485" s="25"/>
      <c r="F1485" s="25"/>
      <c r="G1485" s="25"/>
      <c r="H1485" s="25"/>
      <c r="I1485" s="25"/>
      <c r="J1485" s="25"/>
      <c r="K1485" s="25"/>
      <c r="L1485" s="25"/>
      <c r="M1485" s="42" t="s">
        <v>253</v>
      </c>
      <c r="N1485" s="41">
        <v>45164</v>
      </c>
      <c r="O1485" s="25">
        <v>295</v>
      </c>
      <c r="P1485" s="25">
        <v>0</v>
      </c>
      <c r="Q1485" s="25"/>
      <c r="R1485" s="25"/>
      <c r="S1485" s="25"/>
      <c r="T1485" s="10"/>
    </row>
    <row r="1486" s="35" customFormat="1" ht="18.5" customHeight="1" spans="1:20">
      <c r="A1486" s="9"/>
      <c r="B1486" s="25"/>
      <c r="C1486" s="25"/>
      <c r="D1486" s="25"/>
      <c r="E1486" s="25"/>
      <c r="F1486" s="25"/>
      <c r="G1486" s="25"/>
      <c r="H1486" s="25"/>
      <c r="I1486" s="25"/>
      <c r="J1486" s="25"/>
      <c r="K1486" s="25"/>
      <c r="L1486" s="25"/>
      <c r="M1486" s="42" t="s">
        <v>253</v>
      </c>
      <c r="N1486" s="41">
        <v>45069</v>
      </c>
      <c r="O1486" s="25">
        <v>294</v>
      </c>
      <c r="P1486" s="25">
        <v>0</v>
      </c>
      <c r="Q1486" s="25"/>
      <c r="R1486" s="25"/>
      <c r="S1486" s="25"/>
      <c r="T1486" s="10"/>
    </row>
    <row r="1487" s="35" customFormat="1" ht="18.5" customHeight="1" spans="1:20">
      <c r="A1487" s="9"/>
      <c r="B1487" s="25"/>
      <c r="C1487" s="25"/>
      <c r="D1487" s="25"/>
      <c r="E1487" s="25"/>
      <c r="F1487" s="25"/>
      <c r="G1487" s="25"/>
      <c r="H1487" s="25"/>
      <c r="I1487" s="25"/>
      <c r="J1487" s="25"/>
      <c r="K1487" s="25"/>
      <c r="L1487" s="25"/>
      <c r="M1487" s="42" t="s">
        <v>253</v>
      </c>
      <c r="N1487" s="41">
        <v>45251</v>
      </c>
      <c r="O1487" s="25">
        <v>288</v>
      </c>
      <c r="P1487" s="25">
        <v>0</v>
      </c>
      <c r="Q1487" s="25"/>
      <c r="R1487" s="25"/>
      <c r="S1487" s="25"/>
      <c r="T1487" s="10"/>
    </row>
    <row r="1488" s="35" customFormat="1" ht="18.5" customHeight="1" spans="1:20">
      <c r="A1488" s="9"/>
      <c r="B1488" s="25"/>
      <c r="C1488" s="25"/>
      <c r="D1488" s="25"/>
      <c r="E1488" s="25"/>
      <c r="F1488" s="25"/>
      <c r="G1488" s="25"/>
      <c r="H1488" s="25"/>
      <c r="I1488" s="25"/>
      <c r="J1488" s="25"/>
      <c r="K1488" s="25"/>
      <c r="L1488" s="25"/>
      <c r="M1488" s="42" t="s">
        <v>253</v>
      </c>
      <c r="N1488" s="41">
        <v>45026</v>
      </c>
      <c r="O1488" s="25">
        <v>285</v>
      </c>
      <c r="P1488" s="25">
        <v>0</v>
      </c>
      <c r="Q1488" s="25"/>
      <c r="R1488" s="25"/>
      <c r="S1488" s="25"/>
      <c r="T1488" s="10"/>
    </row>
    <row r="1489" s="35" customFormat="1" ht="18.5" customHeight="1" spans="1:20">
      <c r="A1489" s="9"/>
      <c r="B1489" s="25"/>
      <c r="C1489" s="25"/>
      <c r="D1489" s="25"/>
      <c r="E1489" s="25"/>
      <c r="F1489" s="25"/>
      <c r="G1489" s="25"/>
      <c r="H1489" s="25"/>
      <c r="I1489" s="25"/>
      <c r="J1489" s="25"/>
      <c r="K1489" s="25"/>
      <c r="L1489" s="25"/>
      <c r="M1489" s="42" t="s">
        <v>253</v>
      </c>
      <c r="N1489" s="41">
        <v>45079</v>
      </c>
      <c r="O1489" s="25">
        <v>273</v>
      </c>
      <c r="P1489" s="25">
        <v>0</v>
      </c>
      <c r="Q1489" s="25"/>
      <c r="R1489" s="25"/>
      <c r="S1489" s="25"/>
      <c r="T1489" s="10"/>
    </row>
    <row r="1490" s="35" customFormat="1" ht="18.5" customHeight="1" spans="1:20">
      <c r="A1490" s="9"/>
      <c r="B1490" s="25"/>
      <c r="C1490" s="25"/>
      <c r="D1490" s="25"/>
      <c r="E1490" s="25"/>
      <c r="F1490" s="25"/>
      <c r="G1490" s="25"/>
      <c r="H1490" s="25"/>
      <c r="I1490" s="25"/>
      <c r="J1490" s="25"/>
      <c r="K1490" s="25"/>
      <c r="L1490" s="25"/>
      <c r="M1490" s="42" t="s">
        <v>253</v>
      </c>
      <c r="N1490" s="41">
        <v>45041</v>
      </c>
      <c r="O1490" s="25">
        <v>270</v>
      </c>
      <c r="P1490" s="25">
        <v>0</v>
      </c>
      <c r="Q1490" s="25"/>
      <c r="R1490" s="25"/>
      <c r="S1490" s="25"/>
      <c r="T1490" s="10"/>
    </row>
    <row r="1491" s="35" customFormat="1" ht="18.5" customHeight="1" spans="1:20">
      <c r="A1491" s="9"/>
      <c r="B1491" s="25"/>
      <c r="C1491" s="25"/>
      <c r="D1491" s="25"/>
      <c r="E1491" s="25"/>
      <c r="F1491" s="25"/>
      <c r="G1491" s="25"/>
      <c r="H1491" s="25"/>
      <c r="I1491" s="25"/>
      <c r="J1491" s="25"/>
      <c r="K1491" s="25"/>
      <c r="L1491" s="25"/>
      <c r="M1491" s="42" t="s">
        <v>253</v>
      </c>
      <c r="N1491" s="41">
        <v>45026</v>
      </c>
      <c r="O1491" s="25">
        <v>261</v>
      </c>
      <c r="P1491" s="25">
        <v>0</v>
      </c>
      <c r="Q1491" s="25"/>
      <c r="R1491" s="25"/>
      <c r="S1491" s="25"/>
      <c r="T1491" s="10"/>
    </row>
    <row r="1492" s="35" customFormat="1" ht="18.5" customHeight="1" spans="1:20">
      <c r="A1492" s="9"/>
      <c r="B1492" s="25"/>
      <c r="C1492" s="25"/>
      <c r="D1492" s="25"/>
      <c r="E1492" s="25"/>
      <c r="F1492" s="25"/>
      <c r="G1492" s="25"/>
      <c r="H1492" s="25"/>
      <c r="I1492" s="25"/>
      <c r="J1492" s="25"/>
      <c r="K1492" s="25"/>
      <c r="L1492" s="25"/>
      <c r="M1492" s="42" t="s">
        <v>253</v>
      </c>
      <c r="N1492" s="41">
        <v>45019</v>
      </c>
      <c r="O1492" s="25">
        <v>258</v>
      </c>
      <c r="P1492" s="25">
        <v>0</v>
      </c>
      <c r="Q1492" s="25"/>
      <c r="R1492" s="25"/>
      <c r="S1492" s="25"/>
      <c r="T1492" s="10"/>
    </row>
    <row r="1493" s="35" customFormat="1" ht="18.5" customHeight="1" spans="1:20">
      <c r="A1493" s="9"/>
      <c r="B1493" s="25"/>
      <c r="C1493" s="25"/>
      <c r="D1493" s="25"/>
      <c r="E1493" s="25"/>
      <c r="F1493" s="25"/>
      <c r="G1493" s="25"/>
      <c r="H1493" s="25"/>
      <c r="I1493" s="25"/>
      <c r="J1493" s="25"/>
      <c r="K1493" s="25"/>
      <c r="L1493" s="25"/>
      <c r="M1493" s="42" t="s">
        <v>253</v>
      </c>
      <c r="N1493" s="41">
        <v>44989</v>
      </c>
      <c r="O1493" s="25">
        <v>1442</v>
      </c>
      <c r="P1493" s="25">
        <v>0</v>
      </c>
      <c r="Q1493" s="25"/>
      <c r="R1493" s="25"/>
      <c r="S1493" s="25"/>
      <c r="T1493" s="10"/>
    </row>
    <row r="1494" s="35" customFormat="1" ht="18.5" customHeight="1" spans="1:20">
      <c r="A1494" s="9"/>
      <c r="B1494" s="25"/>
      <c r="C1494" s="25"/>
      <c r="D1494" s="25"/>
      <c r="E1494" s="25"/>
      <c r="F1494" s="25"/>
      <c r="G1494" s="25"/>
      <c r="H1494" s="25"/>
      <c r="I1494" s="25"/>
      <c r="J1494" s="25"/>
      <c r="K1494" s="25"/>
      <c r="L1494" s="25"/>
      <c r="M1494" s="42" t="s">
        <v>253</v>
      </c>
      <c r="N1494" s="41">
        <v>45034</v>
      </c>
      <c r="O1494" s="25">
        <v>255</v>
      </c>
      <c r="P1494" s="25">
        <v>0</v>
      </c>
      <c r="Q1494" s="25"/>
      <c r="R1494" s="25"/>
      <c r="S1494" s="25"/>
      <c r="T1494" s="10"/>
    </row>
    <row r="1495" s="35" customFormat="1" ht="18.5" customHeight="1" spans="1:20">
      <c r="A1495" s="9"/>
      <c r="B1495" s="25"/>
      <c r="C1495" s="25"/>
      <c r="D1495" s="25"/>
      <c r="E1495" s="25"/>
      <c r="F1495" s="25"/>
      <c r="G1495" s="25"/>
      <c r="H1495" s="25"/>
      <c r="I1495" s="25"/>
      <c r="J1495" s="25"/>
      <c r="K1495" s="25"/>
      <c r="L1495" s="25"/>
      <c r="M1495" s="42" t="s">
        <v>253</v>
      </c>
      <c r="N1495" s="41">
        <v>45156</v>
      </c>
      <c r="O1495" s="25">
        <v>251</v>
      </c>
      <c r="P1495" s="25">
        <v>0</v>
      </c>
      <c r="Q1495" s="25"/>
      <c r="R1495" s="25"/>
      <c r="S1495" s="25"/>
      <c r="T1495" s="10"/>
    </row>
    <row r="1496" s="35" customFormat="1" ht="18.5" customHeight="1" spans="1:20">
      <c r="A1496" s="9"/>
      <c r="B1496" s="25"/>
      <c r="C1496" s="25"/>
      <c r="D1496" s="25"/>
      <c r="E1496" s="25"/>
      <c r="F1496" s="25"/>
      <c r="G1496" s="25"/>
      <c r="H1496" s="25"/>
      <c r="I1496" s="25"/>
      <c r="J1496" s="25"/>
      <c r="K1496" s="25"/>
      <c r="L1496" s="25"/>
      <c r="M1496" s="42" t="s">
        <v>253</v>
      </c>
      <c r="N1496" s="41">
        <v>45251</v>
      </c>
      <c r="O1496" s="25">
        <v>245</v>
      </c>
      <c r="P1496" s="25">
        <v>0</v>
      </c>
      <c r="Q1496" s="25"/>
      <c r="R1496" s="25"/>
      <c r="S1496" s="25"/>
      <c r="T1496" s="10"/>
    </row>
    <row r="1497" s="35" customFormat="1" ht="18.5" customHeight="1" spans="1:20">
      <c r="A1497" s="9"/>
      <c r="B1497" s="25"/>
      <c r="C1497" s="25"/>
      <c r="D1497" s="25"/>
      <c r="E1497" s="25"/>
      <c r="F1497" s="25"/>
      <c r="G1497" s="25"/>
      <c r="H1497" s="25"/>
      <c r="I1497" s="25"/>
      <c r="J1497" s="25"/>
      <c r="K1497" s="25"/>
      <c r="L1497" s="25"/>
      <c r="M1497" s="42" t="s">
        <v>253</v>
      </c>
      <c r="N1497" s="41">
        <v>45010</v>
      </c>
      <c r="O1497" s="25">
        <v>233</v>
      </c>
      <c r="P1497" s="25">
        <v>0</v>
      </c>
      <c r="Q1497" s="25"/>
      <c r="R1497" s="25"/>
      <c r="S1497" s="25"/>
      <c r="T1497" s="10"/>
    </row>
    <row r="1498" s="35" customFormat="1" ht="18.5" customHeight="1" spans="1:20">
      <c r="A1498" s="9"/>
      <c r="B1498" s="25"/>
      <c r="C1498" s="25"/>
      <c r="D1498" s="25"/>
      <c r="E1498" s="25"/>
      <c r="F1498" s="25"/>
      <c r="G1498" s="25"/>
      <c r="H1498" s="25"/>
      <c r="I1498" s="25"/>
      <c r="J1498" s="25"/>
      <c r="K1498" s="25"/>
      <c r="L1498" s="25"/>
      <c r="M1498" s="42" t="s">
        <v>253</v>
      </c>
      <c r="N1498" s="41">
        <v>45084</v>
      </c>
      <c r="O1498" s="25">
        <v>232</v>
      </c>
      <c r="P1498" s="25">
        <v>0</v>
      </c>
      <c r="Q1498" s="25"/>
      <c r="R1498" s="25"/>
      <c r="S1498" s="25"/>
      <c r="T1498" s="10"/>
    </row>
    <row r="1499" s="35" customFormat="1" ht="18.5" customHeight="1" spans="1:20">
      <c r="A1499" s="9"/>
      <c r="B1499" s="25"/>
      <c r="C1499" s="25"/>
      <c r="D1499" s="25"/>
      <c r="E1499" s="25"/>
      <c r="F1499" s="25"/>
      <c r="G1499" s="25"/>
      <c r="H1499" s="25"/>
      <c r="I1499" s="25"/>
      <c r="J1499" s="25"/>
      <c r="K1499" s="25"/>
      <c r="L1499" s="25"/>
      <c r="M1499" s="42" t="s">
        <v>253</v>
      </c>
      <c r="N1499" s="41">
        <v>45007</v>
      </c>
      <c r="O1499" s="25">
        <v>232</v>
      </c>
      <c r="P1499" s="25">
        <v>0</v>
      </c>
      <c r="Q1499" s="25"/>
      <c r="R1499" s="25"/>
      <c r="S1499" s="25"/>
      <c r="T1499" s="10"/>
    </row>
    <row r="1500" s="35" customFormat="1" ht="18.5" customHeight="1" spans="1:20">
      <c r="A1500" s="9"/>
      <c r="B1500" s="25"/>
      <c r="C1500" s="25"/>
      <c r="D1500" s="25"/>
      <c r="E1500" s="25"/>
      <c r="F1500" s="25"/>
      <c r="G1500" s="25"/>
      <c r="H1500" s="25"/>
      <c r="I1500" s="25"/>
      <c r="J1500" s="25"/>
      <c r="K1500" s="25"/>
      <c r="L1500" s="25"/>
      <c r="M1500" s="42" t="s">
        <v>253</v>
      </c>
      <c r="N1500" s="41">
        <v>45087</v>
      </c>
      <c r="O1500" s="25">
        <v>229</v>
      </c>
      <c r="P1500" s="25">
        <v>0</v>
      </c>
      <c r="Q1500" s="25"/>
      <c r="R1500" s="25"/>
      <c r="S1500" s="25"/>
      <c r="T1500" s="10"/>
    </row>
    <row r="1501" s="35" customFormat="1" ht="18.5" customHeight="1" spans="1:20">
      <c r="A1501" s="9"/>
      <c r="B1501" s="25"/>
      <c r="C1501" s="25"/>
      <c r="D1501" s="25"/>
      <c r="E1501" s="25"/>
      <c r="F1501" s="25"/>
      <c r="G1501" s="25"/>
      <c r="H1501" s="25"/>
      <c r="I1501" s="25"/>
      <c r="J1501" s="25"/>
      <c r="K1501" s="25"/>
      <c r="L1501" s="25"/>
      <c r="M1501" s="42" t="s">
        <v>253</v>
      </c>
      <c r="N1501" s="41">
        <v>44961</v>
      </c>
      <c r="O1501" s="25">
        <v>1287</v>
      </c>
      <c r="P1501" s="25">
        <v>0</v>
      </c>
      <c r="Q1501" s="25"/>
      <c r="R1501" s="25"/>
      <c r="S1501" s="25"/>
      <c r="T1501" s="10"/>
    </row>
    <row r="1502" s="35" customFormat="1" ht="18.5" customHeight="1" spans="1:20">
      <c r="A1502" s="9"/>
      <c r="B1502" s="25"/>
      <c r="C1502" s="25"/>
      <c r="D1502" s="25"/>
      <c r="E1502" s="25"/>
      <c r="F1502" s="25"/>
      <c r="G1502" s="25"/>
      <c r="H1502" s="25"/>
      <c r="I1502" s="25"/>
      <c r="J1502" s="25"/>
      <c r="K1502" s="25"/>
      <c r="L1502" s="25"/>
      <c r="M1502" s="42" t="s">
        <v>253</v>
      </c>
      <c r="N1502" s="41">
        <v>45075</v>
      </c>
      <c r="O1502" s="25">
        <v>228</v>
      </c>
      <c r="P1502" s="25">
        <v>0</v>
      </c>
      <c r="Q1502" s="25"/>
      <c r="R1502" s="25"/>
      <c r="S1502" s="25"/>
      <c r="T1502" s="10"/>
    </row>
    <row r="1503" s="35" customFormat="1" ht="18.5" customHeight="1" spans="1:20">
      <c r="A1503" s="9"/>
      <c r="B1503" s="25"/>
      <c r="C1503" s="25"/>
      <c r="D1503" s="25"/>
      <c r="E1503" s="25"/>
      <c r="F1503" s="25"/>
      <c r="G1503" s="25"/>
      <c r="H1503" s="25"/>
      <c r="I1503" s="25"/>
      <c r="J1503" s="25"/>
      <c r="K1503" s="25"/>
      <c r="L1503" s="25"/>
      <c r="M1503" s="42" t="s">
        <v>253</v>
      </c>
      <c r="N1503" s="41">
        <v>45006</v>
      </c>
      <c r="O1503" s="25">
        <v>228</v>
      </c>
      <c r="P1503" s="25">
        <v>0</v>
      </c>
      <c r="Q1503" s="25"/>
      <c r="R1503" s="25"/>
      <c r="S1503" s="25"/>
      <c r="T1503" s="10"/>
    </row>
    <row r="1504" s="35" customFormat="1" ht="18.5" customHeight="1" spans="1:20">
      <c r="A1504" s="9"/>
      <c r="B1504" s="25"/>
      <c r="C1504" s="25"/>
      <c r="D1504" s="25"/>
      <c r="E1504" s="25"/>
      <c r="F1504" s="25"/>
      <c r="G1504" s="25"/>
      <c r="H1504" s="25"/>
      <c r="I1504" s="25"/>
      <c r="J1504" s="25"/>
      <c r="K1504" s="25"/>
      <c r="L1504" s="25"/>
      <c r="M1504" s="42" t="s">
        <v>253</v>
      </c>
      <c r="N1504" s="41">
        <v>45253</v>
      </c>
      <c r="O1504" s="25">
        <v>214</v>
      </c>
      <c r="P1504" s="25">
        <v>0</v>
      </c>
      <c r="Q1504" s="25"/>
      <c r="R1504" s="25"/>
      <c r="S1504" s="25"/>
      <c r="T1504" s="10"/>
    </row>
    <row r="1505" s="35" customFormat="1" ht="18.5" customHeight="1" spans="1:20">
      <c r="A1505" s="9"/>
      <c r="B1505" s="25"/>
      <c r="C1505" s="25"/>
      <c r="D1505" s="25"/>
      <c r="E1505" s="25"/>
      <c r="F1505" s="25"/>
      <c r="G1505" s="25"/>
      <c r="H1505" s="25"/>
      <c r="I1505" s="25"/>
      <c r="J1505" s="25"/>
      <c r="K1505" s="25"/>
      <c r="L1505" s="25"/>
      <c r="M1505" s="42" t="s">
        <v>253</v>
      </c>
      <c r="N1505" s="41">
        <v>45237</v>
      </c>
      <c r="O1505" s="25">
        <v>214</v>
      </c>
      <c r="P1505" s="25">
        <v>0</v>
      </c>
      <c r="Q1505" s="25"/>
      <c r="R1505" s="25"/>
      <c r="S1505" s="25"/>
      <c r="T1505" s="10"/>
    </row>
    <row r="1506" s="35" customFormat="1" ht="18.5" customHeight="1" spans="1:20">
      <c r="A1506" s="9"/>
      <c r="B1506" s="25"/>
      <c r="C1506" s="25"/>
      <c r="D1506" s="25"/>
      <c r="E1506" s="25"/>
      <c r="F1506" s="25"/>
      <c r="G1506" s="25"/>
      <c r="H1506" s="25"/>
      <c r="I1506" s="25"/>
      <c r="J1506" s="25"/>
      <c r="K1506" s="25"/>
      <c r="L1506" s="25"/>
      <c r="M1506" s="42" t="s">
        <v>253</v>
      </c>
      <c r="N1506" s="41">
        <v>45025</v>
      </c>
      <c r="O1506" s="25">
        <v>1188</v>
      </c>
      <c r="P1506" s="25">
        <v>0</v>
      </c>
      <c r="Q1506" s="25"/>
      <c r="R1506" s="25"/>
      <c r="S1506" s="25"/>
      <c r="T1506" s="10"/>
    </row>
    <row r="1507" s="35" customFormat="1" ht="18.5" customHeight="1" spans="1:20">
      <c r="A1507" s="9"/>
      <c r="B1507" s="25"/>
      <c r="C1507" s="25"/>
      <c r="D1507" s="25"/>
      <c r="E1507" s="25"/>
      <c r="F1507" s="25"/>
      <c r="G1507" s="25"/>
      <c r="H1507" s="25"/>
      <c r="I1507" s="25"/>
      <c r="J1507" s="25"/>
      <c r="K1507" s="25"/>
      <c r="L1507" s="25"/>
      <c r="M1507" s="42" t="s">
        <v>253</v>
      </c>
      <c r="N1507" s="41">
        <v>45281</v>
      </c>
      <c r="O1507" s="25">
        <v>211</v>
      </c>
      <c r="P1507" s="25">
        <v>0</v>
      </c>
      <c r="Q1507" s="25"/>
      <c r="R1507" s="25"/>
      <c r="S1507" s="25"/>
      <c r="T1507" s="10"/>
    </row>
    <row r="1508" s="35" customFormat="1" ht="18.5" customHeight="1" spans="1:20">
      <c r="A1508" s="9"/>
      <c r="B1508" s="25"/>
      <c r="C1508" s="25"/>
      <c r="D1508" s="25"/>
      <c r="E1508" s="25"/>
      <c r="F1508" s="25"/>
      <c r="G1508" s="25"/>
      <c r="H1508" s="25"/>
      <c r="I1508" s="25"/>
      <c r="J1508" s="25"/>
      <c r="K1508" s="25"/>
      <c r="L1508" s="25"/>
      <c r="M1508" s="42" t="s">
        <v>253</v>
      </c>
      <c r="N1508" s="41">
        <v>45102</v>
      </c>
      <c r="O1508" s="25">
        <v>211</v>
      </c>
      <c r="P1508" s="25">
        <v>0</v>
      </c>
      <c r="Q1508" s="25"/>
      <c r="R1508" s="25"/>
      <c r="S1508" s="25"/>
      <c r="T1508" s="10"/>
    </row>
    <row r="1509" s="35" customFormat="1" ht="18.5" customHeight="1" spans="1:20">
      <c r="A1509" s="9"/>
      <c r="B1509" s="25"/>
      <c r="C1509" s="25"/>
      <c r="D1509" s="25"/>
      <c r="E1509" s="25"/>
      <c r="F1509" s="25"/>
      <c r="G1509" s="25"/>
      <c r="H1509" s="25"/>
      <c r="I1509" s="25"/>
      <c r="J1509" s="25"/>
      <c r="K1509" s="25"/>
      <c r="L1509" s="25"/>
      <c r="M1509" s="42" t="s">
        <v>253</v>
      </c>
      <c r="N1509" s="41">
        <v>45021</v>
      </c>
      <c r="O1509" s="25">
        <v>207</v>
      </c>
      <c r="P1509" s="25">
        <v>0</v>
      </c>
      <c r="Q1509" s="25"/>
      <c r="R1509" s="25"/>
      <c r="S1509" s="25"/>
      <c r="T1509" s="10"/>
    </row>
    <row r="1510" s="35" customFormat="1" ht="18.5" customHeight="1" spans="1:20">
      <c r="A1510" s="9"/>
      <c r="B1510" s="25"/>
      <c r="C1510" s="25"/>
      <c r="D1510" s="25"/>
      <c r="E1510" s="25"/>
      <c r="F1510" s="25"/>
      <c r="G1510" s="25"/>
      <c r="H1510" s="25"/>
      <c r="I1510" s="25"/>
      <c r="J1510" s="25"/>
      <c r="K1510" s="25"/>
      <c r="L1510" s="25"/>
      <c r="M1510" s="42" t="s">
        <v>253</v>
      </c>
      <c r="N1510" s="41">
        <v>45228</v>
      </c>
      <c r="O1510" s="25">
        <v>1156</v>
      </c>
      <c r="P1510" s="25">
        <v>0</v>
      </c>
      <c r="Q1510" s="25"/>
      <c r="R1510" s="25"/>
      <c r="S1510" s="25"/>
      <c r="T1510" s="10"/>
    </row>
    <row r="1511" s="35" customFormat="1" ht="18.5" customHeight="1" spans="1:20">
      <c r="A1511" s="9"/>
      <c r="B1511" s="25"/>
      <c r="C1511" s="25"/>
      <c r="D1511" s="25"/>
      <c r="E1511" s="25"/>
      <c r="F1511" s="25"/>
      <c r="G1511" s="25"/>
      <c r="H1511" s="25"/>
      <c r="I1511" s="25"/>
      <c r="J1511" s="25"/>
      <c r="K1511" s="25"/>
      <c r="L1511" s="25"/>
      <c r="M1511" s="42" t="s">
        <v>253</v>
      </c>
      <c r="N1511" s="41">
        <v>44961</v>
      </c>
      <c r="O1511" s="25">
        <v>203</v>
      </c>
      <c r="P1511" s="25">
        <v>0</v>
      </c>
      <c r="Q1511" s="25"/>
      <c r="R1511" s="25"/>
      <c r="S1511" s="25"/>
      <c r="T1511" s="10"/>
    </row>
    <row r="1512" s="35" customFormat="1" ht="18.5" customHeight="1" spans="1:20">
      <c r="A1512" s="9"/>
      <c r="B1512" s="25"/>
      <c r="C1512" s="25"/>
      <c r="D1512" s="25"/>
      <c r="E1512" s="25"/>
      <c r="F1512" s="25"/>
      <c r="G1512" s="25"/>
      <c r="H1512" s="25"/>
      <c r="I1512" s="25"/>
      <c r="J1512" s="25"/>
      <c r="K1512" s="25"/>
      <c r="L1512" s="25"/>
      <c r="M1512" s="42" t="s">
        <v>253</v>
      </c>
      <c r="N1512" s="41">
        <v>45259</v>
      </c>
      <c r="O1512" s="25">
        <v>201</v>
      </c>
      <c r="P1512" s="25">
        <v>0</v>
      </c>
      <c r="Q1512" s="25"/>
      <c r="R1512" s="25"/>
      <c r="S1512" s="25"/>
      <c r="T1512" s="10"/>
    </row>
    <row r="1513" s="35" customFormat="1" ht="18.5" customHeight="1" spans="1:20">
      <c r="A1513" s="9"/>
      <c r="B1513" s="25"/>
      <c r="C1513" s="25"/>
      <c r="D1513" s="25"/>
      <c r="E1513" s="25"/>
      <c r="F1513" s="25"/>
      <c r="G1513" s="25"/>
      <c r="H1513" s="25"/>
      <c r="I1513" s="25"/>
      <c r="J1513" s="25"/>
      <c r="K1513" s="25"/>
      <c r="L1513" s="25"/>
      <c r="M1513" s="42" t="s">
        <v>253</v>
      </c>
      <c r="N1513" s="41">
        <v>44966</v>
      </c>
      <c r="O1513" s="25">
        <v>1116</v>
      </c>
      <c r="P1513" s="25">
        <v>0</v>
      </c>
      <c r="Q1513" s="25"/>
      <c r="R1513" s="25"/>
      <c r="S1513" s="25"/>
      <c r="T1513" s="10"/>
    </row>
    <row r="1514" s="35" customFormat="1" ht="18.5" customHeight="1" spans="1:20">
      <c r="A1514" s="9"/>
      <c r="B1514" s="25"/>
      <c r="C1514" s="25"/>
      <c r="D1514" s="25"/>
      <c r="E1514" s="25"/>
      <c r="F1514" s="25"/>
      <c r="G1514" s="25"/>
      <c r="H1514" s="25"/>
      <c r="I1514" s="25"/>
      <c r="J1514" s="25"/>
      <c r="K1514" s="25"/>
      <c r="L1514" s="25"/>
      <c r="M1514" s="42" t="s">
        <v>253</v>
      </c>
      <c r="N1514" s="41">
        <v>45034</v>
      </c>
      <c r="O1514" s="25">
        <v>197</v>
      </c>
      <c r="P1514" s="25">
        <v>0</v>
      </c>
      <c r="Q1514" s="25"/>
      <c r="R1514" s="25"/>
      <c r="S1514" s="25"/>
      <c r="T1514" s="10"/>
    </row>
    <row r="1515" s="35" customFormat="1" ht="18.5" customHeight="1" spans="1:20">
      <c r="A1515" s="9"/>
      <c r="B1515" s="25"/>
      <c r="C1515" s="25"/>
      <c r="D1515" s="25"/>
      <c r="E1515" s="25"/>
      <c r="F1515" s="25"/>
      <c r="G1515" s="25"/>
      <c r="H1515" s="25"/>
      <c r="I1515" s="25"/>
      <c r="J1515" s="25"/>
      <c r="K1515" s="25"/>
      <c r="L1515" s="25"/>
      <c r="M1515" s="42" t="s">
        <v>253</v>
      </c>
      <c r="N1515" s="41">
        <v>45042</v>
      </c>
      <c r="O1515" s="25">
        <v>195</v>
      </c>
      <c r="P1515" s="25">
        <v>0</v>
      </c>
      <c r="Q1515" s="25"/>
      <c r="R1515" s="25"/>
      <c r="S1515" s="25"/>
      <c r="T1515" s="10"/>
    </row>
    <row r="1516" s="35" customFormat="1" ht="18.5" customHeight="1" spans="1:20">
      <c r="A1516" s="9"/>
      <c r="B1516" s="25"/>
      <c r="C1516" s="25"/>
      <c r="D1516" s="25"/>
      <c r="E1516" s="25"/>
      <c r="F1516" s="25"/>
      <c r="G1516" s="25"/>
      <c r="H1516" s="25"/>
      <c r="I1516" s="25"/>
      <c r="J1516" s="25"/>
      <c r="K1516" s="25"/>
      <c r="L1516" s="25"/>
      <c r="M1516" s="42" t="s">
        <v>253</v>
      </c>
      <c r="N1516" s="41">
        <v>45074</v>
      </c>
      <c r="O1516" s="25">
        <v>1093</v>
      </c>
      <c r="P1516" s="25">
        <v>0</v>
      </c>
      <c r="Q1516" s="25"/>
      <c r="R1516" s="25"/>
      <c r="S1516" s="25"/>
      <c r="T1516" s="10"/>
    </row>
    <row r="1517" s="35" customFormat="1" ht="18.5" customHeight="1" spans="1:20">
      <c r="A1517" s="9"/>
      <c r="B1517" s="25"/>
      <c r="C1517" s="25"/>
      <c r="D1517" s="25"/>
      <c r="E1517" s="25"/>
      <c r="F1517" s="25"/>
      <c r="G1517" s="25"/>
      <c r="H1517" s="25"/>
      <c r="I1517" s="25"/>
      <c r="J1517" s="25"/>
      <c r="K1517" s="25"/>
      <c r="L1517" s="25"/>
      <c r="M1517" s="42" t="s">
        <v>253</v>
      </c>
      <c r="N1517" s="41">
        <v>45258</v>
      </c>
      <c r="O1517" s="25">
        <v>194</v>
      </c>
      <c r="P1517" s="25">
        <v>0</v>
      </c>
      <c r="Q1517" s="25"/>
      <c r="R1517" s="25"/>
      <c r="S1517" s="25"/>
      <c r="T1517" s="10"/>
    </row>
    <row r="1518" s="35" customFormat="1" ht="18.5" customHeight="1" spans="1:20">
      <c r="A1518" s="9"/>
      <c r="B1518" s="25"/>
      <c r="C1518" s="25"/>
      <c r="D1518" s="25"/>
      <c r="E1518" s="25"/>
      <c r="F1518" s="25"/>
      <c r="G1518" s="25"/>
      <c r="H1518" s="25"/>
      <c r="I1518" s="25"/>
      <c r="J1518" s="25"/>
      <c r="K1518" s="25"/>
      <c r="L1518" s="25"/>
      <c r="M1518" s="42" t="s">
        <v>253</v>
      </c>
      <c r="N1518" s="41">
        <v>45020</v>
      </c>
      <c r="O1518" s="25">
        <v>195</v>
      </c>
      <c r="P1518" s="25">
        <v>0</v>
      </c>
      <c r="Q1518" s="25"/>
      <c r="R1518" s="25"/>
      <c r="S1518" s="25"/>
      <c r="T1518" s="10"/>
    </row>
    <row r="1519" s="35" customFormat="1" ht="18.5" customHeight="1" spans="1:20">
      <c r="A1519" s="9"/>
      <c r="B1519" s="25"/>
      <c r="C1519" s="25"/>
      <c r="D1519" s="25"/>
      <c r="E1519" s="25"/>
      <c r="F1519" s="25"/>
      <c r="G1519" s="25"/>
      <c r="H1519" s="25"/>
      <c r="I1519" s="25"/>
      <c r="J1519" s="25"/>
      <c r="K1519" s="25"/>
      <c r="L1519" s="25"/>
      <c r="M1519" s="42" t="s">
        <v>253</v>
      </c>
      <c r="N1519" s="41">
        <v>45086</v>
      </c>
      <c r="O1519" s="25">
        <v>1085</v>
      </c>
      <c r="P1519" s="25">
        <v>0</v>
      </c>
      <c r="Q1519" s="25"/>
      <c r="R1519" s="25"/>
      <c r="S1519" s="25"/>
      <c r="T1519" s="10"/>
    </row>
    <row r="1520" s="35" customFormat="1" ht="18.5" customHeight="1" spans="1:20">
      <c r="A1520" s="9"/>
      <c r="B1520" s="25"/>
      <c r="C1520" s="25"/>
      <c r="D1520" s="25"/>
      <c r="E1520" s="25"/>
      <c r="F1520" s="25"/>
      <c r="G1520" s="25"/>
      <c r="H1520" s="25"/>
      <c r="I1520" s="25"/>
      <c r="J1520" s="25"/>
      <c r="K1520" s="25"/>
      <c r="L1520" s="25"/>
      <c r="M1520" s="42" t="s">
        <v>253</v>
      </c>
      <c r="N1520" s="41">
        <v>45161</v>
      </c>
      <c r="O1520" s="25">
        <v>190</v>
      </c>
      <c r="P1520" s="25">
        <v>0</v>
      </c>
      <c r="Q1520" s="25"/>
      <c r="R1520" s="25"/>
      <c r="S1520" s="25"/>
      <c r="T1520" s="10"/>
    </row>
    <row r="1521" s="35" customFormat="1" ht="18.5" customHeight="1" spans="1:20">
      <c r="A1521" s="9"/>
      <c r="B1521" s="25"/>
      <c r="C1521" s="25"/>
      <c r="D1521" s="25"/>
      <c r="E1521" s="25"/>
      <c r="F1521" s="25"/>
      <c r="G1521" s="25"/>
      <c r="H1521" s="25"/>
      <c r="I1521" s="25"/>
      <c r="J1521" s="25"/>
      <c r="K1521" s="25"/>
      <c r="L1521" s="25"/>
      <c r="M1521" s="42" t="s">
        <v>253</v>
      </c>
      <c r="N1521" s="41">
        <v>45062</v>
      </c>
      <c r="O1521" s="25">
        <v>190</v>
      </c>
      <c r="P1521" s="25">
        <v>0</v>
      </c>
      <c r="Q1521" s="25"/>
      <c r="R1521" s="25"/>
      <c r="S1521" s="25"/>
      <c r="T1521" s="10"/>
    </row>
    <row r="1522" s="35" customFormat="1" ht="18.5" customHeight="1" spans="1:20">
      <c r="A1522" s="9"/>
      <c r="B1522" s="25"/>
      <c r="C1522" s="25"/>
      <c r="D1522" s="25"/>
      <c r="E1522" s="25"/>
      <c r="F1522" s="25"/>
      <c r="G1522" s="25"/>
      <c r="H1522" s="25"/>
      <c r="I1522" s="25"/>
      <c r="J1522" s="25"/>
      <c r="K1522" s="25"/>
      <c r="L1522" s="25"/>
      <c r="M1522" s="42" t="s">
        <v>253</v>
      </c>
      <c r="N1522" s="41">
        <v>45055</v>
      </c>
      <c r="O1522" s="25">
        <v>190</v>
      </c>
      <c r="P1522" s="25">
        <v>0</v>
      </c>
      <c r="Q1522" s="25"/>
      <c r="R1522" s="25"/>
      <c r="S1522" s="25"/>
      <c r="T1522" s="10"/>
    </row>
    <row r="1523" s="35" customFormat="1" ht="18.5" customHeight="1" spans="1:20">
      <c r="A1523" s="9"/>
      <c r="B1523" s="25"/>
      <c r="C1523" s="25"/>
      <c r="D1523" s="25"/>
      <c r="E1523" s="25"/>
      <c r="F1523" s="25"/>
      <c r="G1523" s="25"/>
      <c r="H1523" s="25"/>
      <c r="I1523" s="25"/>
      <c r="J1523" s="25"/>
      <c r="K1523" s="25"/>
      <c r="L1523" s="25"/>
      <c r="M1523" s="42" t="s">
        <v>253</v>
      </c>
      <c r="N1523" s="41">
        <v>44988</v>
      </c>
      <c r="O1523" s="25">
        <v>1057</v>
      </c>
      <c r="P1523" s="25">
        <v>0</v>
      </c>
      <c r="Q1523" s="25"/>
      <c r="R1523" s="25"/>
      <c r="S1523" s="25"/>
      <c r="T1523" s="10"/>
    </row>
    <row r="1524" s="35" customFormat="1" ht="18.5" customHeight="1" spans="1:20">
      <c r="A1524" s="9"/>
      <c r="B1524" s="25"/>
      <c r="C1524" s="25"/>
      <c r="D1524" s="25"/>
      <c r="E1524" s="25"/>
      <c r="F1524" s="25"/>
      <c r="G1524" s="25"/>
      <c r="H1524" s="25"/>
      <c r="I1524" s="25"/>
      <c r="J1524" s="25"/>
      <c r="K1524" s="25"/>
      <c r="L1524" s="25"/>
      <c r="M1524" s="42" t="s">
        <v>253</v>
      </c>
      <c r="N1524" s="41">
        <v>45243</v>
      </c>
      <c r="O1524" s="25">
        <v>184</v>
      </c>
      <c r="P1524" s="25">
        <v>0</v>
      </c>
      <c r="Q1524" s="25"/>
      <c r="R1524" s="25"/>
      <c r="S1524" s="25"/>
      <c r="T1524" s="10"/>
    </row>
    <row r="1525" s="35" customFormat="1" ht="18.5" customHeight="1" spans="1:20">
      <c r="A1525" s="9"/>
      <c r="B1525" s="25"/>
      <c r="C1525" s="25"/>
      <c r="D1525" s="25"/>
      <c r="E1525" s="25"/>
      <c r="F1525" s="25"/>
      <c r="G1525" s="25"/>
      <c r="H1525" s="25"/>
      <c r="I1525" s="25"/>
      <c r="J1525" s="25"/>
      <c r="K1525" s="25"/>
      <c r="L1525" s="25"/>
      <c r="M1525" s="42" t="s">
        <v>253</v>
      </c>
      <c r="N1525" s="41">
        <v>45006</v>
      </c>
      <c r="O1525" s="25">
        <v>181</v>
      </c>
      <c r="P1525" s="25">
        <v>0</v>
      </c>
      <c r="Q1525" s="25"/>
      <c r="R1525" s="25"/>
      <c r="S1525" s="25"/>
      <c r="T1525" s="10"/>
    </row>
    <row r="1526" s="35" customFormat="1" ht="18.5" customHeight="1" spans="1:20">
      <c r="A1526" s="9"/>
      <c r="B1526" s="25"/>
      <c r="C1526" s="25"/>
      <c r="D1526" s="25"/>
      <c r="E1526" s="25"/>
      <c r="F1526" s="25"/>
      <c r="G1526" s="25"/>
      <c r="H1526" s="25"/>
      <c r="I1526" s="25"/>
      <c r="J1526" s="25"/>
      <c r="K1526" s="25"/>
      <c r="L1526" s="25"/>
      <c r="M1526" s="42" t="s">
        <v>253</v>
      </c>
      <c r="N1526" s="41">
        <v>44949</v>
      </c>
      <c r="O1526" s="25">
        <v>992</v>
      </c>
      <c r="P1526" s="25">
        <v>0</v>
      </c>
      <c r="Q1526" s="25"/>
      <c r="R1526" s="25"/>
      <c r="S1526" s="25"/>
      <c r="T1526" s="10"/>
    </row>
    <row r="1527" s="35" customFormat="1" ht="18.5" customHeight="1" spans="1:20">
      <c r="A1527" s="9"/>
      <c r="B1527" s="25"/>
      <c r="C1527" s="25"/>
      <c r="D1527" s="25"/>
      <c r="E1527" s="25"/>
      <c r="F1527" s="25"/>
      <c r="G1527" s="25"/>
      <c r="H1527" s="25"/>
      <c r="I1527" s="25"/>
      <c r="J1527" s="25"/>
      <c r="K1527" s="25"/>
      <c r="L1527" s="25"/>
      <c r="M1527" s="42" t="s">
        <v>253</v>
      </c>
      <c r="N1527" s="41">
        <v>45230</v>
      </c>
      <c r="O1527" s="25">
        <v>987</v>
      </c>
      <c r="P1527" s="25">
        <v>0</v>
      </c>
      <c r="Q1527" s="25"/>
      <c r="R1527" s="25"/>
      <c r="S1527" s="25"/>
      <c r="T1527" s="10"/>
    </row>
    <row r="1528" s="35" customFormat="1" ht="18.5" customHeight="1" spans="1:20">
      <c r="A1528" s="9"/>
      <c r="B1528" s="25"/>
      <c r="C1528" s="25"/>
      <c r="D1528" s="25"/>
      <c r="E1528" s="25"/>
      <c r="F1528" s="25"/>
      <c r="G1528" s="25"/>
      <c r="H1528" s="25"/>
      <c r="I1528" s="25"/>
      <c r="J1528" s="25"/>
      <c r="K1528" s="25"/>
      <c r="L1528" s="25"/>
      <c r="M1528" s="42" t="s">
        <v>253</v>
      </c>
      <c r="N1528" s="41">
        <v>45051</v>
      </c>
      <c r="O1528" s="25">
        <v>943</v>
      </c>
      <c r="P1528" s="25">
        <v>0</v>
      </c>
      <c r="Q1528" s="25"/>
      <c r="R1528" s="25"/>
      <c r="S1528" s="25"/>
      <c r="T1528" s="10"/>
    </row>
    <row r="1529" s="35" customFormat="1" ht="18.5" customHeight="1" spans="1:20">
      <c r="A1529" s="9"/>
      <c r="B1529" s="25"/>
      <c r="C1529" s="25"/>
      <c r="D1529" s="25"/>
      <c r="E1529" s="25"/>
      <c r="F1529" s="25"/>
      <c r="G1529" s="25"/>
      <c r="H1529" s="25"/>
      <c r="I1529" s="25"/>
      <c r="J1529" s="25"/>
      <c r="K1529" s="25"/>
      <c r="L1529" s="25"/>
      <c r="M1529" s="42" t="s">
        <v>253</v>
      </c>
      <c r="N1529" s="41">
        <v>45245</v>
      </c>
      <c r="O1529" s="25">
        <v>167</v>
      </c>
      <c r="P1529" s="25">
        <v>0</v>
      </c>
      <c r="Q1529" s="25"/>
      <c r="R1529" s="25"/>
      <c r="S1529" s="25"/>
      <c r="T1529" s="10"/>
    </row>
    <row r="1530" s="35" customFormat="1" ht="18.5" customHeight="1" spans="1:20">
      <c r="A1530" s="9"/>
      <c r="B1530" s="25"/>
      <c r="C1530" s="25"/>
      <c r="D1530" s="25"/>
      <c r="E1530" s="25"/>
      <c r="F1530" s="25"/>
      <c r="G1530" s="25"/>
      <c r="H1530" s="25"/>
      <c r="I1530" s="25"/>
      <c r="J1530" s="25"/>
      <c r="K1530" s="25"/>
      <c r="L1530" s="25"/>
      <c r="M1530" s="42" t="s">
        <v>253</v>
      </c>
      <c r="N1530" s="41">
        <v>45241</v>
      </c>
      <c r="O1530" s="25">
        <v>157</v>
      </c>
      <c r="P1530" s="25">
        <v>0</v>
      </c>
      <c r="Q1530" s="25"/>
      <c r="R1530" s="25"/>
      <c r="S1530" s="25"/>
      <c r="T1530" s="10"/>
    </row>
    <row r="1531" s="35" customFormat="1" ht="18.5" customHeight="1" spans="1:20">
      <c r="A1531" s="9"/>
      <c r="B1531" s="25"/>
      <c r="C1531" s="25"/>
      <c r="D1531" s="25"/>
      <c r="E1531" s="25"/>
      <c r="F1531" s="25"/>
      <c r="G1531" s="25"/>
      <c r="H1531" s="25"/>
      <c r="I1531" s="25"/>
      <c r="J1531" s="25"/>
      <c r="K1531" s="25"/>
      <c r="L1531" s="25"/>
      <c r="M1531" s="42" t="s">
        <v>253</v>
      </c>
      <c r="N1531" s="41">
        <v>45008</v>
      </c>
      <c r="O1531" s="25">
        <v>156</v>
      </c>
      <c r="P1531" s="25">
        <v>0</v>
      </c>
      <c r="Q1531" s="25"/>
      <c r="R1531" s="25"/>
      <c r="S1531" s="25"/>
      <c r="T1531" s="10"/>
    </row>
    <row r="1532" s="35" customFormat="1" ht="18.5" customHeight="1" spans="1:20">
      <c r="A1532" s="9"/>
      <c r="B1532" s="25"/>
      <c r="C1532" s="25"/>
      <c r="D1532" s="25"/>
      <c r="E1532" s="25"/>
      <c r="F1532" s="25"/>
      <c r="G1532" s="25"/>
      <c r="H1532" s="25"/>
      <c r="I1532" s="25"/>
      <c r="J1532" s="25"/>
      <c r="K1532" s="25"/>
      <c r="L1532" s="25"/>
      <c r="M1532" s="42" t="s">
        <v>253</v>
      </c>
      <c r="N1532" s="41">
        <v>45196</v>
      </c>
      <c r="O1532" s="25">
        <v>879</v>
      </c>
      <c r="P1532" s="25">
        <v>0</v>
      </c>
      <c r="Q1532" s="25"/>
      <c r="R1532" s="25"/>
      <c r="S1532" s="25"/>
      <c r="T1532" s="10"/>
    </row>
    <row r="1533" s="35" customFormat="1" ht="18.5" customHeight="1" spans="1:20">
      <c r="A1533" s="9"/>
      <c r="B1533" s="25"/>
      <c r="C1533" s="25"/>
      <c r="D1533" s="25"/>
      <c r="E1533" s="25"/>
      <c r="F1533" s="25"/>
      <c r="G1533" s="25"/>
      <c r="H1533" s="25"/>
      <c r="I1533" s="25"/>
      <c r="J1533" s="25"/>
      <c r="K1533" s="25"/>
      <c r="L1533" s="25"/>
      <c r="M1533" s="42" t="s">
        <v>253</v>
      </c>
      <c r="N1533" s="41">
        <v>45281</v>
      </c>
      <c r="O1533" s="25">
        <v>153</v>
      </c>
      <c r="P1533" s="25">
        <v>0</v>
      </c>
      <c r="Q1533" s="25"/>
      <c r="R1533" s="25"/>
      <c r="S1533" s="25"/>
      <c r="T1533" s="10"/>
    </row>
    <row r="1534" s="35" customFormat="1" ht="18.5" customHeight="1" spans="1:20">
      <c r="A1534" s="9"/>
      <c r="B1534" s="25"/>
      <c r="C1534" s="25"/>
      <c r="D1534" s="25"/>
      <c r="E1534" s="25"/>
      <c r="F1534" s="25"/>
      <c r="G1534" s="25"/>
      <c r="H1534" s="25"/>
      <c r="I1534" s="25"/>
      <c r="J1534" s="25"/>
      <c r="K1534" s="25"/>
      <c r="L1534" s="25"/>
      <c r="M1534" s="42" t="s">
        <v>253</v>
      </c>
      <c r="N1534" s="41">
        <v>45260</v>
      </c>
      <c r="O1534" s="25">
        <v>153</v>
      </c>
      <c r="P1534" s="25">
        <v>0</v>
      </c>
      <c r="Q1534" s="25"/>
      <c r="R1534" s="25"/>
      <c r="S1534" s="25"/>
      <c r="T1534" s="10"/>
    </row>
    <row r="1535" s="35" customFormat="1" ht="18.5" customHeight="1" spans="1:20">
      <c r="A1535" s="9"/>
      <c r="B1535" s="25"/>
      <c r="C1535" s="25"/>
      <c r="D1535" s="25"/>
      <c r="E1535" s="25"/>
      <c r="F1535" s="25"/>
      <c r="G1535" s="25"/>
      <c r="H1535" s="25"/>
      <c r="I1535" s="25"/>
      <c r="J1535" s="25"/>
      <c r="K1535" s="25"/>
      <c r="L1535" s="25"/>
      <c r="M1535" s="42" t="s">
        <v>253</v>
      </c>
      <c r="N1535" s="41">
        <v>45154</v>
      </c>
      <c r="O1535" s="25">
        <v>849</v>
      </c>
      <c r="P1535" s="25">
        <v>0</v>
      </c>
      <c r="Q1535" s="25"/>
      <c r="R1535" s="25"/>
      <c r="S1535" s="25"/>
      <c r="T1535" s="10"/>
    </row>
    <row r="1536" s="35" customFormat="1" ht="18.5" customHeight="1" spans="1:20">
      <c r="A1536" s="9"/>
      <c r="B1536" s="25"/>
      <c r="C1536" s="25"/>
      <c r="D1536" s="25"/>
      <c r="E1536" s="25"/>
      <c r="F1536" s="25"/>
      <c r="G1536" s="25"/>
      <c r="H1536" s="25"/>
      <c r="I1536" s="25"/>
      <c r="J1536" s="25"/>
      <c r="K1536" s="25"/>
      <c r="L1536" s="25"/>
      <c r="M1536" s="42" t="s">
        <v>253</v>
      </c>
      <c r="N1536" s="41">
        <v>45239</v>
      </c>
      <c r="O1536" s="25">
        <v>149</v>
      </c>
      <c r="P1536" s="25">
        <v>0</v>
      </c>
      <c r="Q1536" s="25"/>
      <c r="R1536" s="25"/>
      <c r="S1536" s="25"/>
      <c r="T1536" s="10"/>
    </row>
    <row r="1537" s="35" customFormat="1" ht="18.5" customHeight="1" spans="1:20">
      <c r="A1537" s="9"/>
      <c r="B1537" s="25"/>
      <c r="C1537" s="25"/>
      <c r="D1537" s="25"/>
      <c r="E1537" s="25"/>
      <c r="F1537" s="25"/>
      <c r="G1537" s="25"/>
      <c r="H1537" s="25"/>
      <c r="I1537" s="25"/>
      <c r="J1537" s="25"/>
      <c r="K1537" s="25"/>
      <c r="L1537" s="25"/>
      <c r="M1537" s="42" t="s">
        <v>253</v>
      </c>
      <c r="N1537" s="41">
        <v>45006</v>
      </c>
      <c r="O1537" s="25">
        <v>810</v>
      </c>
      <c r="P1537" s="25">
        <v>0</v>
      </c>
      <c r="Q1537" s="25"/>
      <c r="R1537" s="25"/>
      <c r="S1537" s="25"/>
      <c r="T1537" s="10"/>
    </row>
    <row r="1538" s="35" customFormat="1" ht="18.5" customHeight="1" spans="1:20">
      <c r="A1538" s="9"/>
      <c r="B1538" s="25"/>
      <c r="C1538" s="25"/>
      <c r="D1538" s="25"/>
      <c r="E1538" s="25"/>
      <c r="F1538" s="25"/>
      <c r="G1538" s="25"/>
      <c r="H1538" s="25"/>
      <c r="I1538" s="25"/>
      <c r="J1538" s="25"/>
      <c r="K1538" s="25"/>
      <c r="L1538" s="25"/>
      <c r="M1538" s="42" t="s">
        <v>253</v>
      </c>
      <c r="N1538" s="41">
        <v>45004</v>
      </c>
      <c r="O1538" s="25">
        <v>795</v>
      </c>
      <c r="P1538" s="25">
        <v>0</v>
      </c>
      <c r="Q1538" s="25"/>
      <c r="R1538" s="25"/>
      <c r="S1538" s="25"/>
      <c r="T1538" s="10"/>
    </row>
    <row r="1539" s="35" customFormat="1" ht="18.5" customHeight="1" spans="1:20">
      <c r="A1539" s="9"/>
      <c r="B1539" s="25"/>
      <c r="C1539" s="25"/>
      <c r="D1539" s="25"/>
      <c r="E1539" s="25"/>
      <c r="F1539" s="25"/>
      <c r="G1539" s="25"/>
      <c r="H1539" s="25"/>
      <c r="I1539" s="25"/>
      <c r="J1539" s="25"/>
      <c r="K1539" s="25"/>
      <c r="L1539" s="25"/>
      <c r="M1539" s="42" t="s">
        <v>253</v>
      </c>
      <c r="N1539" s="41">
        <v>45258</v>
      </c>
      <c r="O1539" s="25">
        <v>140</v>
      </c>
      <c r="P1539" s="25">
        <v>0</v>
      </c>
      <c r="Q1539" s="25"/>
      <c r="R1539" s="25"/>
      <c r="S1539" s="25"/>
      <c r="T1539" s="10"/>
    </row>
    <row r="1540" s="35" customFormat="1" ht="18.5" customHeight="1" spans="1:20">
      <c r="A1540" s="9"/>
      <c r="B1540" s="25"/>
      <c r="C1540" s="25"/>
      <c r="D1540" s="25"/>
      <c r="E1540" s="25"/>
      <c r="F1540" s="25"/>
      <c r="G1540" s="25"/>
      <c r="H1540" s="25"/>
      <c r="I1540" s="25"/>
      <c r="J1540" s="25"/>
      <c r="K1540" s="25"/>
      <c r="L1540" s="25"/>
      <c r="M1540" s="42" t="s">
        <v>253</v>
      </c>
      <c r="N1540" s="41">
        <v>45056</v>
      </c>
      <c r="O1540" s="25">
        <v>776</v>
      </c>
      <c r="P1540" s="25">
        <v>0</v>
      </c>
      <c r="Q1540" s="25"/>
      <c r="R1540" s="25"/>
      <c r="S1540" s="25"/>
      <c r="T1540" s="10"/>
    </row>
    <row r="1541" s="35" customFormat="1" ht="18.5" customHeight="1" spans="1:20">
      <c r="A1541" s="9"/>
      <c r="B1541" s="25"/>
      <c r="C1541" s="25"/>
      <c r="D1541" s="25"/>
      <c r="E1541" s="25"/>
      <c r="F1541" s="25"/>
      <c r="G1541" s="25"/>
      <c r="H1541" s="25"/>
      <c r="I1541" s="25"/>
      <c r="J1541" s="25"/>
      <c r="K1541" s="25"/>
      <c r="L1541" s="25"/>
      <c r="M1541" s="42" t="s">
        <v>253</v>
      </c>
      <c r="N1541" s="41">
        <v>45098</v>
      </c>
      <c r="O1541" s="25">
        <v>771</v>
      </c>
      <c r="P1541" s="25">
        <v>0</v>
      </c>
      <c r="Q1541" s="25"/>
      <c r="R1541" s="25"/>
      <c r="S1541" s="25"/>
      <c r="T1541" s="10"/>
    </row>
    <row r="1542" s="35" customFormat="1" ht="18.5" customHeight="1" spans="1:20">
      <c r="A1542" s="9"/>
      <c r="B1542" s="25"/>
      <c r="C1542" s="25"/>
      <c r="D1542" s="25"/>
      <c r="E1542" s="25"/>
      <c r="F1542" s="25"/>
      <c r="G1542" s="25"/>
      <c r="H1542" s="25"/>
      <c r="I1542" s="25"/>
      <c r="J1542" s="25"/>
      <c r="K1542" s="25"/>
      <c r="L1542" s="25"/>
      <c r="M1542" s="42" t="s">
        <v>253</v>
      </c>
      <c r="N1542" s="41">
        <v>45120</v>
      </c>
      <c r="O1542" s="25">
        <v>767</v>
      </c>
      <c r="P1542" s="25">
        <v>0</v>
      </c>
      <c r="Q1542" s="25"/>
      <c r="R1542" s="25"/>
      <c r="S1542" s="25"/>
      <c r="T1542" s="10"/>
    </row>
    <row r="1543" s="35" customFormat="1" ht="18.5" customHeight="1" spans="1:20">
      <c r="A1543" s="9"/>
      <c r="B1543" s="25"/>
      <c r="C1543" s="25"/>
      <c r="D1543" s="25"/>
      <c r="E1543" s="25"/>
      <c r="F1543" s="25"/>
      <c r="G1543" s="25"/>
      <c r="H1543" s="25"/>
      <c r="I1543" s="25"/>
      <c r="J1543" s="25"/>
      <c r="K1543" s="25"/>
      <c r="L1543" s="25"/>
      <c r="M1543" s="42" t="s">
        <v>253</v>
      </c>
      <c r="N1543" s="41">
        <v>45237</v>
      </c>
      <c r="O1543" s="25">
        <v>739</v>
      </c>
      <c r="P1543" s="25">
        <v>0</v>
      </c>
      <c r="Q1543" s="25"/>
      <c r="R1543" s="25"/>
      <c r="S1543" s="25"/>
      <c r="T1543" s="10"/>
    </row>
    <row r="1544" s="35" customFormat="1" ht="18.5" customHeight="1" spans="1:20">
      <c r="A1544" s="9"/>
      <c r="B1544" s="25"/>
      <c r="C1544" s="25"/>
      <c r="D1544" s="25"/>
      <c r="E1544" s="25"/>
      <c r="F1544" s="25"/>
      <c r="G1544" s="25"/>
      <c r="H1544" s="25"/>
      <c r="I1544" s="25"/>
      <c r="J1544" s="25"/>
      <c r="K1544" s="25"/>
      <c r="L1544" s="25"/>
      <c r="M1544" s="42" t="s">
        <v>253</v>
      </c>
      <c r="N1544" s="41">
        <v>44998</v>
      </c>
      <c r="O1544" s="25">
        <v>738</v>
      </c>
      <c r="P1544" s="25">
        <v>0</v>
      </c>
      <c r="Q1544" s="25"/>
      <c r="R1544" s="25"/>
      <c r="S1544" s="25"/>
      <c r="T1544" s="10"/>
    </row>
    <row r="1545" s="35" customFormat="1" ht="18.5" customHeight="1" spans="1:20">
      <c r="A1545" s="9"/>
      <c r="B1545" s="25"/>
      <c r="C1545" s="25"/>
      <c r="D1545" s="25"/>
      <c r="E1545" s="25"/>
      <c r="F1545" s="25"/>
      <c r="G1545" s="25"/>
      <c r="H1545" s="25"/>
      <c r="I1545" s="25"/>
      <c r="J1545" s="25"/>
      <c r="K1545" s="25"/>
      <c r="L1545" s="25"/>
      <c r="M1545" s="42" t="s">
        <v>253</v>
      </c>
      <c r="N1545" s="41">
        <v>45275</v>
      </c>
      <c r="O1545" s="25">
        <v>130</v>
      </c>
      <c r="P1545" s="25">
        <v>0</v>
      </c>
      <c r="Q1545" s="25"/>
      <c r="R1545" s="25"/>
      <c r="S1545" s="25"/>
      <c r="T1545" s="10"/>
    </row>
    <row r="1546" s="35" customFormat="1" ht="18.5" customHeight="1" spans="1:20">
      <c r="A1546" s="9"/>
      <c r="B1546" s="25"/>
      <c r="C1546" s="25"/>
      <c r="D1546" s="25"/>
      <c r="E1546" s="25"/>
      <c r="F1546" s="25"/>
      <c r="G1546" s="25"/>
      <c r="H1546" s="25"/>
      <c r="I1546" s="25"/>
      <c r="J1546" s="25"/>
      <c r="K1546" s="25"/>
      <c r="L1546" s="25"/>
      <c r="M1546" s="42" t="s">
        <v>253</v>
      </c>
      <c r="N1546" s="41">
        <v>44993</v>
      </c>
      <c r="O1546" s="25">
        <v>731</v>
      </c>
      <c r="P1546" s="25">
        <v>0</v>
      </c>
      <c r="Q1546" s="25"/>
      <c r="R1546" s="25"/>
      <c r="S1546" s="25"/>
      <c r="T1546" s="10"/>
    </row>
    <row r="1547" s="35" customFormat="1" ht="18.5" customHeight="1" spans="1:20">
      <c r="A1547" s="9"/>
      <c r="B1547" s="25"/>
      <c r="C1547" s="25"/>
      <c r="D1547" s="25"/>
      <c r="E1547" s="25"/>
      <c r="F1547" s="25"/>
      <c r="G1547" s="25"/>
      <c r="H1547" s="25"/>
      <c r="I1547" s="25"/>
      <c r="J1547" s="25"/>
      <c r="K1547" s="25"/>
      <c r="L1547" s="25"/>
      <c r="M1547" s="42" t="s">
        <v>253</v>
      </c>
      <c r="N1547" s="41">
        <v>44935</v>
      </c>
      <c r="O1547" s="25">
        <v>730</v>
      </c>
      <c r="P1547" s="25">
        <v>0</v>
      </c>
      <c r="Q1547" s="25"/>
      <c r="R1547" s="25"/>
      <c r="S1547" s="25"/>
      <c r="T1547" s="10"/>
    </row>
    <row r="1548" s="35" customFormat="1" ht="18.5" customHeight="1" spans="1:20">
      <c r="A1548" s="9"/>
      <c r="B1548" s="25"/>
      <c r="C1548" s="25"/>
      <c r="D1548" s="25"/>
      <c r="E1548" s="25"/>
      <c r="F1548" s="25"/>
      <c r="G1548" s="25"/>
      <c r="H1548" s="25"/>
      <c r="I1548" s="25"/>
      <c r="J1548" s="25"/>
      <c r="K1548" s="25"/>
      <c r="L1548" s="25"/>
      <c r="M1548" s="42" t="s">
        <v>253</v>
      </c>
      <c r="N1548" s="41">
        <v>44991</v>
      </c>
      <c r="O1548" s="25">
        <v>730</v>
      </c>
      <c r="P1548" s="25">
        <v>0</v>
      </c>
      <c r="Q1548" s="25"/>
      <c r="R1548" s="25"/>
      <c r="S1548" s="25"/>
      <c r="T1548" s="10"/>
    </row>
    <row r="1549" s="35" customFormat="1" ht="18.5" customHeight="1" spans="1:20">
      <c r="A1549" s="9"/>
      <c r="B1549" s="25"/>
      <c r="C1549" s="25"/>
      <c r="D1549" s="25"/>
      <c r="E1549" s="25"/>
      <c r="F1549" s="25"/>
      <c r="G1549" s="25"/>
      <c r="H1549" s="25"/>
      <c r="I1549" s="25"/>
      <c r="J1549" s="25"/>
      <c r="K1549" s="25"/>
      <c r="L1549" s="25"/>
      <c r="M1549" s="42" t="s">
        <v>253</v>
      </c>
      <c r="N1549" s="41">
        <v>44961</v>
      </c>
      <c r="O1549" s="25">
        <v>725</v>
      </c>
      <c r="P1549" s="25">
        <v>0</v>
      </c>
      <c r="Q1549" s="25"/>
      <c r="R1549" s="25"/>
      <c r="S1549" s="25"/>
      <c r="T1549" s="10"/>
    </row>
    <row r="1550" s="35" customFormat="1" ht="18.5" customHeight="1" spans="1:20">
      <c r="A1550" s="9"/>
      <c r="B1550" s="25"/>
      <c r="C1550" s="25"/>
      <c r="D1550" s="25"/>
      <c r="E1550" s="25"/>
      <c r="F1550" s="25"/>
      <c r="G1550" s="25"/>
      <c r="H1550" s="25"/>
      <c r="I1550" s="25"/>
      <c r="J1550" s="25"/>
      <c r="K1550" s="25"/>
      <c r="L1550" s="25"/>
      <c r="M1550" s="42" t="s">
        <v>253</v>
      </c>
      <c r="N1550" s="41">
        <v>45026</v>
      </c>
      <c r="O1550" s="25">
        <v>704</v>
      </c>
      <c r="P1550" s="25">
        <v>0</v>
      </c>
      <c r="Q1550" s="25"/>
      <c r="R1550" s="25"/>
      <c r="S1550" s="25"/>
      <c r="T1550" s="10"/>
    </row>
    <row r="1551" s="35" customFormat="1" ht="18.5" customHeight="1" spans="1:20">
      <c r="A1551" s="9"/>
      <c r="B1551" s="25"/>
      <c r="C1551" s="25"/>
      <c r="D1551" s="25"/>
      <c r="E1551" s="25"/>
      <c r="F1551" s="25"/>
      <c r="G1551" s="25"/>
      <c r="H1551" s="25"/>
      <c r="I1551" s="25"/>
      <c r="J1551" s="25"/>
      <c r="K1551" s="25"/>
      <c r="L1551" s="25"/>
      <c r="M1551" s="42" t="s">
        <v>253</v>
      </c>
      <c r="N1551" s="41">
        <v>44989</v>
      </c>
      <c r="O1551" s="25">
        <v>699</v>
      </c>
      <c r="P1551" s="25">
        <v>0</v>
      </c>
      <c r="Q1551" s="25"/>
      <c r="R1551" s="25"/>
      <c r="S1551" s="25"/>
      <c r="T1551" s="10"/>
    </row>
    <row r="1552" s="35" customFormat="1" ht="18.5" customHeight="1" spans="1:20">
      <c r="A1552" s="9"/>
      <c r="B1552" s="25"/>
      <c r="C1552" s="25"/>
      <c r="D1552" s="25"/>
      <c r="E1552" s="25"/>
      <c r="F1552" s="25"/>
      <c r="G1552" s="25"/>
      <c r="H1552" s="25"/>
      <c r="I1552" s="25"/>
      <c r="J1552" s="25"/>
      <c r="K1552" s="25"/>
      <c r="L1552" s="25"/>
      <c r="M1552" s="42" t="s">
        <v>253</v>
      </c>
      <c r="N1552" s="41">
        <v>45200</v>
      </c>
      <c r="O1552" s="25">
        <v>697</v>
      </c>
      <c r="P1552" s="25">
        <v>0</v>
      </c>
      <c r="Q1552" s="25"/>
      <c r="R1552" s="25"/>
      <c r="S1552" s="25"/>
      <c r="T1552" s="10"/>
    </row>
    <row r="1553" s="35" customFormat="1" ht="18.5" customHeight="1" spans="1:20">
      <c r="A1553" s="9"/>
      <c r="B1553" s="25"/>
      <c r="C1553" s="25"/>
      <c r="D1553" s="25"/>
      <c r="E1553" s="25"/>
      <c r="F1553" s="25"/>
      <c r="G1553" s="25"/>
      <c r="H1553" s="25"/>
      <c r="I1553" s="25"/>
      <c r="J1553" s="25"/>
      <c r="K1553" s="25"/>
      <c r="L1553" s="25"/>
      <c r="M1553" s="42" t="s">
        <v>253</v>
      </c>
      <c r="N1553" s="41">
        <v>45268</v>
      </c>
      <c r="O1553" s="25">
        <v>121</v>
      </c>
      <c r="P1553" s="25">
        <v>0</v>
      </c>
      <c r="Q1553" s="25"/>
      <c r="R1553" s="25"/>
      <c r="S1553" s="25"/>
      <c r="T1553" s="10"/>
    </row>
    <row r="1554" s="35" customFormat="1" ht="18.5" customHeight="1" spans="1:20">
      <c r="A1554" s="9"/>
      <c r="B1554" s="25"/>
      <c r="C1554" s="25"/>
      <c r="D1554" s="25"/>
      <c r="E1554" s="25"/>
      <c r="F1554" s="25"/>
      <c r="G1554" s="25"/>
      <c r="H1554" s="25"/>
      <c r="I1554" s="25"/>
      <c r="J1554" s="25"/>
      <c r="K1554" s="25"/>
      <c r="L1554" s="25"/>
      <c r="M1554" s="42" t="s">
        <v>253</v>
      </c>
      <c r="N1554" s="41">
        <v>45204</v>
      </c>
      <c r="O1554" s="25">
        <v>672</v>
      </c>
      <c r="P1554" s="25">
        <v>0</v>
      </c>
      <c r="Q1554" s="25"/>
      <c r="R1554" s="25"/>
      <c r="S1554" s="25"/>
      <c r="T1554" s="10"/>
    </row>
    <row r="1555" s="35" customFormat="1" ht="18.5" customHeight="1" spans="1:20">
      <c r="A1555" s="9"/>
      <c r="B1555" s="25"/>
      <c r="C1555" s="25"/>
      <c r="D1555" s="25"/>
      <c r="E1555" s="25"/>
      <c r="F1555" s="25"/>
      <c r="G1555" s="25"/>
      <c r="H1555" s="25"/>
      <c r="I1555" s="25"/>
      <c r="J1555" s="25"/>
      <c r="K1555" s="25"/>
      <c r="L1555" s="25"/>
      <c r="M1555" s="42" t="s">
        <v>253</v>
      </c>
      <c r="N1555" s="41">
        <v>45050</v>
      </c>
      <c r="O1555" s="25">
        <v>671</v>
      </c>
      <c r="P1555" s="25">
        <v>0</v>
      </c>
      <c r="Q1555" s="25"/>
      <c r="R1555" s="25"/>
      <c r="S1555" s="25"/>
      <c r="T1555" s="10"/>
    </row>
    <row r="1556" s="35" customFormat="1" ht="18.5" customHeight="1" spans="1:20">
      <c r="A1556" s="9"/>
      <c r="B1556" s="25"/>
      <c r="C1556" s="25"/>
      <c r="D1556" s="25"/>
      <c r="E1556" s="25"/>
      <c r="F1556" s="25"/>
      <c r="G1556" s="25"/>
      <c r="H1556" s="25"/>
      <c r="I1556" s="25"/>
      <c r="J1556" s="25"/>
      <c r="K1556" s="25"/>
      <c r="L1556" s="25"/>
      <c r="M1556" s="42" t="s">
        <v>253</v>
      </c>
      <c r="N1556" s="41">
        <v>45260</v>
      </c>
      <c r="O1556" s="25">
        <v>118</v>
      </c>
      <c r="P1556" s="25">
        <v>0</v>
      </c>
      <c r="Q1556" s="25"/>
      <c r="R1556" s="25"/>
      <c r="S1556" s="25"/>
      <c r="T1556" s="10"/>
    </row>
    <row r="1557" s="35" customFormat="1" ht="18.5" customHeight="1" spans="1:20">
      <c r="A1557" s="9"/>
      <c r="B1557" s="25"/>
      <c r="C1557" s="25"/>
      <c r="D1557" s="25"/>
      <c r="E1557" s="25"/>
      <c r="F1557" s="25"/>
      <c r="G1557" s="25"/>
      <c r="H1557" s="25"/>
      <c r="I1557" s="25"/>
      <c r="J1557" s="25"/>
      <c r="K1557" s="25"/>
      <c r="L1557" s="25"/>
      <c r="M1557" s="42" t="s">
        <v>253</v>
      </c>
      <c r="N1557" s="41">
        <v>45244</v>
      </c>
      <c r="O1557" s="25">
        <v>653</v>
      </c>
      <c r="P1557" s="25">
        <v>0</v>
      </c>
      <c r="Q1557" s="25"/>
      <c r="R1557" s="25"/>
      <c r="S1557" s="25"/>
      <c r="T1557" s="10"/>
    </row>
    <row r="1558" s="35" customFormat="1" ht="18.5" customHeight="1" spans="1:20">
      <c r="A1558" s="9"/>
      <c r="B1558" s="25"/>
      <c r="C1558" s="25"/>
      <c r="D1558" s="25"/>
      <c r="E1558" s="25"/>
      <c r="F1558" s="25"/>
      <c r="G1558" s="25"/>
      <c r="H1558" s="25"/>
      <c r="I1558" s="25"/>
      <c r="J1558" s="25"/>
      <c r="K1558" s="25"/>
      <c r="L1558" s="25"/>
      <c r="M1558" s="42" t="s">
        <v>253</v>
      </c>
      <c r="N1558" s="41">
        <v>45260</v>
      </c>
      <c r="O1558" s="25">
        <v>650</v>
      </c>
      <c r="P1558" s="25">
        <v>0</v>
      </c>
      <c r="Q1558" s="25"/>
      <c r="R1558" s="25"/>
      <c r="S1558" s="25"/>
      <c r="T1558" s="10"/>
    </row>
    <row r="1559" s="35" customFormat="1" ht="18.5" customHeight="1" spans="1:20">
      <c r="A1559" s="9"/>
      <c r="B1559" s="25"/>
      <c r="C1559" s="25"/>
      <c r="D1559" s="25"/>
      <c r="E1559" s="25"/>
      <c r="F1559" s="25"/>
      <c r="G1559" s="25"/>
      <c r="H1559" s="25"/>
      <c r="I1559" s="25"/>
      <c r="J1559" s="25"/>
      <c r="K1559" s="25"/>
      <c r="L1559" s="25"/>
      <c r="M1559" s="42" t="s">
        <v>253</v>
      </c>
      <c r="N1559" s="41">
        <v>45253</v>
      </c>
      <c r="O1559" s="25">
        <v>115</v>
      </c>
      <c r="P1559" s="25">
        <v>0</v>
      </c>
      <c r="Q1559" s="25"/>
      <c r="R1559" s="25"/>
      <c r="S1559" s="25"/>
      <c r="T1559" s="10"/>
    </row>
    <row r="1560" s="35" customFormat="1" ht="18.5" customHeight="1" spans="1:20">
      <c r="A1560" s="9"/>
      <c r="B1560" s="25"/>
      <c r="C1560" s="25"/>
      <c r="D1560" s="25"/>
      <c r="E1560" s="25"/>
      <c r="F1560" s="25"/>
      <c r="G1560" s="25"/>
      <c r="H1560" s="25"/>
      <c r="I1560" s="25"/>
      <c r="J1560" s="25"/>
      <c r="K1560" s="25"/>
      <c r="L1560" s="25"/>
      <c r="M1560" s="42" t="s">
        <v>253</v>
      </c>
      <c r="N1560" s="41">
        <v>44994</v>
      </c>
      <c r="O1560" s="25">
        <v>634</v>
      </c>
      <c r="P1560" s="25">
        <v>0</v>
      </c>
      <c r="Q1560" s="25"/>
      <c r="R1560" s="25"/>
      <c r="S1560" s="25"/>
      <c r="T1560" s="10"/>
    </row>
    <row r="1561" s="35" customFormat="1" ht="18.5" customHeight="1" spans="1:20">
      <c r="A1561" s="9"/>
      <c r="B1561" s="25"/>
      <c r="C1561" s="25"/>
      <c r="D1561" s="25"/>
      <c r="E1561" s="25"/>
      <c r="F1561" s="25"/>
      <c r="G1561" s="25"/>
      <c r="H1561" s="25"/>
      <c r="I1561" s="25"/>
      <c r="J1561" s="25"/>
      <c r="K1561" s="25"/>
      <c r="L1561" s="25"/>
      <c r="M1561" s="42" t="s">
        <v>253</v>
      </c>
      <c r="N1561" s="41">
        <v>44956</v>
      </c>
      <c r="O1561" s="25">
        <v>634</v>
      </c>
      <c r="P1561" s="25">
        <v>0</v>
      </c>
      <c r="Q1561" s="25"/>
      <c r="R1561" s="25"/>
      <c r="S1561" s="25"/>
      <c r="T1561" s="10"/>
    </row>
    <row r="1562" s="35" customFormat="1" ht="18.5" customHeight="1" spans="1:20">
      <c r="A1562" s="9"/>
      <c r="B1562" s="25"/>
      <c r="C1562" s="25"/>
      <c r="D1562" s="25"/>
      <c r="E1562" s="25"/>
      <c r="F1562" s="25"/>
      <c r="G1562" s="25"/>
      <c r="H1562" s="25"/>
      <c r="I1562" s="25"/>
      <c r="J1562" s="25"/>
      <c r="K1562" s="25"/>
      <c r="L1562" s="25"/>
      <c r="M1562" s="42" t="s">
        <v>253</v>
      </c>
      <c r="N1562" s="41">
        <v>44993</v>
      </c>
      <c r="O1562" s="25">
        <v>625</v>
      </c>
      <c r="P1562" s="25">
        <v>0</v>
      </c>
      <c r="Q1562" s="25"/>
      <c r="R1562" s="25"/>
      <c r="S1562" s="25"/>
      <c r="T1562" s="10"/>
    </row>
    <row r="1563" s="35" customFormat="1" ht="18.5" customHeight="1" spans="1:20">
      <c r="A1563" s="9"/>
      <c r="B1563" s="25"/>
      <c r="C1563" s="25"/>
      <c r="D1563" s="25"/>
      <c r="E1563" s="25"/>
      <c r="F1563" s="25"/>
      <c r="G1563" s="25"/>
      <c r="H1563" s="25"/>
      <c r="I1563" s="25"/>
      <c r="J1563" s="25"/>
      <c r="K1563" s="25"/>
      <c r="L1563" s="25"/>
      <c r="M1563" s="42" t="s">
        <v>253</v>
      </c>
      <c r="N1563" s="41">
        <v>45075</v>
      </c>
      <c r="O1563" s="25">
        <v>627</v>
      </c>
      <c r="P1563" s="25">
        <v>0</v>
      </c>
      <c r="Q1563" s="25"/>
      <c r="R1563" s="25"/>
      <c r="S1563" s="25"/>
      <c r="T1563" s="10"/>
    </row>
    <row r="1564" s="35" customFormat="1" ht="18.5" customHeight="1" spans="1:20">
      <c r="A1564" s="9"/>
      <c r="B1564" s="25"/>
      <c r="C1564" s="25"/>
      <c r="D1564" s="25"/>
      <c r="E1564" s="25"/>
      <c r="F1564" s="25"/>
      <c r="G1564" s="25"/>
      <c r="H1564" s="25"/>
      <c r="I1564" s="25"/>
      <c r="J1564" s="25"/>
      <c r="K1564" s="25"/>
      <c r="L1564" s="25"/>
      <c r="M1564" s="42" t="s">
        <v>253</v>
      </c>
      <c r="N1564" s="41">
        <v>44927</v>
      </c>
      <c r="O1564" s="25">
        <v>620</v>
      </c>
      <c r="P1564" s="25">
        <v>0</v>
      </c>
      <c r="Q1564" s="25"/>
      <c r="R1564" s="25"/>
      <c r="S1564" s="25"/>
      <c r="T1564" s="10"/>
    </row>
    <row r="1565" s="35" customFormat="1" ht="18.5" customHeight="1" spans="1:20">
      <c r="A1565" s="9"/>
      <c r="B1565" s="25"/>
      <c r="C1565" s="25"/>
      <c r="D1565" s="25"/>
      <c r="E1565" s="25"/>
      <c r="F1565" s="25"/>
      <c r="G1565" s="25"/>
      <c r="H1565" s="25"/>
      <c r="I1565" s="25"/>
      <c r="J1565" s="25"/>
      <c r="K1565" s="25"/>
      <c r="L1565" s="25"/>
      <c r="M1565" s="42" t="s">
        <v>253</v>
      </c>
      <c r="N1565" s="41">
        <v>45013</v>
      </c>
      <c r="O1565" s="25">
        <v>617</v>
      </c>
      <c r="P1565" s="25">
        <v>0</v>
      </c>
      <c r="Q1565" s="25"/>
      <c r="R1565" s="25"/>
      <c r="S1565" s="25"/>
      <c r="T1565" s="10"/>
    </row>
    <row r="1566" s="35" customFormat="1" ht="18.5" customHeight="1" spans="1:20">
      <c r="A1566" s="9"/>
      <c r="B1566" s="25"/>
      <c r="C1566" s="25"/>
      <c r="D1566" s="25"/>
      <c r="E1566" s="25"/>
      <c r="F1566" s="25"/>
      <c r="G1566" s="25"/>
      <c r="H1566" s="25"/>
      <c r="I1566" s="25"/>
      <c r="J1566" s="25"/>
      <c r="K1566" s="25"/>
      <c r="L1566" s="25"/>
      <c r="M1566" s="42" t="s">
        <v>253</v>
      </c>
      <c r="N1566" s="41">
        <v>45102</v>
      </c>
      <c r="O1566" s="25">
        <v>605</v>
      </c>
      <c r="P1566" s="25">
        <v>0</v>
      </c>
      <c r="Q1566" s="25"/>
      <c r="R1566" s="25"/>
      <c r="S1566" s="25"/>
      <c r="T1566" s="10"/>
    </row>
    <row r="1567" s="35" customFormat="1" ht="18.5" customHeight="1" spans="1:20">
      <c r="A1567" s="9"/>
      <c r="B1567" s="25"/>
      <c r="C1567" s="25"/>
      <c r="D1567" s="25"/>
      <c r="E1567" s="25"/>
      <c r="F1567" s="25"/>
      <c r="G1567" s="25"/>
      <c r="H1567" s="25"/>
      <c r="I1567" s="25"/>
      <c r="J1567" s="25"/>
      <c r="K1567" s="25"/>
      <c r="L1567" s="25"/>
      <c r="M1567" s="42" t="s">
        <v>253</v>
      </c>
      <c r="N1567" s="41">
        <v>44974</v>
      </c>
      <c r="O1567" s="25">
        <v>595</v>
      </c>
      <c r="P1567" s="25">
        <v>0</v>
      </c>
      <c r="Q1567" s="25"/>
      <c r="R1567" s="25"/>
      <c r="S1567" s="25"/>
      <c r="T1567" s="10"/>
    </row>
    <row r="1568" s="35" customFormat="1" ht="18.5" customHeight="1" spans="1:20">
      <c r="A1568" s="9"/>
      <c r="B1568" s="25"/>
      <c r="C1568" s="25"/>
      <c r="D1568" s="25"/>
      <c r="E1568" s="25"/>
      <c r="F1568" s="25"/>
      <c r="G1568" s="25"/>
      <c r="H1568" s="25"/>
      <c r="I1568" s="25"/>
      <c r="J1568" s="25"/>
      <c r="K1568" s="25"/>
      <c r="L1568" s="25"/>
      <c r="M1568" s="42" t="s">
        <v>253</v>
      </c>
      <c r="N1568" s="41">
        <v>45104</v>
      </c>
      <c r="O1568" s="25">
        <v>582</v>
      </c>
      <c r="P1568" s="25">
        <v>0</v>
      </c>
      <c r="Q1568" s="25"/>
      <c r="R1568" s="25"/>
      <c r="S1568" s="25"/>
      <c r="T1568" s="10"/>
    </row>
    <row r="1569" s="35" customFormat="1" ht="18.5" customHeight="1" spans="1:20">
      <c r="A1569" s="9"/>
      <c r="B1569" s="25"/>
      <c r="C1569" s="25"/>
      <c r="D1569" s="25"/>
      <c r="E1569" s="25"/>
      <c r="F1569" s="25"/>
      <c r="G1569" s="25"/>
      <c r="H1569" s="25"/>
      <c r="I1569" s="25"/>
      <c r="J1569" s="25"/>
      <c r="K1569" s="25"/>
      <c r="L1569" s="25"/>
      <c r="M1569" s="42" t="s">
        <v>253</v>
      </c>
      <c r="N1569" s="41">
        <v>44961</v>
      </c>
      <c r="O1569" s="25">
        <v>582</v>
      </c>
      <c r="P1569" s="25">
        <v>0</v>
      </c>
      <c r="Q1569" s="25"/>
      <c r="R1569" s="25"/>
      <c r="S1569" s="25"/>
      <c r="T1569" s="10"/>
    </row>
    <row r="1570" s="35" customFormat="1" ht="18.5" customHeight="1" spans="1:20">
      <c r="A1570" s="9"/>
      <c r="B1570" s="25"/>
      <c r="C1570" s="25"/>
      <c r="D1570" s="25"/>
      <c r="E1570" s="25"/>
      <c r="F1570" s="25"/>
      <c r="G1570" s="25"/>
      <c r="H1570" s="25"/>
      <c r="I1570" s="25"/>
      <c r="J1570" s="25"/>
      <c r="K1570" s="25"/>
      <c r="L1570" s="25"/>
      <c r="M1570" s="42" t="s">
        <v>253</v>
      </c>
      <c r="N1570" s="41">
        <v>45058</v>
      </c>
      <c r="O1570" s="25">
        <v>577</v>
      </c>
      <c r="P1570" s="25">
        <v>0</v>
      </c>
      <c r="Q1570" s="25"/>
      <c r="R1570" s="25"/>
      <c r="S1570" s="25"/>
      <c r="T1570" s="10"/>
    </row>
    <row r="1571" s="35" customFormat="1" ht="18.5" customHeight="1" spans="1:20">
      <c r="A1571" s="9"/>
      <c r="B1571" s="25"/>
      <c r="C1571" s="25"/>
      <c r="D1571" s="25"/>
      <c r="E1571" s="25"/>
      <c r="F1571" s="25"/>
      <c r="G1571" s="25"/>
      <c r="H1571" s="25"/>
      <c r="I1571" s="25"/>
      <c r="J1571" s="25"/>
      <c r="K1571" s="25"/>
      <c r="L1571" s="25"/>
      <c r="M1571" s="42" t="s">
        <v>253</v>
      </c>
      <c r="N1571" s="41">
        <v>45138</v>
      </c>
      <c r="O1571" s="25">
        <v>574</v>
      </c>
      <c r="P1571" s="25">
        <v>0</v>
      </c>
      <c r="Q1571" s="25"/>
      <c r="R1571" s="25"/>
      <c r="S1571" s="25"/>
      <c r="T1571" s="10"/>
    </row>
    <row r="1572" s="35" customFormat="1" ht="18.5" customHeight="1" spans="1:20">
      <c r="A1572" s="9"/>
      <c r="B1572" s="25"/>
      <c r="C1572" s="25"/>
      <c r="D1572" s="25"/>
      <c r="E1572" s="25"/>
      <c r="F1572" s="25"/>
      <c r="G1572" s="25"/>
      <c r="H1572" s="25"/>
      <c r="I1572" s="25"/>
      <c r="J1572" s="25"/>
      <c r="K1572" s="25"/>
      <c r="L1572" s="25"/>
      <c r="M1572" s="42" t="s">
        <v>253</v>
      </c>
      <c r="N1572" s="41">
        <v>45028</v>
      </c>
      <c r="O1572" s="25">
        <v>567</v>
      </c>
      <c r="P1572" s="25">
        <v>0</v>
      </c>
      <c r="Q1572" s="25"/>
      <c r="R1572" s="25"/>
      <c r="S1572" s="25"/>
      <c r="T1572" s="10"/>
    </row>
    <row r="1573" s="35" customFormat="1" ht="18.5" customHeight="1" spans="1:20">
      <c r="A1573" s="9"/>
      <c r="B1573" s="25"/>
      <c r="C1573" s="25"/>
      <c r="D1573" s="25"/>
      <c r="E1573" s="25"/>
      <c r="F1573" s="25"/>
      <c r="G1573" s="25"/>
      <c r="H1573" s="25"/>
      <c r="I1573" s="25"/>
      <c r="J1573" s="25"/>
      <c r="K1573" s="25"/>
      <c r="L1573" s="25"/>
      <c r="M1573" s="42" t="s">
        <v>253</v>
      </c>
      <c r="N1573" s="41">
        <v>45278</v>
      </c>
      <c r="O1573" s="25">
        <v>98</v>
      </c>
      <c r="P1573" s="25">
        <v>0</v>
      </c>
      <c r="Q1573" s="25"/>
      <c r="R1573" s="25"/>
      <c r="S1573" s="25"/>
      <c r="T1573" s="10"/>
    </row>
    <row r="1574" s="35" customFormat="1" ht="18.5" customHeight="1" spans="1:20">
      <c r="A1574" s="9"/>
      <c r="B1574" s="25"/>
      <c r="C1574" s="25"/>
      <c r="D1574" s="25"/>
      <c r="E1574" s="25"/>
      <c r="F1574" s="25"/>
      <c r="G1574" s="25"/>
      <c r="H1574" s="25"/>
      <c r="I1574" s="25"/>
      <c r="J1574" s="25"/>
      <c r="K1574" s="25"/>
      <c r="L1574" s="25"/>
      <c r="M1574" s="42" t="s">
        <v>253</v>
      </c>
      <c r="N1574" s="41">
        <v>45026</v>
      </c>
      <c r="O1574" s="25">
        <v>547</v>
      </c>
      <c r="P1574" s="25">
        <v>0</v>
      </c>
      <c r="Q1574" s="25"/>
      <c r="R1574" s="25"/>
      <c r="S1574" s="25"/>
      <c r="T1574" s="10"/>
    </row>
    <row r="1575" s="35" customFormat="1" ht="18.5" customHeight="1" spans="1:20">
      <c r="A1575" s="9"/>
      <c r="B1575" s="25"/>
      <c r="C1575" s="25"/>
      <c r="D1575" s="25"/>
      <c r="E1575" s="25"/>
      <c r="F1575" s="25"/>
      <c r="G1575" s="25"/>
      <c r="H1575" s="25"/>
      <c r="I1575" s="25"/>
      <c r="J1575" s="25"/>
      <c r="K1575" s="25"/>
      <c r="L1575" s="25"/>
      <c r="M1575" s="42" t="s">
        <v>253</v>
      </c>
      <c r="N1575" s="41">
        <v>45240</v>
      </c>
      <c r="O1575" s="25">
        <v>95</v>
      </c>
      <c r="P1575" s="25">
        <v>0</v>
      </c>
      <c r="Q1575" s="25"/>
      <c r="R1575" s="25"/>
      <c r="S1575" s="25"/>
      <c r="T1575" s="10"/>
    </row>
    <row r="1576" s="35" customFormat="1" ht="18.5" customHeight="1" spans="1:20">
      <c r="A1576" s="9"/>
      <c r="B1576" s="25"/>
      <c r="C1576" s="25"/>
      <c r="D1576" s="25"/>
      <c r="E1576" s="25"/>
      <c r="F1576" s="25"/>
      <c r="G1576" s="25"/>
      <c r="H1576" s="25"/>
      <c r="I1576" s="25"/>
      <c r="J1576" s="25"/>
      <c r="K1576" s="25"/>
      <c r="L1576" s="25"/>
      <c r="M1576" s="42" t="s">
        <v>253</v>
      </c>
      <c r="N1576" s="41">
        <v>45005</v>
      </c>
      <c r="O1576" s="25">
        <v>519</v>
      </c>
      <c r="P1576" s="25">
        <v>0</v>
      </c>
      <c r="Q1576" s="25"/>
      <c r="R1576" s="25"/>
      <c r="S1576" s="25"/>
      <c r="T1576" s="10"/>
    </row>
    <row r="1577" s="35" customFormat="1" ht="18.5" customHeight="1" spans="1:20">
      <c r="A1577" s="9"/>
      <c r="B1577" s="25"/>
      <c r="C1577" s="25"/>
      <c r="D1577" s="25"/>
      <c r="E1577" s="25"/>
      <c r="F1577" s="25"/>
      <c r="G1577" s="25"/>
      <c r="H1577" s="25"/>
      <c r="I1577" s="25"/>
      <c r="J1577" s="25"/>
      <c r="K1577" s="25"/>
      <c r="L1577" s="25"/>
      <c r="M1577" s="42" t="s">
        <v>253</v>
      </c>
      <c r="N1577" s="41">
        <v>45030</v>
      </c>
      <c r="O1577" s="25">
        <v>518</v>
      </c>
      <c r="P1577" s="25">
        <v>0</v>
      </c>
      <c r="Q1577" s="25"/>
      <c r="R1577" s="25"/>
      <c r="S1577" s="25"/>
      <c r="T1577" s="10"/>
    </row>
    <row r="1578" s="35" customFormat="1" ht="18.5" customHeight="1" spans="1:20">
      <c r="A1578" s="9"/>
      <c r="B1578" s="25"/>
      <c r="C1578" s="25"/>
      <c r="D1578" s="25"/>
      <c r="E1578" s="25"/>
      <c r="F1578" s="25"/>
      <c r="G1578" s="25"/>
      <c r="H1578" s="25"/>
      <c r="I1578" s="25"/>
      <c r="J1578" s="25"/>
      <c r="K1578" s="25"/>
      <c r="L1578" s="25"/>
      <c r="M1578" s="42" t="s">
        <v>253</v>
      </c>
      <c r="N1578" s="41">
        <v>45080</v>
      </c>
      <c r="O1578" s="25">
        <v>514</v>
      </c>
      <c r="P1578" s="25">
        <v>0</v>
      </c>
      <c r="Q1578" s="25"/>
      <c r="R1578" s="25"/>
      <c r="S1578" s="25"/>
      <c r="T1578" s="10"/>
    </row>
    <row r="1579" s="35" customFormat="1" ht="18.5" customHeight="1" spans="1:20">
      <c r="A1579" s="9"/>
      <c r="B1579" s="25"/>
      <c r="C1579" s="25"/>
      <c r="D1579" s="25"/>
      <c r="E1579" s="25"/>
      <c r="F1579" s="25"/>
      <c r="G1579" s="25"/>
      <c r="H1579" s="25"/>
      <c r="I1579" s="25"/>
      <c r="J1579" s="25"/>
      <c r="K1579" s="25"/>
      <c r="L1579" s="25"/>
      <c r="M1579" s="42" t="s">
        <v>253</v>
      </c>
      <c r="N1579" s="41">
        <v>44936</v>
      </c>
      <c r="O1579" s="25">
        <v>513</v>
      </c>
      <c r="P1579" s="25">
        <v>0</v>
      </c>
      <c r="Q1579" s="25"/>
      <c r="R1579" s="25"/>
      <c r="S1579" s="25"/>
      <c r="T1579" s="10"/>
    </row>
    <row r="1580" s="35" customFormat="1" ht="18.5" customHeight="1" spans="1:20">
      <c r="A1580" s="9"/>
      <c r="B1580" s="25"/>
      <c r="C1580" s="25"/>
      <c r="D1580" s="25"/>
      <c r="E1580" s="25"/>
      <c r="F1580" s="25"/>
      <c r="G1580" s="25"/>
      <c r="H1580" s="25"/>
      <c r="I1580" s="25"/>
      <c r="J1580" s="25"/>
      <c r="K1580" s="25"/>
      <c r="L1580" s="25"/>
      <c r="M1580" s="42" t="s">
        <v>253</v>
      </c>
      <c r="N1580" s="41">
        <v>44989</v>
      </c>
      <c r="O1580" s="25">
        <v>500</v>
      </c>
      <c r="P1580" s="25">
        <v>0</v>
      </c>
      <c r="Q1580" s="25"/>
      <c r="R1580" s="25"/>
      <c r="S1580" s="25"/>
      <c r="T1580" s="10"/>
    </row>
    <row r="1581" s="35" customFormat="1" ht="18.5" customHeight="1" spans="1:20">
      <c r="A1581" s="9"/>
      <c r="B1581" s="25"/>
      <c r="C1581" s="25"/>
      <c r="D1581" s="25"/>
      <c r="E1581" s="25"/>
      <c r="F1581" s="25"/>
      <c r="G1581" s="25"/>
      <c r="H1581" s="25"/>
      <c r="I1581" s="25"/>
      <c r="J1581" s="25"/>
      <c r="K1581" s="25"/>
      <c r="L1581" s="25"/>
      <c r="M1581" s="42" t="s">
        <v>253</v>
      </c>
      <c r="N1581" s="41">
        <v>45048</v>
      </c>
      <c r="O1581" s="25">
        <v>498</v>
      </c>
      <c r="P1581" s="25">
        <v>0</v>
      </c>
      <c r="Q1581" s="25"/>
      <c r="R1581" s="25"/>
      <c r="S1581" s="25"/>
      <c r="T1581" s="10"/>
    </row>
    <row r="1582" s="35" customFormat="1" ht="18.5" customHeight="1" spans="1:20">
      <c r="A1582" s="9"/>
      <c r="B1582" s="25"/>
      <c r="C1582" s="25"/>
      <c r="D1582" s="25"/>
      <c r="E1582" s="25"/>
      <c r="F1582" s="25"/>
      <c r="G1582" s="25"/>
      <c r="H1582" s="25"/>
      <c r="I1582" s="25"/>
      <c r="J1582" s="25"/>
      <c r="K1582" s="25"/>
      <c r="L1582" s="25"/>
      <c r="M1582" s="42" t="s">
        <v>253</v>
      </c>
      <c r="N1582" s="41">
        <v>45026</v>
      </c>
      <c r="O1582" s="25">
        <v>498</v>
      </c>
      <c r="P1582" s="25">
        <v>0</v>
      </c>
      <c r="Q1582" s="25"/>
      <c r="R1582" s="25"/>
      <c r="S1582" s="25"/>
      <c r="T1582" s="10"/>
    </row>
    <row r="1583" s="35" customFormat="1" ht="18.5" customHeight="1" spans="1:20">
      <c r="A1583" s="9"/>
      <c r="B1583" s="25"/>
      <c r="C1583" s="25"/>
      <c r="D1583" s="25"/>
      <c r="E1583" s="25"/>
      <c r="F1583" s="25"/>
      <c r="G1583" s="25"/>
      <c r="H1583" s="25"/>
      <c r="I1583" s="25"/>
      <c r="J1583" s="25"/>
      <c r="K1583" s="25"/>
      <c r="L1583" s="25"/>
      <c r="M1583" s="42" t="s">
        <v>253</v>
      </c>
      <c r="N1583" s="41">
        <v>44992</v>
      </c>
      <c r="O1583" s="25">
        <v>497</v>
      </c>
      <c r="P1583" s="25">
        <v>0</v>
      </c>
      <c r="Q1583" s="25"/>
      <c r="R1583" s="25"/>
      <c r="S1583" s="25"/>
      <c r="T1583" s="10"/>
    </row>
    <row r="1584" s="35" customFormat="1" ht="18.5" customHeight="1" spans="1:20">
      <c r="A1584" s="9"/>
      <c r="B1584" s="25"/>
      <c r="C1584" s="25"/>
      <c r="D1584" s="25"/>
      <c r="E1584" s="25"/>
      <c r="F1584" s="25"/>
      <c r="G1584" s="25"/>
      <c r="H1584" s="25"/>
      <c r="I1584" s="25"/>
      <c r="J1584" s="25"/>
      <c r="K1584" s="25"/>
      <c r="L1584" s="25"/>
      <c r="M1584" s="42" t="s">
        <v>253</v>
      </c>
      <c r="N1584" s="41">
        <v>45257</v>
      </c>
      <c r="O1584" s="25">
        <v>88</v>
      </c>
      <c r="P1584" s="25">
        <v>0</v>
      </c>
      <c r="Q1584" s="25"/>
      <c r="R1584" s="25"/>
      <c r="S1584" s="25"/>
      <c r="T1584" s="10"/>
    </row>
    <row r="1585" s="35" customFormat="1" ht="18.5" customHeight="1" spans="1:20">
      <c r="A1585" s="9"/>
      <c r="B1585" s="25"/>
      <c r="C1585" s="25"/>
      <c r="D1585" s="25"/>
      <c r="E1585" s="25"/>
      <c r="F1585" s="25"/>
      <c r="G1585" s="25"/>
      <c r="H1585" s="25"/>
      <c r="I1585" s="25"/>
      <c r="J1585" s="25"/>
      <c r="K1585" s="25"/>
      <c r="L1585" s="25"/>
      <c r="M1585" s="42" t="s">
        <v>253</v>
      </c>
      <c r="N1585" s="41">
        <v>45168</v>
      </c>
      <c r="O1585" s="25">
        <v>483</v>
      </c>
      <c r="P1585" s="25">
        <v>0</v>
      </c>
      <c r="Q1585" s="25"/>
      <c r="R1585" s="25"/>
      <c r="S1585" s="25"/>
      <c r="T1585" s="10"/>
    </row>
    <row r="1586" s="35" customFormat="1" ht="18.5" customHeight="1" spans="1:20">
      <c r="A1586" s="9"/>
      <c r="B1586" s="25"/>
      <c r="C1586" s="25"/>
      <c r="D1586" s="25"/>
      <c r="E1586" s="25"/>
      <c r="F1586" s="25"/>
      <c r="G1586" s="25"/>
      <c r="H1586" s="25"/>
      <c r="I1586" s="25"/>
      <c r="J1586" s="25"/>
      <c r="K1586" s="25"/>
      <c r="L1586" s="25"/>
      <c r="M1586" s="42" t="s">
        <v>253</v>
      </c>
      <c r="N1586" s="41">
        <v>45224</v>
      </c>
      <c r="O1586" s="25">
        <v>483</v>
      </c>
      <c r="P1586" s="25">
        <v>0</v>
      </c>
      <c r="Q1586" s="25"/>
      <c r="R1586" s="25"/>
      <c r="S1586" s="25"/>
      <c r="T1586" s="10"/>
    </row>
    <row r="1587" s="35" customFormat="1" ht="18.5" customHeight="1" spans="1:20">
      <c r="A1587" s="9"/>
      <c r="B1587" s="25"/>
      <c r="C1587" s="25"/>
      <c r="D1587" s="25"/>
      <c r="E1587" s="25"/>
      <c r="F1587" s="25"/>
      <c r="G1587" s="25"/>
      <c r="H1587" s="25"/>
      <c r="I1587" s="25"/>
      <c r="J1587" s="25"/>
      <c r="K1587" s="25"/>
      <c r="L1587" s="25"/>
      <c r="M1587" s="42" t="s">
        <v>253</v>
      </c>
      <c r="N1587" s="41">
        <v>45111</v>
      </c>
      <c r="O1587" s="25">
        <v>482</v>
      </c>
      <c r="P1587" s="25">
        <v>0</v>
      </c>
      <c r="Q1587" s="25"/>
      <c r="R1587" s="25"/>
      <c r="S1587" s="25"/>
      <c r="T1587" s="10"/>
    </row>
    <row r="1588" s="35" customFormat="1" ht="18.5" customHeight="1" spans="1:20">
      <c r="A1588" s="9"/>
      <c r="B1588" s="25"/>
      <c r="C1588" s="25"/>
      <c r="D1588" s="25"/>
      <c r="E1588" s="25"/>
      <c r="F1588" s="25"/>
      <c r="G1588" s="25"/>
      <c r="H1588" s="25"/>
      <c r="I1588" s="25"/>
      <c r="J1588" s="25"/>
      <c r="K1588" s="25"/>
      <c r="L1588" s="25"/>
      <c r="M1588" s="42" t="s">
        <v>253</v>
      </c>
      <c r="N1588" s="41">
        <v>45007</v>
      </c>
      <c r="O1588" s="25">
        <v>479</v>
      </c>
      <c r="P1588" s="25">
        <v>0</v>
      </c>
      <c r="Q1588" s="25"/>
      <c r="R1588" s="25"/>
      <c r="S1588" s="25"/>
      <c r="T1588" s="10"/>
    </row>
    <row r="1589" s="35" customFormat="1" ht="18.5" customHeight="1" spans="1:20">
      <c r="A1589" s="9"/>
      <c r="B1589" s="25"/>
      <c r="C1589" s="25"/>
      <c r="D1589" s="25"/>
      <c r="E1589" s="25"/>
      <c r="F1589" s="25"/>
      <c r="G1589" s="25"/>
      <c r="H1589" s="25"/>
      <c r="I1589" s="25"/>
      <c r="J1589" s="25"/>
      <c r="K1589" s="25"/>
      <c r="L1589" s="25"/>
      <c r="M1589" s="42" t="s">
        <v>253</v>
      </c>
      <c r="N1589" s="41">
        <v>45129</v>
      </c>
      <c r="O1589" s="25">
        <v>475</v>
      </c>
      <c r="P1589" s="25">
        <v>0</v>
      </c>
      <c r="Q1589" s="25"/>
      <c r="R1589" s="25"/>
      <c r="S1589" s="25"/>
      <c r="T1589" s="10"/>
    </row>
    <row r="1590" s="35" customFormat="1" ht="18.5" customHeight="1" spans="1:20">
      <c r="A1590" s="9"/>
      <c r="B1590" s="25"/>
      <c r="C1590" s="25"/>
      <c r="D1590" s="25"/>
      <c r="E1590" s="25"/>
      <c r="F1590" s="25"/>
      <c r="G1590" s="25"/>
      <c r="H1590" s="25"/>
      <c r="I1590" s="25"/>
      <c r="J1590" s="25"/>
      <c r="K1590" s="25"/>
      <c r="L1590" s="25"/>
      <c r="M1590" s="42" t="s">
        <v>253</v>
      </c>
      <c r="N1590" s="41">
        <v>44971</v>
      </c>
      <c r="O1590" s="25">
        <v>469</v>
      </c>
      <c r="P1590" s="25">
        <v>0</v>
      </c>
      <c r="Q1590" s="25"/>
      <c r="R1590" s="25"/>
      <c r="S1590" s="25"/>
      <c r="T1590" s="10"/>
    </row>
    <row r="1591" s="35" customFormat="1" ht="18.5" customHeight="1" spans="1:20">
      <c r="A1591" s="9"/>
      <c r="B1591" s="25"/>
      <c r="C1591" s="25"/>
      <c r="D1591" s="25"/>
      <c r="E1591" s="25"/>
      <c r="F1591" s="25"/>
      <c r="G1591" s="25"/>
      <c r="H1591" s="25"/>
      <c r="I1591" s="25"/>
      <c r="J1591" s="25"/>
      <c r="K1591" s="25"/>
      <c r="L1591" s="25"/>
      <c r="M1591" s="42" t="s">
        <v>253</v>
      </c>
      <c r="N1591" s="41">
        <v>45097</v>
      </c>
      <c r="O1591" s="25">
        <v>465</v>
      </c>
      <c r="P1591" s="25">
        <v>0</v>
      </c>
      <c r="Q1591" s="25"/>
      <c r="R1591" s="25"/>
      <c r="S1591" s="25"/>
      <c r="T1591" s="10"/>
    </row>
    <row r="1592" s="35" customFormat="1" ht="18.5" customHeight="1" spans="1:20">
      <c r="A1592" s="9"/>
      <c r="B1592" s="25"/>
      <c r="C1592" s="25"/>
      <c r="D1592" s="25"/>
      <c r="E1592" s="25"/>
      <c r="F1592" s="25"/>
      <c r="G1592" s="25"/>
      <c r="H1592" s="25"/>
      <c r="I1592" s="25"/>
      <c r="J1592" s="25"/>
      <c r="K1592" s="25"/>
      <c r="L1592" s="25"/>
      <c r="M1592" s="42" t="s">
        <v>253</v>
      </c>
      <c r="N1592" s="41">
        <v>45069</v>
      </c>
      <c r="O1592" s="25">
        <v>463</v>
      </c>
      <c r="P1592" s="25">
        <v>0</v>
      </c>
      <c r="Q1592" s="25"/>
      <c r="R1592" s="25"/>
      <c r="S1592" s="25"/>
      <c r="T1592" s="10"/>
    </row>
    <row r="1593" s="35" customFormat="1" ht="18.5" customHeight="1" spans="1:20">
      <c r="A1593" s="9"/>
      <c r="B1593" s="25"/>
      <c r="C1593" s="25"/>
      <c r="D1593" s="25"/>
      <c r="E1593" s="25"/>
      <c r="F1593" s="25"/>
      <c r="G1593" s="25"/>
      <c r="H1593" s="25"/>
      <c r="I1593" s="25"/>
      <c r="J1593" s="25"/>
      <c r="K1593" s="25"/>
      <c r="L1593" s="25"/>
      <c r="M1593" s="42" t="s">
        <v>253</v>
      </c>
      <c r="N1593" s="41">
        <v>45103</v>
      </c>
      <c r="O1593" s="25">
        <v>456</v>
      </c>
      <c r="P1593" s="25">
        <v>0</v>
      </c>
      <c r="Q1593" s="25"/>
      <c r="R1593" s="25"/>
      <c r="S1593" s="25"/>
      <c r="T1593" s="10"/>
    </row>
    <row r="1594" s="35" customFormat="1" ht="18.5" customHeight="1" spans="1:20">
      <c r="A1594" s="9"/>
      <c r="B1594" s="25"/>
      <c r="C1594" s="25"/>
      <c r="D1594" s="25"/>
      <c r="E1594" s="25"/>
      <c r="F1594" s="25"/>
      <c r="G1594" s="25"/>
      <c r="H1594" s="25"/>
      <c r="I1594" s="25"/>
      <c r="J1594" s="25"/>
      <c r="K1594" s="25"/>
      <c r="L1594" s="25"/>
      <c r="M1594" s="42" t="s">
        <v>253</v>
      </c>
      <c r="N1594" s="41">
        <v>45109</v>
      </c>
      <c r="O1594" s="25">
        <v>453</v>
      </c>
      <c r="P1594" s="25">
        <v>0</v>
      </c>
      <c r="Q1594" s="25"/>
      <c r="R1594" s="25"/>
      <c r="S1594" s="25"/>
      <c r="T1594" s="10"/>
    </row>
    <row r="1595" s="35" customFormat="1" ht="18.5" customHeight="1" spans="1:20">
      <c r="A1595" s="9"/>
      <c r="B1595" s="25"/>
      <c r="C1595" s="25"/>
      <c r="D1595" s="25"/>
      <c r="E1595" s="25"/>
      <c r="F1595" s="25"/>
      <c r="G1595" s="25"/>
      <c r="H1595" s="25"/>
      <c r="I1595" s="25"/>
      <c r="J1595" s="25"/>
      <c r="K1595" s="25"/>
      <c r="L1595" s="25"/>
      <c r="M1595" s="42" t="s">
        <v>253</v>
      </c>
      <c r="N1595" s="41">
        <v>45250</v>
      </c>
      <c r="O1595" s="25">
        <v>450</v>
      </c>
      <c r="P1595" s="25">
        <v>0</v>
      </c>
      <c r="Q1595" s="25"/>
      <c r="R1595" s="25"/>
      <c r="S1595" s="25"/>
      <c r="T1595" s="10"/>
    </row>
    <row r="1596" s="35" customFormat="1" ht="18.5" customHeight="1" spans="1:20">
      <c r="A1596" s="9"/>
      <c r="B1596" s="25"/>
      <c r="C1596" s="25"/>
      <c r="D1596" s="25"/>
      <c r="E1596" s="25"/>
      <c r="F1596" s="25"/>
      <c r="G1596" s="25"/>
      <c r="H1596" s="25"/>
      <c r="I1596" s="25"/>
      <c r="J1596" s="25"/>
      <c r="K1596" s="25"/>
      <c r="L1596" s="25"/>
      <c r="M1596" s="42" t="s">
        <v>253</v>
      </c>
      <c r="N1596" s="41">
        <v>45147</v>
      </c>
      <c r="O1596" s="25">
        <v>429</v>
      </c>
      <c r="P1596" s="25">
        <v>0</v>
      </c>
      <c r="Q1596" s="25"/>
      <c r="R1596" s="25"/>
      <c r="S1596" s="25"/>
      <c r="T1596" s="10"/>
    </row>
    <row r="1597" s="35" customFormat="1" ht="18.5" customHeight="1" spans="1:20">
      <c r="A1597" s="9"/>
      <c r="B1597" s="25"/>
      <c r="C1597" s="25"/>
      <c r="D1597" s="25"/>
      <c r="E1597" s="25"/>
      <c r="F1597" s="25"/>
      <c r="G1597" s="25"/>
      <c r="H1597" s="25"/>
      <c r="I1597" s="25"/>
      <c r="J1597" s="25"/>
      <c r="K1597" s="25"/>
      <c r="L1597" s="25"/>
      <c r="M1597" s="42" t="s">
        <v>253</v>
      </c>
      <c r="N1597" s="41">
        <v>45092</v>
      </c>
      <c r="O1597" s="25">
        <v>424</v>
      </c>
      <c r="P1597" s="25">
        <v>0</v>
      </c>
      <c r="Q1597" s="25"/>
      <c r="R1597" s="25"/>
      <c r="S1597" s="25"/>
      <c r="T1597" s="10"/>
    </row>
    <row r="1598" s="35" customFormat="1" ht="18.5" customHeight="1" spans="1:20">
      <c r="A1598" s="9"/>
      <c r="B1598" s="25"/>
      <c r="C1598" s="25"/>
      <c r="D1598" s="25"/>
      <c r="E1598" s="25"/>
      <c r="F1598" s="25"/>
      <c r="G1598" s="25"/>
      <c r="H1598" s="25"/>
      <c r="I1598" s="25"/>
      <c r="J1598" s="25"/>
      <c r="K1598" s="25"/>
      <c r="L1598" s="25"/>
      <c r="M1598" s="42" t="s">
        <v>253</v>
      </c>
      <c r="N1598" s="41">
        <v>44938</v>
      </c>
      <c r="O1598" s="25">
        <v>416</v>
      </c>
      <c r="P1598" s="25">
        <v>0</v>
      </c>
      <c r="Q1598" s="25"/>
      <c r="R1598" s="25"/>
      <c r="S1598" s="25"/>
      <c r="T1598" s="10"/>
    </row>
    <row r="1599" s="35" customFormat="1" ht="18.5" customHeight="1" spans="1:20">
      <c r="A1599" s="9"/>
      <c r="B1599" s="25"/>
      <c r="C1599" s="25"/>
      <c r="D1599" s="25"/>
      <c r="E1599" s="25"/>
      <c r="F1599" s="25"/>
      <c r="G1599" s="25"/>
      <c r="H1599" s="25"/>
      <c r="I1599" s="25"/>
      <c r="J1599" s="25"/>
      <c r="K1599" s="25"/>
      <c r="L1599" s="25"/>
      <c r="M1599" s="42" t="s">
        <v>253</v>
      </c>
      <c r="N1599" s="41">
        <v>45093</v>
      </c>
      <c r="O1599" s="25">
        <v>416</v>
      </c>
      <c r="P1599" s="25">
        <v>0</v>
      </c>
      <c r="Q1599" s="25"/>
      <c r="R1599" s="25"/>
      <c r="S1599" s="25"/>
      <c r="T1599" s="10"/>
    </row>
    <row r="1600" s="35" customFormat="1" ht="18.5" customHeight="1" spans="1:20">
      <c r="A1600" s="9"/>
      <c r="B1600" s="25"/>
      <c r="C1600" s="25"/>
      <c r="D1600" s="25"/>
      <c r="E1600" s="25"/>
      <c r="F1600" s="25"/>
      <c r="G1600" s="25"/>
      <c r="H1600" s="25"/>
      <c r="I1600" s="25"/>
      <c r="J1600" s="25"/>
      <c r="K1600" s="25"/>
      <c r="L1600" s="25"/>
      <c r="M1600" s="42" t="s">
        <v>253</v>
      </c>
      <c r="N1600" s="41">
        <v>44998</v>
      </c>
      <c r="O1600" s="25">
        <v>414</v>
      </c>
      <c r="P1600" s="25">
        <v>0</v>
      </c>
      <c r="Q1600" s="25"/>
      <c r="R1600" s="25"/>
      <c r="S1600" s="25"/>
      <c r="T1600" s="10"/>
    </row>
    <row r="1601" s="35" customFormat="1" ht="18.5" customHeight="1" spans="1:20">
      <c r="A1601" s="9"/>
      <c r="B1601" s="25"/>
      <c r="C1601" s="25"/>
      <c r="D1601" s="25"/>
      <c r="E1601" s="25"/>
      <c r="F1601" s="25"/>
      <c r="G1601" s="25"/>
      <c r="H1601" s="25"/>
      <c r="I1601" s="25"/>
      <c r="J1601" s="25"/>
      <c r="K1601" s="25"/>
      <c r="L1601" s="25"/>
      <c r="M1601" s="42" t="s">
        <v>253</v>
      </c>
      <c r="N1601" s="41">
        <v>45037</v>
      </c>
      <c r="O1601" s="25">
        <v>413</v>
      </c>
      <c r="P1601" s="25">
        <v>0</v>
      </c>
      <c r="Q1601" s="25"/>
      <c r="R1601" s="25"/>
      <c r="S1601" s="25"/>
      <c r="T1601" s="10"/>
    </row>
    <row r="1602" s="35" customFormat="1" ht="18.5" customHeight="1" spans="1:20">
      <c r="A1602" s="9"/>
      <c r="B1602" s="25"/>
      <c r="C1602" s="25"/>
      <c r="D1602" s="25"/>
      <c r="E1602" s="25"/>
      <c r="F1602" s="25"/>
      <c r="G1602" s="25"/>
      <c r="H1602" s="25"/>
      <c r="I1602" s="25"/>
      <c r="J1602" s="25"/>
      <c r="K1602" s="25"/>
      <c r="L1602" s="25"/>
      <c r="M1602" s="42" t="s">
        <v>253</v>
      </c>
      <c r="N1602" s="41">
        <v>44992</v>
      </c>
      <c r="O1602" s="25">
        <v>412</v>
      </c>
      <c r="P1602" s="25">
        <v>0</v>
      </c>
      <c r="Q1602" s="25"/>
      <c r="R1602" s="25"/>
      <c r="S1602" s="25"/>
      <c r="T1602" s="10"/>
    </row>
    <row r="1603" s="35" customFormat="1" ht="18.5" customHeight="1" spans="1:20">
      <c r="A1603" s="9"/>
      <c r="B1603" s="25"/>
      <c r="C1603" s="25"/>
      <c r="D1603" s="25"/>
      <c r="E1603" s="25"/>
      <c r="F1603" s="25"/>
      <c r="G1603" s="25"/>
      <c r="H1603" s="25"/>
      <c r="I1603" s="25"/>
      <c r="J1603" s="25"/>
      <c r="K1603" s="25"/>
      <c r="L1603" s="25"/>
      <c r="M1603" s="42" t="s">
        <v>253</v>
      </c>
      <c r="N1603" s="41">
        <v>44984</v>
      </c>
      <c r="O1603" s="25">
        <v>410</v>
      </c>
      <c r="P1603" s="25">
        <v>0</v>
      </c>
      <c r="Q1603" s="25"/>
      <c r="R1603" s="25"/>
      <c r="S1603" s="25"/>
      <c r="T1603" s="10"/>
    </row>
    <row r="1604" s="35" customFormat="1" ht="18.5" customHeight="1" spans="1:20">
      <c r="A1604" s="9"/>
      <c r="B1604" s="25"/>
      <c r="C1604" s="25"/>
      <c r="D1604" s="25"/>
      <c r="E1604" s="25"/>
      <c r="F1604" s="25"/>
      <c r="G1604" s="25"/>
      <c r="H1604" s="25"/>
      <c r="I1604" s="25"/>
      <c r="J1604" s="25"/>
      <c r="K1604" s="25"/>
      <c r="L1604" s="25"/>
      <c r="M1604" s="42" t="s">
        <v>253</v>
      </c>
      <c r="N1604" s="41">
        <v>44993</v>
      </c>
      <c r="O1604" s="25">
        <v>406</v>
      </c>
      <c r="P1604" s="25">
        <v>0</v>
      </c>
      <c r="Q1604" s="25"/>
      <c r="R1604" s="25"/>
      <c r="S1604" s="25"/>
      <c r="T1604" s="10"/>
    </row>
    <row r="1605" s="35" customFormat="1" ht="18.5" customHeight="1" spans="1:20">
      <c r="A1605" s="9"/>
      <c r="B1605" s="25"/>
      <c r="C1605" s="25"/>
      <c r="D1605" s="25"/>
      <c r="E1605" s="25"/>
      <c r="F1605" s="25"/>
      <c r="G1605" s="25"/>
      <c r="H1605" s="25"/>
      <c r="I1605" s="25"/>
      <c r="J1605" s="25"/>
      <c r="K1605" s="25"/>
      <c r="L1605" s="25"/>
      <c r="M1605" s="42" t="s">
        <v>253</v>
      </c>
      <c r="N1605" s="41">
        <v>45030</v>
      </c>
      <c r="O1605" s="25">
        <v>404</v>
      </c>
      <c r="P1605" s="25">
        <v>0</v>
      </c>
      <c r="Q1605" s="25"/>
      <c r="R1605" s="25"/>
      <c r="S1605" s="25"/>
      <c r="T1605" s="10"/>
    </row>
    <row r="1606" s="35" customFormat="1" ht="18.5" customHeight="1" spans="1:20">
      <c r="A1606" s="9"/>
      <c r="B1606" s="25"/>
      <c r="C1606" s="25"/>
      <c r="D1606" s="25"/>
      <c r="E1606" s="25"/>
      <c r="F1606" s="25"/>
      <c r="G1606" s="25"/>
      <c r="H1606" s="25"/>
      <c r="I1606" s="25"/>
      <c r="J1606" s="25"/>
      <c r="K1606" s="25"/>
      <c r="L1606" s="25"/>
      <c r="M1606" s="42" t="s">
        <v>253</v>
      </c>
      <c r="N1606" s="41">
        <v>45206</v>
      </c>
      <c r="O1606" s="25">
        <v>403</v>
      </c>
      <c r="P1606" s="25">
        <v>0</v>
      </c>
      <c r="Q1606" s="25"/>
      <c r="R1606" s="25"/>
      <c r="S1606" s="25"/>
      <c r="T1606" s="10"/>
    </row>
    <row r="1607" s="35" customFormat="1" ht="18.5" customHeight="1" spans="1:20">
      <c r="A1607" s="9"/>
      <c r="B1607" s="25"/>
      <c r="C1607" s="25"/>
      <c r="D1607" s="25"/>
      <c r="E1607" s="25"/>
      <c r="F1607" s="25"/>
      <c r="G1607" s="25"/>
      <c r="H1607" s="25"/>
      <c r="I1607" s="25"/>
      <c r="J1607" s="25"/>
      <c r="K1607" s="25"/>
      <c r="L1607" s="25"/>
      <c r="M1607" s="42" t="s">
        <v>253</v>
      </c>
      <c r="N1607" s="41">
        <v>45030</v>
      </c>
      <c r="O1607" s="25">
        <v>401</v>
      </c>
      <c r="P1607" s="25">
        <v>0</v>
      </c>
      <c r="Q1607" s="25"/>
      <c r="R1607" s="25"/>
      <c r="S1607" s="25"/>
      <c r="T1607" s="10"/>
    </row>
    <row r="1608" s="35" customFormat="1" ht="18.5" customHeight="1" spans="1:20">
      <c r="A1608" s="9"/>
      <c r="B1608" s="25"/>
      <c r="C1608" s="25"/>
      <c r="D1608" s="25"/>
      <c r="E1608" s="25"/>
      <c r="F1608" s="25"/>
      <c r="G1608" s="25"/>
      <c r="H1608" s="25"/>
      <c r="I1608" s="25"/>
      <c r="J1608" s="25"/>
      <c r="K1608" s="25"/>
      <c r="L1608" s="25"/>
      <c r="M1608" s="42" t="s">
        <v>253</v>
      </c>
      <c r="N1608" s="41">
        <v>45099</v>
      </c>
      <c r="O1608" s="25">
        <v>393</v>
      </c>
      <c r="P1608" s="25">
        <v>0</v>
      </c>
      <c r="Q1608" s="25"/>
      <c r="R1608" s="25"/>
      <c r="S1608" s="25"/>
      <c r="T1608" s="10"/>
    </row>
    <row r="1609" s="35" customFormat="1" ht="18.5" customHeight="1" spans="1:20">
      <c r="A1609" s="9"/>
      <c r="B1609" s="25"/>
      <c r="C1609" s="25"/>
      <c r="D1609" s="25"/>
      <c r="E1609" s="25"/>
      <c r="F1609" s="25"/>
      <c r="G1609" s="25"/>
      <c r="H1609" s="25"/>
      <c r="I1609" s="25"/>
      <c r="J1609" s="25"/>
      <c r="K1609" s="25"/>
      <c r="L1609" s="25"/>
      <c r="M1609" s="42" t="s">
        <v>253</v>
      </c>
      <c r="N1609" s="41">
        <v>45033</v>
      </c>
      <c r="O1609" s="25">
        <v>392</v>
      </c>
      <c r="P1609" s="25">
        <v>0</v>
      </c>
      <c r="Q1609" s="25"/>
      <c r="R1609" s="25"/>
      <c r="S1609" s="25"/>
      <c r="T1609" s="10"/>
    </row>
    <row r="1610" s="35" customFormat="1" ht="18.5" customHeight="1" spans="1:20">
      <c r="A1610" s="9"/>
      <c r="B1610" s="25"/>
      <c r="C1610" s="25"/>
      <c r="D1610" s="25"/>
      <c r="E1610" s="25"/>
      <c r="F1610" s="25"/>
      <c r="G1610" s="25"/>
      <c r="H1610" s="25"/>
      <c r="I1610" s="25"/>
      <c r="J1610" s="25"/>
      <c r="K1610" s="25"/>
      <c r="L1610" s="25"/>
      <c r="M1610" s="42" t="s">
        <v>253</v>
      </c>
      <c r="N1610" s="41">
        <v>45013</v>
      </c>
      <c r="O1610" s="25">
        <v>388</v>
      </c>
      <c r="P1610" s="25">
        <v>0</v>
      </c>
      <c r="Q1610" s="25"/>
      <c r="R1610" s="25"/>
      <c r="S1610" s="25"/>
      <c r="T1610" s="10"/>
    </row>
    <row r="1611" s="35" customFormat="1" ht="18.5" customHeight="1" spans="1:20">
      <c r="A1611" s="9"/>
      <c r="B1611" s="25"/>
      <c r="C1611" s="25"/>
      <c r="D1611" s="25"/>
      <c r="E1611" s="25"/>
      <c r="F1611" s="25"/>
      <c r="G1611" s="25"/>
      <c r="H1611" s="25"/>
      <c r="I1611" s="25"/>
      <c r="J1611" s="25"/>
      <c r="K1611" s="25"/>
      <c r="L1611" s="25"/>
      <c r="M1611" s="42" t="s">
        <v>253</v>
      </c>
      <c r="N1611" s="41">
        <v>44961</v>
      </c>
      <c r="O1611" s="25">
        <v>385</v>
      </c>
      <c r="P1611" s="25">
        <v>0</v>
      </c>
      <c r="Q1611" s="25"/>
      <c r="R1611" s="25"/>
      <c r="S1611" s="25"/>
      <c r="T1611" s="10"/>
    </row>
    <row r="1612" s="35" customFormat="1" ht="18.5" customHeight="1" spans="1:20">
      <c r="A1612" s="9"/>
      <c r="B1612" s="25"/>
      <c r="C1612" s="25"/>
      <c r="D1612" s="25"/>
      <c r="E1612" s="25"/>
      <c r="F1612" s="25"/>
      <c r="G1612" s="25"/>
      <c r="H1612" s="25"/>
      <c r="I1612" s="25"/>
      <c r="J1612" s="25"/>
      <c r="K1612" s="25"/>
      <c r="L1612" s="25"/>
      <c r="M1612" s="42" t="s">
        <v>253</v>
      </c>
      <c r="N1612" s="41">
        <v>45241</v>
      </c>
      <c r="O1612" s="25">
        <v>383</v>
      </c>
      <c r="P1612" s="25">
        <v>0</v>
      </c>
      <c r="Q1612" s="25"/>
      <c r="R1612" s="25"/>
      <c r="S1612" s="25"/>
      <c r="T1612" s="10"/>
    </row>
    <row r="1613" s="35" customFormat="1" ht="18.5" customHeight="1" spans="1:20">
      <c r="A1613" s="9"/>
      <c r="B1613" s="25"/>
      <c r="C1613" s="25"/>
      <c r="D1613" s="25"/>
      <c r="E1613" s="25"/>
      <c r="F1613" s="25"/>
      <c r="G1613" s="25"/>
      <c r="H1613" s="25"/>
      <c r="I1613" s="25"/>
      <c r="J1613" s="25"/>
      <c r="K1613" s="25"/>
      <c r="L1613" s="25"/>
      <c r="M1613" s="42" t="s">
        <v>253</v>
      </c>
      <c r="N1613" s="41">
        <v>45014</v>
      </c>
      <c r="O1613" s="25">
        <v>383</v>
      </c>
      <c r="P1613" s="25">
        <v>0</v>
      </c>
      <c r="Q1613" s="25"/>
      <c r="R1613" s="25"/>
      <c r="S1613" s="25"/>
      <c r="T1613" s="10"/>
    </row>
    <row r="1614" s="35" customFormat="1" ht="18.5" customHeight="1" spans="1:20">
      <c r="A1614" s="9"/>
      <c r="B1614" s="25"/>
      <c r="C1614" s="25"/>
      <c r="D1614" s="25"/>
      <c r="E1614" s="25"/>
      <c r="F1614" s="25"/>
      <c r="G1614" s="25"/>
      <c r="H1614" s="25"/>
      <c r="I1614" s="25"/>
      <c r="J1614" s="25"/>
      <c r="K1614" s="25"/>
      <c r="L1614" s="25"/>
      <c r="M1614" s="42" t="s">
        <v>253</v>
      </c>
      <c r="N1614" s="41">
        <v>45032</v>
      </c>
      <c r="O1614" s="25">
        <v>378</v>
      </c>
      <c r="P1614" s="25">
        <v>0</v>
      </c>
      <c r="Q1614" s="25"/>
      <c r="R1614" s="25"/>
      <c r="S1614" s="25"/>
      <c r="T1614" s="10"/>
    </row>
    <row r="1615" s="35" customFormat="1" ht="18.5" customHeight="1" spans="1:20">
      <c r="A1615" s="9"/>
      <c r="B1615" s="25"/>
      <c r="C1615" s="25"/>
      <c r="D1615" s="25"/>
      <c r="E1615" s="25"/>
      <c r="F1615" s="25"/>
      <c r="G1615" s="25"/>
      <c r="H1615" s="25"/>
      <c r="I1615" s="25"/>
      <c r="J1615" s="25"/>
      <c r="K1615" s="25"/>
      <c r="L1615" s="25"/>
      <c r="M1615" s="42" t="s">
        <v>253</v>
      </c>
      <c r="N1615" s="41">
        <v>44980</v>
      </c>
      <c r="O1615" s="25">
        <v>375</v>
      </c>
      <c r="P1615" s="25">
        <v>0</v>
      </c>
      <c r="Q1615" s="25"/>
      <c r="R1615" s="25"/>
      <c r="S1615" s="25"/>
      <c r="T1615" s="10"/>
    </row>
    <row r="1616" s="35" customFormat="1" ht="18.5" customHeight="1" spans="1:20">
      <c r="A1616" s="9"/>
      <c r="B1616" s="25"/>
      <c r="C1616" s="25"/>
      <c r="D1616" s="25"/>
      <c r="E1616" s="25"/>
      <c r="F1616" s="25"/>
      <c r="G1616" s="25"/>
      <c r="H1616" s="25"/>
      <c r="I1616" s="25"/>
      <c r="J1616" s="25"/>
      <c r="K1616" s="25"/>
      <c r="L1616" s="25"/>
      <c r="M1616" s="42" t="s">
        <v>253</v>
      </c>
      <c r="N1616" s="41">
        <v>45142</v>
      </c>
      <c r="O1616" s="25">
        <v>370</v>
      </c>
      <c r="P1616" s="25">
        <v>0</v>
      </c>
      <c r="Q1616" s="25"/>
      <c r="R1616" s="25"/>
      <c r="S1616" s="25"/>
      <c r="T1616" s="10"/>
    </row>
    <row r="1617" s="35" customFormat="1" ht="18.5" customHeight="1" spans="1:20">
      <c r="A1617" s="9"/>
      <c r="B1617" s="25"/>
      <c r="C1617" s="25"/>
      <c r="D1617" s="25"/>
      <c r="E1617" s="25"/>
      <c r="F1617" s="25"/>
      <c r="G1617" s="25"/>
      <c r="H1617" s="25"/>
      <c r="I1617" s="25"/>
      <c r="J1617" s="25"/>
      <c r="K1617" s="25"/>
      <c r="L1617" s="25"/>
      <c r="M1617" s="42" t="s">
        <v>253</v>
      </c>
      <c r="N1617" s="41">
        <v>45102</v>
      </c>
      <c r="O1617" s="25">
        <v>369</v>
      </c>
      <c r="P1617" s="25">
        <v>0</v>
      </c>
      <c r="Q1617" s="25"/>
      <c r="R1617" s="25"/>
      <c r="S1617" s="25"/>
      <c r="T1617" s="10"/>
    </row>
    <row r="1618" s="35" customFormat="1" ht="18.5" customHeight="1" spans="1:20">
      <c r="A1618" s="9"/>
      <c r="B1618" s="25"/>
      <c r="C1618" s="25"/>
      <c r="D1618" s="25"/>
      <c r="E1618" s="25"/>
      <c r="F1618" s="25"/>
      <c r="G1618" s="25"/>
      <c r="H1618" s="25"/>
      <c r="I1618" s="25"/>
      <c r="J1618" s="25"/>
      <c r="K1618" s="25"/>
      <c r="L1618" s="25"/>
      <c r="M1618" s="42" t="s">
        <v>253</v>
      </c>
      <c r="N1618" s="41">
        <v>45077</v>
      </c>
      <c r="O1618" s="25">
        <v>369</v>
      </c>
      <c r="P1618" s="25">
        <v>0</v>
      </c>
      <c r="Q1618" s="25"/>
      <c r="R1618" s="25"/>
      <c r="S1618" s="25"/>
      <c r="T1618" s="10"/>
    </row>
    <row r="1619" s="35" customFormat="1" ht="18.5" customHeight="1" spans="1:20">
      <c r="A1619" s="9"/>
      <c r="B1619" s="25"/>
      <c r="C1619" s="25"/>
      <c r="D1619" s="25"/>
      <c r="E1619" s="25"/>
      <c r="F1619" s="25"/>
      <c r="G1619" s="25"/>
      <c r="H1619" s="25"/>
      <c r="I1619" s="25"/>
      <c r="J1619" s="25"/>
      <c r="K1619" s="25"/>
      <c r="L1619" s="25"/>
      <c r="M1619" s="42" t="s">
        <v>253</v>
      </c>
      <c r="N1619" s="41">
        <v>45047</v>
      </c>
      <c r="O1619" s="25">
        <v>363</v>
      </c>
      <c r="P1619" s="25">
        <v>0</v>
      </c>
      <c r="Q1619" s="25"/>
      <c r="R1619" s="25"/>
      <c r="S1619" s="25"/>
      <c r="T1619" s="10"/>
    </row>
    <row r="1620" s="35" customFormat="1" ht="18.5" customHeight="1" spans="1:20">
      <c r="A1620" s="9"/>
      <c r="B1620" s="25"/>
      <c r="C1620" s="25"/>
      <c r="D1620" s="25"/>
      <c r="E1620" s="25"/>
      <c r="F1620" s="25"/>
      <c r="G1620" s="25"/>
      <c r="H1620" s="25"/>
      <c r="I1620" s="25"/>
      <c r="J1620" s="25"/>
      <c r="K1620" s="25"/>
      <c r="L1620" s="25"/>
      <c r="M1620" s="42" t="s">
        <v>253</v>
      </c>
      <c r="N1620" s="41">
        <v>45232</v>
      </c>
      <c r="O1620" s="25">
        <v>364</v>
      </c>
      <c r="P1620" s="25">
        <v>0</v>
      </c>
      <c r="Q1620" s="25"/>
      <c r="R1620" s="25"/>
      <c r="S1620" s="25"/>
      <c r="T1620" s="10"/>
    </row>
    <row r="1621" s="35" customFormat="1" ht="18.5" customHeight="1" spans="1:20">
      <c r="A1621" s="9"/>
      <c r="B1621" s="25"/>
      <c r="C1621" s="25"/>
      <c r="D1621" s="25"/>
      <c r="E1621" s="25"/>
      <c r="F1621" s="25"/>
      <c r="G1621" s="25"/>
      <c r="H1621" s="25"/>
      <c r="I1621" s="25"/>
      <c r="J1621" s="25"/>
      <c r="K1621" s="25"/>
      <c r="L1621" s="25"/>
      <c r="M1621" s="42" t="s">
        <v>253</v>
      </c>
      <c r="N1621" s="41">
        <v>45058</v>
      </c>
      <c r="O1621" s="25">
        <v>362</v>
      </c>
      <c r="P1621" s="25">
        <v>0</v>
      </c>
      <c r="Q1621" s="25"/>
      <c r="R1621" s="25"/>
      <c r="S1621" s="25"/>
      <c r="T1621" s="10"/>
    </row>
    <row r="1622" s="35" customFormat="1" ht="18.5" customHeight="1" spans="1:20">
      <c r="A1622" s="9"/>
      <c r="B1622" s="25"/>
      <c r="C1622" s="25"/>
      <c r="D1622" s="25"/>
      <c r="E1622" s="25"/>
      <c r="F1622" s="25"/>
      <c r="G1622" s="25"/>
      <c r="H1622" s="25"/>
      <c r="I1622" s="25"/>
      <c r="J1622" s="25"/>
      <c r="K1622" s="25"/>
      <c r="L1622" s="25"/>
      <c r="M1622" s="42" t="s">
        <v>253</v>
      </c>
      <c r="N1622" s="41">
        <v>44975</v>
      </c>
      <c r="O1622" s="25">
        <v>359</v>
      </c>
      <c r="P1622" s="25">
        <v>0</v>
      </c>
      <c r="Q1622" s="25"/>
      <c r="R1622" s="25"/>
      <c r="S1622" s="25"/>
      <c r="T1622" s="10"/>
    </row>
    <row r="1623" s="35" customFormat="1" ht="18.5" customHeight="1" spans="1:20">
      <c r="A1623" s="9"/>
      <c r="B1623" s="25"/>
      <c r="C1623" s="25"/>
      <c r="D1623" s="25"/>
      <c r="E1623" s="25"/>
      <c r="F1623" s="25"/>
      <c r="G1623" s="25"/>
      <c r="H1623" s="25"/>
      <c r="I1623" s="25"/>
      <c r="J1623" s="25"/>
      <c r="K1623" s="25"/>
      <c r="L1623" s="25"/>
      <c r="M1623" s="42" t="s">
        <v>253</v>
      </c>
      <c r="N1623" s="41">
        <v>45020</v>
      </c>
      <c r="O1623" s="25">
        <v>357</v>
      </c>
      <c r="P1623" s="25">
        <v>0</v>
      </c>
      <c r="Q1623" s="25"/>
      <c r="R1623" s="25"/>
      <c r="S1623" s="25"/>
      <c r="T1623" s="10"/>
    </row>
    <row r="1624" s="35" customFormat="1" ht="18.5" customHeight="1" spans="1:20">
      <c r="A1624" s="9"/>
      <c r="B1624" s="25"/>
      <c r="C1624" s="25"/>
      <c r="D1624" s="25"/>
      <c r="E1624" s="25"/>
      <c r="F1624" s="25"/>
      <c r="G1624" s="25"/>
      <c r="H1624" s="25"/>
      <c r="I1624" s="25"/>
      <c r="J1624" s="25"/>
      <c r="K1624" s="25"/>
      <c r="L1624" s="25"/>
      <c r="M1624" s="42" t="s">
        <v>253</v>
      </c>
      <c r="N1624" s="41">
        <v>44967</v>
      </c>
      <c r="O1624" s="25">
        <v>357</v>
      </c>
      <c r="P1624" s="25">
        <v>0</v>
      </c>
      <c r="Q1624" s="25"/>
      <c r="R1624" s="25"/>
      <c r="S1624" s="25"/>
      <c r="T1624" s="10"/>
    </row>
    <row r="1625" s="35" customFormat="1" ht="18.5" customHeight="1" spans="1:20">
      <c r="A1625" s="9"/>
      <c r="B1625" s="25"/>
      <c r="C1625" s="25"/>
      <c r="D1625" s="25"/>
      <c r="E1625" s="25"/>
      <c r="F1625" s="25"/>
      <c r="G1625" s="25"/>
      <c r="H1625" s="25"/>
      <c r="I1625" s="25"/>
      <c r="J1625" s="25"/>
      <c r="K1625" s="25"/>
      <c r="L1625" s="25"/>
      <c r="M1625" s="42" t="s">
        <v>253</v>
      </c>
      <c r="N1625" s="41">
        <v>45250</v>
      </c>
      <c r="O1625" s="25">
        <v>356</v>
      </c>
      <c r="P1625" s="25">
        <v>0</v>
      </c>
      <c r="Q1625" s="25"/>
      <c r="R1625" s="25"/>
      <c r="S1625" s="25"/>
      <c r="T1625" s="10"/>
    </row>
    <row r="1626" s="35" customFormat="1" ht="18.5" customHeight="1" spans="1:20">
      <c r="A1626" s="9"/>
      <c r="B1626" s="25"/>
      <c r="C1626" s="25"/>
      <c r="D1626" s="25"/>
      <c r="E1626" s="25"/>
      <c r="F1626" s="25"/>
      <c r="G1626" s="25"/>
      <c r="H1626" s="25"/>
      <c r="I1626" s="25"/>
      <c r="J1626" s="25"/>
      <c r="K1626" s="25"/>
      <c r="L1626" s="25"/>
      <c r="M1626" s="42" t="s">
        <v>253</v>
      </c>
      <c r="N1626" s="41">
        <v>45007</v>
      </c>
      <c r="O1626" s="25">
        <v>355</v>
      </c>
      <c r="P1626" s="25">
        <v>0</v>
      </c>
      <c r="Q1626" s="25"/>
      <c r="R1626" s="25"/>
      <c r="S1626" s="25"/>
      <c r="T1626" s="10"/>
    </row>
    <row r="1627" s="35" customFormat="1" ht="18.5" customHeight="1" spans="1:20">
      <c r="A1627" s="9"/>
      <c r="B1627" s="25"/>
      <c r="C1627" s="25"/>
      <c r="D1627" s="25"/>
      <c r="E1627" s="25"/>
      <c r="F1627" s="25"/>
      <c r="G1627" s="25"/>
      <c r="H1627" s="25"/>
      <c r="I1627" s="25"/>
      <c r="J1627" s="25"/>
      <c r="K1627" s="25"/>
      <c r="L1627" s="25"/>
      <c r="M1627" s="42" t="s">
        <v>253</v>
      </c>
      <c r="N1627" s="41">
        <v>45130</v>
      </c>
      <c r="O1627" s="25">
        <v>351</v>
      </c>
      <c r="P1627" s="25">
        <v>0</v>
      </c>
      <c r="Q1627" s="25"/>
      <c r="R1627" s="25"/>
      <c r="S1627" s="25"/>
      <c r="T1627" s="10"/>
    </row>
    <row r="1628" s="35" customFormat="1" ht="18.5" customHeight="1" spans="1:20">
      <c r="A1628" s="9"/>
      <c r="B1628" s="25"/>
      <c r="C1628" s="25"/>
      <c r="D1628" s="25"/>
      <c r="E1628" s="25"/>
      <c r="F1628" s="25"/>
      <c r="G1628" s="25"/>
      <c r="H1628" s="25"/>
      <c r="I1628" s="25"/>
      <c r="J1628" s="25"/>
      <c r="K1628" s="25"/>
      <c r="L1628" s="25"/>
      <c r="M1628" s="42" t="s">
        <v>253</v>
      </c>
      <c r="N1628" s="41">
        <v>45080</v>
      </c>
      <c r="O1628" s="25">
        <v>349</v>
      </c>
      <c r="P1628" s="25">
        <v>0</v>
      </c>
      <c r="Q1628" s="25"/>
      <c r="R1628" s="25"/>
      <c r="S1628" s="25"/>
      <c r="T1628" s="10"/>
    </row>
    <row r="1629" s="35" customFormat="1" ht="18.5" customHeight="1" spans="1:20">
      <c r="A1629" s="9"/>
      <c r="B1629" s="25"/>
      <c r="C1629" s="25"/>
      <c r="D1629" s="25"/>
      <c r="E1629" s="25"/>
      <c r="F1629" s="25"/>
      <c r="G1629" s="25"/>
      <c r="H1629" s="25"/>
      <c r="I1629" s="25"/>
      <c r="J1629" s="25"/>
      <c r="K1629" s="25"/>
      <c r="L1629" s="25"/>
      <c r="M1629" s="42" t="s">
        <v>253</v>
      </c>
      <c r="N1629" s="41">
        <v>45055</v>
      </c>
      <c r="O1629" s="25">
        <v>345</v>
      </c>
      <c r="P1629" s="25">
        <v>0</v>
      </c>
      <c r="Q1629" s="25"/>
      <c r="R1629" s="25"/>
      <c r="S1629" s="25"/>
      <c r="T1629" s="10"/>
    </row>
    <row r="1630" s="35" customFormat="1" ht="18.5" customHeight="1" spans="1:20">
      <c r="A1630" s="9"/>
      <c r="B1630" s="25"/>
      <c r="C1630" s="25"/>
      <c r="D1630" s="25"/>
      <c r="E1630" s="25"/>
      <c r="F1630" s="25"/>
      <c r="G1630" s="25"/>
      <c r="H1630" s="25"/>
      <c r="I1630" s="25"/>
      <c r="J1630" s="25"/>
      <c r="K1630" s="25"/>
      <c r="L1630" s="25"/>
      <c r="M1630" s="42" t="s">
        <v>253</v>
      </c>
      <c r="N1630" s="41">
        <v>45141</v>
      </c>
      <c r="O1630" s="25">
        <v>342</v>
      </c>
      <c r="P1630" s="25">
        <v>0</v>
      </c>
      <c r="Q1630" s="25"/>
      <c r="R1630" s="25"/>
      <c r="S1630" s="25"/>
      <c r="T1630" s="10"/>
    </row>
    <row r="1631" s="35" customFormat="1" ht="18.5" customHeight="1" spans="1:20">
      <c r="A1631" s="9"/>
      <c r="B1631" s="25"/>
      <c r="C1631" s="25"/>
      <c r="D1631" s="25"/>
      <c r="E1631" s="25"/>
      <c r="F1631" s="25"/>
      <c r="G1631" s="25"/>
      <c r="H1631" s="25"/>
      <c r="I1631" s="25"/>
      <c r="J1631" s="25"/>
      <c r="K1631" s="25"/>
      <c r="L1631" s="25"/>
      <c r="M1631" s="42" t="s">
        <v>253</v>
      </c>
      <c r="N1631" s="41">
        <v>45091</v>
      </c>
      <c r="O1631" s="25">
        <v>341</v>
      </c>
      <c r="P1631" s="25">
        <v>0</v>
      </c>
      <c r="Q1631" s="25"/>
      <c r="R1631" s="25"/>
      <c r="S1631" s="25"/>
      <c r="T1631" s="10"/>
    </row>
    <row r="1632" s="35" customFormat="1" ht="18.5" customHeight="1" spans="1:20">
      <c r="A1632" s="9"/>
      <c r="B1632" s="25"/>
      <c r="C1632" s="25"/>
      <c r="D1632" s="25"/>
      <c r="E1632" s="25"/>
      <c r="F1632" s="25"/>
      <c r="G1632" s="25"/>
      <c r="H1632" s="25"/>
      <c r="I1632" s="25"/>
      <c r="J1632" s="25"/>
      <c r="K1632" s="25"/>
      <c r="L1632" s="25"/>
      <c r="M1632" s="42" t="s">
        <v>253</v>
      </c>
      <c r="N1632" s="41">
        <v>45033</v>
      </c>
      <c r="O1632" s="25">
        <v>338</v>
      </c>
      <c r="P1632" s="25">
        <v>0</v>
      </c>
      <c r="Q1632" s="25"/>
      <c r="R1632" s="25"/>
      <c r="S1632" s="25"/>
      <c r="T1632" s="10"/>
    </row>
    <row r="1633" s="35" customFormat="1" ht="18.5" customHeight="1" spans="1:20">
      <c r="A1633" s="9"/>
      <c r="B1633" s="25"/>
      <c r="C1633" s="25"/>
      <c r="D1633" s="25"/>
      <c r="E1633" s="25"/>
      <c r="F1633" s="25"/>
      <c r="G1633" s="25"/>
      <c r="H1633" s="25"/>
      <c r="I1633" s="25"/>
      <c r="J1633" s="25"/>
      <c r="K1633" s="25"/>
      <c r="L1633" s="25"/>
      <c r="M1633" s="42" t="s">
        <v>253</v>
      </c>
      <c r="N1633" s="41">
        <v>45237</v>
      </c>
      <c r="O1633" s="25">
        <v>333</v>
      </c>
      <c r="P1633" s="25">
        <v>0</v>
      </c>
      <c r="Q1633" s="25"/>
      <c r="R1633" s="25"/>
      <c r="S1633" s="25"/>
      <c r="T1633" s="10"/>
    </row>
    <row r="1634" s="35" customFormat="1" ht="18.5" customHeight="1" spans="1:20">
      <c r="A1634" s="9"/>
      <c r="B1634" s="25"/>
      <c r="C1634" s="25"/>
      <c r="D1634" s="25"/>
      <c r="E1634" s="25"/>
      <c r="F1634" s="25"/>
      <c r="G1634" s="25"/>
      <c r="H1634" s="25"/>
      <c r="I1634" s="25"/>
      <c r="J1634" s="25"/>
      <c r="K1634" s="25"/>
      <c r="L1634" s="25"/>
      <c r="M1634" s="42" t="s">
        <v>253</v>
      </c>
      <c r="N1634" s="41">
        <v>44931</v>
      </c>
      <c r="O1634" s="25">
        <v>332</v>
      </c>
      <c r="P1634" s="25">
        <v>0</v>
      </c>
      <c r="Q1634" s="25"/>
      <c r="R1634" s="25"/>
      <c r="S1634" s="25"/>
      <c r="T1634" s="10"/>
    </row>
    <row r="1635" s="35" customFormat="1" ht="18.5" customHeight="1" spans="1:20">
      <c r="A1635" s="9"/>
      <c r="B1635" s="25"/>
      <c r="C1635" s="25"/>
      <c r="D1635" s="25"/>
      <c r="E1635" s="25"/>
      <c r="F1635" s="25"/>
      <c r="G1635" s="25"/>
      <c r="H1635" s="25"/>
      <c r="I1635" s="25"/>
      <c r="J1635" s="25"/>
      <c r="K1635" s="25"/>
      <c r="L1635" s="25"/>
      <c r="M1635" s="42" t="s">
        <v>253</v>
      </c>
      <c r="N1635" s="41">
        <v>44952</v>
      </c>
      <c r="O1635" s="25">
        <v>330</v>
      </c>
      <c r="P1635" s="25">
        <v>0</v>
      </c>
      <c r="Q1635" s="25"/>
      <c r="R1635" s="25"/>
      <c r="S1635" s="25"/>
      <c r="T1635" s="10"/>
    </row>
    <row r="1636" s="35" customFormat="1" ht="18.5" customHeight="1" spans="1:20">
      <c r="A1636" s="9"/>
      <c r="B1636" s="25"/>
      <c r="C1636" s="25"/>
      <c r="D1636" s="25"/>
      <c r="E1636" s="25"/>
      <c r="F1636" s="25"/>
      <c r="G1636" s="25"/>
      <c r="H1636" s="25"/>
      <c r="I1636" s="25"/>
      <c r="J1636" s="25"/>
      <c r="K1636" s="25"/>
      <c r="L1636" s="25"/>
      <c r="M1636" s="42" t="s">
        <v>253</v>
      </c>
      <c r="N1636" s="41">
        <v>44937</v>
      </c>
      <c r="O1636" s="25">
        <v>330</v>
      </c>
      <c r="P1636" s="25">
        <v>0</v>
      </c>
      <c r="Q1636" s="25"/>
      <c r="R1636" s="25"/>
      <c r="S1636" s="25"/>
      <c r="T1636" s="10"/>
    </row>
    <row r="1637" s="35" customFormat="1" ht="18.5" customHeight="1" spans="1:20">
      <c r="A1637" s="9"/>
      <c r="B1637" s="25"/>
      <c r="C1637" s="25"/>
      <c r="D1637" s="25"/>
      <c r="E1637" s="25"/>
      <c r="F1637" s="25"/>
      <c r="G1637" s="25"/>
      <c r="H1637" s="25"/>
      <c r="I1637" s="25"/>
      <c r="J1637" s="25"/>
      <c r="K1637" s="25"/>
      <c r="L1637" s="25"/>
      <c r="M1637" s="42" t="s">
        <v>253</v>
      </c>
      <c r="N1637" s="41">
        <v>45233</v>
      </c>
      <c r="O1637" s="25">
        <v>330</v>
      </c>
      <c r="P1637" s="25">
        <v>0</v>
      </c>
      <c r="Q1637" s="25"/>
      <c r="R1637" s="25"/>
      <c r="S1637" s="25"/>
      <c r="T1637" s="10"/>
    </row>
    <row r="1638" s="35" customFormat="1" ht="18.5" customHeight="1" spans="1:20">
      <c r="A1638" s="9"/>
      <c r="B1638" s="25"/>
      <c r="C1638" s="25"/>
      <c r="D1638" s="25"/>
      <c r="E1638" s="25"/>
      <c r="F1638" s="25"/>
      <c r="G1638" s="25"/>
      <c r="H1638" s="25"/>
      <c r="I1638" s="25"/>
      <c r="J1638" s="25"/>
      <c r="K1638" s="25"/>
      <c r="L1638" s="25"/>
      <c r="M1638" s="42" t="s">
        <v>253</v>
      </c>
      <c r="N1638" s="41">
        <v>44961</v>
      </c>
      <c r="O1638" s="25">
        <v>327</v>
      </c>
      <c r="P1638" s="25">
        <v>0</v>
      </c>
      <c r="Q1638" s="25"/>
      <c r="R1638" s="25"/>
      <c r="S1638" s="25"/>
      <c r="T1638" s="10"/>
    </row>
    <row r="1639" s="35" customFormat="1" ht="18.5" customHeight="1" spans="1:20">
      <c r="A1639" s="9"/>
      <c r="B1639" s="25"/>
      <c r="C1639" s="25"/>
      <c r="D1639" s="25"/>
      <c r="E1639" s="25"/>
      <c r="F1639" s="25"/>
      <c r="G1639" s="25"/>
      <c r="H1639" s="25"/>
      <c r="I1639" s="25"/>
      <c r="J1639" s="25"/>
      <c r="K1639" s="25"/>
      <c r="L1639" s="25"/>
      <c r="M1639" s="42" t="s">
        <v>253</v>
      </c>
      <c r="N1639" s="41">
        <v>45119</v>
      </c>
      <c r="O1639" s="25">
        <v>326</v>
      </c>
      <c r="P1639" s="25">
        <v>0</v>
      </c>
      <c r="Q1639" s="25"/>
      <c r="R1639" s="25"/>
      <c r="S1639" s="25"/>
      <c r="T1639" s="10"/>
    </row>
    <row r="1640" s="35" customFormat="1" ht="18.5" customHeight="1" spans="1:20">
      <c r="A1640" s="9"/>
      <c r="B1640" s="25"/>
      <c r="C1640" s="25"/>
      <c r="D1640" s="25"/>
      <c r="E1640" s="25"/>
      <c r="F1640" s="25"/>
      <c r="G1640" s="25"/>
      <c r="H1640" s="25"/>
      <c r="I1640" s="25"/>
      <c r="J1640" s="25"/>
      <c r="K1640" s="25"/>
      <c r="L1640" s="25"/>
      <c r="M1640" s="42" t="s">
        <v>253</v>
      </c>
      <c r="N1640" s="41">
        <v>45099</v>
      </c>
      <c r="O1640" s="25">
        <v>325</v>
      </c>
      <c r="P1640" s="25">
        <v>0</v>
      </c>
      <c r="Q1640" s="25"/>
      <c r="R1640" s="25"/>
      <c r="S1640" s="25"/>
      <c r="T1640" s="10"/>
    </row>
    <row r="1641" s="35" customFormat="1" ht="18.5" customHeight="1" spans="1:20">
      <c r="A1641" s="9"/>
      <c r="B1641" s="25"/>
      <c r="C1641" s="25"/>
      <c r="D1641" s="25"/>
      <c r="E1641" s="25"/>
      <c r="F1641" s="25"/>
      <c r="G1641" s="25"/>
      <c r="H1641" s="25"/>
      <c r="I1641" s="25"/>
      <c r="J1641" s="25"/>
      <c r="K1641" s="25"/>
      <c r="L1641" s="25"/>
      <c r="M1641" s="42" t="s">
        <v>253</v>
      </c>
      <c r="N1641" s="41">
        <v>45039</v>
      </c>
      <c r="O1641" s="25">
        <v>322</v>
      </c>
      <c r="P1641" s="25">
        <v>0</v>
      </c>
      <c r="Q1641" s="25"/>
      <c r="R1641" s="25"/>
      <c r="S1641" s="25"/>
      <c r="T1641" s="10"/>
    </row>
    <row r="1642" s="35" customFormat="1" ht="18.5" customHeight="1" spans="1:20">
      <c r="A1642" s="9"/>
      <c r="B1642" s="25"/>
      <c r="C1642" s="25"/>
      <c r="D1642" s="25"/>
      <c r="E1642" s="25"/>
      <c r="F1642" s="25"/>
      <c r="G1642" s="25"/>
      <c r="H1642" s="25"/>
      <c r="I1642" s="25"/>
      <c r="J1642" s="25"/>
      <c r="K1642" s="25"/>
      <c r="L1642" s="25"/>
      <c r="M1642" s="42" t="s">
        <v>253</v>
      </c>
      <c r="N1642" s="41">
        <v>44994</v>
      </c>
      <c r="O1642" s="25">
        <v>321</v>
      </c>
      <c r="P1642" s="25">
        <v>0</v>
      </c>
      <c r="Q1642" s="25"/>
      <c r="R1642" s="25"/>
      <c r="S1642" s="25"/>
      <c r="T1642" s="10"/>
    </row>
    <row r="1643" s="35" customFormat="1" ht="18.5" customHeight="1" spans="1:20">
      <c r="A1643" s="9"/>
      <c r="B1643" s="25"/>
      <c r="C1643" s="25"/>
      <c r="D1643" s="25"/>
      <c r="E1643" s="25"/>
      <c r="F1643" s="25"/>
      <c r="G1643" s="25"/>
      <c r="H1643" s="25"/>
      <c r="I1643" s="25"/>
      <c r="J1643" s="25"/>
      <c r="K1643" s="25"/>
      <c r="L1643" s="25"/>
      <c r="M1643" s="42" t="s">
        <v>253</v>
      </c>
      <c r="N1643" s="41">
        <v>45090</v>
      </c>
      <c r="O1643" s="25">
        <v>319</v>
      </c>
      <c r="P1643" s="25">
        <v>0</v>
      </c>
      <c r="Q1643" s="25"/>
      <c r="R1643" s="25"/>
      <c r="S1643" s="25"/>
      <c r="T1643" s="10"/>
    </row>
    <row r="1644" s="35" customFormat="1" ht="18.5" customHeight="1" spans="1:20">
      <c r="A1644" s="9"/>
      <c r="B1644" s="25"/>
      <c r="C1644" s="25"/>
      <c r="D1644" s="25"/>
      <c r="E1644" s="25"/>
      <c r="F1644" s="25"/>
      <c r="G1644" s="25"/>
      <c r="H1644" s="25"/>
      <c r="I1644" s="25"/>
      <c r="J1644" s="25"/>
      <c r="K1644" s="25"/>
      <c r="L1644" s="25"/>
      <c r="M1644" s="42" t="s">
        <v>253</v>
      </c>
      <c r="N1644" s="41">
        <v>45051</v>
      </c>
      <c r="O1644" s="25">
        <v>317</v>
      </c>
      <c r="P1644" s="25">
        <v>0</v>
      </c>
      <c r="Q1644" s="25"/>
      <c r="R1644" s="25"/>
      <c r="S1644" s="25"/>
      <c r="T1644" s="10"/>
    </row>
    <row r="1645" s="35" customFormat="1" ht="18.5" customHeight="1" spans="1:20">
      <c r="A1645" s="9"/>
      <c r="B1645" s="25"/>
      <c r="C1645" s="25"/>
      <c r="D1645" s="25"/>
      <c r="E1645" s="25"/>
      <c r="F1645" s="25"/>
      <c r="G1645" s="25"/>
      <c r="H1645" s="25"/>
      <c r="I1645" s="25"/>
      <c r="J1645" s="25"/>
      <c r="K1645" s="25"/>
      <c r="L1645" s="25"/>
      <c r="M1645" s="42" t="s">
        <v>253</v>
      </c>
      <c r="N1645" s="41">
        <v>44994</v>
      </c>
      <c r="O1645" s="25">
        <v>317</v>
      </c>
      <c r="P1645" s="25">
        <v>0</v>
      </c>
      <c r="Q1645" s="25"/>
      <c r="R1645" s="25"/>
      <c r="S1645" s="25"/>
      <c r="T1645" s="10"/>
    </row>
    <row r="1646" s="35" customFormat="1" ht="18.5" customHeight="1" spans="1:20">
      <c r="A1646" s="9"/>
      <c r="B1646" s="25"/>
      <c r="C1646" s="25"/>
      <c r="D1646" s="25"/>
      <c r="E1646" s="25"/>
      <c r="F1646" s="25"/>
      <c r="G1646" s="25"/>
      <c r="H1646" s="25"/>
      <c r="I1646" s="25"/>
      <c r="J1646" s="25"/>
      <c r="K1646" s="25"/>
      <c r="L1646" s="25"/>
      <c r="M1646" s="42" t="s">
        <v>253</v>
      </c>
      <c r="N1646" s="41">
        <v>45157</v>
      </c>
      <c r="O1646" s="25">
        <v>317</v>
      </c>
      <c r="P1646" s="25">
        <v>0</v>
      </c>
      <c r="Q1646" s="25"/>
      <c r="R1646" s="25"/>
      <c r="S1646" s="25"/>
      <c r="T1646" s="10"/>
    </row>
    <row r="1647" s="35" customFormat="1" ht="18.5" customHeight="1" spans="1:20">
      <c r="A1647" s="9"/>
      <c r="B1647" s="25"/>
      <c r="C1647" s="25"/>
      <c r="D1647" s="25"/>
      <c r="E1647" s="25"/>
      <c r="F1647" s="25"/>
      <c r="G1647" s="25"/>
      <c r="H1647" s="25"/>
      <c r="I1647" s="25"/>
      <c r="J1647" s="25"/>
      <c r="K1647" s="25"/>
      <c r="L1647" s="25"/>
      <c r="M1647" s="42" t="s">
        <v>253</v>
      </c>
      <c r="N1647" s="41">
        <v>45106</v>
      </c>
      <c r="O1647" s="25">
        <v>316</v>
      </c>
      <c r="P1647" s="25">
        <v>0</v>
      </c>
      <c r="Q1647" s="25"/>
      <c r="R1647" s="25"/>
      <c r="S1647" s="25"/>
      <c r="T1647" s="10"/>
    </row>
    <row r="1648" s="35" customFormat="1" ht="18.5" customHeight="1" spans="1:20">
      <c r="A1648" s="9"/>
      <c r="B1648" s="25"/>
      <c r="C1648" s="25"/>
      <c r="D1648" s="25"/>
      <c r="E1648" s="25"/>
      <c r="F1648" s="25"/>
      <c r="G1648" s="25"/>
      <c r="H1648" s="25"/>
      <c r="I1648" s="25"/>
      <c r="J1648" s="25"/>
      <c r="K1648" s="25"/>
      <c r="L1648" s="25"/>
      <c r="M1648" s="42" t="s">
        <v>253</v>
      </c>
      <c r="N1648" s="41">
        <v>45063</v>
      </c>
      <c r="O1648" s="25">
        <v>316</v>
      </c>
      <c r="P1648" s="25">
        <v>0</v>
      </c>
      <c r="Q1648" s="25"/>
      <c r="R1648" s="25"/>
      <c r="S1648" s="25"/>
      <c r="T1648" s="10"/>
    </row>
    <row r="1649" s="35" customFormat="1" ht="18.5" customHeight="1" spans="1:20">
      <c r="A1649" s="9"/>
      <c r="B1649" s="25"/>
      <c r="C1649" s="25"/>
      <c r="D1649" s="25"/>
      <c r="E1649" s="25"/>
      <c r="F1649" s="25"/>
      <c r="G1649" s="25"/>
      <c r="H1649" s="25"/>
      <c r="I1649" s="25"/>
      <c r="J1649" s="25"/>
      <c r="K1649" s="25"/>
      <c r="L1649" s="25"/>
      <c r="M1649" s="42" t="s">
        <v>253</v>
      </c>
      <c r="N1649" s="41">
        <v>45062</v>
      </c>
      <c r="O1649" s="25">
        <v>314</v>
      </c>
      <c r="P1649" s="25">
        <v>0</v>
      </c>
      <c r="Q1649" s="25"/>
      <c r="R1649" s="25"/>
      <c r="S1649" s="25"/>
      <c r="T1649" s="10"/>
    </row>
    <row r="1650" s="35" customFormat="1" ht="18.5" customHeight="1" spans="1:20">
      <c r="A1650" s="9"/>
      <c r="B1650" s="25"/>
      <c r="C1650" s="25"/>
      <c r="D1650" s="25"/>
      <c r="E1650" s="25"/>
      <c r="F1650" s="25"/>
      <c r="G1650" s="25"/>
      <c r="H1650" s="25"/>
      <c r="I1650" s="25"/>
      <c r="J1650" s="25"/>
      <c r="K1650" s="25"/>
      <c r="L1650" s="25"/>
      <c r="M1650" s="42" t="s">
        <v>253</v>
      </c>
      <c r="N1650" s="41">
        <v>45055</v>
      </c>
      <c r="O1650" s="25">
        <v>314</v>
      </c>
      <c r="P1650" s="25">
        <v>0</v>
      </c>
      <c r="Q1650" s="25"/>
      <c r="R1650" s="25"/>
      <c r="S1650" s="25"/>
      <c r="T1650" s="10"/>
    </row>
    <row r="1651" s="35" customFormat="1" ht="18.5" customHeight="1" spans="1:20">
      <c r="A1651" s="9"/>
      <c r="B1651" s="25"/>
      <c r="C1651" s="25"/>
      <c r="D1651" s="25"/>
      <c r="E1651" s="25"/>
      <c r="F1651" s="25"/>
      <c r="G1651" s="25"/>
      <c r="H1651" s="25"/>
      <c r="I1651" s="25"/>
      <c r="J1651" s="25"/>
      <c r="K1651" s="25"/>
      <c r="L1651" s="25"/>
      <c r="M1651" s="42" t="s">
        <v>253</v>
      </c>
      <c r="N1651" s="41">
        <v>45042</v>
      </c>
      <c r="O1651" s="25">
        <v>313</v>
      </c>
      <c r="P1651" s="25">
        <v>0</v>
      </c>
      <c r="Q1651" s="25"/>
      <c r="R1651" s="25"/>
      <c r="S1651" s="25"/>
      <c r="T1651" s="10"/>
    </row>
    <row r="1652" s="35" customFormat="1" ht="18.5" customHeight="1" spans="1:20">
      <c r="A1652" s="9"/>
      <c r="B1652" s="25"/>
      <c r="C1652" s="25"/>
      <c r="D1652" s="25"/>
      <c r="E1652" s="25"/>
      <c r="F1652" s="25"/>
      <c r="G1652" s="25"/>
      <c r="H1652" s="25"/>
      <c r="I1652" s="25"/>
      <c r="J1652" s="25"/>
      <c r="K1652" s="25"/>
      <c r="L1652" s="25"/>
      <c r="M1652" s="42" t="s">
        <v>253</v>
      </c>
      <c r="N1652" s="41">
        <v>45010</v>
      </c>
      <c r="O1652" s="25">
        <v>310</v>
      </c>
      <c r="P1652" s="25">
        <v>0</v>
      </c>
      <c r="Q1652" s="25"/>
      <c r="R1652" s="25"/>
      <c r="S1652" s="25"/>
      <c r="T1652" s="10"/>
    </row>
    <row r="1653" s="35" customFormat="1" ht="18.5" customHeight="1" spans="1:20">
      <c r="A1653" s="9"/>
      <c r="B1653" s="25"/>
      <c r="C1653" s="25"/>
      <c r="D1653" s="25"/>
      <c r="E1653" s="25"/>
      <c r="F1653" s="25"/>
      <c r="G1653" s="25"/>
      <c r="H1653" s="25"/>
      <c r="I1653" s="25"/>
      <c r="J1653" s="25"/>
      <c r="K1653" s="25"/>
      <c r="L1653" s="25"/>
      <c r="M1653" s="42" t="s">
        <v>253</v>
      </c>
      <c r="N1653" s="41">
        <v>45118</v>
      </c>
      <c r="O1653" s="25">
        <v>310</v>
      </c>
      <c r="P1653" s="25">
        <v>0</v>
      </c>
      <c r="Q1653" s="25"/>
      <c r="R1653" s="25"/>
      <c r="S1653" s="25"/>
      <c r="T1653" s="10"/>
    </row>
    <row r="1654" s="35" customFormat="1" ht="18.5" customHeight="1" spans="1:20">
      <c r="A1654" s="9"/>
      <c r="B1654" s="25"/>
      <c r="C1654" s="25"/>
      <c r="D1654" s="25"/>
      <c r="E1654" s="25"/>
      <c r="F1654" s="25"/>
      <c r="G1654" s="25"/>
      <c r="H1654" s="25"/>
      <c r="I1654" s="25"/>
      <c r="J1654" s="25"/>
      <c r="K1654" s="25"/>
      <c r="L1654" s="25"/>
      <c r="M1654" s="42" t="s">
        <v>253</v>
      </c>
      <c r="N1654" s="41">
        <v>44998</v>
      </c>
      <c r="O1654" s="25">
        <v>309</v>
      </c>
      <c r="P1654" s="25">
        <v>0</v>
      </c>
      <c r="Q1654" s="25"/>
      <c r="R1654" s="25"/>
      <c r="S1654" s="25"/>
      <c r="T1654" s="10"/>
    </row>
    <row r="1655" s="35" customFormat="1" ht="18.5" customHeight="1" spans="1:20">
      <c r="A1655" s="9"/>
      <c r="B1655" s="25"/>
      <c r="C1655" s="25"/>
      <c r="D1655" s="25"/>
      <c r="E1655" s="25"/>
      <c r="F1655" s="25"/>
      <c r="G1655" s="25"/>
      <c r="H1655" s="25"/>
      <c r="I1655" s="25"/>
      <c r="J1655" s="25"/>
      <c r="K1655" s="25"/>
      <c r="L1655" s="25"/>
      <c r="M1655" s="42" t="s">
        <v>253</v>
      </c>
      <c r="N1655" s="41">
        <v>45053</v>
      </c>
      <c r="O1655" s="25">
        <v>307</v>
      </c>
      <c r="P1655" s="25">
        <v>0</v>
      </c>
      <c r="Q1655" s="25"/>
      <c r="R1655" s="25"/>
      <c r="S1655" s="25"/>
      <c r="T1655" s="10"/>
    </row>
    <row r="1656" s="35" customFormat="1" ht="18.5" customHeight="1" spans="1:20">
      <c r="A1656" s="9"/>
      <c r="B1656" s="25"/>
      <c r="C1656" s="25"/>
      <c r="D1656" s="25"/>
      <c r="E1656" s="25"/>
      <c r="F1656" s="25"/>
      <c r="G1656" s="25"/>
      <c r="H1656" s="25"/>
      <c r="I1656" s="25"/>
      <c r="J1656" s="25"/>
      <c r="K1656" s="25"/>
      <c r="L1656" s="25"/>
      <c r="M1656" s="42" t="s">
        <v>253</v>
      </c>
      <c r="N1656" s="41">
        <v>45067</v>
      </c>
      <c r="O1656" s="25">
        <v>304</v>
      </c>
      <c r="P1656" s="25">
        <v>0</v>
      </c>
      <c r="Q1656" s="25"/>
      <c r="R1656" s="25"/>
      <c r="S1656" s="25"/>
      <c r="T1656" s="10"/>
    </row>
    <row r="1657" s="35" customFormat="1" ht="18.5" customHeight="1" spans="1:20">
      <c r="A1657" s="9"/>
      <c r="B1657" s="25"/>
      <c r="C1657" s="25"/>
      <c r="D1657" s="25"/>
      <c r="E1657" s="25"/>
      <c r="F1657" s="25"/>
      <c r="G1657" s="25"/>
      <c r="H1657" s="25"/>
      <c r="I1657" s="25"/>
      <c r="J1657" s="25"/>
      <c r="K1657" s="25"/>
      <c r="L1657" s="25"/>
      <c r="M1657" s="42" t="s">
        <v>253</v>
      </c>
      <c r="N1657" s="41">
        <v>45015</v>
      </c>
      <c r="O1657" s="25">
        <v>304</v>
      </c>
      <c r="P1657" s="25">
        <v>0</v>
      </c>
      <c r="Q1657" s="25"/>
      <c r="R1657" s="25"/>
      <c r="S1657" s="25"/>
      <c r="T1657" s="10"/>
    </row>
    <row r="1658" s="35" customFormat="1" ht="18.5" customHeight="1" spans="1:20">
      <c r="A1658" s="9"/>
      <c r="B1658" s="25"/>
      <c r="C1658" s="25"/>
      <c r="D1658" s="25"/>
      <c r="E1658" s="25"/>
      <c r="F1658" s="25"/>
      <c r="G1658" s="25"/>
      <c r="H1658" s="25"/>
      <c r="I1658" s="25"/>
      <c r="J1658" s="25"/>
      <c r="K1658" s="25"/>
      <c r="L1658" s="25"/>
      <c r="M1658" s="42" t="s">
        <v>253</v>
      </c>
      <c r="N1658" s="41">
        <v>45007</v>
      </c>
      <c r="O1658" s="25">
        <v>302</v>
      </c>
      <c r="P1658" s="25">
        <v>0</v>
      </c>
      <c r="Q1658" s="25"/>
      <c r="R1658" s="25"/>
      <c r="S1658" s="25"/>
      <c r="T1658" s="10"/>
    </row>
    <row r="1659" s="35" customFormat="1" ht="18.5" customHeight="1" spans="1:20">
      <c r="A1659" s="9"/>
      <c r="B1659" s="25"/>
      <c r="C1659" s="25"/>
      <c r="D1659" s="25"/>
      <c r="E1659" s="25"/>
      <c r="F1659" s="25"/>
      <c r="G1659" s="25"/>
      <c r="H1659" s="25"/>
      <c r="I1659" s="25"/>
      <c r="J1659" s="25"/>
      <c r="K1659" s="25"/>
      <c r="L1659" s="25"/>
      <c r="M1659" s="42" t="s">
        <v>253</v>
      </c>
      <c r="N1659" s="41">
        <v>45231</v>
      </c>
      <c r="O1659" s="25">
        <v>301</v>
      </c>
      <c r="P1659" s="25">
        <v>0</v>
      </c>
      <c r="Q1659" s="25"/>
      <c r="R1659" s="25"/>
      <c r="S1659" s="25"/>
      <c r="T1659" s="10"/>
    </row>
    <row r="1660" s="35" customFormat="1" ht="18.5" customHeight="1" spans="1:20">
      <c r="A1660" s="9"/>
      <c r="B1660" s="25"/>
      <c r="C1660" s="25"/>
      <c r="D1660" s="25"/>
      <c r="E1660" s="25"/>
      <c r="F1660" s="25"/>
      <c r="G1660" s="25"/>
      <c r="H1660" s="25"/>
      <c r="I1660" s="25"/>
      <c r="J1660" s="25"/>
      <c r="K1660" s="25"/>
      <c r="L1660" s="25"/>
      <c r="M1660" s="42" t="s">
        <v>253</v>
      </c>
      <c r="N1660" s="41">
        <v>45053</v>
      </c>
      <c r="O1660" s="25">
        <v>299</v>
      </c>
      <c r="P1660" s="25">
        <v>0</v>
      </c>
      <c r="Q1660" s="25"/>
      <c r="R1660" s="25"/>
      <c r="S1660" s="25"/>
      <c r="T1660" s="10"/>
    </row>
    <row r="1661" s="35" customFormat="1" ht="18.5" customHeight="1" spans="1:20">
      <c r="A1661" s="9"/>
      <c r="B1661" s="25"/>
      <c r="C1661" s="25"/>
      <c r="D1661" s="25"/>
      <c r="E1661" s="25"/>
      <c r="F1661" s="25"/>
      <c r="G1661" s="25"/>
      <c r="H1661" s="25"/>
      <c r="I1661" s="25"/>
      <c r="J1661" s="25"/>
      <c r="K1661" s="25"/>
      <c r="L1661" s="25"/>
      <c r="M1661" s="42" t="s">
        <v>253</v>
      </c>
      <c r="N1661" s="41">
        <v>45078</v>
      </c>
      <c r="O1661" s="25">
        <v>298</v>
      </c>
      <c r="P1661" s="25">
        <v>0</v>
      </c>
      <c r="Q1661" s="25"/>
      <c r="R1661" s="25"/>
      <c r="S1661" s="25"/>
      <c r="T1661" s="10"/>
    </row>
    <row r="1662" s="35" customFormat="1" ht="18.5" customHeight="1" spans="1:20">
      <c r="A1662" s="9"/>
      <c r="B1662" s="25"/>
      <c r="C1662" s="25"/>
      <c r="D1662" s="25"/>
      <c r="E1662" s="25"/>
      <c r="F1662" s="25"/>
      <c r="G1662" s="25"/>
      <c r="H1662" s="25"/>
      <c r="I1662" s="25"/>
      <c r="J1662" s="25"/>
      <c r="K1662" s="25"/>
      <c r="L1662" s="25"/>
      <c r="M1662" s="42" t="s">
        <v>253</v>
      </c>
      <c r="N1662" s="41">
        <v>45242</v>
      </c>
      <c r="O1662" s="25">
        <v>296</v>
      </c>
      <c r="P1662" s="25">
        <v>0</v>
      </c>
      <c r="Q1662" s="25"/>
      <c r="R1662" s="25"/>
      <c r="S1662" s="25"/>
      <c r="T1662" s="10"/>
    </row>
    <row r="1663" s="35" customFormat="1" ht="18.5" customHeight="1" spans="1:20">
      <c r="A1663" s="9"/>
      <c r="B1663" s="25"/>
      <c r="C1663" s="25"/>
      <c r="D1663" s="25"/>
      <c r="E1663" s="25"/>
      <c r="F1663" s="25"/>
      <c r="G1663" s="25"/>
      <c r="H1663" s="25"/>
      <c r="I1663" s="25"/>
      <c r="J1663" s="25"/>
      <c r="K1663" s="25"/>
      <c r="L1663" s="25"/>
      <c r="M1663" s="42" t="s">
        <v>253</v>
      </c>
      <c r="N1663" s="41">
        <v>44980</v>
      </c>
      <c r="O1663" s="25">
        <v>294</v>
      </c>
      <c r="P1663" s="25">
        <v>0</v>
      </c>
      <c r="Q1663" s="25"/>
      <c r="R1663" s="25"/>
      <c r="S1663" s="25"/>
      <c r="T1663" s="10"/>
    </row>
    <row r="1664" s="35" customFormat="1" ht="18.5" customHeight="1" spans="1:20">
      <c r="A1664" s="9"/>
      <c r="B1664" s="25"/>
      <c r="C1664" s="25"/>
      <c r="D1664" s="25"/>
      <c r="E1664" s="25"/>
      <c r="F1664" s="25"/>
      <c r="G1664" s="25"/>
      <c r="H1664" s="25"/>
      <c r="I1664" s="25"/>
      <c r="J1664" s="25"/>
      <c r="K1664" s="25"/>
      <c r="L1664" s="25"/>
      <c r="M1664" s="42" t="s">
        <v>253</v>
      </c>
      <c r="N1664" s="41">
        <v>45092</v>
      </c>
      <c r="O1664" s="25">
        <v>289</v>
      </c>
      <c r="P1664" s="25">
        <v>0</v>
      </c>
      <c r="Q1664" s="25"/>
      <c r="R1664" s="25"/>
      <c r="S1664" s="25"/>
      <c r="T1664" s="10"/>
    </row>
    <row r="1665" s="35" customFormat="1" ht="18.5" customHeight="1" spans="1:20">
      <c r="A1665" s="9"/>
      <c r="B1665" s="25"/>
      <c r="C1665" s="25"/>
      <c r="D1665" s="25"/>
      <c r="E1665" s="25"/>
      <c r="F1665" s="25"/>
      <c r="G1665" s="25"/>
      <c r="H1665" s="25"/>
      <c r="I1665" s="25"/>
      <c r="J1665" s="25"/>
      <c r="K1665" s="25"/>
      <c r="L1665" s="25"/>
      <c r="M1665" s="42" t="s">
        <v>253</v>
      </c>
      <c r="N1665" s="41">
        <v>45043</v>
      </c>
      <c r="O1665" s="25">
        <v>287</v>
      </c>
      <c r="P1665" s="25">
        <v>0</v>
      </c>
      <c r="Q1665" s="25"/>
      <c r="R1665" s="25"/>
      <c r="S1665" s="25"/>
      <c r="T1665" s="10"/>
    </row>
    <row r="1666" s="35" customFormat="1" ht="18.5" customHeight="1" spans="1:20">
      <c r="A1666" s="9"/>
      <c r="B1666" s="25"/>
      <c r="C1666" s="25"/>
      <c r="D1666" s="25"/>
      <c r="E1666" s="25"/>
      <c r="F1666" s="25"/>
      <c r="G1666" s="25"/>
      <c r="H1666" s="25"/>
      <c r="I1666" s="25"/>
      <c r="J1666" s="25"/>
      <c r="K1666" s="25"/>
      <c r="L1666" s="25"/>
      <c r="M1666" s="42" t="s">
        <v>253</v>
      </c>
      <c r="N1666" s="41">
        <v>45027</v>
      </c>
      <c r="O1666" s="25">
        <v>287</v>
      </c>
      <c r="P1666" s="25">
        <v>0</v>
      </c>
      <c r="Q1666" s="25"/>
      <c r="R1666" s="25"/>
      <c r="S1666" s="25"/>
      <c r="T1666" s="10"/>
    </row>
    <row r="1667" s="35" customFormat="1" ht="18.5" customHeight="1" spans="1:20">
      <c r="A1667" s="9"/>
      <c r="B1667" s="25"/>
      <c r="C1667" s="25"/>
      <c r="D1667" s="25"/>
      <c r="E1667" s="25"/>
      <c r="F1667" s="25"/>
      <c r="G1667" s="25"/>
      <c r="H1667" s="25"/>
      <c r="I1667" s="25"/>
      <c r="J1667" s="25"/>
      <c r="K1667" s="25"/>
      <c r="L1667" s="25"/>
      <c r="M1667" s="42" t="s">
        <v>253</v>
      </c>
      <c r="N1667" s="41">
        <v>45091</v>
      </c>
      <c r="O1667" s="25">
        <v>285</v>
      </c>
      <c r="P1667" s="25">
        <v>0</v>
      </c>
      <c r="Q1667" s="25"/>
      <c r="R1667" s="25"/>
      <c r="S1667" s="25"/>
      <c r="T1667" s="10"/>
    </row>
    <row r="1668" s="35" customFormat="1" ht="18.5" customHeight="1" spans="1:20">
      <c r="A1668" s="9"/>
      <c r="B1668" s="25"/>
      <c r="C1668" s="25"/>
      <c r="D1668" s="25"/>
      <c r="E1668" s="25"/>
      <c r="F1668" s="25"/>
      <c r="G1668" s="25"/>
      <c r="H1668" s="25"/>
      <c r="I1668" s="25"/>
      <c r="J1668" s="25"/>
      <c r="K1668" s="25"/>
      <c r="L1668" s="25"/>
      <c r="M1668" s="42" t="s">
        <v>253</v>
      </c>
      <c r="N1668" s="41">
        <v>45235</v>
      </c>
      <c r="O1668" s="25">
        <v>284</v>
      </c>
      <c r="P1668" s="25">
        <v>0</v>
      </c>
      <c r="Q1668" s="25"/>
      <c r="R1668" s="25"/>
      <c r="S1668" s="25"/>
      <c r="T1668" s="10"/>
    </row>
    <row r="1669" s="35" customFormat="1" ht="18.5" customHeight="1" spans="1:20">
      <c r="A1669" s="9"/>
      <c r="B1669" s="25"/>
      <c r="C1669" s="25"/>
      <c r="D1669" s="25"/>
      <c r="E1669" s="25"/>
      <c r="F1669" s="25"/>
      <c r="G1669" s="25"/>
      <c r="H1669" s="25"/>
      <c r="I1669" s="25"/>
      <c r="J1669" s="25"/>
      <c r="K1669" s="25"/>
      <c r="L1669" s="25"/>
      <c r="M1669" s="42" t="s">
        <v>253</v>
      </c>
      <c r="N1669" s="41">
        <v>45146</v>
      </c>
      <c r="O1669" s="25">
        <v>284</v>
      </c>
      <c r="P1669" s="25">
        <v>0</v>
      </c>
      <c r="Q1669" s="25"/>
      <c r="R1669" s="25"/>
      <c r="S1669" s="25"/>
      <c r="T1669" s="10"/>
    </row>
    <row r="1670" s="35" customFormat="1" ht="18.5" customHeight="1" spans="1:20">
      <c r="A1670" s="9"/>
      <c r="B1670" s="25"/>
      <c r="C1670" s="25"/>
      <c r="D1670" s="25"/>
      <c r="E1670" s="25"/>
      <c r="F1670" s="25"/>
      <c r="G1670" s="25"/>
      <c r="H1670" s="25"/>
      <c r="I1670" s="25"/>
      <c r="J1670" s="25"/>
      <c r="K1670" s="25"/>
      <c r="L1670" s="25"/>
      <c r="M1670" s="42" t="s">
        <v>253</v>
      </c>
      <c r="N1670" s="41">
        <v>45071</v>
      </c>
      <c r="O1670" s="25">
        <v>280</v>
      </c>
      <c r="P1670" s="25">
        <v>0</v>
      </c>
      <c r="Q1670" s="25"/>
      <c r="R1670" s="25"/>
      <c r="S1670" s="25"/>
      <c r="T1670" s="10"/>
    </row>
    <row r="1671" s="35" customFormat="1" ht="18.5" customHeight="1" spans="1:20">
      <c r="A1671" s="9"/>
      <c r="B1671" s="25"/>
      <c r="C1671" s="25"/>
      <c r="D1671" s="25"/>
      <c r="E1671" s="25"/>
      <c r="F1671" s="25"/>
      <c r="G1671" s="25"/>
      <c r="H1671" s="25"/>
      <c r="I1671" s="25"/>
      <c r="J1671" s="25"/>
      <c r="K1671" s="25"/>
      <c r="L1671" s="25"/>
      <c r="M1671" s="42" t="s">
        <v>253</v>
      </c>
      <c r="N1671" s="41">
        <v>44983</v>
      </c>
      <c r="O1671" s="25">
        <v>280</v>
      </c>
      <c r="P1671" s="25">
        <v>0</v>
      </c>
      <c r="Q1671" s="25"/>
      <c r="R1671" s="25"/>
      <c r="S1671" s="25"/>
      <c r="T1671" s="10"/>
    </row>
    <row r="1672" s="35" customFormat="1" ht="18.5" customHeight="1" spans="1:20">
      <c r="A1672" s="9"/>
      <c r="B1672" s="25"/>
      <c r="C1672" s="25"/>
      <c r="D1672" s="25"/>
      <c r="E1672" s="25"/>
      <c r="F1672" s="25"/>
      <c r="G1672" s="25"/>
      <c r="H1672" s="25"/>
      <c r="I1672" s="25"/>
      <c r="J1672" s="25"/>
      <c r="K1672" s="25"/>
      <c r="L1672" s="25"/>
      <c r="M1672" s="42" t="s">
        <v>253</v>
      </c>
      <c r="N1672" s="41">
        <v>45147</v>
      </c>
      <c r="O1672" s="25">
        <v>278</v>
      </c>
      <c r="P1672" s="25">
        <v>0</v>
      </c>
      <c r="Q1672" s="25"/>
      <c r="R1672" s="25"/>
      <c r="S1672" s="25"/>
      <c r="T1672" s="10"/>
    </row>
    <row r="1673" s="35" customFormat="1" ht="18.5" customHeight="1" spans="1:20">
      <c r="A1673" s="9"/>
      <c r="B1673" s="25"/>
      <c r="C1673" s="25"/>
      <c r="D1673" s="25"/>
      <c r="E1673" s="25"/>
      <c r="F1673" s="25"/>
      <c r="G1673" s="25"/>
      <c r="H1673" s="25"/>
      <c r="I1673" s="25"/>
      <c r="J1673" s="25"/>
      <c r="K1673" s="25"/>
      <c r="L1673" s="25"/>
      <c r="M1673" s="42" t="s">
        <v>253</v>
      </c>
      <c r="N1673" s="41">
        <v>45236</v>
      </c>
      <c r="O1673" s="25">
        <v>277</v>
      </c>
      <c r="P1673" s="25">
        <v>0</v>
      </c>
      <c r="Q1673" s="25"/>
      <c r="R1673" s="25"/>
      <c r="S1673" s="25"/>
      <c r="T1673" s="10"/>
    </row>
    <row r="1674" s="35" customFormat="1" ht="18.5" customHeight="1" spans="1:20">
      <c r="A1674" s="9"/>
      <c r="B1674" s="25"/>
      <c r="C1674" s="25"/>
      <c r="D1674" s="25"/>
      <c r="E1674" s="25"/>
      <c r="F1674" s="25"/>
      <c r="G1674" s="25"/>
      <c r="H1674" s="25"/>
      <c r="I1674" s="25"/>
      <c r="J1674" s="25"/>
      <c r="K1674" s="25"/>
      <c r="L1674" s="25"/>
      <c r="M1674" s="42" t="s">
        <v>253</v>
      </c>
      <c r="N1674" s="41">
        <v>45106</v>
      </c>
      <c r="O1674" s="25">
        <v>277</v>
      </c>
      <c r="P1674" s="25">
        <v>0</v>
      </c>
      <c r="Q1674" s="25"/>
      <c r="R1674" s="25"/>
      <c r="S1674" s="25"/>
      <c r="T1674" s="10"/>
    </row>
    <row r="1675" s="35" customFormat="1" ht="18.5" customHeight="1" spans="1:20">
      <c r="A1675" s="9"/>
      <c r="B1675" s="25"/>
      <c r="C1675" s="25"/>
      <c r="D1675" s="25"/>
      <c r="E1675" s="25"/>
      <c r="F1675" s="25"/>
      <c r="G1675" s="25"/>
      <c r="H1675" s="25"/>
      <c r="I1675" s="25"/>
      <c r="J1675" s="25"/>
      <c r="K1675" s="25"/>
      <c r="L1675" s="25"/>
      <c r="M1675" s="42" t="s">
        <v>253</v>
      </c>
      <c r="N1675" s="41">
        <v>44966</v>
      </c>
      <c r="O1675" s="25">
        <v>277</v>
      </c>
      <c r="P1675" s="25">
        <v>0</v>
      </c>
      <c r="Q1675" s="25"/>
      <c r="R1675" s="25"/>
      <c r="S1675" s="25"/>
      <c r="T1675" s="10"/>
    </row>
    <row r="1676" s="35" customFormat="1" ht="18.5" customHeight="1" spans="1:20">
      <c r="A1676" s="9"/>
      <c r="B1676" s="25"/>
      <c r="C1676" s="25"/>
      <c r="D1676" s="25"/>
      <c r="E1676" s="25"/>
      <c r="F1676" s="25"/>
      <c r="G1676" s="25"/>
      <c r="H1676" s="25"/>
      <c r="I1676" s="25"/>
      <c r="J1676" s="25"/>
      <c r="K1676" s="25"/>
      <c r="L1676" s="25"/>
      <c r="M1676" s="42" t="s">
        <v>253</v>
      </c>
      <c r="N1676" s="41">
        <v>45198</v>
      </c>
      <c r="O1676" s="25">
        <v>275</v>
      </c>
      <c r="P1676" s="25">
        <v>0</v>
      </c>
      <c r="Q1676" s="25"/>
      <c r="R1676" s="25"/>
      <c r="S1676" s="25"/>
      <c r="T1676" s="10"/>
    </row>
    <row r="1677" s="35" customFormat="1" ht="18.5" customHeight="1" spans="1:20">
      <c r="A1677" s="9"/>
      <c r="B1677" s="25"/>
      <c r="C1677" s="25"/>
      <c r="D1677" s="25"/>
      <c r="E1677" s="25"/>
      <c r="F1677" s="25"/>
      <c r="G1677" s="25"/>
      <c r="H1677" s="25"/>
      <c r="I1677" s="25"/>
      <c r="J1677" s="25"/>
      <c r="K1677" s="25"/>
      <c r="L1677" s="25"/>
      <c r="M1677" s="42" t="s">
        <v>253</v>
      </c>
      <c r="N1677" s="41">
        <v>45000</v>
      </c>
      <c r="O1677" s="25">
        <v>275</v>
      </c>
      <c r="P1677" s="25">
        <v>0</v>
      </c>
      <c r="Q1677" s="25"/>
      <c r="R1677" s="25"/>
      <c r="S1677" s="25"/>
      <c r="T1677" s="10"/>
    </row>
    <row r="1678" s="35" customFormat="1" ht="18.5" customHeight="1" spans="1:20">
      <c r="A1678" s="9"/>
      <c r="B1678" s="25"/>
      <c r="C1678" s="25"/>
      <c r="D1678" s="25"/>
      <c r="E1678" s="25"/>
      <c r="F1678" s="25"/>
      <c r="G1678" s="25"/>
      <c r="H1678" s="25"/>
      <c r="I1678" s="25"/>
      <c r="J1678" s="25"/>
      <c r="K1678" s="25"/>
      <c r="L1678" s="25"/>
      <c r="M1678" s="42" t="s">
        <v>253</v>
      </c>
      <c r="N1678" s="41">
        <v>45222</v>
      </c>
      <c r="O1678" s="25">
        <v>274</v>
      </c>
      <c r="P1678" s="25">
        <v>0</v>
      </c>
      <c r="Q1678" s="25"/>
      <c r="R1678" s="25"/>
      <c r="S1678" s="25"/>
      <c r="T1678" s="10"/>
    </row>
    <row r="1679" s="35" customFormat="1" ht="18.5" customHeight="1" spans="1:20">
      <c r="A1679" s="9"/>
      <c r="B1679" s="25"/>
      <c r="C1679" s="25"/>
      <c r="D1679" s="25"/>
      <c r="E1679" s="25"/>
      <c r="F1679" s="25"/>
      <c r="G1679" s="25"/>
      <c r="H1679" s="25"/>
      <c r="I1679" s="25"/>
      <c r="J1679" s="25"/>
      <c r="K1679" s="25"/>
      <c r="L1679" s="25"/>
      <c r="M1679" s="42" t="s">
        <v>253</v>
      </c>
      <c r="N1679" s="41">
        <v>45133</v>
      </c>
      <c r="O1679" s="25">
        <v>274</v>
      </c>
      <c r="P1679" s="25">
        <v>0</v>
      </c>
      <c r="Q1679" s="25"/>
      <c r="R1679" s="25"/>
      <c r="S1679" s="25"/>
      <c r="T1679" s="10"/>
    </row>
    <row r="1680" s="35" customFormat="1" ht="18.5" customHeight="1" spans="1:20">
      <c r="A1680" s="9"/>
      <c r="B1680" s="25"/>
      <c r="C1680" s="25"/>
      <c r="D1680" s="25"/>
      <c r="E1680" s="25"/>
      <c r="F1680" s="25"/>
      <c r="G1680" s="25"/>
      <c r="H1680" s="25"/>
      <c r="I1680" s="25"/>
      <c r="J1680" s="25"/>
      <c r="K1680" s="25"/>
      <c r="L1680" s="25"/>
      <c r="M1680" s="42" t="s">
        <v>253</v>
      </c>
      <c r="N1680" s="41">
        <v>45091</v>
      </c>
      <c r="O1680" s="25">
        <v>274</v>
      </c>
      <c r="P1680" s="25">
        <v>0</v>
      </c>
      <c r="Q1680" s="25"/>
      <c r="R1680" s="25"/>
      <c r="S1680" s="25"/>
      <c r="T1680" s="10"/>
    </row>
    <row r="1681" s="35" customFormat="1" ht="18.5" customHeight="1" spans="1:20">
      <c r="A1681" s="9"/>
      <c r="B1681" s="25"/>
      <c r="C1681" s="25"/>
      <c r="D1681" s="25"/>
      <c r="E1681" s="25"/>
      <c r="F1681" s="25"/>
      <c r="G1681" s="25"/>
      <c r="H1681" s="25"/>
      <c r="I1681" s="25"/>
      <c r="J1681" s="25"/>
      <c r="K1681" s="25"/>
      <c r="L1681" s="25"/>
      <c r="M1681" s="42" t="s">
        <v>253</v>
      </c>
      <c r="N1681" s="41">
        <v>45080</v>
      </c>
      <c r="O1681" s="25">
        <v>273</v>
      </c>
      <c r="P1681" s="25">
        <v>0</v>
      </c>
      <c r="Q1681" s="25"/>
      <c r="R1681" s="25"/>
      <c r="S1681" s="25"/>
      <c r="T1681" s="10"/>
    </row>
    <row r="1682" s="35" customFormat="1" ht="18.5" customHeight="1" spans="1:20">
      <c r="A1682" s="9"/>
      <c r="B1682" s="25"/>
      <c r="C1682" s="25"/>
      <c r="D1682" s="25"/>
      <c r="E1682" s="25"/>
      <c r="F1682" s="25"/>
      <c r="G1682" s="25"/>
      <c r="H1682" s="25"/>
      <c r="I1682" s="25"/>
      <c r="J1682" s="25"/>
      <c r="K1682" s="25"/>
      <c r="L1682" s="25"/>
      <c r="M1682" s="42" t="s">
        <v>253</v>
      </c>
      <c r="N1682" s="41">
        <v>45045</v>
      </c>
      <c r="O1682" s="25">
        <v>274</v>
      </c>
      <c r="P1682" s="25">
        <v>0</v>
      </c>
      <c r="Q1682" s="25"/>
      <c r="R1682" s="25"/>
      <c r="S1682" s="25"/>
      <c r="T1682" s="10"/>
    </row>
    <row r="1683" s="35" customFormat="1" ht="18.5" customHeight="1" spans="1:20">
      <c r="A1683" s="9"/>
      <c r="B1683" s="25"/>
      <c r="C1683" s="25"/>
      <c r="D1683" s="25"/>
      <c r="E1683" s="25"/>
      <c r="F1683" s="25"/>
      <c r="G1683" s="25"/>
      <c r="H1683" s="25"/>
      <c r="I1683" s="25"/>
      <c r="J1683" s="25"/>
      <c r="K1683" s="25"/>
      <c r="L1683" s="25"/>
      <c r="M1683" s="42" t="s">
        <v>253</v>
      </c>
      <c r="N1683" s="41">
        <v>45183</v>
      </c>
      <c r="O1683" s="25">
        <v>272</v>
      </c>
      <c r="P1683" s="25">
        <v>0</v>
      </c>
      <c r="Q1683" s="25"/>
      <c r="R1683" s="25"/>
      <c r="S1683" s="25"/>
      <c r="T1683" s="10"/>
    </row>
    <row r="1684" s="35" customFormat="1" ht="18.5" customHeight="1" spans="1:20">
      <c r="A1684" s="9"/>
      <c r="B1684" s="25"/>
      <c r="C1684" s="25"/>
      <c r="D1684" s="25"/>
      <c r="E1684" s="25"/>
      <c r="F1684" s="25"/>
      <c r="G1684" s="25"/>
      <c r="H1684" s="25"/>
      <c r="I1684" s="25"/>
      <c r="J1684" s="25"/>
      <c r="K1684" s="25"/>
      <c r="L1684" s="25"/>
      <c r="M1684" s="42" t="s">
        <v>253</v>
      </c>
      <c r="N1684" s="41">
        <v>45131</v>
      </c>
      <c r="O1684" s="25">
        <v>269</v>
      </c>
      <c r="P1684" s="25">
        <v>0</v>
      </c>
      <c r="Q1684" s="25"/>
      <c r="R1684" s="25"/>
      <c r="S1684" s="25"/>
      <c r="T1684" s="10"/>
    </row>
    <row r="1685" s="35" customFormat="1" ht="18.5" customHeight="1" spans="1:20">
      <c r="A1685" s="9"/>
      <c r="B1685" s="25"/>
      <c r="C1685" s="25"/>
      <c r="D1685" s="25"/>
      <c r="E1685" s="25"/>
      <c r="F1685" s="25"/>
      <c r="G1685" s="25"/>
      <c r="H1685" s="25"/>
      <c r="I1685" s="25"/>
      <c r="J1685" s="25"/>
      <c r="K1685" s="25"/>
      <c r="L1685" s="25"/>
      <c r="M1685" s="42" t="s">
        <v>253</v>
      </c>
      <c r="N1685" s="41">
        <v>45132</v>
      </c>
      <c r="O1685" s="25">
        <v>266</v>
      </c>
      <c r="P1685" s="25">
        <v>0</v>
      </c>
      <c r="Q1685" s="25"/>
      <c r="R1685" s="25"/>
      <c r="S1685" s="25"/>
      <c r="T1685" s="10"/>
    </row>
    <row r="1686" s="35" customFormat="1" ht="18.5" customHeight="1" spans="1:20">
      <c r="A1686" s="9"/>
      <c r="B1686" s="25"/>
      <c r="C1686" s="25"/>
      <c r="D1686" s="25"/>
      <c r="E1686" s="25"/>
      <c r="F1686" s="25"/>
      <c r="G1686" s="25"/>
      <c r="H1686" s="25"/>
      <c r="I1686" s="25"/>
      <c r="J1686" s="25"/>
      <c r="K1686" s="25"/>
      <c r="L1686" s="25"/>
      <c r="M1686" s="42" t="s">
        <v>253</v>
      </c>
      <c r="N1686" s="41">
        <v>45045</v>
      </c>
      <c r="O1686" s="25">
        <v>266</v>
      </c>
      <c r="P1686" s="25">
        <v>0</v>
      </c>
      <c r="Q1686" s="25"/>
      <c r="R1686" s="25"/>
      <c r="S1686" s="25"/>
      <c r="T1686" s="10"/>
    </row>
    <row r="1687" s="35" customFormat="1" ht="18.5" customHeight="1" spans="1:20">
      <c r="A1687" s="9"/>
      <c r="B1687" s="25"/>
      <c r="C1687" s="25"/>
      <c r="D1687" s="25"/>
      <c r="E1687" s="25"/>
      <c r="F1687" s="25"/>
      <c r="G1687" s="25"/>
      <c r="H1687" s="25"/>
      <c r="I1687" s="25"/>
      <c r="J1687" s="25"/>
      <c r="K1687" s="25"/>
      <c r="L1687" s="25"/>
      <c r="M1687" s="42" t="s">
        <v>253</v>
      </c>
      <c r="N1687" s="41">
        <v>45130</v>
      </c>
      <c r="O1687" s="25">
        <v>265</v>
      </c>
      <c r="P1687" s="25">
        <v>0</v>
      </c>
      <c r="Q1687" s="25"/>
      <c r="R1687" s="25"/>
      <c r="S1687" s="25"/>
      <c r="T1687" s="10"/>
    </row>
    <row r="1688" s="35" customFormat="1" ht="18.5" customHeight="1" spans="1:20">
      <c r="A1688" s="9"/>
      <c r="B1688" s="25"/>
      <c r="C1688" s="25"/>
      <c r="D1688" s="25"/>
      <c r="E1688" s="25"/>
      <c r="F1688" s="25"/>
      <c r="G1688" s="25"/>
      <c r="H1688" s="25"/>
      <c r="I1688" s="25"/>
      <c r="J1688" s="25"/>
      <c r="K1688" s="25"/>
      <c r="L1688" s="25"/>
      <c r="M1688" s="42" t="s">
        <v>253</v>
      </c>
      <c r="N1688" s="41">
        <v>45029</v>
      </c>
      <c r="O1688" s="25">
        <v>265</v>
      </c>
      <c r="P1688" s="25">
        <v>0</v>
      </c>
      <c r="Q1688" s="25"/>
      <c r="R1688" s="25"/>
      <c r="S1688" s="25"/>
      <c r="T1688" s="10"/>
    </row>
    <row r="1689" s="35" customFormat="1" ht="18.5" customHeight="1" spans="1:20">
      <c r="A1689" s="9"/>
      <c r="B1689" s="25"/>
      <c r="C1689" s="25"/>
      <c r="D1689" s="25"/>
      <c r="E1689" s="25"/>
      <c r="F1689" s="25"/>
      <c r="G1689" s="25"/>
      <c r="H1689" s="25"/>
      <c r="I1689" s="25"/>
      <c r="J1689" s="25"/>
      <c r="K1689" s="25"/>
      <c r="L1689" s="25"/>
      <c r="M1689" s="42" t="s">
        <v>253</v>
      </c>
      <c r="N1689" s="41">
        <v>45058</v>
      </c>
      <c r="O1689" s="25">
        <v>262</v>
      </c>
      <c r="P1689" s="25">
        <v>0</v>
      </c>
      <c r="Q1689" s="25"/>
      <c r="R1689" s="25"/>
      <c r="S1689" s="25"/>
      <c r="T1689" s="10"/>
    </row>
    <row r="1690" s="35" customFormat="1" ht="18.5" customHeight="1" spans="1:20">
      <c r="A1690" s="9"/>
      <c r="B1690" s="25"/>
      <c r="C1690" s="25"/>
      <c r="D1690" s="25"/>
      <c r="E1690" s="25"/>
      <c r="F1690" s="25"/>
      <c r="G1690" s="25"/>
      <c r="H1690" s="25"/>
      <c r="I1690" s="25"/>
      <c r="J1690" s="25"/>
      <c r="K1690" s="25"/>
      <c r="L1690" s="25"/>
      <c r="M1690" s="42" t="s">
        <v>253</v>
      </c>
      <c r="N1690" s="41">
        <v>45001</v>
      </c>
      <c r="O1690" s="25">
        <v>263</v>
      </c>
      <c r="P1690" s="25">
        <v>0</v>
      </c>
      <c r="Q1690" s="25"/>
      <c r="R1690" s="25"/>
      <c r="S1690" s="25"/>
      <c r="T1690" s="10"/>
    </row>
    <row r="1691" s="35" customFormat="1" ht="18.5" customHeight="1" spans="1:20">
      <c r="A1691" s="9"/>
      <c r="B1691" s="25"/>
      <c r="C1691" s="25"/>
      <c r="D1691" s="25"/>
      <c r="E1691" s="25"/>
      <c r="F1691" s="25"/>
      <c r="G1691" s="25"/>
      <c r="H1691" s="25"/>
      <c r="I1691" s="25"/>
      <c r="J1691" s="25"/>
      <c r="K1691" s="25"/>
      <c r="L1691" s="25"/>
      <c r="M1691" s="42" t="s">
        <v>253</v>
      </c>
      <c r="N1691" s="41">
        <v>44985</v>
      </c>
      <c r="O1691" s="25">
        <v>262</v>
      </c>
      <c r="P1691" s="25">
        <v>0</v>
      </c>
      <c r="Q1691" s="25"/>
      <c r="R1691" s="25"/>
      <c r="S1691" s="25"/>
      <c r="T1691" s="10"/>
    </row>
    <row r="1692" s="35" customFormat="1" ht="18.5" customHeight="1" spans="1:20">
      <c r="A1692" s="9"/>
      <c r="B1692" s="25"/>
      <c r="C1692" s="25"/>
      <c r="D1692" s="25"/>
      <c r="E1692" s="25"/>
      <c r="F1692" s="25"/>
      <c r="G1692" s="25"/>
      <c r="H1692" s="25"/>
      <c r="I1692" s="25"/>
      <c r="J1692" s="25"/>
      <c r="K1692" s="25"/>
      <c r="L1692" s="25"/>
      <c r="M1692" s="42" t="s">
        <v>253</v>
      </c>
      <c r="N1692" s="41">
        <v>45013</v>
      </c>
      <c r="O1692" s="25">
        <v>260</v>
      </c>
      <c r="P1692" s="25">
        <v>0</v>
      </c>
      <c r="Q1692" s="25"/>
      <c r="R1692" s="25"/>
      <c r="S1692" s="25"/>
      <c r="T1692" s="10"/>
    </row>
    <row r="1693" s="35" customFormat="1" ht="18.5" customHeight="1" spans="1:20">
      <c r="A1693" s="9"/>
      <c r="B1693" s="25"/>
      <c r="C1693" s="25"/>
      <c r="D1693" s="25"/>
      <c r="E1693" s="25"/>
      <c r="F1693" s="25"/>
      <c r="G1693" s="25"/>
      <c r="H1693" s="25"/>
      <c r="I1693" s="25"/>
      <c r="J1693" s="25"/>
      <c r="K1693" s="25"/>
      <c r="L1693" s="25"/>
      <c r="M1693" s="42" t="s">
        <v>253</v>
      </c>
      <c r="N1693" s="41">
        <v>45193</v>
      </c>
      <c r="O1693" s="25">
        <v>258</v>
      </c>
      <c r="P1693" s="25">
        <v>0</v>
      </c>
      <c r="Q1693" s="25"/>
      <c r="R1693" s="25"/>
      <c r="S1693" s="25"/>
      <c r="T1693" s="10"/>
    </row>
    <row r="1694" s="35" customFormat="1" ht="18.5" customHeight="1" spans="1:20">
      <c r="A1694" s="9"/>
      <c r="B1694" s="25"/>
      <c r="C1694" s="25"/>
      <c r="D1694" s="25"/>
      <c r="E1694" s="25"/>
      <c r="F1694" s="25"/>
      <c r="G1694" s="25"/>
      <c r="H1694" s="25"/>
      <c r="I1694" s="25"/>
      <c r="J1694" s="25"/>
      <c r="K1694" s="25"/>
      <c r="L1694" s="25"/>
      <c r="M1694" s="42" t="s">
        <v>253</v>
      </c>
      <c r="N1694" s="41">
        <v>45026</v>
      </c>
      <c r="O1694" s="25">
        <v>257</v>
      </c>
      <c r="P1694" s="25">
        <v>0</v>
      </c>
      <c r="Q1694" s="25"/>
      <c r="R1694" s="25"/>
      <c r="S1694" s="25"/>
      <c r="T1694" s="10"/>
    </row>
    <row r="1695" s="35" customFormat="1" ht="18.5" customHeight="1" spans="1:20">
      <c r="A1695" s="9"/>
      <c r="B1695" s="25"/>
      <c r="C1695" s="25"/>
      <c r="D1695" s="25"/>
      <c r="E1695" s="25"/>
      <c r="F1695" s="25"/>
      <c r="G1695" s="25"/>
      <c r="H1695" s="25"/>
      <c r="I1695" s="25"/>
      <c r="J1695" s="25"/>
      <c r="K1695" s="25"/>
      <c r="L1695" s="25"/>
      <c r="M1695" s="42" t="s">
        <v>253</v>
      </c>
      <c r="N1695" s="41">
        <v>45244</v>
      </c>
      <c r="O1695" s="25">
        <v>256</v>
      </c>
      <c r="P1695" s="25">
        <v>0</v>
      </c>
      <c r="Q1695" s="25"/>
      <c r="R1695" s="25"/>
      <c r="S1695" s="25"/>
      <c r="T1695" s="10"/>
    </row>
    <row r="1696" s="35" customFormat="1" ht="18.5" customHeight="1" spans="1:20">
      <c r="A1696" s="9"/>
      <c r="B1696" s="25"/>
      <c r="C1696" s="25"/>
      <c r="D1696" s="25"/>
      <c r="E1696" s="25"/>
      <c r="F1696" s="25"/>
      <c r="G1696" s="25"/>
      <c r="H1696" s="25"/>
      <c r="I1696" s="25"/>
      <c r="J1696" s="25"/>
      <c r="K1696" s="25"/>
      <c r="L1696" s="25"/>
      <c r="M1696" s="42" t="s">
        <v>253</v>
      </c>
      <c r="N1696" s="41">
        <v>45020</v>
      </c>
      <c r="O1696" s="25">
        <v>257</v>
      </c>
      <c r="P1696" s="25">
        <v>0</v>
      </c>
      <c r="Q1696" s="25"/>
      <c r="R1696" s="25"/>
      <c r="S1696" s="25"/>
      <c r="T1696" s="10"/>
    </row>
    <row r="1697" s="35" customFormat="1" ht="18.5" customHeight="1" spans="1:20">
      <c r="A1697" s="9"/>
      <c r="B1697" s="25"/>
      <c r="C1697" s="25"/>
      <c r="D1697" s="25"/>
      <c r="E1697" s="25"/>
      <c r="F1697" s="25"/>
      <c r="G1697" s="25"/>
      <c r="H1697" s="25"/>
      <c r="I1697" s="25"/>
      <c r="J1697" s="25"/>
      <c r="K1697" s="25"/>
      <c r="L1697" s="25"/>
      <c r="M1697" s="42" t="s">
        <v>253</v>
      </c>
      <c r="N1697" s="41">
        <v>45003</v>
      </c>
      <c r="O1697" s="25">
        <v>256</v>
      </c>
      <c r="P1697" s="25">
        <v>0</v>
      </c>
      <c r="Q1697" s="25"/>
      <c r="R1697" s="25"/>
      <c r="S1697" s="25"/>
      <c r="T1697" s="10"/>
    </row>
    <row r="1698" s="35" customFormat="1" ht="18.5" customHeight="1" spans="1:20">
      <c r="A1698" s="9"/>
      <c r="B1698" s="25"/>
      <c r="C1698" s="25"/>
      <c r="D1698" s="25"/>
      <c r="E1698" s="25"/>
      <c r="F1698" s="25"/>
      <c r="G1698" s="25"/>
      <c r="H1698" s="25"/>
      <c r="I1698" s="25"/>
      <c r="J1698" s="25"/>
      <c r="K1698" s="25"/>
      <c r="L1698" s="25"/>
      <c r="M1698" s="42" t="s">
        <v>253</v>
      </c>
      <c r="N1698" s="41">
        <v>45086</v>
      </c>
      <c r="O1698" s="25">
        <v>255</v>
      </c>
      <c r="P1698" s="25">
        <v>0</v>
      </c>
      <c r="Q1698" s="25"/>
      <c r="R1698" s="25"/>
      <c r="S1698" s="25"/>
      <c r="T1698" s="10"/>
    </row>
    <row r="1699" s="35" customFormat="1" ht="18.5" customHeight="1" spans="1:20">
      <c r="A1699" s="9"/>
      <c r="B1699" s="25"/>
      <c r="C1699" s="25"/>
      <c r="D1699" s="25"/>
      <c r="E1699" s="25"/>
      <c r="F1699" s="25"/>
      <c r="G1699" s="25"/>
      <c r="H1699" s="25"/>
      <c r="I1699" s="25"/>
      <c r="J1699" s="25"/>
      <c r="K1699" s="25"/>
      <c r="L1699" s="25"/>
      <c r="M1699" s="42" t="s">
        <v>253</v>
      </c>
      <c r="N1699" s="41">
        <v>45255</v>
      </c>
      <c r="O1699" s="25">
        <v>253</v>
      </c>
      <c r="P1699" s="25">
        <v>0</v>
      </c>
      <c r="Q1699" s="25"/>
      <c r="R1699" s="25"/>
      <c r="S1699" s="25"/>
      <c r="T1699" s="10"/>
    </row>
    <row r="1700" s="35" customFormat="1" ht="18.5" customHeight="1" spans="1:20">
      <c r="A1700" s="9"/>
      <c r="B1700" s="25"/>
      <c r="C1700" s="25"/>
      <c r="D1700" s="25"/>
      <c r="E1700" s="25"/>
      <c r="F1700" s="25"/>
      <c r="G1700" s="25"/>
      <c r="H1700" s="25"/>
      <c r="I1700" s="25"/>
      <c r="J1700" s="25"/>
      <c r="K1700" s="25"/>
      <c r="L1700" s="25"/>
      <c r="M1700" s="42" t="s">
        <v>253</v>
      </c>
      <c r="N1700" s="41">
        <v>44935</v>
      </c>
      <c r="O1700" s="25">
        <v>253</v>
      </c>
      <c r="P1700" s="25">
        <v>0</v>
      </c>
      <c r="Q1700" s="25"/>
      <c r="R1700" s="25"/>
      <c r="S1700" s="25"/>
      <c r="T1700" s="10"/>
    </row>
    <row r="1701" s="35" customFormat="1" ht="18.5" customHeight="1" spans="1:20">
      <c r="A1701" s="9"/>
      <c r="B1701" s="25"/>
      <c r="C1701" s="25"/>
      <c r="D1701" s="25"/>
      <c r="E1701" s="25"/>
      <c r="F1701" s="25"/>
      <c r="G1701" s="25"/>
      <c r="H1701" s="25"/>
      <c r="I1701" s="25"/>
      <c r="J1701" s="25"/>
      <c r="K1701" s="25"/>
      <c r="L1701" s="25"/>
      <c r="M1701" s="42" t="s">
        <v>253</v>
      </c>
      <c r="N1701" s="41">
        <v>44976</v>
      </c>
      <c r="O1701" s="25">
        <v>249</v>
      </c>
      <c r="P1701" s="25">
        <v>0</v>
      </c>
      <c r="Q1701" s="25"/>
      <c r="R1701" s="25"/>
      <c r="S1701" s="25"/>
      <c r="T1701" s="10"/>
    </row>
    <row r="1702" s="35" customFormat="1" ht="18.5" customHeight="1" spans="1:20">
      <c r="A1702" s="9"/>
      <c r="B1702" s="25"/>
      <c r="C1702" s="25"/>
      <c r="D1702" s="25"/>
      <c r="E1702" s="25"/>
      <c r="F1702" s="25"/>
      <c r="G1702" s="25"/>
      <c r="H1702" s="25"/>
      <c r="I1702" s="25"/>
      <c r="J1702" s="25"/>
      <c r="K1702" s="25"/>
      <c r="L1702" s="25"/>
      <c r="M1702" s="42" t="s">
        <v>253</v>
      </c>
      <c r="N1702" s="41">
        <v>45040</v>
      </c>
      <c r="O1702" s="25">
        <v>247</v>
      </c>
      <c r="P1702" s="25">
        <v>0</v>
      </c>
      <c r="Q1702" s="25"/>
      <c r="R1702" s="25"/>
      <c r="S1702" s="25"/>
      <c r="T1702" s="10"/>
    </row>
    <row r="1703" s="35" customFormat="1" ht="18.5" customHeight="1" spans="1:20">
      <c r="A1703" s="9"/>
      <c r="B1703" s="25"/>
      <c r="C1703" s="25"/>
      <c r="D1703" s="25"/>
      <c r="E1703" s="25"/>
      <c r="F1703" s="25"/>
      <c r="G1703" s="25"/>
      <c r="H1703" s="25"/>
      <c r="I1703" s="25"/>
      <c r="J1703" s="25"/>
      <c r="K1703" s="25"/>
      <c r="L1703" s="25"/>
      <c r="M1703" s="42" t="s">
        <v>253</v>
      </c>
      <c r="N1703" s="41">
        <v>44961</v>
      </c>
      <c r="O1703" s="25">
        <v>246</v>
      </c>
      <c r="P1703" s="25">
        <v>0</v>
      </c>
      <c r="Q1703" s="25"/>
      <c r="R1703" s="25"/>
      <c r="S1703" s="25"/>
      <c r="T1703" s="10"/>
    </row>
    <row r="1704" s="35" customFormat="1" ht="18.5" customHeight="1" spans="1:20">
      <c r="A1704" s="9"/>
      <c r="B1704" s="25"/>
      <c r="C1704" s="25"/>
      <c r="D1704" s="25"/>
      <c r="E1704" s="25"/>
      <c r="F1704" s="25"/>
      <c r="G1704" s="25"/>
      <c r="H1704" s="25"/>
      <c r="I1704" s="25"/>
      <c r="J1704" s="25"/>
      <c r="K1704" s="25"/>
      <c r="L1704" s="25"/>
      <c r="M1704" s="42" t="s">
        <v>253</v>
      </c>
      <c r="N1704" s="41">
        <v>45090</v>
      </c>
      <c r="O1704" s="25">
        <v>246</v>
      </c>
      <c r="P1704" s="25">
        <v>0</v>
      </c>
      <c r="Q1704" s="25"/>
      <c r="R1704" s="25"/>
      <c r="S1704" s="25"/>
      <c r="T1704" s="10"/>
    </row>
    <row r="1705" s="35" customFormat="1" ht="18.5" customHeight="1" spans="1:20">
      <c r="A1705" s="9"/>
      <c r="B1705" s="25"/>
      <c r="C1705" s="25"/>
      <c r="D1705" s="25"/>
      <c r="E1705" s="25"/>
      <c r="F1705" s="25"/>
      <c r="G1705" s="25"/>
      <c r="H1705" s="25"/>
      <c r="I1705" s="25"/>
      <c r="J1705" s="25"/>
      <c r="K1705" s="25"/>
      <c r="L1705" s="25"/>
      <c r="M1705" s="42" t="s">
        <v>253</v>
      </c>
      <c r="N1705" s="41">
        <v>45028</v>
      </c>
      <c r="O1705" s="25">
        <v>243</v>
      </c>
      <c r="P1705" s="25">
        <v>0</v>
      </c>
      <c r="Q1705" s="25"/>
      <c r="R1705" s="25"/>
      <c r="S1705" s="25"/>
      <c r="T1705" s="10"/>
    </row>
    <row r="1706" s="35" customFormat="1" ht="18.5" customHeight="1" spans="1:20">
      <c r="A1706" s="9"/>
      <c r="B1706" s="25"/>
      <c r="C1706" s="25"/>
      <c r="D1706" s="25"/>
      <c r="E1706" s="25"/>
      <c r="F1706" s="25"/>
      <c r="G1706" s="25"/>
      <c r="H1706" s="25"/>
      <c r="I1706" s="25"/>
      <c r="J1706" s="25"/>
      <c r="K1706" s="25"/>
      <c r="L1706" s="25"/>
      <c r="M1706" s="42" t="s">
        <v>253</v>
      </c>
      <c r="N1706" s="41">
        <v>45010</v>
      </c>
      <c r="O1706" s="25">
        <v>242</v>
      </c>
      <c r="P1706" s="25">
        <v>0</v>
      </c>
      <c r="Q1706" s="25"/>
      <c r="R1706" s="25"/>
      <c r="S1706" s="25"/>
      <c r="T1706" s="10"/>
    </row>
    <row r="1707" s="35" customFormat="1" ht="18.5" customHeight="1" spans="1:20">
      <c r="A1707" s="9"/>
      <c r="B1707" s="25"/>
      <c r="C1707" s="25"/>
      <c r="D1707" s="25"/>
      <c r="E1707" s="25"/>
      <c r="F1707" s="25"/>
      <c r="G1707" s="25"/>
      <c r="H1707" s="25"/>
      <c r="I1707" s="25"/>
      <c r="J1707" s="25"/>
      <c r="K1707" s="25"/>
      <c r="L1707" s="25"/>
      <c r="M1707" s="42" t="s">
        <v>253</v>
      </c>
      <c r="N1707" s="41">
        <v>44992</v>
      </c>
      <c r="O1707" s="25">
        <v>242</v>
      </c>
      <c r="P1707" s="25">
        <v>0</v>
      </c>
      <c r="Q1707" s="25"/>
      <c r="R1707" s="25"/>
      <c r="S1707" s="25"/>
      <c r="T1707" s="10"/>
    </row>
    <row r="1708" s="35" customFormat="1" ht="18.5" customHeight="1" spans="1:20">
      <c r="A1708" s="9"/>
      <c r="B1708" s="25"/>
      <c r="C1708" s="25"/>
      <c r="D1708" s="25"/>
      <c r="E1708" s="25"/>
      <c r="F1708" s="25"/>
      <c r="G1708" s="25"/>
      <c r="H1708" s="25"/>
      <c r="I1708" s="25"/>
      <c r="J1708" s="25"/>
      <c r="K1708" s="25"/>
      <c r="L1708" s="25"/>
      <c r="M1708" s="42" t="s">
        <v>253</v>
      </c>
      <c r="N1708" s="41">
        <v>45109</v>
      </c>
      <c r="O1708" s="25">
        <v>241</v>
      </c>
      <c r="P1708" s="25">
        <v>0</v>
      </c>
      <c r="Q1708" s="25"/>
      <c r="R1708" s="25"/>
      <c r="S1708" s="25"/>
      <c r="T1708" s="10"/>
    </row>
    <row r="1709" s="35" customFormat="1" ht="18.5" customHeight="1" spans="1:20">
      <c r="A1709" s="9"/>
      <c r="B1709" s="25"/>
      <c r="C1709" s="25"/>
      <c r="D1709" s="25"/>
      <c r="E1709" s="25"/>
      <c r="F1709" s="25"/>
      <c r="G1709" s="25"/>
      <c r="H1709" s="25"/>
      <c r="I1709" s="25"/>
      <c r="J1709" s="25"/>
      <c r="K1709" s="25"/>
      <c r="L1709" s="25"/>
      <c r="M1709" s="42" t="s">
        <v>253</v>
      </c>
      <c r="N1709" s="41">
        <v>45186</v>
      </c>
      <c r="O1709" s="25">
        <v>239</v>
      </c>
      <c r="P1709" s="25">
        <v>0</v>
      </c>
      <c r="Q1709" s="25"/>
      <c r="R1709" s="25"/>
      <c r="S1709" s="25"/>
      <c r="T1709" s="10"/>
    </row>
    <row r="1710" s="35" customFormat="1" ht="18.5" customHeight="1" spans="1:20">
      <c r="A1710" s="9"/>
      <c r="B1710" s="25"/>
      <c r="C1710" s="25"/>
      <c r="D1710" s="25"/>
      <c r="E1710" s="25"/>
      <c r="F1710" s="25"/>
      <c r="G1710" s="25"/>
      <c r="H1710" s="25"/>
      <c r="I1710" s="25"/>
      <c r="J1710" s="25"/>
      <c r="K1710" s="25"/>
      <c r="L1710" s="25"/>
      <c r="M1710" s="42" t="s">
        <v>253</v>
      </c>
      <c r="N1710" s="41">
        <v>45015</v>
      </c>
      <c r="O1710" s="25">
        <v>238</v>
      </c>
      <c r="P1710" s="25">
        <v>0</v>
      </c>
      <c r="Q1710" s="25"/>
      <c r="R1710" s="25"/>
      <c r="S1710" s="25"/>
      <c r="T1710" s="10"/>
    </row>
    <row r="1711" s="35" customFormat="1" ht="18.5" customHeight="1" spans="1:20">
      <c r="A1711" s="9"/>
      <c r="B1711" s="25"/>
      <c r="C1711" s="25"/>
      <c r="D1711" s="25"/>
      <c r="E1711" s="25"/>
      <c r="F1711" s="25"/>
      <c r="G1711" s="25"/>
      <c r="H1711" s="25"/>
      <c r="I1711" s="25"/>
      <c r="J1711" s="25"/>
      <c r="K1711" s="25"/>
      <c r="L1711" s="25"/>
      <c r="M1711" s="42" t="s">
        <v>253</v>
      </c>
      <c r="N1711" s="41">
        <v>45227</v>
      </c>
      <c r="O1711" s="25">
        <v>237</v>
      </c>
      <c r="P1711" s="25">
        <v>0</v>
      </c>
      <c r="Q1711" s="25"/>
      <c r="R1711" s="25"/>
      <c r="S1711" s="25"/>
      <c r="T1711" s="10"/>
    </row>
    <row r="1712" s="35" customFormat="1" ht="18.5" customHeight="1" spans="1:20">
      <c r="A1712" s="9"/>
      <c r="B1712" s="25"/>
      <c r="C1712" s="25"/>
      <c r="D1712" s="25"/>
      <c r="E1712" s="25"/>
      <c r="F1712" s="25"/>
      <c r="G1712" s="25"/>
      <c r="H1712" s="25"/>
      <c r="I1712" s="25"/>
      <c r="J1712" s="25"/>
      <c r="K1712" s="25"/>
      <c r="L1712" s="25"/>
      <c r="M1712" s="42" t="s">
        <v>253</v>
      </c>
      <c r="N1712" s="41">
        <v>45043</v>
      </c>
      <c r="O1712" s="25">
        <v>237</v>
      </c>
      <c r="P1712" s="25">
        <v>0</v>
      </c>
      <c r="Q1712" s="25"/>
      <c r="R1712" s="25"/>
      <c r="S1712" s="25"/>
      <c r="T1712" s="10"/>
    </row>
    <row r="1713" s="35" customFormat="1" ht="18.5" customHeight="1" spans="1:20">
      <c r="A1713" s="9"/>
      <c r="B1713" s="25"/>
      <c r="C1713" s="25"/>
      <c r="D1713" s="25"/>
      <c r="E1713" s="25"/>
      <c r="F1713" s="25"/>
      <c r="G1713" s="25"/>
      <c r="H1713" s="25"/>
      <c r="I1713" s="25"/>
      <c r="J1713" s="25"/>
      <c r="K1713" s="25"/>
      <c r="L1713" s="25"/>
      <c r="M1713" s="42" t="s">
        <v>253</v>
      </c>
      <c r="N1713" s="41">
        <v>45249</v>
      </c>
      <c r="O1713" s="25">
        <v>235</v>
      </c>
      <c r="P1713" s="25">
        <v>0</v>
      </c>
      <c r="Q1713" s="25"/>
      <c r="R1713" s="25"/>
      <c r="S1713" s="25"/>
      <c r="T1713" s="10"/>
    </row>
    <row r="1714" s="35" customFormat="1" ht="18.5" customHeight="1" spans="1:20">
      <c r="A1714" s="9"/>
      <c r="B1714" s="25"/>
      <c r="C1714" s="25"/>
      <c r="D1714" s="25"/>
      <c r="E1714" s="25"/>
      <c r="F1714" s="25"/>
      <c r="G1714" s="25"/>
      <c r="H1714" s="25"/>
      <c r="I1714" s="25"/>
      <c r="J1714" s="25"/>
      <c r="K1714" s="25"/>
      <c r="L1714" s="25"/>
      <c r="M1714" s="42" t="s">
        <v>253</v>
      </c>
      <c r="N1714" s="41">
        <v>45085</v>
      </c>
      <c r="O1714" s="25">
        <v>235</v>
      </c>
      <c r="P1714" s="25">
        <v>0</v>
      </c>
      <c r="Q1714" s="25"/>
      <c r="R1714" s="25"/>
      <c r="S1714" s="25"/>
      <c r="T1714" s="10"/>
    </row>
    <row r="1715" s="35" customFormat="1" ht="18.5" customHeight="1" spans="1:20">
      <c r="A1715" s="9"/>
      <c r="B1715" s="25"/>
      <c r="C1715" s="25"/>
      <c r="D1715" s="25"/>
      <c r="E1715" s="25"/>
      <c r="F1715" s="25"/>
      <c r="G1715" s="25"/>
      <c r="H1715" s="25"/>
      <c r="I1715" s="25"/>
      <c r="J1715" s="25"/>
      <c r="K1715" s="25"/>
      <c r="L1715" s="25"/>
      <c r="M1715" s="42" t="s">
        <v>253</v>
      </c>
      <c r="N1715" s="41">
        <v>45172</v>
      </c>
      <c r="O1715" s="25">
        <v>234</v>
      </c>
      <c r="P1715" s="25">
        <v>0</v>
      </c>
      <c r="Q1715" s="25"/>
      <c r="R1715" s="25"/>
      <c r="S1715" s="25"/>
      <c r="T1715" s="10"/>
    </row>
    <row r="1716" s="35" customFormat="1" ht="18.5" customHeight="1" spans="1:20">
      <c r="A1716" s="9"/>
      <c r="B1716" s="25"/>
      <c r="C1716" s="25"/>
      <c r="D1716" s="25"/>
      <c r="E1716" s="25"/>
      <c r="F1716" s="25"/>
      <c r="G1716" s="25"/>
      <c r="H1716" s="25"/>
      <c r="I1716" s="25"/>
      <c r="J1716" s="25"/>
      <c r="K1716" s="25"/>
      <c r="L1716" s="25"/>
      <c r="M1716" s="42" t="s">
        <v>253</v>
      </c>
      <c r="N1716" s="41">
        <v>44998</v>
      </c>
      <c r="O1716" s="25">
        <v>233</v>
      </c>
      <c r="P1716" s="25">
        <v>0</v>
      </c>
      <c r="Q1716" s="25"/>
      <c r="R1716" s="25"/>
      <c r="S1716" s="25"/>
      <c r="T1716" s="10"/>
    </row>
    <row r="1717" s="35" customFormat="1" ht="18.5" customHeight="1" spans="1:20">
      <c r="A1717" s="9"/>
      <c r="B1717" s="25"/>
      <c r="C1717" s="25"/>
      <c r="D1717" s="25"/>
      <c r="E1717" s="25"/>
      <c r="F1717" s="25"/>
      <c r="G1717" s="25"/>
      <c r="H1717" s="25"/>
      <c r="I1717" s="25"/>
      <c r="J1717" s="25"/>
      <c r="K1717" s="25"/>
      <c r="L1717" s="25"/>
      <c r="M1717" s="42" t="s">
        <v>253</v>
      </c>
      <c r="N1717" s="41">
        <v>44994</v>
      </c>
      <c r="O1717" s="25">
        <v>233</v>
      </c>
      <c r="P1717" s="25">
        <v>0</v>
      </c>
      <c r="Q1717" s="25"/>
      <c r="R1717" s="25"/>
      <c r="S1717" s="25"/>
      <c r="T1717" s="10"/>
    </row>
    <row r="1718" s="35" customFormat="1" ht="18.5" customHeight="1" spans="1:20">
      <c r="A1718" s="9"/>
      <c r="B1718" s="25"/>
      <c r="C1718" s="25"/>
      <c r="D1718" s="25"/>
      <c r="E1718" s="25"/>
      <c r="F1718" s="25"/>
      <c r="G1718" s="25"/>
      <c r="H1718" s="25"/>
      <c r="I1718" s="25"/>
      <c r="J1718" s="25"/>
      <c r="K1718" s="25"/>
      <c r="L1718" s="25"/>
      <c r="M1718" s="42" t="s">
        <v>253</v>
      </c>
      <c r="N1718" s="41">
        <v>45264</v>
      </c>
      <c r="O1718" s="25">
        <v>235</v>
      </c>
      <c r="P1718" s="25">
        <v>0</v>
      </c>
      <c r="Q1718" s="25"/>
      <c r="R1718" s="25"/>
      <c r="S1718" s="25"/>
      <c r="T1718" s="10"/>
    </row>
    <row r="1719" s="35" customFormat="1" ht="18.5" customHeight="1" spans="1:20">
      <c r="A1719" s="9"/>
      <c r="B1719" s="25"/>
      <c r="C1719" s="25"/>
      <c r="D1719" s="25"/>
      <c r="E1719" s="25"/>
      <c r="F1719" s="25"/>
      <c r="G1719" s="25"/>
      <c r="H1719" s="25"/>
      <c r="I1719" s="25"/>
      <c r="J1719" s="25"/>
      <c r="K1719" s="25"/>
      <c r="L1719" s="25"/>
      <c r="M1719" s="42" t="s">
        <v>253</v>
      </c>
      <c r="N1719" s="41">
        <v>45253</v>
      </c>
      <c r="O1719" s="25">
        <v>231</v>
      </c>
      <c r="P1719" s="25">
        <v>0</v>
      </c>
      <c r="Q1719" s="25"/>
      <c r="R1719" s="25"/>
      <c r="S1719" s="25"/>
      <c r="T1719" s="10"/>
    </row>
    <row r="1720" s="35" customFormat="1" ht="18.5" customHeight="1" spans="1:20">
      <c r="A1720" s="9"/>
      <c r="B1720" s="25"/>
      <c r="C1720" s="25"/>
      <c r="D1720" s="25"/>
      <c r="E1720" s="25"/>
      <c r="F1720" s="25"/>
      <c r="G1720" s="25"/>
      <c r="H1720" s="25"/>
      <c r="I1720" s="25"/>
      <c r="J1720" s="25"/>
      <c r="K1720" s="25"/>
      <c r="L1720" s="25"/>
      <c r="M1720" s="42" t="s">
        <v>253</v>
      </c>
      <c r="N1720" s="41">
        <v>45232</v>
      </c>
      <c r="O1720" s="25">
        <v>231</v>
      </c>
      <c r="P1720" s="25">
        <v>0</v>
      </c>
      <c r="Q1720" s="25"/>
      <c r="R1720" s="25"/>
      <c r="S1720" s="25"/>
      <c r="T1720" s="10"/>
    </row>
    <row r="1721" s="35" customFormat="1" ht="18.5" customHeight="1" spans="1:20">
      <c r="A1721" s="9"/>
      <c r="B1721" s="25"/>
      <c r="C1721" s="25"/>
      <c r="D1721" s="25"/>
      <c r="E1721" s="25"/>
      <c r="F1721" s="25"/>
      <c r="G1721" s="25"/>
      <c r="H1721" s="25"/>
      <c r="I1721" s="25"/>
      <c r="J1721" s="25"/>
      <c r="K1721" s="25"/>
      <c r="L1721" s="25"/>
      <c r="M1721" s="42" t="s">
        <v>253</v>
      </c>
      <c r="N1721" s="41">
        <v>45237</v>
      </c>
      <c r="O1721" s="25">
        <v>230</v>
      </c>
      <c r="P1721" s="25">
        <v>0</v>
      </c>
      <c r="Q1721" s="25"/>
      <c r="R1721" s="25"/>
      <c r="S1721" s="25"/>
      <c r="T1721" s="10"/>
    </row>
    <row r="1722" s="35" customFormat="1" ht="18.5" customHeight="1" spans="1:20">
      <c r="A1722" s="9"/>
      <c r="B1722" s="25"/>
      <c r="C1722" s="25"/>
      <c r="D1722" s="25"/>
      <c r="E1722" s="25"/>
      <c r="F1722" s="25"/>
      <c r="G1722" s="25"/>
      <c r="H1722" s="25"/>
      <c r="I1722" s="25"/>
      <c r="J1722" s="25"/>
      <c r="K1722" s="25"/>
      <c r="L1722" s="25"/>
      <c r="M1722" s="42" t="s">
        <v>253</v>
      </c>
      <c r="N1722" s="41">
        <v>45239</v>
      </c>
      <c r="O1722" s="25">
        <v>229</v>
      </c>
      <c r="P1722" s="25">
        <v>0</v>
      </c>
      <c r="Q1722" s="25"/>
      <c r="R1722" s="25"/>
      <c r="S1722" s="25"/>
      <c r="T1722" s="10"/>
    </row>
    <row r="1723" s="35" customFormat="1" ht="18.5" customHeight="1" spans="1:20">
      <c r="A1723" s="9"/>
      <c r="B1723" s="25"/>
      <c r="C1723" s="25"/>
      <c r="D1723" s="25"/>
      <c r="E1723" s="25"/>
      <c r="F1723" s="25"/>
      <c r="G1723" s="25"/>
      <c r="H1723" s="25"/>
      <c r="I1723" s="25"/>
      <c r="J1723" s="25"/>
      <c r="K1723" s="25"/>
      <c r="L1723" s="25"/>
      <c r="M1723" s="42" t="s">
        <v>253</v>
      </c>
      <c r="N1723" s="41">
        <v>45075</v>
      </c>
      <c r="O1723" s="25">
        <v>229</v>
      </c>
      <c r="P1723" s="25">
        <v>0</v>
      </c>
      <c r="Q1723" s="25"/>
      <c r="R1723" s="25"/>
      <c r="S1723" s="25"/>
      <c r="T1723" s="10"/>
    </row>
    <row r="1724" s="35" customFormat="1" ht="18.5" customHeight="1" spans="1:20">
      <c r="A1724" s="9"/>
      <c r="B1724" s="25"/>
      <c r="C1724" s="25"/>
      <c r="D1724" s="25"/>
      <c r="E1724" s="25"/>
      <c r="F1724" s="25"/>
      <c r="G1724" s="25"/>
      <c r="H1724" s="25"/>
      <c r="I1724" s="25"/>
      <c r="J1724" s="25"/>
      <c r="K1724" s="25"/>
      <c r="L1724" s="25"/>
      <c r="M1724" s="42" t="s">
        <v>253</v>
      </c>
      <c r="N1724" s="41">
        <v>45039</v>
      </c>
      <c r="O1724" s="25">
        <v>229</v>
      </c>
      <c r="P1724" s="25">
        <v>0</v>
      </c>
      <c r="Q1724" s="25"/>
      <c r="R1724" s="25"/>
      <c r="S1724" s="25"/>
      <c r="T1724" s="10"/>
    </row>
    <row r="1725" s="35" customFormat="1" ht="18.5" customHeight="1" spans="1:20">
      <c r="A1725" s="9"/>
      <c r="B1725" s="25"/>
      <c r="C1725" s="25"/>
      <c r="D1725" s="25"/>
      <c r="E1725" s="25"/>
      <c r="F1725" s="25"/>
      <c r="G1725" s="25"/>
      <c r="H1725" s="25"/>
      <c r="I1725" s="25"/>
      <c r="J1725" s="25"/>
      <c r="K1725" s="25"/>
      <c r="L1725" s="25"/>
      <c r="M1725" s="42" t="s">
        <v>253</v>
      </c>
      <c r="N1725" s="41">
        <v>45054</v>
      </c>
      <c r="O1725" s="25">
        <v>228</v>
      </c>
      <c r="P1725" s="25">
        <v>0</v>
      </c>
      <c r="Q1725" s="25"/>
      <c r="R1725" s="25"/>
      <c r="S1725" s="25"/>
      <c r="T1725" s="10"/>
    </row>
    <row r="1726" s="35" customFormat="1" ht="18.5" customHeight="1" spans="1:20">
      <c r="A1726" s="9"/>
      <c r="B1726" s="25"/>
      <c r="C1726" s="25"/>
      <c r="D1726" s="25"/>
      <c r="E1726" s="25"/>
      <c r="F1726" s="25"/>
      <c r="G1726" s="25"/>
      <c r="H1726" s="25"/>
      <c r="I1726" s="25"/>
      <c r="J1726" s="25"/>
      <c r="K1726" s="25"/>
      <c r="L1726" s="25"/>
      <c r="M1726" s="42" t="s">
        <v>253</v>
      </c>
      <c r="N1726" s="41">
        <v>45058</v>
      </c>
      <c r="O1726" s="25">
        <v>227</v>
      </c>
      <c r="P1726" s="25">
        <v>0</v>
      </c>
      <c r="Q1726" s="25"/>
      <c r="R1726" s="25"/>
      <c r="S1726" s="25"/>
      <c r="T1726" s="10"/>
    </row>
    <row r="1727" s="35" customFormat="1" ht="18.5" customHeight="1" spans="1:20">
      <c r="A1727" s="9"/>
      <c r="B1727" s="25"/>
      <c r="C1727" s="25"/>
      <c r="D1727" s="25"/>
      <c r="E1727" s="25"/>
      <c r="F1727" s="25"/>
      <c r="G1727" s="25"/>
      <c r="H1727" s="25"/>
      <c r="I1727" s="25"/>
      <c r="J1727" s="25"/>
      <c r="K1727" s="25"/>
      <c r="L1727" s="25"/>
      <c r="M1727" s="42" t="s">
        <v>253</v>
      </c>
      <c r="N1727" s="41">
        <v>45099</v>
      </c>
      <c r="O1727" s="25">
        <v>226</v>
      </c>
      <c r="P1727" s="25">
        <v>0</v>
      </c>
      <c r="Q1727" s="25"/>
      <c r="R1727" s="25"/>
      <c r="S1727" s="25"/>
      <c r="T1727" s="10"/>
    </row>
    <row r="1728" s="35" customFormat="1" ht="18.5" customHeight="1" spans="1:20">
      <c r="A1728" s="9"/>
      <c r="B1728" s="25"/>
      <c r="C1728" s="25"/>
      <c r="D1728" s="25"/>
      <c r="E1728" s="25"/>
      <c r="F1728" s="25"/>
      <c r="G1728" s="25"/>
      <c r="H1728" s="25"/>
      <c r="I1728" s="25"/>
      <c r="J1728" s="25"/>
      <c r="K1728" s="25"/>
      <c r="L1728" s="25"/>
      <c r="M1728" s="42" t="s">
        <v>253</v>
      </c>
      <c r="N1728" s="41">
        <v>45143</v>
      </c>
      <c r="O1728" s="25">
        <v>225</v>
      </c>
      <c r="P1728" s="25">
        <v>0</v>
      </c>
      <c r="Q1728" s="25"/>
      <c r="R1728" s="25"/>
      <c r="S1728" s="25"/>
      <c r="T1728" s="10"/>
    </row>
    <row r="1729" s="35" customFormat="1" ht="18.5" customHeight="1" spans="1:20">
      <c r="A1729" s="9"/>
      <c r="B1729" s="25"/>
      <c r="C1729" s="25"/>
      <c r="D1729" s="25"/>
      <c r="E1729" s="25"/>
      <c r="F1729" s="25"/>
      <c r="G1729" s="25"/>
      <c r="H1729" s="25"/>
      <c r="I1729" s="25"/>
      <c r="J1729" s="25"/>
      <c r="K1729" s="25"/>
      <c r="L1729" s="25"/>
      <c r="M1729" s="42" t="s">
        <v>253</v>
      </c>
      <c r="N1729" s="41">
        <v>45025</v>
      </c>
      <c r="O1729" s="25">
        <v>225</v>
      </c>
      <c r="P1729" s="25">
        <v>0</v>
      </c>
      <c r="Q1729" s="25"/>
      <c r="R1729" s="25"/>
      <c r="S1729" s="25"/>
      <c r="T1729" s="10"/>
    </row>
    <row r="1730" s="35" customFormat="1" ht="18.5" customHeight="1" spans="1:20">
      <c r="A1730" s="9"/>
      <c r="B1730" s="25"/>
      <c r="C1730" s="25"/>
      <c r="D1730" s="25"/>
      <c r="E1730" s="25"/>
      <c r="F1730" s="25"/>
      <c r="G1730" s="25"/>
      <c r="H1730" s="25"/>
      <c r="I1730" s="25"/>
      <c r="J1730" s="25"/>
      <c r="K1730" s="25"/>
      <c r="L1730" s="25"/>
      <c r="M1730" s="42" t="s">
        <v>253</v>
      </c>
      <c r="N1730" s="41">
        <v>45042</v>
      </c>
      <c r="O1730" s="25">
        <v>224</v>
      </c>
      <c r="P1730" s="25">
        <v>0</v>
      </c>
      <c r="Q1730" s="25"/>
      <c r="R1730" s="25"/>
      <c r="S1730" s="25"/>
      <c r="T1730" s="10"/>
    </row>
    <row r="1731" s="35" customFormat="1" ht="18.5" customHeight="1" spans="1:20">
      <c r="A1731" s="9"/>
      <c r="B1731" s="25"/>
      <c r="C1731" s="25"/>
      <c r="D1731" s="25"/>
      <c r="E1731" s="25"/>
      <c r="F1731" s="25"/>
      <c r="G1731" s="25"/>
      <c r="H1731" s="25"/>
      <c r="I1731" s="25"/>
      <c r="J1731" s="25"/>
      <c r="K1731" s="25"/>
      <c r="L1731" s="25"/>
      <c r="M1731" s="42" t="s">
        <v>253</v>
      </c>
      <c r="N1731" s="41">
        <v>45227</v>
      </c>
      <c r="O1731" s="25">
        <v>222</v>
      </c>
      <c r="P1731" s="25">
        <v>0</v>
      </c>
      <c r="Q1731" s="25"/>
      <c r="R1731" s="25"/>
      <c r="S1731" s="25"/>
      <c r="T1731" s="10"/>
    </row>
    <row r="1732" s="35" customFormat="1" ht="18.5" customHeight="1" spans="1:20">
      <c r="A1732" s="9"/>
      <c r="B1732" s="25"/>
      <c r="C1732" s="25"/>
      <c r="D1732" s="25"/>
      <c r="E1732" s="25"/>
      <c r="F1732" s="25"/>
      <c r="G1732" s="25"/>
      <c r="H1732" s="25"/>
      <c r="I1732" s="25"/>
      <c r="J1732" s="25"/>
      <c r="K1732" s="25"/>
      <c r="L1732" s="25"/>
      <c r="M1732" s="42" t="s">
        <v>253</v>
      </c>
      <c r="N1732" s="41">
        <v>45059</v>
      </c>
      <c r="O1732" s="25">
        <v>222</v>
      </c>
      <c r="P1732" s="25">
        <v>0</v>
      </c>
      <c r="Q1732" s="25"/>
      <c r="R1732" s="25"/>
      <c r="S1732" s="25"/>
      <c r="T1732" s="10"/>
    </row>
    <row r="1733" s="35" customFormat="1" ht="18.5" customHeight="1" spans="1:20">
      <c r="A1733" s="9"/>
      <c r="B1733" s="25"/>
      <c r="C1733" s="25"/>
      <c r="D1733" s="25"/>
      <c r="E1733" s="25"/>
      <c r="F1733" s="25"/>
      <c r="G1733" s="25"/>
      <c r="H1733" s="25"/>
      <c r="I1733" s="25"/>
      <c r="J1733" s="25"/>
      <c r="K1733" s="25"/>
      <c r="L1733" s="25"/>
      <c r="M1733" s="42" t="s">
        <v>253</v>
      </c>
      <c r="N1733" s="41">
        <v>45009</v>
      </c>
      <c r="O1733" s="25">
        <v>221</v>
      </c>
      <c r="P1733" s="25">
        <v>0</v>
      </c>
      <c r="Q1733" s="25"/>
      <c r="R1733" s="25"/>
      <c r="S1733" s="25"/>
      <c r="T1733" s="10"/>
    </row>
    <row r="1734" s="35" customFormat="1" ht="18.5" customHeight="1" spans="1:20">
      <c r="A1734" s="9"/>
      <c r="B1734" s="25"/>
      <c r="C1734" s="25"/>
      <c r="D1734" s="25"/>
      <c r="E1734" s="25"/>
      <c r="F1734" s="25"/>
      <c r="G1734" s="25"/>
      <c r="H1734" s="25"/>
      <c r="I1734" s="25"/>
      <c r="J1734" s="25"/>
      <c r="K1734" s="25"/>
      <c r="L1734" s="25"/>
      <c r="M1734" s="42" t="s">
        <v>253</v>
      </c>
      <c r="N1734" s="41">
        <v>45252</v>
      </c>
      <c r="O1734" s="25">
        <v>220</v>
      </c>
      <c r="P1734" s="25">
        <v>0</v>
      </c>
      <c r="Q1734" s="25"/>
      <c r="R1734" s="25"/>
      <c r="S1734" s="25"/>
      <c r="T1734" s="10"/>
    </row>
    <row r="1735" s="35" customFormat="1" ht="18.5" customHeight="1" spans="1:20">
      <c r="A1735" s="9"/>
      <c r="B1735" s="25"/>
      <c r="C1735" s="25"/>
      <c r="D1735" s="25"/>
      <c r="E1735" s="25"/>
      <c r="F1735" s="25"/>
      <c r="G1735" s="25"/>
      <c r="H1735" s="25"/>
      <c r="I1735" s="25"/>
      <c r="J1735" s="25"/>
      <c r="K1735" s="25"/>
      <c r="L1735" s="25"/>
      <c r="M1735" s="42" t="s">
        <v>253</v>
      </c>
      <c r="N1735" s="41">
        <v>45077</v>
      </c>
      <c r="O1735" s="25">
        <v>220</v>
      </c>
      <c r="P1735" s="25">
        <v>0</v>
      </c>
      <c r="Q1735" s="25"/>
      <c r="R1735" s="25"/>
      <c r="S1735" s="25"/>
      <c r="T1735" s="10"/>
    </row>
    <row r="1736" s="35" customFormat="1" ht="18.5" customHeight="1" spans="1:20">
      <c r="A1736" s="9"/>
      <c r="B1736" s="25"/>
      <c r="C1736" s="25"/>
      <c r="D1736" s="25"/>
      <c r="E1736" s="25"/>
      <c r="F1736" s="25"/>
      <c r="G1736" s="25"/>
      <c r="H1736" s="25"/>
      <c r="I1736" s="25"/>
      <c r="J1736" s="25"/>
      <c r="K1736" s="25"/>
      <c r="L1736" s="25"/>
      <c r="M1736" s="42" t="s">
        <v>253</v>
      </c>
      <c r="N1736" s="41">
        <v>45121</v>
      </c>
      <c r="O1736" s="25">
        <v>218</v>
      </c>
      <c r="P1736" s="25">
        <v>0</v>
      </c>
      <c r="Q1736" s="25"/>
      <c r="R1736" s="25"/>
      <c r="S1736" s="25"/>
      <c r="T1736" s="10"/>
    </row>
    <row r="1737" s="35" customFormat="1" ht="18.5" customHeight="1" spans="1:20">
      <c r="A1737" s="9"/>
      <c r="B1737" s="25"/>
      <c r="C1737" s="25"/>
      <c r="D1737" s="25"/>
      <c r="E1737" s="25"/>
      <c r="F1737" s="25"/>
      <c r="G1737" s="25"/>
      <c r="H1737" s="25"/>
      <c r="I1737" s="25"/>
      <c r="J1737" s="25"/>
      <c r="K1737" s="25"/>
      <c r="L1737" s="25"/>
      <c r="M1737" s="42" t="s">
        <v>253</v>
      </c>
      <c r="N1737" s="41">
        <v>45116</v>
      </c>
      <c r="O1737" s="25">
        <v>218</v>
      </c>
      <c r="P1737" s="25">
        <v>0</v>
      </c>
      <c r="Q1737" s="25"/>
      <c r="R1737" s="25"/>
      <c r="S1737" s="25"/>
      <c r="T1737" s="10"/>
    </row>
    <row r="1738" s="35" customFormat="1" ht="18.5" customHeight="1" spans="1:20">
      <c r="A1738" s="9"/>
      <c r="B1738" s="25"/>
      <c r="C1738" s="25"/>
      <c r="D1738" s="25"/>
      <c r="E1738" s="25"/>
      <c r="F1738" s="25"/>
      <c r="G1738" s="25"/>
      <c r="H1738" s="25"/>
      <c r="I1738" s="25"/>
      <c r="J1738" s="25"/>
      <c r="K1738" s="25"/>
      <c r="L1738" s="25"/>
      <c r="M1738" s="42" t="s">
        <v>253</v>
      </c>
      <c r="N1738" s="41">
        <v>45240</v>
      </c>
      <c r="O1738" s="25">
        <v>211</v>
      </c>
      <c r="P1738" s="25">
        <v>0</v>
      </c>
      <c r="Q1738" s="25"/>
      <c r="R1738" s="25"/>
      <c r="S1738" s="25"/>
      <c r="T1738" s="10"/>
    </row>
    <row r="1739" s="35" customFormat="1" ht="18.5" customHeight="1" spans="1:20">
      <c r="A1739" s="9"/>
      <c r="B1739" s="25"/>
      <c r="C1739" s="25"/>
      <c r="D1739" s="25"/>
      <c r="E1739" s="25"/>
      <c r="F1739" s="25"/>
      <c r="G1739" s="25"/>
      <c r="H1739" s="25"/>
      <c r="I1739" s="25"/>
      <c r="J1739" s="25"/>
      <c r="K1739" s="25"/>
      <c r="L1739" s="25"/>
      <c r="M1739" s="42" t="s">
        <v>253</v>
      </c>
      <c r="N1739" s="41">
        <v>45075</v>
      </c>
      <c r="O1739" s="25">
        <v>208</v>
      </c>
      <c r="P1739" s="25">
        <v>0</v>
      </c>
      <c r="Q1739" s="25"/>
      <c r="R1739" s="25"/>
      <c r="S1739" s="25"/>
      <c r="T1739" s="10"/>
    </row>
    <row r="1740" s="35" customFormat="1" ht="18.5" customHeight="1" spans="1:20">
      <c r="A1740" s="9"/>
      <c r="B1740" s="25"/>
      <c r="C1740" s="25"/>
      <c r="D1740" s="25"/>
      <c r="E1740" s="25"/>
      <c r="F1740" s="25"/>
      <c r="G1740" s="25"/>
      <c r="H1740" s="25"/>
      <c r="I1740" s="25"/>
      <c r="J1740" s="25"/>
      <c r="K1740" s="25"/>
      <c r="L1740" s="25"/>
      <c r="M1740" s="42" t="s">
        <v>253</v>
      </c>
      <c r="N1740" s="41">
        <v>44947</v>
      </c>
      <c r="O1740" s="25">
        <v>201</v>
      </c>
      <c r="P1740" s="25">
        <v>0</v>
      </c>
      <c r="Q1740" s="25"/>
      <c r="R1740" s="25"/>
      <c r="S1740" s="25"/>
      <c r="T1740" s="10"/>
    </row>
    <row r="1741" s="35" customFormat="1" ht="18.5" customHeight="1" spans="1:20">
      <c r="A1741" s="9"/>
      <c r="B1741" s="25"/>
      <c r="C1741" s="25"/>
      <c r="D1741" s="25"/>
      <c r="E1741" s="25"/>
      <c r="F1741" s="25"/>
      <c r="G1741" s="25"/>
      <c r="H1741" s="25"/>
      <c r="I1741" s="25"/>
      <c r="J1741" s="25"/>
      <c r="K1741" s="25"/>
      <c r="L1741" s="25"/>
      <c r="M1741" s="42" t="s">
        <v>253</v>
      </c>
      <c r="N1741" s="41">
        <v>45072</v>
      </c>
      <c r="O1741" s="25">
        <v>200</v>
      </c>
      <c r="P1741" s="25">
        <v>0</v>
      </c>
      <c r="Q1741" s="25"/>
      <c r="R1741" s="25"/>
      <c r="S1741" s="25"/>
      <c r="T1741" s="10"/>
    </row>
    <row r="1742" s="35" customFormat="1" ht="18.5" customHeight="1" spans="1:20">
      <c r="A1742" s="9"/>
      <c r="B1742" s="25"/>
      <c r="C1742" s="25"/>
      <c r="D1742" s="25"/>
      <c r="E1742" s="25"/>
      <c r="F1742" s="25"/>
      <c r="G1742" s="25"/>
      <c r="H1742" s="25"/>
      <c r="I1742" s="25"/>
      <c r="J1742" s="25"/>
      <c r="K1742" s="25"/>
      <c r="L1742" s="25"/>
      <c r="M1742" s="42" t="s">
        <v>253</v>
      </c>
      <c r="N1742" s="41">
        <v>45011</v>
      </c>
      <c r="O1742" s="25">
        <v>199</v>
      </c>
      <c r="P1742" s="25">
        <v>0</v>
      </c>
      <c r="Q1742" s="25"/>
      <c r="R1742" s="25"/>
      <c r="S1742" s="25"/>
      <c r="T1742" s="10"/>
    </row>
    <row r="1743" s="35" customFormat="1" ht="18.5" customHeight="1" spans="1:20">
      <c r="A1743" s="9"/>
      <c r="B1743" s="25"/>
      <c r="C1743" s="25"/>
      <c r="D1743" s="25"/>
      <c r="E1743" s="25"/>
      <c r="F1743" s="25"/>
      <c r="G1743" s="25"/>
      <c r="H1743" s="25"/>
      <c r="I1743" s="25"/>
      <c r="J1743" s="25"/>
      <c r="K1743" s="25"/>
      <c r="L1743" s="25"/>
      <c r="M1743" s="42" t="s">
        <v>253</v>
      </c>
      <c r="N1743" s="41">
        <v>45279</v>
      </c>
      <c r="O1743" s="25">
        <v>198</v>
      </c>
      <c r="P1743" s="25">
        <v>0</v>
      </c>
      <c r="Q1743" s="25"/>
      <c r="R1743" s="25"/>
      <c r="S1743" s="25"/>
      <c r="T1743" s="10"/>
    </row>
    <row r="1744" s="35" customFormat="1" ht="18.5" customHeight="1" spans="1:20">
      <c r="A1744" s="9"/>
      <c r="B1744" s="25"/>
      <c r="C1744" s="25"/>
      <c r="D1744" s="25"/>
      <c r="E1744" s="25"/>
      <c r="F1744" s="25"/>
      <c r="G1744" s="25"/>
      <c r="H1744" s="25"/>
      <c r="I1744" s="25"/>
      <c r="J1744" s="25"/>
      <c r="K1744" s="25"/>
      <c r="L1744" s="25"/>
      <c r="M1744" s="42" t="s">
        <v>253</v>
      </c>
      <c r="N1744" s="41">
        <v>45250</v>
      </c>
      <c r="O1744" s="25">
        <v>198</v>
      </c>
      <c r="P1744" s="25">
        <v>0</v>
      </c>
      <c r="Q1744" s="25"/>
      <c r="R1744" s="25"/>
      <c r="S1744" s="25"/>
      <c r="T1744" s="10"/>
    </row>
    <row r="1745" s="35" customFormat="1" ht="18.5" customHeight="1" spans="1:20">
      <c r="A1745" s="9"/>
      <c r="B1745" s="25"/>
      <c r="C1745" s="25"/>
      <c r="D1745" s="25"/>
      <c r="E1745" s="25"/>
      <c r="F1745" s="25"/>
      <c r="G1745" s="25"/>
      <c r="H1745" s="25"/>
      <c r="I1745" s="25"/>
      <c r="J1745" s="25"/>
      <c r="K1745" s="25"/>
      <c r="L1745" s="25"/>
      <c r="M1745" s="42" t="s">
        <v>253</v>
      </c>
      <c r="N1745" s="41">
        <v>45195</v>
      </c>
      <c r="O1745" s="25">
        <v>198</v>
      </c>
      <c r="P1745" s="25">
        <v>0</v>
      </c>
      <c r="Q1745" s="25"/>
      <c r="R1745" s="25"/>
      <c r="S1745" s="25"/>
      <c r="T1745" s="10"/>
    </row>
    <row r="1746" s="35" customFormat="1" ht="18.5" customHeight="1" spans="1:20">
      <c r="A1746" s="9"/>
      <c r="B1746" s="25"/>
      <c r="C1746" s="25"/>
      <c r="D1746" s="25"/>
      <c r="E1746" s="25"/>
      <c r="F1746" s="25"/>
      <c r="G1746" s="25"/>
      <c r="H1746" s="25"/>
      <c r="I1746" s="25"/>
      <c r="J1746" s="25"/>
      <c r="K1746" s="25"/>
      <c r="L1746" s="25"/>
      <c r="M1746" s="42" t="s">
        <v>253</v>
      </c>
      <c r="N1746" s="41">
        <v>45194</v>
      </c>
      <c r="O1746" s="25">
        <v>198</v>
      </c>
      <c r="P1746" s="25">
        <v>0</v>
      </c>
      <c r="Q1746" s="25"/>
      <c r="R1746" s="25"/>
      <c r="S1746" s="25"/>
      <c r="T1746" s="10"/>
    </row>
    <row r="1747" s="35" customFormat="1" ht="18.5" customHeight="1" spans="1:20">
      <c r="A1747" s="9"/>
      <c r="B1747" s="25"/>
      <c r="C1747" s="25"/>
      <c r="D1747" s="25"/>
      <c r="E1747" s="25"/>
      <c r="F1747" s="25"/>
      <c r="G1747" s="25"/>
      <c r="H1747" s="25"/>
      <c r="I1747" s="25"/>
      <c r="J1747" s="25"/>
      <c r="K1747" s="25"/>
      <c r="L1747" s="25"/>
      <c r="M1747" s="42" t="s">
        <v>253</v>
      </c>
      <c r="N1747" s="41">
        <v>45167</v>
      </c>
      <c r="O1747" s="25">
        <v>198</v>
      </c>
      <c r="P1747" s="25">
        <v>0</v>
      </c>
      <c r="Q1747" s="25"/>
      <c r="R1747" s="25"/>
      <c r="S1747" s="25"/>
      <c r="T1747" s="10"/>
    </row>
    <row r="1748" s="35" customFormat="1" ht="18.5" customHeight="1" spans="1:20">
      <c r="A1748" s="9"/>
      <c r="B1748" s="25"/>
      <c r="C1748" s="25"/>
      <c r="D1748" s="25"/>
      <c r="E1748" s="25"/>
      <c r="F1748" s="25"/>
      <c r="G1748" s="25"/>
      <c r="H1748" s="25"/>
      <c r="I1748" s="25"/>
      <c r="J1748" s="25"/>
      <c r="K1748" s="25"/>
      <c r="L1748" s="25"/>
      <c r="M1748" s="42" t="s">
        <v>253</v>
      </c>
      <c r="N1748" s="41">
        <v>45026</v>
      </c>
      <c r="O1748" s="25">
        <v>197</v>
      </c>
      <c r="P1748" s="25">
        <v>0</v>
      </c>
      <c r="Q1748" s="25"/>
      <c r="R1748" s="25"/>
      <c r="S1748" s="25"/>
      <c r="T1748" s="10"/>
    </row>
    <row r="1749" s="35" customFormat="1" ht="18.5" customHeight="1" spans="1:20">
      <c r="A1749" s="9"/>
      <c r="B1749" s="25"/>
      <c r="C1749" s="25"/>
      <c r="D1749" s="25"/>
      <c r="E1749" s="25"/>
      <c r="F1749" s="25"/>
      <c r="G1749" s="25"/>
      <c r="H1749" s="25"/>
      <c r="I1749" s="25"/>
      <c r="J1749" s="25"/>
      <c r="K1749" s="25"/>
      <c r="L1749" s="25"/>
      <c r="M1749" s="42" t="s">
        <v>253</v>
      </c>
      <c r="N1749" s="41">
        <v>45014</v>
      </c>
      <c r="O1749" s="25">
        <v>194</v>
      </c>
      <c r="P1749" s="25">
        <v>0</v>
      </c>
      <c r="Q1749" s="25"/>
      <c r="R1749" s="25"/>
      <c r="S1749" s="25"/>
      <c r="T1749" s="10"/>
    </row>
    <row r="1750" s="35" customFormat="1" ht="18.5" customHeight="1" spans="1:20">
      <c r="A1750" s="9"/>
      <c r="B1750" s="25"/>
      <c r="C1750" s="25"/>
      <c r="D1750" s="25"/>
      <c r="E1750" s="25"/>
      <c r="F1750" s="25"/>
      <c r="G1750" s="25"/>
      <c r="H1750" s="25"/>
      <c r="I1750" s="25"/>
      <c r="J1750" s="25"/>
      <c r="K1750" s="25"/>
      <c r="L1750" s="25"/>
      <c r="M1750" s="42" t="s">
        <v>253</v>
      </c>
      <c r="N1750" s="41">
        <v>45222</v>
      </c>
      <c r="O1750" s="25">
        <v>192</v>
      </c>
      <c r="P1750" s="25">
        <v>0</v>
      </c>
      <c r="Q1750" s="25"/>
      <c r="R1750" s="25"/>
      <c r="S1750" s="25"/>
      <c r="T1750" s="10"/>
    </row>
    <row r="1751" s="35" customFormat="1" ht="18.5" customHeight="1" spans="1:20">
      <c r="A1751" s="9"/>
      <c r="B1751" s="25"/>
      <c r="C1751" s="25"/>
      <c r="D1751" s="25"/>
      <c r="E1751" s="25"/>
      <c r="F1751" s="25"/>
      <c r="G1751" s="25"/>
      <c r="H1751" s="25"/>
      <c r="I1751" s="25"/>
      <c r="J1751" s="25"/>
      <c r="K1751" s="25"/>
      <c r="L1751" s="25"/>
      <c r="M1751" s="42" t="s">
        <v>253</v>
      </c>
      <c r="N1751" s="41">
        <v>45257</v>
      </c>
      <c r="O1751" s="25">
        <v>191</v>
      </c>
      <c r="P1751" s="25">
        <v>0</v>
      </c>
      <c r="Q1751" s="25"/>
      <c r="R1751" s="25"/>
      <c r="S1751" s="25"/>
      <c r="T1751" s="10"/>
    </row>
    <row r="1752" s="35" customFormat="1" ht="18.5" customHeight="1" spans="1:20">
      <c r="A1752" s="9"/>
      <c r="B1752" s="25"/>
      <c r="C1752" s="25"/>
      <c r="D1752" s="25"/>
      <c r="E1752" s="25"/>
      <c r="F1752" s="25"/>
      <c r="G1752" s="25"/>
      <c r="H1752" s="25"/>
      <c r="I1752" s="25"/>
      <c r="J1752" s="25"/>
      <c r="K1752" s="25"/>
      <c r="L1752" s="25"/>
      <c r="M1752" s="42" t="s">
        <v>253</v>
      </c>
      <c r="N1752" s="41">
        <v>45211</v>
      </c>
      <c r="O1752" s="25">
        <v>190</v>
      </c>
      <c r="P1752" s="25">
        <v>0</v>
      </c>
      <c r="Q1752" s="25"/>
      <c r="R1752" s="25"/>
      <c r="S1752" s="25"/>
      <c r="T1752" s="10"/>
    </row>
    <row r="1753" s="35" customFormat="1" ht="18.5" customHeight="1" spans="1:20">
      <c r="A1753" s="9"/>
      <c r="B1753" s="25"/>
      <c r="C1753" s="25"/>
      <c r="D1753" s="25"/>
      <c r="E1753" s="25"/>
      <c r="F1753" s="25"/>
      <c r="G1753" s="25"/>
      <c r="H1753" s="25"/>
      <c r="I1753" s="25"/>
      <c r="J1753" s="25"/>
      <c r="K1753" s="25"/>
      <c r="L1753" s="25"/>
      <c r="M1753" s="42" t="s">
        <v>253</v>
      </c>
      <c r="N1753" s="41">
        <v>45060</v>
      </c>
      <c r="O1753" s="25">
        <v>189</v>
      </c>
      <c r="P1753" s="25">
        <v>0</v>
      </c>
      <c r="Q1753" s="25"/>
      <c r="R1753" s="25"/>
      <c r="S1753" s="25"/>
      <c r="T1753" s="10"/>
    </row>
    <row r="1754" s="35" customFormat="1" ht="18.5" customHeight="1" spans="1:20">
      <c r="A1754" s="9"/>
      <c r="B1754" s="25"/>
      <c r="C1754" s="25"/>
      <c r="D1754" s="25"/>
      <c r="E1754" s="25"/>
      <c r="F1754" s="25"/>
      <c r="G1754" s="25"/>
      <c r="H1754" s="25"/>
      <c r="I1754" s="25"/>
      <c r="J1754" s="25"/>
      <c r="K1754" s="25"/>
      <c r="L1754" s="25"/>
      <c r="M1754" s="42" t="s">
        <v>253</v>
      </c>
      <c r="N1754" s="41">
        <v>45173</v>
      </c>
      <c r="O1754" s="25">
        <v>188</v>
      </c>
      <c r="P1754" s="25">
        <v>0</v>
      </c>
      <c r="Q1754" s="25"/>
      <c r="R1754" s="25"/>
      <c r="S1754" s="25"/>
      <c r="T1754" s="10"/>
    </row>
    <row r="1755" s="35" customFormat="1" ht="18.5" customHeight="1" spans="1:20">
      <c r="A1755" s="9"/>
      <c r="B1755" s="25"/>
      <c r="C1755" s="25"/>
      <c r="D1755" s="25"/>
      <c r="E1755" s="25"/>
      <c r="F1755" s="25"/>
      <c r="G1755" s="25"/>
      <c r="H1755" s="25"/>
      <c r="I1755" s="25"/>
      <c r="J1755" s="25"/>
      <c r="K1755" s="25"/>
      <c r="L1755" s="25"/>
      <c r="M1755" s="42" t="s">
        <v>253</v>
      </c>
      <c r="N1755" s="41">
        <v>45118</v>
      </c>
      <c r="O1755" s="25">
        <v>188</v>
      </c>
      <c r="P1755" s="25">
        <v>0</v>
      </c>
      <c r="Q1755" s="25"/>
      <c r="R1755" s="25"/>
      <c r="S1755" s="25"/>
      <c r="T1755" s="10"/>
    </row>
    <row r="1756" s="35" customFormat="1" ht="18.5" customHeight="1" spans="1:20">
      <c r="A1756" s="9"/>
      <c r="B1756" s="25"/>
      <c r="C1756" s="25"/>
      <c r="D1756" s="25"/>
      <c r="E1756" s="25"/>
      <c r="F1756" s="25"/>
      <c r="G1756" s="25"/>
      <c r="H1756" s="25"/>
      <c r="I1756" s="25"/>
      <c r="J1756" s="25"/>
      <c r="K1756" s="25"/>
      <c r="L1756" s="25"/>
      <c r="M1756" s="42" t="s">
        <v>253</v>
      </c>
      <c r="N1756" s="41">
        <v>45036</v>
      </c>
      <c r="O1756" s="25">
        <v>185</v>
      </c>
      <c r="P1756" s="25">
        <v>0</v>
      </c>
      <c r="Q1756" s="25"/>
      <c r="R1756" s="25"/>
      <c r="S1756" s="25"/>
      <c r="T1756" s="10"/>
    </row>
    <row r="1757" s="35" customFormat="1" ht="18.5" customHeight="1" spans="1:20">
      <c r="A1757" s="9"/>
      <c r="B1757" s="25"/>
      <c r="C1757" s="25"/>
      <c r="D1757" s="25"/>
      <c r="E1757" s="25"/>
      <c r="F1757" s="25"/>
      <c r="G1757" s="25"/>
      <c r="H1757" s="25"/>
      <c r="I1757" s="25"/>
      <c r="J1757" s="25"/>
      <c r="K1757" s="25"/>
      <c r="L1757" s="25"/>
      <c r="M1757" s="42" t="s">
        <v>253</v>
      </c>
      <c r="N1757" s="41">
        <v>45041</v>
      </c>
      <c r="O1757" s="25">
        <v>183</v>
      </c>
      <c r="P1757" s="25">
        <v>0</v>
      </c>
      <c r="Q1757" s="25"/>
      <c r="R1757" s="25"/>
      <c r="S1757" s="25"/>
      <c r="T1757" s="10"/>
    </row>
    <row r="1758" s="35" customFormat="1" ht="18.5" customHeight="1" spans="1:20">
      <c r="A1758" s="9"/>
      <c r="B1758" s="25"/>
      <c r="C1758" s="25"/>
      <c r="D1758" s="25"/>
      <c r="E1758" s="25"/>
      <c r="F1758" s="25"/>
      <c r="G1758" s="25"/>
      <c r="H1758" s="25"/>
      <c r="I1758" s="25"/>
      <c r="J1758" s="25"/>
      <c r="K1758" s="25"/>
      <c r="L1758" s="25"/>
      <c r="M1758" s="42" t="s">
        <v>253</v>
      </c>
      <c r="N1758" s="41">
        <v>45232</v>
      </c>
      <c r="O1758" s="25">
        <v>183</v>
      </c>
      <c r="P1758" s="25">
        <v>0</v>
      </c>
      <c r="Q1758" s="25"/>
      <c r="R1758" s="25"/>
      <c r="S1758" s="25"/>
      <c r="T1758" s="10"/>
    </row>
    <row r="1759" s="35" customFormat="1" ht="18.5" customHeight="1" spans="1:20">
      <c r="A1759" s="9"/>
      <c r="B1759" s="25"/>
      <c r="C1759" s="25"/>
      <c r="D1759" s="25"/>
      <c r="E1759" s="25"/>
      <c r="F1759" s="25"/>
      <c r="G1759" s="25"/>
      <c r="H1759" s="25"/>
      <c r="I1759" s="25"/>
      <c r="J1759" s="25"/>
      <c r="K1759" s="25"/>
      <c r="L1759" s="25"/>
      <c r="M1759" s="42" t="s">
        <v>253</v>
      </c>
      <c r="N1759" s="41">
        <v>45024</v>
      </c>
      <c r="O1759" s="25">
        <v>182</v>
      </c>
      <c r="P1759" s="25">
        <v>0</v>
      </c>
      <c r="Q1759" s="25"/>
      <c r="R1759" s="25"/>
      <c r="S1759" s="25"/>
      <c r="T1759" s="10"/>
    </row>
    <row r="1760" s="35" customFormat="1" ht="18.5" customHeight="1" spans="1:20">
      <c r="A1760" s="9"/>
      <c r="B1760" s="25"/>
      <c r="C1760" s="25"/>
      <c r="D1760" s="25"/>
      <c r="E1760" s="25"/>
      <c r="F1760" s="25"/>
      <c r="G1760" s="25"/>
      <c r="H1760" s="25"/>
      <c r="I1760" s="25"/>
      <c r="J1760" s="25"/>
      <c r="K1760" s="25"/>
      <c r="L1760" s="25"/>
      <c r="M1760" s="42" t="s">
        <v>253</v>
      </c>
      <c r="N1760" s="41">
        <v>45253</v>
      </c>
      <c r="O1760" s="25">
        <v>181</v>
      </c>
      <c r="P1760" s="25">
        <v>0</v>
      </c>
      <c r="Q1760" s="25"/>
      <c r="R1760" s="25"/>
      <c r="S1760" s="25"/>
      <c r="T1760" s="10"/>
    </row>
    <row r="1761" s="35" customFormat="1" ht="18.5" customHeight="1" spans="1:20">
      <c r="A1761" s="9"/>
      <c r="B1761" s="25"/>
      <c r="C1761" s="25"/>
      <c r="D1761" s="25"/>
      <c r="E1761" s="25"/>
      <c r="F1761" s="25"/>
      <c r="G1761" s="25"/>
      <c r="H1761" s="25"/>
      <c r="I1761" s="25"/>
      <c r="J1761" s="25"/>
      <c r="K1761" s="25"/>
      <c r="L1761" s="25"/>
      <c r="M1761" s="42" t="s">
        <v>253</v>
      </c>
      <c r="N1761" s="41">
        <v>45100</v>
      </c>
      <c r="O1761" s="25">
        <v>180</v>
      </c>
      <c r="P1761" s="25">
        <v>0</v>
      </c>
      <c r="Q1761" s="25"/>
      <c r="R1761" s="25"/>
      <c r="S1761" s="25"/>
      <c r="T1761" s="10"/>
    </row>
    <row r="1762" s="35" customFormat="1" ht="18.5" customHeight="1" spans="1:20">
      <c r="A1762" s="9"/>
      <c r="B1762" s="25"/>
      <c r="C1762" s="25"/>
      <c r="D1762" s="25"/>
      <c r="E1762" s="25"/>
      <c r="F1762" s="25"/>
      <c r="G1762" s="25"/>
      <c r="H1762" s="25"/>
      <c r="I1762" s="25"/>
      <c r="J1762" s="25"/>
      <c r="K1762" s="25"/>
      <c r="L1762" s="25"/>
      <c r="M1762" s="42" t="s">
        <v>253</v>
      </c>
      <c r="N1762" s="41">
        <v>45045</v>
      </c>
      <c r="O1762" s="25">
        <v>180</v>
      </c>
      <c r="P1762" s="25">
        <v>0</v>
      </c>
      <c r="Q1762" s="25"/>
      <c r="R1762" s="25"/>
      <c r="S1762" s="25"/>
      <c r="T1762" s="10"/>
    </row>
    <row r="1763" s="35" customFormat="1" ht="18.5" customHeight="1" spans="1:20">
      <c r="A1763" s="9"/>
      <c r="B1763" s="25"/>
      <c r="C1763" s="25"/>
      <c r="D1763" s="25"/>
      <c r="E1763" s="25"/>
      <c r="F1763" s="25"/>
      <c r="G1763" s="25"/>
      <c r="H1763" s="25"/>
      <c r="I1763" s="25"/>
      <c r="J1763" s="25"/>
      <c r="K1763" s="25"/>
      <c r="L1763" s="25"/>
      <c r="M1763" s="42" t="s">
        <v>253</v>
      </c>
      <c r="N1763" s="41">
        <v>45259</v>
      </c>
      <c r="O1763" s="25">
        <v>177</v>
      </c>
      <c r="P1763" s="25">
        <v>0</v>
      </c>
      <c r="Q1763" s="25"/>
      <c r="R1763" s="25"/>
      <c r="S1763" s="25"/>
      <c r="T1763" s="10"/>
    </row>
    <row r="1764" s="35" customFormat="1" ht="18.5" customHeight="1" spans="1:20">
      <c r="A1764" s="9"/>
      <c r="B1764" s="25"/>
      <c r="C1764" s="25"/>
      <c r="D1764" s="25"/>
      <c r="E1764" s="25"/>
      <c r="F1764" s="25"/>
      <c r="G1764" s="25"/>
      <c r="H1764" s="25"/>
      <c r="I1764" s="25"/>
      <c r="J1764" s="25"/>
      <c r="K1764" s="25"/>
      <c r="L1764" s="25"/>
      <c r="M1764" s="42" t="s">
        <v>253</v>
      </c>
      <c r="N1764" s="41">
        <v>45052</v>
      </c>
      <c r="O1764" s="25">
        <v>175</v>
      </c>
      <c r="P1764" s="25">
        <v>0</v>
      </c>
      <c r="Q1764" s="25"/>
      <c r="R1764" s="25"/>
      <c r="S1764" s="25"/>
      <c r="T1764" s="10"/>
    </row>
    <row r="1765" s="35" customFormat="1" ht="18.5" customHeight="1" spans="1:20">
      <c r="A1765" s="9"/>
      <c r="B1765" s="25"/>
      <c r="C1765" s="25"/>
      <c r="D1765" s="25"/>
      <c r="E1765" s="25"/>
      <c r="F1765" s="25"/>
      <c r="G1765" s="25"/>
      <c r="H1765" s="25"/>
      <c r="I1765" s="25"/>
      <c r="J1765" s="25"/>
      <c r="K1765" s="25"/>
      <c r="L1765" s="25"/>
      <c r="M1765" s="42" t="s">
        <v>253</v>
      </c>
      <c r="N1765" s="41">
        <v>44978</v>
      </c>
      <c r="O1765" s="25">
        <v>175</v>
      </c>
      <c r="P1765" s="25">
        <v>0</v>
      </c>
      <c r="Q1765" s="25"/>
      <c r="R1765" s="25"/>
      <c r="S1765" s="25"/>
      <c r="T1765" s="10"/>
    </row>
    <row r="1766" s="35" customFormat="1" ht="18.5" customHeight="1" spans="1:20">
      <c r="A1766" s="9"/>
      <c r="B1766" s="25"/>
      <c r="C1766" s="25"/>
      <c r="D1766" s="25"/>
      <c r="E1766" s="25"/>
      <c r="F1766" s="25"/>
      <c r="G1766" s="25"/>
      <c r="H1766" s="25"/>
      <c r="I1766" s="25"/>
      <c r="J1766" s="25"/>
      <c r="K1766" s="25"/>
      <c r="L1766" s="25"/>
      <c r="M1766" s="42" t="s">
        <v>253</v>
      </c>
      <c r="N1766" s="41">
        <v>45258</v>
      </c>
      <c r="O1766" s="25">
        <v>174</v>
      </c>
      <c r="P1766" s="25">
        <v>0</v>
      </c>
      <c r="Q1766" s="25"/>
      <c r="R1766" s="25"/>
      <c r="S1766" s="25"/>
      <c r="T1766" s="10"/>
    </row>
    <row r="1767" s="35" customFormat="1" ht="18.5" customHeight="1" spans="1:20">
      <c r="A1767" s="9"/>
      <c r="B1767" s="25"/>
      <c r="C1767" s="25"/>
      <c r="D1767" s="25"/>
      <c r="E1767" s="25"/>
      <c r="F1767" s="25"/>
      <c r="G1767" s="25"/>
      <c r="H1767" s="25"/>
      <c r="I1767" s="25"/>
      <c r="J1767" s="25"/>
      <c r="K1767" s="25"/>
      <c r="L1767" s="25"/>
      <c r="M1767" s="42" t="s">
        <v>253</v>
      </c>
      <c r="N1767" s="41">
        <v>45058</v>
      </c>
      <c r="O1767" s="25">
        <v>174</v>
      </c>
      <c r="P1767" s="25">
        <v>0</v>
      </c>
      <c r="Q1767" s="25"/>
      <c r="R1767" s="25"/>
      <c r="S1767" s="25"/>
      <c r="T1767" s="10"/>
    </row>
    <row r="1768" s="35" customFormat="1" ht="18.5" customHeight="1" spans="1:20">
      <c r="A1768" s="9"/>
      <c r="B1768" s="25"/>
      <c r="C1768" s="25"/>
      <c r="D1768" s="25"/>
      <c r="E1768" s="25"/>
      <c r="F1768" s="25"/>
      <c r="G1768" s="25"/>
      <c r="H1768" s="25"/>
      <c r="I1768" s="25"/>
      <c r="J1768" s="25"/>
      <c r="K1768" s="25"/>
      <c r="L1768" s="25"/>
      <c r="M1768" s="42" t="s">
        <v>253</v>
      </c>
      <c r="N1768" s="41">
        <v>45265</v>
      </c>
      <c r="O1768" s="25">
        <v>173</v>
      </c>
      <c r="P1768" s="25">
        <v>0</v>
      </c>
      <c r="Q1768" s="25"/>
      <c r="R1768" s="25"/>
      <c r="S1768" s="25"/>
      <c r="T1768" s="10"/>
    </row>
    <row r="1769" s="35" customFormat="1" ht="18.5" customHeight="1" spans="1:20">
      <c r="A1769" s="9"/>
      <c r="B1769" s="25"/>
      <c r="C1769" s="25"/>
      <c r="D1769" s="25"/>
      <c r="E1769" s="25"/>
      <c r="F1769" s="25"/>
      <c r="G1769" s="25"/>
      <c r="H1769" s="25"/>
      <c r="I1769" s="25"/>
      <c r="J1769" s="25"/>
      <c r="K1769" s="25"/>
      <c r="L1769" s="25"/>
      <c r="M1769" s="42" t="s">
        <v>253</v>
      </c>
      <c r="N1769" s="41">
        <v>45019</v>
      </c>
      <c r="O1769" s="25">
        <v>172</v>
      </c>
      <c r="P1769" s="25">
        <v>0</v>
      </c>
      <c r="Q1769" s="25"/>
      <c r="R1769" s="25"/>
      <c r="S1769" s="25"/>
      <c r="T1769" s="10"/>
    </row>
    <row r="1770" s="35" customFormat="1" ht="18.5" customHeight="1" spans="1:20">
      <c r="A1770" s="9"/>
      <c r="B1770" s="25"/>
      <c r="C1770" s="25"/>
      <c r="D1770" s="25"/>
      <c r="E1770" s="25"/>
      <c r="F1770" s="25"/>
      <c r="G1770" s="25"/>
      <c r="H1770" s="25"/>
      <c r="I1770" s="25"/>
      <c r="J1770" s="25"/>
      <c r="K1770" s="25"/>
      <c r="L1770" s="25"/>
      <c r="M1770" s="42" t="s">
        <v>253</v>
      </c>
      <c r="N1770" s="41">
        <v>45275</v>
      </c>
      <c r="O1770" s="25">
        <v>171</v>
      </c>
      <c r="P1770" s="25">
        <v>0</v>
      </c>
      <c r="Q1770" s="25"/>
      <c r="R1770" s="25"/>
      <c r="S1770" s="25"/>
      <c r="T1770" s="10"/>
    </row>
    <row r="1771" s="35" customFormat="1" ht="18.5" customHeight="1" spans="1:20">
      <c r="A1771" s="9"/>
      <c r="B1771" s="25"/>
      <c r="C1771" s="25"/>
      <c r="D1771" s="25"/>
      <c r="E1771" s="25"/>
      <c r="F1771" s="25"/>
      <c r="G1771" s="25"/>
      <c r="H1771" s="25"/>
      <c r="I1771" s="25"/>
      <c r="J1771" s="25"/>
      <c r="K1771" s="25"/>
      <c r="L1771" s="25"/>
      <c r="M1771" s="42" t="s">
        <v>253</v>
      </c>
      <c r="N1771" s="41">
        <v>45208</v>
      </c>
      <c r="O1771" s="25">
        <v>171</v>
      </c>
      <c r="P1771" s="25">
        <v>0</v>
      </c>
      <c r="Q1771" s="25"/>
      <c r="R1771" s="25"/>
      <c r="S1771" s="25"/>
      <c r="T1771" s="10"/>
    </row>
    <row r="1772" s="35" customFormat="1" ht="18.5" customHeight="1" spans="1:20">
      <c r="A1772" s="9"/>
      <c r="B1772" s="25"/>
      <c r="C1772" s="25"/>
      <c r="D1772" s="25"/>
      <c r="E1772" s="25"/>
      <c r="F1772" s="25"/>
      <c r="G1772" s="25"/>
      <c r="H1772" s="25"/>
      <c r="I1772" s="25"/>
      <c r="J1772" s="25"/>
      <c r="K1772" s="25"/>
      <c r="L1772" s="25"/>
      <c r="M1772" s="42" t="s">
        <v>253</v>
      </c>
      <c r="N1772" s="41">
        <v>45224</v>
      </c>
      <c r="O1772" s="25">
        <v>170</v>
      </c>
      <c r="P1772" s="25">
        <v>0</v>
      </c>
      <c r="Q1772" s="25"/>
      <c r="R1772" s="25"/>
      <c r="S1772" s="25"/>
      <c r="T1772" s="10"/>
    </row>
    <row r="1773" s="35" customFormat="1" ht="18.5" customHeight="1" spans="1:20">
      <c r="A1773" s="9"/>
      <c r="B1773" s="25"/>
      <c r="C1773" s="25"/>
      <c r="D1773" s="25"/>
      <c r="E1773" s="25"/>
      <c r="F1773" s="25"/>
      <c r="G1773" s="25"/>
      <c r="H1773" s="25"/>
      <c r="I1773" s="25"/>
      <c r="J1773" s="25"/>
      <c r="K1773" s="25"/>
      <c r="L1773" s="25"/>
      <c r="M1773" s="42" t="s">
        <v>253</v>
      </c>
      <c r="N1773" s="41">
        <v>45020</v>
      </c>
      <c r="O1773" s="25">
        <v>169</v>
      </c>
      <c r="P1773" s="25">
        <v>0</v>
      </c>
      <c r="Q1773" s="25"/>
      <c r="R1773" s="25"/>
      <c r="S1773" s="25"/>
      <c r="T1773" s="10"/>
    </row>
    <row r="1774" s="35" customFormat="1" ht="18.5" customHeight="1" spans="1:20">
      <c r="A1774" s="9"/>
      <c r="B1774" s="25"/>
      <c r="C1774" s="25"/>
      <c r="D1774" s="25"/>
      <c r="E1774" s="25"/>
      <c r="F1774" s="25"/>
      <c r="G1774" s="25"/>
      <c r="H1774" s="25"/>
      <c r="I1774" s="25"/>
      <c r="J1774" s="25"/>
      <c r="K1774" s="25"/>
      <c r="L1774" s="25"/>
      <c r="M1774" s="42" t="s">
        <v>253</v>
      </c>
      <c r="N1774" s="41">
        <v>45161</v>
      </c>
      <c r="O1774" s="25">
        <v>168</v>
      </c>
      <c r="P1774" s="25">
        <v>0</v>
      </c>
      <c r="Q1774" s="25"/>
      <c r="R1774" s="25"/>
      <c r="S1774" s="25"/>
      <c r="T1774" s="10"/>
    </row>
    <row r="1775" s="35" customFormat="1" ht="18.5" customHeight="1" spans="1:20">
      <c r="A1775" s="9"/>
      <c r="B1775" s="25"/>
      <c r="C1775" s="25"/>
      <c r="D1775" s="25"/>
      <c r="E1775" s="25"/>
      <c r="F1775" s="25"/>
      <c r="G1775" s="25"/>
      <c r="H1775" s="25"/>
      <c r="I1775" s="25"/>
      <c r="J1775" s="25"/>
      <c r="K1775" s="25"/>
      <c r="L1775" s="25"/>
      <c r="M1775" s="42" t="s">
        <v>253</v>
      </c>
      <c r="N1775" s="41">
        <v>45276</v>
      </c>
      <c r="O1775" s="25">
        <v>166</v>
      </c>
      <c r="P1775" s="25">
        <v>0</v>
      </c>
      <c r="Q1775" s="25"/>
      <c r="R1775" s="25"/>
      <c r="S1775" s="25"/>
      <c r="T1775" s="10"/>
    </row>
    <row r="1776" s="35" customFormat="1" ht="18.5" customHeight="1" spans="1:20">
      <c r="A1776" s="9"/>
      <c r="B1776" s="25"/>
      <c r="C1776" s="25"/>
      <c r="D1776" s="25"/>
      <c r="E1776" s="25"/>
      <c r="F1776" s="25"/>
      <c r="G1776" s="25"/>
      <c r="H1776" s="25"/>
      <c r="I1776" s="25"/>
      <c r="J1776" s="25"/>
      <c r="K1776" s="25"/>
      <c r="L1776" s="25"/>
      <c r="M1776" s="42" t="s">
        <v>253</v>
      </c>
      <c r="N1776" s="41">
        <v>45218</v>
      </c>
      <c r="O1776" s="25">
        <v>164</v>
      </c>
      <c r="P1776" s="25">
        <v>0</v>
      </c>
      <c r="Q1776" s="25"/>
      <c r="R1776" s="25"/>
      <c r="S1776" s="25"/>
      <c r="T1776" s="10"/>
    </row>
    <row r="1777" s="35" customFormat="1" ht="18.5" customHeight="1" spans="1:20">
      <c r="A1777" s="9"/>
      <c r="B1777" s="25"/>
      <c r="C1777" s="25"/>
      <c r="D1777" s="25"/>
      <c r="E1777" s="25"/>
      <c r="F1777" s="25"/>
      <c r="G1777" s="25"/>
      <c r="H1777" s="25"/>
      <c r="I1777" s="25"/>
      <c r="J1777" s="25"/>
      <c r="K1777" s="25"/>
      <c r="L1777" s="25"/>
      <c r="M1777" s="42" t="s">
        <v>253</v>
      </c>
      <c r="N1777" s="41">
        <v>45285</v>
      </c>
      <c r="O1777" s="25">
        <v>162</v>
      </c>
      <c r="P1777" s="25">
        <v>0</v>
      </c>
      <c r="Q1777" s="25"/>
      <c r="R1777" s="25"/>
      <c r="S1777" s="25"/>
      <c r="T1777" s="10"/>
    </row>
    <row r="1778" s="35" customFormat="1" ht="18.5" customHeight="1" spans="1:20">
      <c r="A1778" s="9"/>
      <c r="B1778" s="25"/>
      <c r="C1778" s="25"/>
      <c r="D1778" s="25"/>
      <c r="E1778" s="25"/>
      <c r="F1778" s="25"/>
      <c r="G1778" s="25"/>
      <c r="H1778" s="25"/>
      <c r="I1778" s="25"/>
      <c r="J1778" s="25"/>
      <c r="K1778" s="25"/>
      <c r="L1778" s="25"/>
      <c r="M1778" s="42" t="s">
        <v>253</v>
      </c>
      <c r="N1778" s="41">
        <v>45071</v>
      </c>
      <c r="O1778" s="25">
        <v>161</v>
      </c>
      <c r="P1778" s="25">
        <v>0</v>
      </c>
      <c r="Q1778" s="25"/>
      <c r="R1778" s="25"/>
      <c r="S1778" s="25"/>
      <c r="T1778" s="10"/>
    </row>
    <row r="1779" s="35" customFormat="1" ht="18.5" customHeight="1" spans="1:20">
      <c r="A1779" s="9"/>
      <c r="B1779" s="25"/>
      <c r="C1779" s="25"/>
      <c r="D1779" s="25"/>
      <c r="E1779" s="25"/>
      <c r="F1779" s="25"/>
      <c r="G1779" s="25"/>
      <c r="H1779" s="25"/>
      <c r="I1779" s="25"/>
      <c r="J1779" s="25"/>
      <c r="K1779" s="25"/>
      <c r="L1779" s="25"/>
      <c r="M1779" s="42" t="s">
        <v>253</v>
      </c>
      <c r="N1779" s="41">
        <v>45263</v>
      </c>
      <c r="O1779" s="25">
        <v>159</v>
      </c>
      <c r="P1779" s="25">
        <v>0</v>
      </c>
      <c r="Q1779" s="25"/>
      <c r="R1779" s="25"/>
      <c r="S1779" s="25"/>
      <c r="T1779" s="10"/>
    </row>
    <row r="1780" s="35" customFormat="1" ht="18.5" customHeight="1" spans="1:20">
      <c r="A1780" s="9"/>
      <c r="B1780" s="25"/>
      <c r="C1780" s="25"/>
      <c r="D1780" s="25"/>
      <c r="E1780" s="25"/>
      <c r="F1780" s="25"/>
      <c r="G1780" s="25"/>
      <c r="H1780" s="25"/>
      <c r="I1780" s="25"/>
      <c r="J1780" s="25"/>
      <c r="K1780" s="25"/>
      <c r="L1780" s="25"/>
      <c r="M1780" s="42" t="s">
        <v>253</v>
      </c>
      <c r="N1780" s="41">
        <v>45251</v>
      </c>
      <c r="O1780" s="25">
        <v>159</v>
      </c>
      <c r="P1780" s="25">
        <v>0</v>
      </c>
      <c r="Q1780" s="25"/>
      <c r="R1780" s="25"/>
      <c r="S1780" s="25"/>
      <c r="T1780" s="10"/>
    </row>
    <row r="1781" s="35" customFormat="1" ht="18.5" customHeight="1" spans="1:20">
      <c r="A1781" s="9"/>
      <c r="B1781" s="25"/>
      <c r="C1781" s="25"/>
      <c r="D1781" s="25"/>
      <c r="E1781" s="25"/>
      <c r="F1781" s="25"/>
      <c r="G1781" s="25"/>
      <c r="H1781" s="25"/>
      <c r="I1781" s="25"/>
      <c r="J1781" s="25"/>
      <c r="K1781" s="25"/>
      <c r="L1781" s="25"/>
      <c r="M1781" s="42" t="s">
        <v>253</v>
      </c>
      <c r="N1781" s="41">
        <v>45250</v>
      </c>
      <c r="O1781" s="25">
        <v>159</v>
      </c>
      <c r="P1781" s="25">
        <v>0</v>
      </c>
      <c r="Q1781" s="25"/>
      <c r="R1781" s="25"/>
      <c r="S1781" s="25"/>
      <c r="T1781" s="10"/>
    </row>
    <row r="1782" s="35" customFormat="1" ht="18.5" customHeight="1" spans="1:20">
      <c r="A1782" s="9"/>
      <c r="B1782" s="25"/>
      <c r="C1782" s="25"/>
      <c r="D1782" s="25"/>
      <c r="E1782" s="25"/>
      <c r="F1782" s="25"/>
      <c r="G1782" s="25"/>
      <c r="H1782" s="25"/>
      <c r="I1782" s="25"/>
      <c r="J1782" s="25"/>
      <c r="K1782" s="25"/>
      <c r="L1782" s="25"/>
      <c r="M1782" s="42" t="s">
        <v>253</v>
      </c>
      <c r="N1782" s="41">
        <v>45253</v>
      </c>
      <c r="O1782" s="25">
        <v>159</v>
      </c>
      <c r="P1782" s="25">
        <v>0</v>
      </c>
      <c r="Q1782" s="25"/>
      <c r="R1782" s="25"/>
      <c r="S1782" s="25"/>
      <c r="T1782" s="10"/>
    </row>
    <row r="1783" s="35" customFormat="1" ht="18.5" customHeight="1" spans="1:20">
      <c r="A1783" s="9"/>
      <c r="B1783" s="25"/>
      <c r="C1783" s="25"/>
      <c r="D1783" s="25"/>
      <c r="E1783" s="25"/>
      <c r="F1783" s="25"/>
      <c r="G1783" s="25"/>
      <c r="H1783" s="25"/>
      <c r="I1783" s="25"/>
      <c r="J1783" s="25"/>
      <c r="K1783" s="25"/>
      <c r="L1783" s="25"/>
      <c r="M1783" s="42" t="s">
        <v>253</v>
      </c>
      <c r="N1783" s="41">
        <v>45268</v>
      </c>
      <c r="O1783" s="25">
        <v>157</v>
      </c>
      <c r="P1783" s="25">
        <v>0</v>
      </c>
      <c r="Q1783" s="25"/>
      <c r="R1783" s="25"/>
      <c r="S1783" s="25"/>
      <c r="T1783" s="10"/>
    </row>
    <row r="1784" s="35" customFormat="1" ht="18.5" customHeight="1" spans="1:20">
      <c r="A1784" s="9"/>
      <c r="B1784" s="25"/>
      <c r="C1784" s="25"/>
      <c r="D1784" s="25"/>
      <c r="E1784" s="25"/>
      <c r="F1784" s="25"/>
      <c r="G1784" s="25"/>
      <c r="H1784" s="25"/>
      <c r="I1784" s="25"/>
      <c r="J1784" s="25"/>
      <c r="K1784" s="25"/>
      <c r="L1784" s="25"/>
      <c r="M1784" s="42" t="s">
        <v>253</v>
      </c>
      <c r="N1784" s="41">
        <v>45091</v>
      </c>
      <c r="O1784" s="25">
        <v>157</v>
      </c>
      <c r="P1784" s="25">
        <v>0</v>
      </c>
      <c r="Q1784" s="25"/>
      <c r="R1784" s="25"/>
      <c r="S1784" s="25"/>
      <c r="T1784" s="10"/>
    </row>
    <row r="1785" s="35" customFormat="1" ht="18.5" customHeight="1" spans="1:20">
      <c r="A1785" s="9"/>
      <c r="B1785" s="25"/>
      <c r="C1785" s="25"/>
      <c r="D1785" s="25"/>
      <c r="E1785" s="25"/>
      <c r="F1785" s="25"/>
      <c r="G1785" s="25"/>
      <c r="H1785" s="25"/>
      <c r="I1785" s="25"/>
      <c r="J1785" s="25"/>
      <c r="K1785" s="25"/>
      <c r="L1785" s="25"/>
      <c r="M1785" s="42" t="s">
        <v>253</v>
      </c>
      <c r="N1785" s="41">
        <v>45255</v>
      </c>
      <c r="O1785" s="25">
        <v>156</v>
      </c>
      <c r="P1785" s="25">
        <v>0</v>
      </c>
      <c r="Q1785" s="25"/>
      <c r="R1785" s="25"/>
      <c r="S1785" s="25"/>
      <c r="T1785" s="10"/>
    </row>
    <row r="1786" s="35" customFormat="1" ht="18.5" customHeight="1" spans="1:20">
      <c r="A1786" s="9"/>
      <c r="B1786" s="25"/>
      <c r="C1786" s="25"/>
      <c r="D1786" s="25"/>
      <c r="E1786" s="25"/>
      <c r="F1786" s="25"/>
      <c r="G1786" s="25"/>
      <c r="H1786" s="25"/>
      <c r="I1786" s="25"/>
      <c r="J1786" s="25"/>
      <c r="K1786" s="25"/>
      <c r="L1786" s="25"/>
      <c r="M1786" s="42" t="s">
        <v>253</v>
      </c>
      <c r="N1786" s="41">
        <v>45017</v>
      </c>
      <c r="O1786" s="25">
        <v>156</v>
      </c>
      <c r="P1786" s="25">
        <v>0</v>
      </c>
      <c r="Q1786" s="25"/>
      <c r="R1786" s="25"/>
      <c r="S1786" s="25"/>
      <c r="T1786" s="10"/>
    </row>
    <row r="1787" s="35" customFormat="1" ht="18.5" customHeight="1" spans="1:20">
      <c r="A1787" s="9"/>
      <c r="B1787" s="25"/>
      <c r="C1787" s="25"/>
      <c r="D1787" s="25"/>
      <c r="E1787" s="25"/>
      <c r="F1787" s="25"/>
      <c r="G1787" s="25"/>
      <c r="H1787" s="25"/>
      <c r="I1787" s="25"/>
      <c r="J1787" s="25"/>
      <c r="K1787" s="25"/>
      <c r="L1787" s="25"/>
      <c r="M1787" s="42" t="s">
        <v>253</v>
      </c>
      <c r="N1787" s="41">
        <v>45279</v>
      </c>
      <c r="O1787" s="25">
        <v>152</v>
      </c>
      <c r="P1787" s="25">
        <v>0</v>
      </c>
      <c r="Q1787" s="25"/>
      <c r="R1787" s="25"/>
      <c r="S1787" s="25"/>
      <c r="T1787" s="10"/>
    </row>
    <row r="1788" s="35" customFormat="1" ht="18.5" customHeight="1" spans="1:20">
      <c r="A1788" s="9"/>
      <c r="B1788" s="25"/>
      <c r="C1788" s="25"/>
      <c r="D1788" s="25"/>
      <c r="E1788" s="25"/>
      <c r="F1788" s="25"/>
      <c r="G1788" s="25"/>
      <c r="H1788" s="25"/>
      <c r="I1788" s="25"/>
      <c r="J1788" s="25"/>
      <c r="K1788" s="25"/>
      <c r="L1788" s="25"/>
      <c r="M1788" s="42" t="s">
        <v>253</v>
      </c>
      <c r="N1788" s="41">
        <v>45169</v>
      </c>
      <c r="O1788" s="25">
        <v>152</v>
      </c>
      <c r="P1788" s="25">
        <v>0</v>
      </c>
      <c r="Q1788" s="25"/>
      <c r="R1788" s="25"/>
      <c r="S1788" s="25"/>
      <c r="T1788" s="10"/>
    </row>
    <row r="1789" s="35" customFormat="1" ht="18.5" customHeight="1" spans="1:20">
      <c r="A1789" s="9"/>
      <c r="B1789" s="25"/>
      <c r="C1789" s="25"/>
      <c r="D1789" s="25"/>
      <c r="E1789" s="25"/>
      <c r="F1789" s="25"/>
      <c r="G1789" s="25"/>
      <c r="H1789" s="25"/>
      <c r="I1789" s="25"/>
      <c r="J1789" s="25"/>
      <c r="K1789" s="25"/>
      <c r="L1789" s="25"/>
      <c r="M1789" s="42" t="s">
        <v>253</v>
      </c>
      <c r="N1789" s="41">
        <v>45219</v>
      </c>
      <c r="O1789" s="25">
        <v>150</v>
      </c>
      <c r="P1789" s="25">
        <v>0</v>
      </c>
      <c r="Q1789" s="25"/>
      <c r="R1789" s="25"/>
      <c r="S1789" s="25"/>
      <c r="T1789" s="10"/>
    </row>
    <row r="1790" s="35" customFormat="1" ht="18.5" customHeight="1" spans="1:20">
      <c r="A1790" s="9"/>
      <c r="B1790" s="25"/>
      <c r="C1790" s="25"/>
      <c r="D1790" s="25"/>
      <c r="E1790" s="25"/>
      <c r="F1790" s="25"/>
      <c r="G1790" s="25"/>
      <c r="H1790" s="25"/>
      <c r="I1790" s="25"/>
      <c r="J1790" s="25"/>
      <c r="K1790" s="25"/>
      <c r="L1790" s="25"/>
      <c r="M1790" s="42" t="s">
        <v>253</v>
      </c>
      <c r="N1790" s="41">
        <v>45131</v>
      </c>
      <c r="O1790" s="25">
        <v>150</v>
      </c>
      <c r="P1790" s="25">
        <v>0</v>
      </c>
      <c r="Q1790" s="25"/>
      <c r="R1790" s="25"/>
      <c r="S1790" s="25"/>
      <c r="T1790" s="10"/>
    </row>
    <row r="1791" s="35" customFormat="1" ht="18.5" customHeight="1" spans="1:20">
      <c r="A1791" s="9"/>
      <c r="B1791" s="25"/>
      <c r="C1791" s="25"/>
      <c r="D1791" s="25"/>
      <c r="E1791" s="25"/>
      <c r="F1791" s="25"/>
      <c r="G1791" s="25"/>
      <c r="H1791" s="25"/>
      <c r="I1791" s="25"/>
      <c r="J1791" s="25"/>
      <c r="K1791" s="25"/>
      <c r="L1791" s="25"/>
      <c r="M1791" s="42" t="s">
        <v>253</v>
      </c>
      <c r="N1791" s="41">
        <v>45250</v>
      </c>
      <c r="O1791" s="25">
        <v>150</v>
      </c>
      <c r="P1791" s="25">
        <v>0</v>
      </c>
      <c r="Q1791" s="25"/>
      <c r="R1791" s="25"/>
      <c r="S1791" s="25"/>
      <c r="T1791" s="10"/>
    </row>
    <row r="1792" s="35" customFormat="1" ht="18.5" customHeight="1" spans="1:20">
      <c r="A1792" s="9"/>
      <c r="B1792" s="25"/>
      <c r="C1792" s="25"/>
      <c r="D1792" s="25"/>
      <c r="E1792" s="25"/>
      <c r="F1792" s="25"/>
      <c r="G1792" s="25"/>
      <c r="H1792" s="25"/>
      <c r="I1792" s="25"/>
      <c r="J1792" s="25"/>
      <c r="K1792" s="25"/>
      <c r="L1792" s="25"/>
      <c r="M1792" s="42" t="s">
        <v>253</v>
      </c>
      <c r="N1792" s="41">
        <v>45034</v>
      </c>
      <c r="O1792" s="25">
        <v>149</v>
      </c>
      <c r="P1792" s="25">
        <v>0</v>
      </c>
      <c r="Q1792" s="25"/>
      <c r="R1792" s="25"/>
      <c r="S1792" s="25"/>
      <c r="T1792" s="10"/>
    </row>
    <row r="1793" s="35" customFormat="1" ht="18.5" customHeight="1" spans="1:20">
      <c r="A1793" s="9"/>
      <c r="B1793" s="25"/>
      <c r="C1793" s="25"/>
      <c r="D1793" s="25"/>
      <c r="E1793" s="25"/>
      <c r="F1793" s="25"/>
      <c r="G1793" s="25"/>
      <c r="H1793" s="25"/>
      <c r="I1793" s="25"/>
      <c r="J1793" s="25"/>
      <c r="K1793" s="25"/>
      <c r="L1793" s="25"/>
      <c r="M1793" s="42" t="s">
        <v>253</v>
      </c>
      <c r="N1793" s="41">
        <v>45026</v>
      </c>
      <c r="O1793" s="25">
        <v>149</v>
      </c>
      <c r="P1793" s="25">
        <v>0</v>
      </c>
      <c r="Q1793" s="25"/>
      <c r="R1793" s="25"/>
      <c r="S1793" s="25"/>
      <c r="T1793" s="10"/>
    </row>
    <row r="1794" s="35" customFormat="1" ht="18.5" customHeight="1" spans="1:20">
      <c r="A1794" s="9"/>
      <c r="B1794" s="25"/>
      <c r="C1794" s="25"/>
      <c r="D1794" s="25"/>
      <c r="E1794" s="25"/>
      <c r="F1794" s="25"/>
      <c r="G1794" s="25"/>
      <c r="H1794" s="25"/>
      <c r="I1794" s="25"/>
      <c r="J1794" s="25"/>
      <c r="K1794" s="25"/>
      <c r="L1794" s="25"/>
      <c r="M1794" s="42" t="s">
        <v>253</v>
      </c>
      <c r="N1794" s="41">
        <v>45259</v>
      </c>
      <c r="O1794" s="25">
        <v>148</v>
      </c>
      <c r="P1794" s="25">
        <v>0</v>
      </c>
      <c r="Q1794" s="25"/>
      <c r="R1794" s="25"/>
      <c r="S1794" s="25"/>
      <c r="T1794" s="10"/>
    </row>
    <row r="1795" s="35" customFormat="1" ht="18.5" customHeight="1" spans="1:20">
      <c r="A1795" s="9"/>
      <c r="B1795" s="25"/>
      <c r="C1795" s="25"/>
      <c r="D1795" s="25"/>
      <c r="E1795" s="25"/>
      <c r="F1795" s="25"/>
      <c r="G1795" s="25"/>
      <c r="H1795" s="25"/>
      <c r="I1795" s="25"/>
      <c r="J1795" s="25"/>
      <c r="K1795" s="25"/>
      <c r="L1795" s="25"/>
      <c r="M1795" s="42" t="s">
        <v>253</v>
      </c>
      <c r="N1795" s="41">
        <v>45268</v>
      </c>
      <c r="O1795" s="25">
        <v>145</v>
      </c>
      <c r="P1795" s="25">
        <v>0</v>
      </c>
      <c r="Q1795" s="25"/>
      <c r="R1795" s="25"/>
      <c r="S1795" s="25"/>
      <c r="T1795" s="10"/>
    </row>
    <row r="1796" s="35" customFormat="1" ht="18.5" customHeight="1" spans="1:20">
      <c r="A1796" s="9"/>
      <c r="B1796" s="25"/>
      <c r="C1796" s="25"/>
      <c r="D1796" s="25"/>
      <c r="E1796" s="25"/>
      <c r="F1796" s="25"/>
      <c r="G1796" s="25"/>
      <c r="H1796" s="25"/>
      <c r="I1796" s="25"/>
      <c r="J1796" s="25"/>
      <c r="K1796" s="25"/>
      <c r="L1796" s="25"/>
      <c r="M1796" s="42" t="s">
        <v>253</v>
      </c>
      <c r="N1796" s="41">
        <v>45260</v>
      </c>
      <c r="O1796" s="25">
        <v>145</v>
      </c>
      <c r="P1796" s="25">
        <v>0</v>
      </c>
      <c r="Q1796" s="25"/>
      <c r="R1796" s="25"/>
      <c r="S1796" s="25"/>
      <c r="T1796" s="10"/>
    </row>
    <row r="1797" s="35" customFormat="1" ht="18.5" customHeight="1" spans="1:20">
      <c r="A1797" s="9"/>
      <c r="B1797" s="25"/>
      <c r="C1797" s="25"/>
      <c r="D1797" s="25"/>
      <c r="E1797" s="25"/>
      <c r="F1797" s="25"/>
      <c r="G1797" s="25"/>
      <c r="H1797" s="25"/>
      <c r="I1797" s="25"/>
      <c r="J1797" s="25"/>
      <c r="K1797" s="25"/>
      <c r="L1797" s="25"/>
      <c r="M1797" s="42" t="s">
        <v>253</v>
      </c>
      <c r="N1797" s="41">
        <v>44975</v>
      </c>
      <c r="O1797" s="25">
        <v>145</v>
      </c>
      <c r="P1797" s="25">
        <v>0</v>
      </c>
      <c r="Q1797" s="25"/>
      <c r="R1797" s="25"/>
      <c r="S1797" s="25"/>
      <c r="T1797" s="10"/>
    </row>
    <row r="1798" s="35" customFormat="1" ht="18.5" customHeight="1" spans="1:20">
      <c r="A1798" s="9"/>
      <c r="B1798" s="25"/>
      <c r="C1798" s="25"/>
      <c r="D1798" s="25"/>
      <c r="E1798" s="25"/>
      <c r="F1798" s="25"/>
      <c r="G1798" s="25"/>
      <c r="H1798" s="25"/>
      <c r="I1798" s="25"/>
      <c r="J1798" s="25"/>
      <c r="K1798" s="25"/>
      <c r="L1798" s="25"/>
      <c r="M1798" s="42" t="s">
        <v>253</v>
      </c>
      <c r="N1798" s="41">
        <v>45243</v>
      </c>
      <c r="O1798" s="25">
        <v>145</v>
      </c>
      <c r="P1798" s="25">
        <v>0</v>
      </c>
      <c r="Q1798" s="25"/>
      <c r="R1798" s="25"/>
      <c r="S1798" s="25"/>
      <c r="T1798" s="10"/>
    </row>
    <row r="1799" s="35" customFormat="1" ht="18.5" customHeight="1" spans="1:20">
      <c r="A1799" s="9"/>
      <c r="B1799" s="25"/>
      <c r="C1799" s="25"/>
      <c r="D1799" s="25"/>
      <c r="E1799" s="25"/>
      <c r="F1799" s="25"/>
      <c r="G1799" s="25"/>
      <c r="H1799" s="25"/>
      <c r="I1799" s="25"/>
      <c r="J1799" s="25"/>
      <c r="K1799" s="25"/>
      <c r="L1799" s="25"/>
      <c r="M1799" s="42" t="s">
        <v>253</v>
      </c>
      <c r="N1799" s="41">
        <v>45267</v>
      </c>
      <c r="O1799" s="25">
        <v>139</v>
      </c>
      <c r="P1799" s="25">
        <v>0</v>
      </c>
      <c r="Q1799" s="25"/>
      <c r="R1799" s="25"/>
      <c r="S1799" s="25"/>
      <c r="T1799" s="10"/>
    </row>
    <row r="1800" s="35" customFormat="1" ht="18.5" customHeight="1" spans="1:20">
      <c r="A1800" s="9"/>
      <c r="B1800" s="25"/>
      <c r="C1800" s="25"/>
      <c r="D1800" s="25"/>
      <c r="E1800" s="25"/>
      <c r="F1800" s="25"/>
      <c r="G1800" s="25"/>
      <c r="H1800" s="25"/>
      <c r="I1800" s="25"/>
      <c r="J1800" s="25"/>
      <c r="K1800" s="25"/>
      <c r="L1800" s="25"/>
      <c r="M1800" s="42" t="s">
        <v>253</v>
      </c>
      <c r="N1800" s="41">
        <v>45255</v>
      </c>
      <c r="O1800" s="25">
        <v>139</v>
      </c>
      <c r="P1800" s="25">
        <v>0</v>
      </c>
      <c r="Q1800" s="25"/>
      <c r="R1800" s="25"/>
      <c r="S1800" s="25"/>
      <c r="T1800" s="10"/>
    </row>
    <row r="1801" s="35" customFormat="1" ht="18.5" customHeight="1" spans="1:20">
      <c r="A1801" s="9"/>
      <c r="B1801" s="25"/>
      <c r="C1801" s="25"/>
      <c r="D1801" s="25"/>
      <c r="E1801" s="25"/>
      <c r="F1801" s="25"/>
      <c r="G1801" s="25"/>
      <c r="H1801" s="25"/>
      <c r="I1801" s="25"/>
      <c r="J1801" s="25"/>
      <c r="K1801" s="25"/>
      <c r="L1801" s="25"/>
      <c r="M1801" s="42" t="s">
        <v>253</v>
      </c>
      <c r="N1801" s="41">
        <v>45254</v>
      </c>
      <c r="O1801" s="25">
        <v>139</v>
      </c>
      <c r="P1801" s="25">
        <v>0</v>
      </c>
      <c r="Q1801" s="25"/>
      <c r="R1801" s="25"/>
      <c r="S1801" s="25"/>
      <c r="T1801" s="10"/>
    </row>
    <row r="1802" s="35" customFormat="1" ht="18.5" customHeight="1" spans="1:20">
      <c r="A1802" s="9"/>
      <c r="B1802" s="25"/>
      <c r="C1802" s="25"/>
      <c r="D1802" s="25"/>
      <c r="E1802" s="25"/>
      <c r="F1802" s="25"/>
      <c r="G1802" s="25"/>
      <c r="H1802" s="25"/>
      <c r="I1802" s="25"/>
      <c r="J1802" s="25"/>
      <c r="K1802" s="25"/>
      <c r="L1802" s="25"/>
      <c r="M1802" s="42" t="s">
        <v>253</v>
      </c>
      <c r="N1802" s="41">
        <v>45237</v>
      </c>
      <c r="O1802" s="25">
        <v>139</v>
      </c>
      <c r="P1802" s="25">
        <v>0</v>
      </c>
      <c r="Q1802" s="25"/>
      <c r="R1802" s="25"/>
      <c r="S1802" s="25"/>
      <c r="T1802" s="10"/>
    </row>
    <row r="1803" s="35" customFormat="1" ht="18.5" customHeight="1" spans="1:20">
      <c r="A1803" s="9"/>
      <c r="B1803" s="25"/>
      <c r="C1803" s="25"/>
      <c r="D1803" s="25"/>
      <c r="E1803" s="25"/>
      <c r="F1803" s="25"/>
      <c r="G1803" s="25"/>
      <c r="H1803" s="25"/>
      <c r="I1803" s="25"/>
      <c r="J1803" s="25"/>
      <c r="K1803" s="25"/>
      <c r="L1803" s="25"/>
      <c r="M1803" s="42" t="s">
        <v>253</v>
      </c>
      <c r="N1803" s="41">
        <v>45257</v>
      </c>
      <c r="O1803" s="25">
        <v>133</v>
      </c>
      <c r="P1803" s="25">
        <v>0</v>
      </c>
      <c r="Q1803" s="25"/>
      <c r="R1803" s="25"/>
      <c r="S1803" s="25"/>
      <c r="T1803" s="10"/>
    </row>
    <row r="1804" s="35" customFormat="1" ht="18.5" customHeight="1" spans="1:20">
      <c r="A1804" s="9"/>
      <c r="B1804" s="25"/>
      <c r="C1804" s="25"/>
      <c r="D1804" s="25"/>
      <c r="E1804" s="25"/>
      <c r="F1804" s="25"/>
      <c r="G1804" s="25"/>
      <c r="H1804" s="25"/>
      <c r="I1804" s="25"/>
      <c r="J1804" s="25"/>
      <c r="K1804" s="25"/>
      <c r="L1804" s="25"/>
      <c r="M1804" s="42" t="s">
        <v>253</v>
      </c>
      <c r="N1804" s="41">
        <v>45017</v>
      </c>
      <c r="O1804" s="25">
        <v>133</v>
      </c>
      <c r="P1804" s="25">
        <v>0</v>
      </c>
      <c r="Q1804" s="25"/>
      <c r="R1804" s="25"/>
      <c r="S1804" s="25"/>
      <c r="T1804" s="10"/>
    </row>
    <row r="1805" s="35" customFormat="1" ht="18.5" customHeight="1" spans="1:20">
      <c r="A1805" s="9"/>
      <c r="B1805" s="25"/>
      <c r="C1805" s="25"/>
      <c r="D1805" s="25"/>
      <c r="E1805" s="25"/>
      <c r="F1805" s="25"/>
      <c r="G1805" s="25"/>
      <c r="H1805" s="25"/>
      <c r="I1805" s="25"/>
      <c r="J1805" s="25"/>
      <c r="K1805" s="25"/>
      <c r="L1805" s="25"/>
      <c r="M1805" s="42" t="s">
        <v>253</v>
      </c>
      <c r="N1805" s="41">
        <v>45010</v>
      </c>
      <c r="O1805" s="25">
        <v>132</v>
      </c>
      <c r="P1805" s="25">
        <v>0</v>
      </c>
      <c r="Q1805" s="25"/>
      <c r="R1805" s="25"/>
      <c r="S1805" s="25"/>
      <c r="T1805" s="10"/>
    </row>
    <row r="1806" s="35" customFormat="1" ht="18.5" customHeight="1" spans="1:20">
      <c r="A1806" s="9"/>
      <c r="B1806" s="25"/>
      <c r="C1806" s="25"/>
      <c r="D1806" s="25"/>
      <c r="E1806" s="25"/>
      <c r="F1806" s="25"/>
      <c r="G1806" s="25"/>
      <c r="H1806" s="25"/>
      <c r="I1806" s="25"/>
      <c r="J1806" s="25"/>
      <c r="K1806" s="25"/>
      <c r="L1806" s="25"/>
      <c r="M1806" s="42" t="s">
        <v>253</v>
      </c>
      <c r="N1806" s="41">
        <v>45283</v>
      </c>
      <c r="O1806" s="25">
        <v>130</v>
      </c>
      <c r="P1806" s="25">
        <v>0</v>
      </c>
      <c r="Q1806" s="25"/>
      <c r="R1806" s="25"/>
      <c r="S1806" s="25"/>
      <c r="T1806" s="10"/>
    </row>
    <row r="1807" s="35" customFormat="1" ht="18.5" customHeight="1" spans="1:20">
      <c r="A1807" s="9"/>
      <c r="B1807" s="25"/>
      <c r="C1807" s="25"/>
      <c r="D1807" s="25"/>
      <c r="E1807" s="25"/>
      <c r="F1807" s="25"/>
      <c r="G1807" s="25"/>
      <c r="H1807" s="25"/>
      <c r="I1807" s="25"/>
      <c r="J1807" s="25"/>
      <c r="K1807" s="25"/>
      <c r="L1807" s="25"/>
      <c r="M1807" s="42" t="s">
        <v>253</v>
      </c>
      <c r="N1807" s="41">
        <v>45267</v>
      </c>
      <c r="O1807" s="25">
        <v>130</v>
      </c>
      <c r="P1807" s="25">
        <v>0</v>
      </c>
      <c r="Q1807" s="25"/>
      <c r="R1807" s="25"/>
      <c r="S1807" s="25"/>
      <c r="T1807" s="10"/>
    </row>
    <row r="1808" s="35" customFormat="1" ht="18.5" customHeight="1" spans="1:20">
      <c r="A1808" s="9"/>
      <c r="B1808" s="25"/>
      <c r="C1808" s="25"/>
      <c r="D1808" s="25"/>
      <c r="E1808" s="25"/>
      <c r="F1808" s="25"/>
      <c r="G1808" s="25"/>
      <c r="H1808" s="25"/>
      <c r="I1808" s="25"/>
      <c r="J1808" s="25"/>
      <c r="K1808" s="25"/>
      <c r="L1808" s="25"/>
      <c r="M1808" s="42" t="s">
        <v>253</v>
      </c>
      <c r="N1808" s="41">
        <v>45257</v>
      </c>
      <c r="O1808" s="25">
        <v>128</v>
      </c>
      <c r="P1808" s="25">
        <v>0</v>
      </c>
      <c r="Q1808" s="25"/>
      <c r="R1808" s="25"/>
      <c r="S1808" s="25"/>
      <c r="T1808" s="10"/>
    </row>
    <row r="1809" s="35" customFormat="1" ht="18.5" customHeight="1" spans="1:20">
      <c r="A1809" s="9"/>
      <c r="B1809" s="25"/>
      <c r="C1809" s="25"/>
      <c r="D1809" s="25"/>
      <c r="E1809" s="25"/>
      <c r="F1809" s="25"/>
      <c r="G1809" s="25"/>
      <c r="H1809" s="25"/>
      <c r="I1809" s="25"/>
      <c r="J1809" s="25"/>
      <c r="K1809" s="25"/>
      <c r="L1809" s="25"/>
      <c r="M1809" s="42" t="s">
        <v>253</v>
      </c>
      <c r="N1809" s="41">
        <v>45258</v>
      </c>
      <c r="O1809" s="25">
        <v>125</v>
      </c>
      <c r="P1809" s="25">
        <v>0</v>
      </c>
      <c r="Q1809" s="25"/>
      <c r="R1809" s="25"/>
      <c r="S1809" s="25"/>
      <c r="T1809" s="10"/>
    </row>
    <row r="1810" s="35" customFormat="1" ht="18.5" customHeight="1" spans="1:20">
      <c r="A1810" s="9"/>
      <c r="B1810" s="25"/>
      <c r="C1810" s="25"/>
      <c r="D1810" s="25"/>
      <c r="E1810" s="25"/>
      <c r="F1810" s="25"/>
      <c r="G1810" s="25"/>
      <c r="H1810" s="25"/>
      <c r="I1810" s="25"/>
      <c r="J1810" s="25"/>
      <c r="K1810" s="25"/>
      <c r="L1810" s="25"/>
      <c r="M1810" s="42" t="s">
        <v>253</v>
      </c>
      <c r="N1810" s="41">
        <v>45219</v>
      </c>
      <c r="O1810" s="25">
        <v>125</v>
      </c>
      <c r="P1810" s="25">
        <v>0</v>
      </c>
      <c r="Q1810" s="25"/>
      <c r="R1810" s="25"/>
      <c r="S1810" s="25"/>
      <c r="T1810" s="10"/>
    </row>
    <row r="1811" s="35" customFormat="1" ht="18.5" customHeight="1" spans="1:20">
      <c r="A1811" s="9"/>
      <c r="B1811" s="25"/>
      <c r="C1811" s="25"/>
      <c r="D1811" s="25"/>
      <c r="E1811" s="25"/>
      <c r="F1811" s="25"/>
      <c r="G1811" s="25"/>
      <c r="H1811" s="25"/>
      <c r="I1811" s="25"/>
      <c r="J1811" s="25"/>
      <c r="K1811" s="25"/>
      <c r="L1811" s="25"/>
      <c r="M1811" s="42" t="s">
        <v>253</v>
      </c>
      <c r="N1811" s="41">
        <v>45241</v>
      </c>
      <c r="O1811" s="25">
        <v>124</v>
      </c>
      <c r="P1811" s="25">
        <v>0</v>
      </c>
      <c r="Q1811" s="25"/>
      <c r="R1811" s="25"/>
      <c r="S1811" s="25"/>
      <c r="T1811" s="10"/>
    </row>
    <row r="1812" s="35" customFormat="1" ht="18.5" customHeight="1" spans="1:20">
      <c r="A1812" s="9"/>
      <c r="B1812" s="25"/>
      <c r="C1812" s="25"/>
      <c r="D1812" s="25"/>
      <c r="E1812" s="25"/>
      <c r="F1812" s="25"/>
      <c r="G1812" s="25"/>
      <c r="H1812" s="25"/>
      <c r="I1812" s="25"/>
      <c r="J1812" s="25"/>
      <c r="K1812" s="25"/>
      <c r="L1812" s="25"/>
      <c r="M1812" s="42" t="s">
        <v>253</v>
      </c>
      <c r="N1812" s="41">
        <v>45283</v>
      </c>
      <c r="O1812" s="25">
        <v>123</v>
      </c>
      <c r="P1812" s="25">
        <v>0</v>
      </c>
      <c r="Q1812" s="25"/>
      <c r="R1812" s="25"/>
      <c r="S1812" s="25"/>
      <c r="T1812" s="10"/>
    </row>
    <row r="1813" s="35" customFormat="1" ht="18.5" customHeight="1" spans="1:20">
      <c r="A1813" s="9"/>
      <c r="B1813" s="25"/>
      <c r="C1813" s="25"/>
      <c r="D1813" s="25"/>
      <c r="E1813" s="25"/>
      <c r="F1813" s="25"/>
      <c r="G1813" s="25"/>
      <c r="H1813" s="25"/>
      <c r="I1813" s="25"/>
      <c r="J1813" s="25"/>
      <c r="K1813" s="25"/>
      <c r="L1813" s="25"/>
      <c r="M1813" s="42" t="s">
        <v>253</v>
      </c>
      <c r="N1813" s="41">
        <v>45244</v>
      </c>
      <c r="O1813" s="25">
        <v>122</v>
      </c>
      <c r="P1813" s="25">
        <v>0</v>
      </c>
      <c r="Q1813" s="25"/>
      <c r="R1813" s="25"/>
      <c r="S1813" s="25"/>
      <c r="T1813" s="10"/>
    </row>
    <row r="1814" s="35" customFormat="1" ht="18.5" customHeight="1" spans="1:20">
      <c r="A1814" s="9"/>
      <c r="B1814" s="25"/>
      <c r="C1814" s="25"/>
      <c r="D1814" s="25"/>
      <c r="E1814" s="25"/>
      <c r="F1814" s="25"/>
      <c r="G1814" s="25"/>
      <c r="H1814" s="25"/>
      <c r="I1814" s="25"/>
      <c r="J1814" s="25"/>
      <c r="K1814" s="25"/>
      <c r="L1814" s="25"/>
      <c r="M1814" s="42" t="s">
        <v>253</v>
      </c>
      <c r="N1814" s="41">
        <v>45279</v>
      </c>
      <c r="O1814" s="25">
        <v>121</v>
      </c>
      <c r="P1814" s="25">
        <v>0</v>
      </c>
      <c r="Q1814" s="25"/>
      <c r="R1814" s="25"/>
      <c r="S1814" s="25"/>
      <c r="T1814" s="10"/>
    </row>
    <row r="1815" s="35" customFormat="1" ht="18.5" customHeight="1" spans="1:20">
      <c r="A1815" s="9"/>
      <c r="B1815" s="25"/>
      <c r="C1815" s="25"/>
      <c r="D1815" s="25"/>
      <c r="E1815" s="25"/>
      <c r="F1815" s="25"/>
      <c r="G1815" s="25"/>
      <c r="H1815" s="25"/>
      <c r="I1815" s="25"/>
      <c r="J1815" s="25"/>
      <c r="K1815" s="25"/>
      <c r="L1815" s="25"/>
      <c r="M1815" s="42" t="s">
        <v>253</v>
      </c>
      <c r="N1815" s="41">
        <v>45262</v>
      </c>
      <c r="O1815" s="25">
        <v>120</v>
      </c>
      <c r="P1815" s="25">
        <v>0</v>
      </c>
      <c r="Q1815" s="25"/>
      <c r="R1815" s="25"/>
      <c r="S1815" s="25"/>
      <c r="T1815" s="10"/>
    </row>
    <row r="1816" s="35" customFormat="1" ht="18.5" customHeight="1" spans="1:20">
      <c r="A1816" s="9"/>
      <c r="B1816" s="25"/>
      <c r="C1816" s="25"/>
      <c r="D1816" s="25"/>
      <c r="E1816" s="25"/>
      <c r="F1816" s="25"/>
      <c r="G1816" s="25"/>
      <c r="H1816" s="25"/>
      <c r="I1816" s="25"/>
      <c r="J1816" s="25"/>
      <c r="K1816" s="25"/>
      <c r="L1816" s="25"/>
      <c r="M1816" s="42" t="s">
        <v>253</v>
      </c>
      <c r="N1816" s="41">
        <v>45261</v>
      </c>
      <c r="O1816" s="25">
        <v>120</v>
      </c>
      <c r="P1816" s="25">
        <v>0</v>
      </c>
      <c r="Q1816" s="25"/>
      <c r="R1816" s="25"/>
      <c r="S1816" s="25"/>
      <c r="T1816" s="10"/>
    </row>
    <row r="1817" s="35" customFormat="1" ht="18.5" customHeight="1" spans="1:20">
      <c r="A1817" s="9"/>
      <c r="B1817" s="25"/>
      <c r="C1817" s="25"/>
      <c r="D1817" s="25"/>
      <c r="E1817" s="25"/>
      <c r="F1817" s="25"/>
      <c r="G1817" s="25"/>
      <c r="H1817" s="25"/>
      <c r="I1817" s="25"/>
      <c r="J1817" s="25"/>
      <c r="K1817" s="25"/>
      <c r="L1817" s="25"/>
      <c r="M1817" s="42" t="s">
        <v>253</v>
      </c>
      <c r="N1817" s="41">
        <v>45105</v>
      </c>
      <c r="O1817" s="25">
        <v>120</v>
      </c>
      <c r="P1817" s="25">
        <v>0</v>
      </c>
      <c r="Q1817" s="25"/>
      <c r="R1817" s="25"/>
      <c r="S1817" s="25"/>
      <c r="T1817" s="10"/>
    </row>
    <row r="1818" s="35" customFormat="1" ht="18.5" customHeight="1" spans="1:20">
      <c r="A1818" s="9"/>
      <c r="B1818" s="25"/>
      <c r="C1818" s="25"/>
      <c r="D1818" s="25"/>
      <c r="E1818" s="25"/>
      <c r="F1818" s="25"/>
      <c r="G1818" s="25"/>
      <c r="H1818" s="25"/>
      <c r="I1818" s="25"/>
      <c r="J1818" s="25"/>
      <c r="K1818" s="25"/>
      <c r="L1818" s="25"/>
      <c r="M1818" s="42" t="s">
        <v>253</v>
      </c>
      <c r="N1818" s="41">
        <v>45241</v>
      </c>
      <c r="O1818" s="25">
        <v>118</v>
      </c>
      <c r="P1818" s="25">
        <v>0</v>
      </c>
      <c r="Q1818" s="25"/>
      <c r="R1818" s="25"/>
      <c r="S1818" s="25"/>
      <c r="T1818" s="10"/>
    </row>
    <row r="1819" s="35" customFormat="1" ht="18.5" customHeight="1" spans="1:20">
      <c r="A1819" s="9"/>
      <c r="B1819" s="25"/>
      <c r="C1819" s="25"/>
      <c r="D1819" s="25"/>
      <c r="E1819" s="25"/>
      <c r="F1819" s="25"/>
      <c r="G1819" s="25"/>
      <c r="H1819" s="25"/>
      <c r="I1819" s="25"/>
      <c r="J1819" s="25"/>
      <c r="K1819" s="25"/>
      <c r="L1819" s="25"/>
      <c r="M1819" s="42" t="s">
        <v>253</v>
      </c>
      <c r="N1819" s="41">
        <v>45275</v>
      </c>
      <c r="O1819" s="25">
        <v>116</v>
      </c>
      <c r="P1819" s="25">
        <v>0</v>
      </c>
      <c r="Q1819" s="25"/>
      <c r="R1819" s="25"/>
      <c r="S1819" s="25"/>
      <c r="T1819" s="10"/>
    </row>
    <row r="1820" s="35" customFormat="1" ht="18.5" customHeight="1" spans="1:20">
      <c r="A1820" s="9"/>
      <c r="B1820" s="25"/>
      <c r="C1820" s="25"/>
      <c r="D1820" s="25"/>
      <c r="E1820" s="25"/>
      <c r="F1820" s="25"/>
      <c r="G1820" s="25"/>
      <c r="H1820" s="25"/>
      <c r="I1820" s="25"/>
      <c r="J1820" s="25"/>
      <c r="K1820" s="25"/>
      <c r="L1820" s="25"/>
      <c r="M1820" s="42" t="s">
        <v>253</v>
      </c>
      <c r="N1820" s="41">
        <v>45251</v>
      </c>
      <c r="O1820" s="25">
        <v>114</v>
      </c>
      <c r="P1820" s="25">
        <v>0</v>
      </c>
      <c r="Q1820" s="25"/>
      <c r="R1820" s="25"/>
      <c r="S1820" s="25"/>
      <c r="T1820" s="10"/>
    </row>
    <row r="1821" s="35" customFormat="1" ht="18.5" customHeight="1" spans="1:20">
      <c r="A1821" s="9"/>
      <c r="B1821" s="25"/>
      <c r="C1821" s="25"/>
      <c r="D1821" s="25"/>
      <c r="E1821" s="25"/>
      <c r="F1821" s="25"/>
      <c r="G1821" s="25"/>
      <c r="H1821" s="25"/>
      <c r="I1821" s="25"/>
      <c r="J1821" s="25"/>
      <c r="K1821" s="25"/>
      <c r="L1821" s="25"/>
      <c r="M1821" s="42" t="s">
        <v>253</v>
      </c>
      <c r="N1821" s="41">
        <v>45278</v>
      </c>
      <c r="O1821" s="25">
        <v>113</v>
      </c>
      <c r="P1821" s="25">
        <v>0</v>
      </c>
      <c r="Q1821" s="25"/>
      <c r="R1821" s="25"/>
      <c r="S1821" s="25"/>
      <c r="T1821" s="10"/>
    </row>
    <row r="1822" s="35" customFormat="1" ht="18.5" customHeight="1" spans="1:20">
      <c r="A1822" s="9"/>
      <c r="B1822" s="25"/>
      <c r="C1822" s="25"/>
      <c r="D1822" s="25"/>
      <c r="E1822" s="25"/>
      <c r="F1822" s="25"/>
      <c r="G1822" s="25"/>
      <c r="H1822" s="25"/>
      <c r="I1822" s="25"/>
      <c r="J1822" s="25"/>
      <c r="K1822" s="25"/>
      <c r="L1822" s="25"/>
      <c r="M1822" s="42" t="s">
        <v>253</v>
      </c>
      <c r="N1822" s="41">
        <v>45275</v>
      </c>
      <c r="O1822" s="25">
        <v>111</v>
      </c>
      <c r="P1822" s="25">
        <v>0</v>
      </c>
      <c r="Q1822" s="25"/>
      <c r="R1822" s="25"/>
      <c r="S1822" s="25"/>
      <c r="T1822" s="10"/>
    </row>
    <row r="1823" s="35" customFormat="1" ht="18.5" customHeight="1" spans="1:20">
      <c r="A1823" s="9"/>
      <c r="B1823" s="25"/>
      <c r="C1823" s="25"/>
      <c r="D1823" s="25"/>
      <c r="E1823" s="25"/>
      <c r="F1823" s="25"/>
      <c r="G1823" s="25"/>
      <c r="H1823" s="25"/>
      <c r="I1823" s="25"/>
      <c r="J1823" s="25"/>
      <c r="K1823" s="25"/>
      <c r="L1823" s="25"/>
      <c r="M1823" s="42" t="s">
        <v>253</v>
      </c>
      <c r="N1823" s="41">
        <v>45261</v>
      </c>
      <c r="O1823" s="25">
        <v>110</v>
      </c>
      <c r="P1823" s="25">
        <v>0</v>
      </c>
      <c r="Q1823" s="25"/>
      <c r="R1823" s="25"/>
      <c r="S1823" s="25"/>
      <c r="T1823" s="10"/>
    </row>
    <row r="1824" s="35" customFormat="1" ht="18.5" customHeight="1" spans="1:20">
      <c r="A1824" s="9"/>
      <c r="B1824" s="25"/>
      <c r="C1824" s="25"/>
      <c r="D1824" s="25"/>
      <c r="E1824" s="25"/>
      <c r="F1824" s="25"/>
      <c r="G1824" s="25"/>
      <c r="H1824" s="25"/>
      <c r="I1824" s="25"/>
      <c r="J1824" s="25"/>
      <c r="K1824" s="25"/>
      <c r="L1824" s="25"/>
      <c r="M1824" s="42" t="s">
        <v>253</v>
      </c>
      <c r="N1824" s="41">
        <v>45238</v>
      </c>
      <c r="O1824" s="25">
        <v>110</v>
      </c>
      <c r="P1824" s="25">
        <v>0</v>
      </c>
      <c r="Q1824" s="25"/>
      <c r="R1824" s="25"/>
      <c r="S1824" s="25"/>
      <c r="T1824" s="10"/>
    </row>
    <row r="1825" s="35" customFormat="1" ht="18.5" customHeight="1" spans="1:20">
      <c r="A1825" s="9"/>
      <c r="B1825" s="25"/>
      <c r="C1825" s="25"/>
      <c r="D1825" s="25"/>
      <c r="E1825" s="25"/>
      <c r="F1825" s="25"/>
      <c r="G1825" s="25"/>
      <c r="H1825" s="25"/>
      <c r="I1825" s="25"/>
      <c r="J1825" s="25"/>
      <c r="K1825" s="25"/>
      <c r="L1825" s="25"/>
      <c r="M1825" s="42" t="s">
        <v>253</v>
      </c>
      <c r="N1825" s="41">
        <v>45281</v>
      </c>
      <c r="O1825" s="25">
        <v>107</v>
      </c>
      <c r="P1825" s="25">
        <v>0</v>
      </c>
      <c r="Q1825" s="25"/>
      <c r="R1825" s="25"/>
      <c r="S1825" s="25"/>
      <c r="T1825" s="10"/>
    </row>
    <row r="1826" s="35" customFormat="1" ht="18.5" customHeight="1" spans="1:20">
      <c r="A1826" s="9"/>
      <c r="B1826" s="25"/>
      <c r="C1826" s="25"/>
      <c r="D1826" s="25"/>
      <c r="E1826" s="25"/>
      <c r="F1826" s="25"/>
      <c r="G1826" s="25"/>
      <c r="H1826" s="25"/>
      <c r="I1826" s="25"/>
      <c r="J1826" s="25"/>
      <c r="K1826" s="25"/>
      <c r="L1826" s="25"/>
      <c r="M1826" s="42" t="s">
        <v>253</v>
      </c>
      <c r="N1826" s="41">
        <v>45274</v>
      </c>
      <c r="O1826" s="25">
        <v>104</v>
      </c>
      <c r="P1826" s="25">
        <v>0</v>
      </c>
      <c r="Q1826" s="25"/>
      <c r="R1826" s="25"/>
      <c r="S1826" s="25"/>
      <c r="T1826" s="10"/>
    </row>
    <row r="1827" s="35" customFormat="1" ht="18.5" customHeight="1" spans="1:20">
      <c r="A1827" s="9"/>
      <c r="B1827" s="25"/>
      <c r="C1827" s="25"/>
      <c r="D1827" s="25"/>
      <c r="E1827" s="25"/>
      <c r="F1827" s="25"/>
      <c r="G1827" s="25"/>
      <c r="H1827" s="25"/>
      <c r="I1827" s="25"/>
      <c r="J1827" s="25"/>
      <c r="K1827" s="25"/>
      <c r="L1827" s="25"/>
      <c r="M1827" s="42" t="s">
        <v>253</v>
      </c>
      <c r="N1827" s="41">
        <v>45241</v>
      </c>
      <c r="O1827" s="25">
        <v>100</v>
      </c>
      <c r="P1827" s="25">
        <v>0</v>
      </c>
      <c r="Q1827" s="25"/>
      <c r="R1827" s="25"/>
      <c r="S1827" s="25"/>
      <c r="T1827" s="10"/>
    </row>
    <row r="1828" s="35" customFormat="1" ht="18.5" customHeight="1" spans="1:20">
      <c r="A1828" s="9"/>
      <c r="B1828" s="25"/>
      <c r="C1828" s="25"/>
      <c r="D1828" s="25"/>
      <c r="E1828" s="25"/>
      <c r="F1828" s="25"/>
      <c r="G1828" s="25"/>
      <c r="H1828" s="25"/>
      <c r="I1828" s="25"/>
      <c r="J1828" s="25"/>
      <c r="K1828" s="25"/>
      <c r="L1828" s="25"/>
      <c r="M1828" s="42" t="s">
        <v>253</v>
      </c>
      <c r="N1828" s="41">
        <v>45278</v>
      </c>
      <c r="O1828" s="25">
        <v>98</v>
      </c>
      <c r="P1828" s="25">
        <v>0</v>
      </c>
      <c r="Q1828" s="25"/>
      <c r="R1828" s="25"/>
      <c r="S1828" s="25"/>
      <c r="T1828" s="10"/>
    </row>
    <row r="1829" s="35" customFormat="1" ht="18.5" customHeight="1" spans="1:20">
      <c r="A1829" s="9"/>
      <c r="B1829" s="25"/>
      <c r="C1829" s="25"/>
      <c r="D1829" s="25"/>
      <c r="E1829" s="25"/>
      <c r="F1829" s="25"/>
      <c r="G1829" s="25"/>
      <c r="H1829" s="25"/>
      <c r="I1829" s="25"/>
      <c r="J1829" s="25"/>
      <c r="K1829" s="25"/>
      <c r="L1829" s="25"/>
      <c r="M1829" s="42" t="s">
        <v>253</v>
      </c>
      <c r="N1829" s="41">
        <v>45236</v>
      </c>
      <c r="O1829" s="25">
        <v>89</v>
      </c>
      <c r="P1829" s="25">
        <v>0</v>
      </c>
      <c r="Q1829" s="25"/>
      <c r="R1829" s="25"/>
      <c r="S1829" s="25"/>
      <c r="T1829" s="10"/>
    </row>
    <row r="1830" s="35" customFormat="1" ht="18.5" customHeight="1" spans="1:20">
      <c r="A1830" s="9"/>
      <c r="B1830" s="25"/>
      <c r="C1830" s="25"/>
      <c r="D1830" s="25"/>
      <c r="E1830" s="25"/>
      <c r="F1830" s="25"/>
      <c r="G1830" s="25"/>
      <c r="H1830" s="25"/>
      <c r="I1830" s="25"/>
      <c r="J1830" s="25"/>
      <c r="K1830" s="25"/>
      <c r="L1830" s="25"/>
      <c r="M1830" s="42" t="s">
        <v>253</v>
      </c>
      <c r="N1830" s="41">
        <v>45287</v>
      </c>
      <c r="O1830" s="25">
        <v>88</v>
      </c>
      <c r="P1830" s="25">
        <v>0</v>
      </c>
      <c r="Q1830" s="25"/>
      <c r="R1830" s="25"/>
      <c r="S1830" s="25"/>
      <c r="T1830" s="10"/>
    </row>
    <row r="1831" s="35" customFormat="1" ht="18.5" customHeight="1" spans="1:20">
      <c r="A1831" s="9"/>
      <c r="B1831" s="25"/>
      <c r="C1831" s="25"/>
      <c r="D1831" s="25"/>
      <c r="E1831" s="25"/>
      <c r="F1831" s="25"/>
      <c r="G1831" s="25"/>
      <c r="H1831" s="25"/>
      <c r="I1831" s="25"/>
      <c r="J1831" s="25"/>
      <c r="K1831" s="25"/>
      <c r="L1831" s="25"/>
      <c r="M1831" s="42" t="s">
        <v>253</v>
      </c>
      <c r="N1831" s="41">
        <v>45278</v>
      </c>
      <c r="O1831" s="25">
        <v>86</v>
      </c>
      <c r="P1831" s="25">
        <v>0</v>
      </c>
      <c r="Q1831" s="25"/>
      <c r="R1831" s="25"/>
      <c r="S1831" s="25"/>
      <c r="T1831" s="10"/>
    </row>
    <row r="1832" s="35" customFormat="1" ht="18.5" customHeight="1" spans="1:20">
      <c r="A1832" s="9"/>
      <c r="B1832" s="25"/>
      <c r="C1832" s="25"/>
      <c r="D1832" s="25"/>
      <c r="E1832" s="25"/>
      <c r="F1832" s="25"/>
      <c r="G1832" s="25"/>
      <c r="H1832" s="25"/>
      <c r="I1832" s="25"/>
      <c r="J1832" s="25"/>
      <c r="K1832" s="25"/>
      <c r="L1832" s="25"/>
      <c r="M1832" s="42" t="s">
        <v>253</v>
      </c>
      <c r="N1832" s="41">
        <v>45260</v>
      </c>
      <c r="O1832" s="25">
        <v>85</v>
      </c>
      <c r="P1832" s="25">
        <v>0</v>
      </c>
      <c r="Q1832" s="25"/>
      <c r="R1832" s="25"/>
      <c r="S1832" s="25"/>
      <c r="T1832" s="10"/>
    </row>
    <row r="1833" s="35" customFormat="1" ht="18.5" customHeight="1" spans="1:20">
      <c r="A1833" s="9"/>
      <c r="B1833" s="25"/>
      <c r="C1833" s="25"/>
      <c r="D1833" s="25"/>
      <c r="E1833" s="25"/>
      <c r="F1833" s="25"/>
      <c r="G1833" s="25"/>
      <c r="H1833" s="25"/>
      <c r="I1833" s="25"/>
      <c r="J1833" s="25"/>
      <c r="K1833" s="25"/>
      <c r="L1833" s="25"/>
      <c r="M1833" s="42" t="s">
        <v>253</v>
      </c>
      <c r="N1833" s="41">
        <v>45242</v>
      </c>
      <c r="O1833" s="25">
        <v>73</v>
      </c>
      <c r="P1833" s="25">
        <v>0</v>
      </c>
      <c r="Q1833" s="25"/>
      <c r="R1833" s="25"/>
      <c r="S1833" s="25"/>
      <c r="T1833" s="10"/>
    </row>
    <row r="1834" s="35" customFormat="1" ht="18.5" customHeight="1" spans="1:20">
      <c r="A1834" s="9"/>
      <c r="B1834" s="25"/>
      <c r="C1834" s="25"/>
      <c r="D1834" s="25"/>
      <c r="E1834" s="25"/>
      <c r="F1834" s="25"/>
      <c r="G1834" s="25"/>
      <c r="H1834" s="25"/>
      <c r="I1834" s="25"/>
      <c r="J1834" s="25"/>
      <c r="K1834" s="25"/>
      <c r="L1834" s="25"/>
      <c r="M1834" s="42" t="s">
        <v>253</v>
      </c>
      <c r="N1834" s="41">
        <v>45239</v>
      </c>
      <c r="O1834" s="25">
        <v>73</v>
      </c>
      <c r="P1834" s="25">
        <v>0</v>
      </c>
      <c r="Q1834" s="25"/>
      <c r="R1834" s="25"/>
      <c r="S1834" s="25"/>
      <c r="T1834" s="10"/>
    </row>
    <row r="1835" s="35" customFormat="1" ht="18.5" customHeight="1" spans="1:20">
      <c r="A1835" s="9"/>
      <c r="B1835" s="25"/>
      <c r="C1835" s="25"/>
      <c r="D1835" s="25"/>
      <c r="E1835" s="25"/>
      <c r="F1835" s="25"/>
      <c r="G1835" s="25"/>
      <c r="H1835" s="25"/>
      <c r="I1835" s="25"/>
      <c r="J1835" s="25"/>
      <c r="K1835" s="25"/>
      <c r="L1835" s="25"/>
      <c r="M1835" s="42" t="s">
        <v>253</v>
      </c>
      <c r="N1835" s="41">
        <v>45241</v>
      </c>
      <c r="O1835" s="25">
        <v>46</v>
      </c>
      <c r="P1835" s="25">
        <v>0</v>
      </c>
      <c r="Q1835" s="25"/>
      <c r="R1835" s="25"/>
      <c r="S1835" s="25"/>
      <c r="T1835" s="10"/>
    </row>
    <row r="1836" s="35" customFormat="1" ht="18.5" customHeight="1" spans="1:20">
      <c r="A1836" s="9"/>
      <c r="B1836" s="25"/>
      <c r="C1836" s="25"/>
      <c r="D1836" s="25"/>
      <c r="E1836" s="25"/>
      <c r="F1836" s="25"/>
      <c r="G1836" s="25"/>
      <c r="H1836" s="25"/>
      <c r="I1836" s="25"/>
      <c r="J1836" s="25"/>
      <c r="K1836" s="25"/>
      <c r="L1836" s="25"/>
      <c r="M1836" s="42" t="s">
        <v>253</v>
      </c>
      <c r="N1836" s="41">
        <v>45114</v>
      </c>
      <c r="O1836" s="25">
        <v>344</v>
      </c>
      <c r="P1836" s="25">
        <v>0</v>
      </c>
      <c r="Q1836" s="25"/>
      <c r="R1836" s="25"/>
      <c r="S1836" s="25"/>
      <c r="T1836" s="10"/>
    </row>
    <row r="1837" s="35" customFormat="1" ht="18.5" customHeight="1" spans="1:20">
      <c r="A1837" s="9"/>
      <c r="B1837" s="25"/>
      <c r="C1837" s="25"/>
      <c r="D1837" s="25"/>
      <c r="E1837" s="25"/>
      <c r="F1837" s="25"/>
      <c r="G1837" s="25"/>
      <c r="H1837" s="25"/>
      <c r="I1837" s="25"/>
      <c r="J1837" s="25"/>
      <c r="K1837" s="25"/>
      <c r="L1837" s="25"/>
      <c r="M1837" s="42" t="s">
        <v>253</v>
      </c>
      <c r="N1837" s="41">
        <v>44985</v>
      </c>
      <c r="O1837" s="25">
        <v>714</v>
      </c>
      <c r="P1837" s="25">
        <v>0</v>
      </c>
      <c r="Q1837" s="25"/>
      <c r="R1837" s="25"/>
      <c r="S1837" s="25"/>
      <c r="T1837" s="10"/>
    </row>
    <row r="1838" s="35" customFormat="1" ht="18.5" customHeight="1" spans="1:20">
      <c r="A1838" s="9"/>
      <c r="B1838" s="25"/>
      <c r="C1838" s="25"/>
      <c r="D1838" s="25"/>
      <c r="E1838" s="25"/>
      <c r="F1838" s="25"/>
      <c r="G1838" s="25"/>
      <c r="H1838" s="25"/>
      <c r="I1838" s="25"/>
      <c r="J1838" s="25"/>
      <c r="K1838" s="25"/>
      <c r="L1838" s="25"/>
      <c r="M1838" s="42" t="s">
        <v>253</v>
      </c>
      <c r="N1838" s="41">
        <v>45093</v>
      </c>
      <c r="O1838" s="25">
        <v>461</v>
      </c>
      <c r="P1838" s="25">
        <v>0</v>
      </c>
      <c r="Q1838" s="25"/>
      <c r="R1838" s="25"/>
      <c r="S1838" s="25"/>
      <c r="T1838" s="10"/>
    </row>
    <row r="1839" s="35" customFormat="1" ht="18.5" customHeight="1" spans="1:20">
      <c r="A1839" s="9"/>
      <c r="B1839" s="25"/>
      <c r="C1839" s="25"/>
      <c r="D1839" s="25"/>
      <c r="E1839" s="25"/>
      <c r="F1839" s="25"/>
      <c r="G1839" s="25"/>
      <c r="H1839" s="25"/>
      <c r="I1839" s="25"/>
      <c r="J1839" s="25"/>
      <c r="K1839" s="25"/>
      <c r="L1839" s="25"/>
      <c r="M1839" s="42" t="s">
        <v>253</v>
      </c>
      <c r="N1839" s="41">
        <v>45240</v>
      </c>
      <c r="O1839" s="25">
        <v>315</v>
      </c>
      <c r="P1839" s="25">
        <v>0</v>
      </c>
      <c r="Q1839" s="25"/>
      <c r="R1839" s="25"/>
      <c r="S1839" s="25"/>
      <c r="T1839" s="10"/>
    </row>
    <row r="1840" s="35" customFormat="1" ht="18.5" customHeight="1" spans="1:20">
      <c r="A1840" s="9"/>
      <c r="B1840" s="25"/>
      <c r="C1840" s="25"/>
      <c r="D1840" s="25"/>
      <c r="E1840" s="25"/>
      <c r="F1840" s="25"/>
      <c r="G1840" s="25"/>
      <c r="H1840" s="25"/>
      <c r="I1840" s="25"/>
      <c r="J1840" s="25"/>
      <c r="K1840" s="25"/>
      <c r="L1840" s="25"/>
      <c r="M1840" s="42" t="s">
        <v>253</v>
      </c>
      <c r="N1840" s="41">
        <v>45232</v>
      </c>
      <c r="O1840" s="25">
        <v>297</v>
      </c>
      <c r="P1840" s="25">
        <v>0</v>
      </c>
      <c r="Q1840" s="25"/>
      <c r="R1840" s="25"/>
      <c r="S1840" s="25"/>
      <c r="T1840" s="10"/>
    </row>
    <row r="1841" s="35" customFormat="1" ht="18.5" customHeight="1" spans="1:20">
      <c r="A1841" s="9"/>
      <c r="B1841" s="25"/>
      <c r="C1841" s="25"/>
      <c r="D1841" s="25"/>
      <c r="E1841" s="25"/>
      <c r="F1841" s="25"/>
      <c r="G1841" s="25"/>
      <c r="H1841" s="25"/>
      <c r="I1841" s="25"/>
      <c r="J1841" s="25"/>
      <c r="K1841" s="25"/>
      <c r="L1841" s="25"/>
      <c r="M1841" s="42" t="s">
        <v>253</v>
      </c>
      <c r="N1841" s="41">
        <v>45265</v>
      </c>
      <c r="O1841" s="25">
        <v>181</v>
      </c>
      <c r="P1841" s="25">
        <v>0</v>
      </c>
      <c r="Q1841" s="25"/>
      <c r="R1841" s="25"/>
      <c r="S1841" s="25"/>
      <c r="T1841" s="10"/>
    </row>
    <row r="1842" s="35" customFormat="1" ht="18.5" customHeight="1" spans="1:20">
      <c r="A1842" s="9"/>
      <c r="B1842" s="25"/>
      <c r="C1842" s="25"/>
      <c r="D1842" s="25"/>
      <c r="E1842" s="25"/>
      <c r="F1842" s="25"/>
      <c r="G1842" s="25"/>
      <c r="H1842" s="25"/>
      <c r="I1842" s="25"/>
      <c r="J1842" s="25"/>
      <c r="K1842" s="25"/>
      <c r="L1842" s="25"/>
      <c r="M1842" s="42" t="s">
        <v>253</v>
      </c>
      <c r="N1842" s="41">
        <v>45001</v>
      </c>
      <c r="O1842" s="25">
        <v>770</v>
      </c>
      <c r="P1842" s="25">
        <v>0</v>
      </c>
      <c r="Q1842" s="25"/>
      <c r="R1842" s="25"/>
      <c r="S1842" s="25"/>
      <c r="T1842" s="10"/>
    </row>
    <row r="1843" s="35" customFormat="1" ht="18.5" customHeight="1" spans="1:20">
      <c r="A1843" s="9"/>
      <c r="B1843" s="25"/>
      <c r="C1843" s="25"/>
      <c r="D1843" s="25"/>
      <c r="E1843" s="25"/>
      <c r="F1843" s="25"/>
      <c r="G1843" s="25"/>
      <c r="H1843" s="25"/>
      <c r="I1843" s="25"/>
      <c r="J1843" s="25"/>
      <c r="K1843" s="25"/>
      <c r="L1843" s="25"/>
      <c r="M1843" s="42" t="s">
        <v>253</v>
      </c>
      <c r="N1843" s="41">
        <v>44959</v>
      </c>
      <c r="O1843" s="25">
        <v>2955</v>
      </c>
      <c r="P1843" s="25">
        <v>0</v>
      </c>
      <c r="Q1843" s="25"/>
      <c r="R1843" s="25"/>
      <c r="S1843" s="25"/>
      <c r="T1843" s="10"/>
    </row>
    <row r="1844" s="35" customFormat="1" ht="18.5" customHeight="1" spans="1:20">
      <c r="A1844" s="9"/>
      <c r="B1844" s="25"/>
      <c r="C1844" s="25"/>
      <c r="D1844" s="25"/>
      <c r="E1844" s="25"/>
      <c r="F1844" s="25"/>
      <c r="G1844" s="25"/>
      <c r="H1844" s="25"/>
      <c r="I1844" s="25"/>
      <c r="J1844" s="25"/>
      <c r="K1844" s="25"/>
      <c r="L1844" s="25"/>
      <c r="M1844" s="42" t="s">
        <v>253</v>
      </c>
      <c r="N1844" s="41">
        <v>45209</v>
      </c>
      <c r="O1844" s="25">
        <v>327</v>
      </c>
      <c r="P1844" s="25">
        <v>0</v>
      </c>
      <c r="Q1844" s="25"/>
      <c r="R1844" s="25"/>
      <c r="S1844" s="25"/>
      <c r="T1844" s="10"/>
    </row>
    <row r="1845" s="35" customFormat="1" ht="18.5" customHeight="1" spans="1:20">
      <c r="A1845" s="9"/>
      <c r="B1845" s="25"/>
      <c r="C1845" s="25"/>
      <c r="D1845" s="25"/>
      <c r="E1845" s="25"/>
      <c r="F1845" s="25"/>
      <c r="G1845" s="25"/>
      <c r="H1845" s="25"/>
      <c r="I1845" s="25"/>
      <c r="J1845" s="25"/>
      <c r="K1845" s="25"/>
      <c r="L1845" s="25"/>
      <c r="M1845" s="42" t="s">
        <v>253</v>
      </c>
      <c r="N1845" s="41">
        <v>45002</v>
      </c>
      <c r="O1845" s="25">
        <v>1080</v>
      </c>
      <c r="P1845" s="25">
        <v>0</v>
      </c>
      <c r="Q1845" s="25"/>
      <c r="R1845" s="25"/>
      <c r="S1845" s="25"/>
      <c r="T1845" s="10"/>
    </row>
    <row r="1846" s="35" customFormat="1" ht="18.5" customHeight="1" spans="1:20">
      <c r="A1846" s="9"/>
      <c r="B1846" s="25"/>
      <c r="C1846" s="25"/>
      <c r="D1846" s="25"/>
      <c r="E1846" s="25"/>
      <c r="F1846" s="25"/>
      <c r="G1846" s="25"/>
      <c r="H1846" s="25"/>
      <c r="I1846" s="25"/>
      <c r="J1846" s="25"/>
      <c r="K1846" s="25"/>
      <c r="L1846" s="25"/>
      <c r="M1846" s="42" t="s">
        <v>253</v>
      </c>
      <c r="N1846" s="41">
        <v>45099</v>
      </c>
      <c r="O1846" s="25">
        <v>565</v>
      </c>
      <c r="P1846" s="25">
        <v>0</v>
      </c>
      <c r="Q1846" s="25"/>
      <c r="R1846" s="25"/>
      <c r="S1846" s="25"/>
      <c r="T1846" s="10"/>
    </row>
    <row r="1847" s="35" customFormat="1" ht="18.5" customHeight="1" spans="1:20">
      <c r="A1847" s="9"/>
      <c r="B1847" s="25"/>
      <c r="C1847" s="25"/>
      <c r="D1847" s="25"/>
      <c r="E1847" s="25"/>
      <c r="F1847" s="25"/>
      <c r="G1847" s="25"/>
      <c r="H1847" s="25"/>
      <c r="I1847" s="25"/>
      <c r="J1847" s="25"/>
      <c r="K1847" s="25"/>
      <c r="L1847" s="25"/>
      <c r="M1847" s="42" t="s">
        <v>253</v>
      </c>
      <c r="N1847" s="41">
        <v>45072</v>
      </c>
      <c r="O1847" s="25">
        <v>549</v>
      </c>
      <c r="P1847" s="25">
        <v>0</v>
      </c>
      <c r="Q1847" s="25"/>
      <c r="R1847" s="25"/>
      <c r="S1847" s="25"/>
      <c r="T1847" s="10"/>
    </row>
    <row r="1848" s="35" customFormat="1" ht="18.5" customHeight="1" spans="1:20">
      <c r="A1848" s="9"/>
      <c r="B1848" s="25"/>
      <c r="C1848" s="25"/>
      <c r="D1848" s="25"/>
      <c r="E1848" s="25"/>
      <c r="F1848" s="25"/>
      <c r="G1848" s="25"/>
      <c r="H1848" s="25"/>
      <c r="I1848" s="25"/>
      <c r="J1848" s="25"/>
      <c r="K1848" s="25"/>
      <c r="L1848" s="25"/>
      <c r="M1848" s="42" t="s">
        <v>253</v>
      </c>
      <c r="N1848" s="41">
        <v>45118</v>
      </c>
      <c r="O1848" s="25">
        <v>452</v>
      </c>
      <c r="P1848" s="25">
        <v>0</v>
      </c>
      <c r="Q1848" s="25"/>
      <c r="R1848" s="25"/>
      <c r="S1848" s="25"/>
      <c r="T1848" s="10"/>
    </row>
    <row r="1849" s="35" customFormat="1" ht="18.5" customHeight="1" spans="1:20">
      <c r="A1849" s="9"/>
      <c r="B1849" s="25"/>
      <c r="C1849" s="25"/>
      <c r="D1849" s="25"/>
      <c r="E1849" s="25"/>
      <c r="F1849" s="25"/>
      <c r="G1849" s="25"/>
      <c r="H1849" s="25"/>
      <c r="I1849" s="25"/>
      <c r="J1849" s="25"/>
      <c r="K1849" s="25"/>
      <c r="L1849" s="25"/>
      <c r="M1849" s="42" t="s">
        <v>253</v>
      </c>
      <c r="N1849" s="41">
        <v>45243</v>
      </c>
      <c r="O1849" s="25">
        <v>360</v>
      </c>
      <c r="P1849" s="25">
        <v>0</v>
      </c>
      <c r="Q1849" s="25"/>
      <c r="R1849" s="25"/>
      <c r="S1849" s="25"/>
      <c r="T1849" s="10"/>
    </row>
    <row r="1850" s="35" customFormat="1" ht="18.5" customHeight="1" spans="1:20">
      <c r="A1850" s="9"/>
      <c r="B1850" s="25"/>
      <c r="C1850" s="25"/>
      <c r="D1850" s="25"/>
      <c r="E1850" s="25"/>
      <c r="F1850" s="25"/>
      <c r="G1850" s="25"/>
      <c r="H1850" s="25"/>
      <c r="I1850" s="25"/>
      <c r="J1850" s="25"/>
      <c r="K1850" s="25"/>
      <c r="L1850" s="25"/>
      <c r="M1850" s="42" t="s">
        <v>253</v>
      </c>
      <c r="N1850" s="41">
        <v>45237</v>
      </c>
      <c r="O1850" s="25">
        <v>296</v>
      </c>
      <c r="P1850" s="25">
        <v>0</v>
      </c>
      <c r="Q1850" s="25"/>
      <c r="R1850" s="25"/>
      <c r="S1850" s="25"/>
      <c r="T1850" s="10"/>
    </row>
    <row r="1851" s="35" customFormat="1" ht="18.5" customHeight="1" spans="1:20">
      <c r="A1851" s="9"/>
      <c r="B1851" s="25"/>
      <c r="C1851" s="25"/>
      <c r="D1851" s="25"/>
      <c r="E1851" s="25"/>
      <c r="F1851" s="25"/>
      <c r="G1851" s="25"/>
      <c r="H1851" s="25"/>
      <c r="I1851" s="25"/>
      <c r="J1851" s="25"/>
      <c r="K1851" s="25"/>
      <c r="L1851" s="25"/>
      <c r="M1851" s="42" t="s">
        <v>253</v>
      </c>
      <c r="N1851" s="41">
        <v>45083</v>
      </c>
      <c r="O1851" s="25">
        <v>295</v>
      </c>
      <c r="P1851" s="25">
        <v>0</v>
      </c>
      <c r="Q1851" s="25"/>
      <c r="R1851" s="25"/>
      <c r="S1851" s="25"/>
      <c r="T1851" s="10"/>
    </row>
    <row r="1852" s="35" customFormat="1" ht="18.5" customHeight="1" spans="1:20">
      <c r="A1852" s="9"/>
      <c r="B1852" s="25"/>
      <c r="C1852" s="25"/>
      <c r="D1852" s="25"/>
      <c r="E1852" s="25"/>
      <c r="F1852" s="25"/>
      <c r="G1852" s="25"/>
      <c r="H1852" s="25"/>
      <c r="I1852" s="25"/>
      <c r="J1852" s="25"/>
      <c r="K1852" s="25"/>
      <c r="L1852" s="25"/>
      <c r="M1852" s="42" t="s">
        <v>253</v>
      </c>
      <c r="N1852" s="41">
        <v>45236</v>
      </c>
      <c r="O1852" s="25">
        <v>239</v>
      </c>
      <c r="P1852" s="25">
        <v>0</v>
      </c>
      <c r="Q1852" s="25"/>
      <c r="R1852" s="25"/>
      <c r="S1852" s="25"/>
      <c r="T1852" s="10"/>
    </row>
    <row r="1853" s="35" customFormat="1" ht="18.5" customHeight="1" spans="1:20">
      <c r="A1853" s="9"/>
      <c r="B1853" s="25"/>
      <c r="C1853" s="25"/>
      <c r="D1853" s="25"/>
      <c r="E1853" s="25"/>
      <c r="F1853" s="25"/>
      <c r="G1853" s="25"/>
      <c r="H1853" s="25"/>
      <c r="I1853" s="25"/>
      <c r="J1853" s="25"/>
      <c r="K1853" s="25"/>
      <c r="L1853" s="25"/>
      <c r="M1853" s="42" t="s">
        <v>253</v>
      </c>
      <c r="N1853" s="41">
        <v>45247</v>
      </c>
      <c r="O1853" s="25">
        <v>197</v>
      </c>
      <c r="P1853" s="25">
        <v>0</v>
      </c>
      <c r="Q1853" s="25"/>
      <c r="R1853" s="25"/>
      <c r="S1853" s="25"/>
      <c r="T1853" s="10"/>
    </row>
    <row r="1854" s="35" customFormat="1" ht="18.5" customHeight="1" spans="1:20">
      <c r="A1854" s="9"/>
      <c r="B1854" s="25"/>
      <c r="C1854" s="25"/>
      <c r="D1854" s="25"/>
      <c r="E1854" s="25"/>
      <c r="F1854" s="25"/>
      <c r="G1854" s="25"/>
      <c r="H1854" s="25"/>
      <c r="I1854" s="25"/>
      <c r="J1854" s="25"/>
      <c r="K1854" s="25"/>
      <c r="L1854" s="25"/>
      <c r="M1854" s="42" t="s">
        <v>253</v>
      </c>
      <c r="N1854" s="41">
        <v>45270</v>
      </c>
      <c r="O1854" s="25">
        <v>158</v>
      </c>
      <c r="P1854" s="25">
        <v>0</v>
      </c>
      <c r="Q1854" s="25"/>
      <c r="R1854" s="25"/>
      <c r="S1854" s="25"/>
      <c r="T1854" s="10"/>
    </row>
    <row r="1855" s="35" customFormat="1" ht="18.5" customHeight="1" spans="1:20">
      <c r="A1855" s="9"/>
      <c r="B1855" s="25"/>
      <c r="C1855" s="25"/>
      <c r="D1855" s="25"/>
      <c r="E1855" s="25"/>
      <c r="F1855" s="25"/>
      <c r="G1855" s="25"/>
      <c r="H1855" s="25"/>
      <c r="I1855" s="25"/>
      <c r="J1855" s="25"/>
      <c r="K1855" s="25"/>
      <c r="L1855" s="25"/>
      <c r="M1855" s="42" t="s">
        <v>253</v>
      </c>
      <c r="N1855" s="41">
        <v>45006</v>
      </c>
      <c r="O1855" s="25">
        <v>878</v>
      </c>
      <c r="P1855" s="25">
        <v>0</v>
      </c>
      <c r="Q1855" s="25"/>
      <c r="R1855" s="25"/>
      <c r="S1855" s="25"/>
      <c r="T1855" s="10"/>
    </row>
    <row r="1856" s="35" customFormat="1" ht="18.5" customHeight="1" spans="1:20">
      <c r="A1856" s="9"/>
      <c r="B1856" s="25"/>
      <c r="C1856" s="25"/>
      <c r="D1856" s="25"/>
      <c r="E1856" s="25"/>
      <c r="F1856" s="25"/>
      <c r="G1856" s="25"/>
      <c r="H1856" s="25"/>
      <c r="I1856" s="25"/>
      <c r="J1856" s="25"/>
      <c r="K1856" s="25"/>
      <c r="L1856" s="25"/>
      <c r="M1856" s="42" t="s">
        <v>253</v>
      </c>
      <c r="N1856" s="41">
        <v>44964</v>
      </c>
      <c r="O1856" s="25">
        <v>771</v>
      </c>
      <c r="P1856" s="25">
        <v>0</v>
      </c>
      <c r="Q1856" s="25"/>
      <c r="R1856" s="25"/>
      <c r="S1856" s="25"/>
      <c r="T1856" s="10"/>
    </row>
    <row r="1857" s="35" customFormat="1" ht="18.5" customHeight="1" spans="1:20">
      <c r="A1857" s="9"/>
      <c r="B1857" s="25"/>
      <c r="C1857" s="25"/>
      <c r="D1857" s="25"/>
      <c r="E1857" s="25"/>
      <c r="F1857" s="25"/>
      <c r="G1857" s="25"/>
      <c r="H1857" s="25"/>
      <c r="I1857" s="25"/>
      <c r="J1857" s="25"/>
      <c r="K1857" s="25"/>
      <c r="L1857" s="25"/>
      <c r="M1857" s="42" t="s">
        <v>253</v>
      </c>
      <c r="N1857" s="41">
        <v>44944</v>
      </c>
      <c r="O1857" s="25">
        <v>606</v>
      </c>
      <c r="P1857" s="25">
        <v>0</v>
      </c>
      <c r="Q1857" s="25"/>
      <c r="R1857" s="25"/>
      <c r="S1857" s="25"/>
      <c r="T1857" s="10"/>
    </row>
    <row r="1858" s="35" customFormat="1" ht="18.5" customHeight="1" spans="1:20">
      <c r="A1858" s="9"/>
      <c r="B1858" s="25"/>
      <c r="C1858" s="25"/>
      <c r="D1858" s="25"/>
      <c r="E1858" s="25"/>
      <c r="F1858" s="25"/>
      <c r="G1858" s="25"/>
      <c r="H1858" s="25"/>
      <c r="I1858" s="25"/>
      <c r="J1858" s="25"/>
      <c r="K1858" s="25"/>
      <c r="L1858" s="25"/>
      <c r="M1858" s="42" t="s">
        <v>253</v>
      </c>
      <c r="N1858" s="41">
        <v>45040</v>
      </c>
      <c r="O1858" s="25">
        <v>456</v>
      </c>
      <c r="P1858" s="25">
        <v>0</v>
      </c>
      <c r="Q1858" s="25"/>
      <c r="R1858" s="25"/>
      <c r="S1858" s="25"/>
      <c r="T1858" s="10"/>
    </row>
    <row r="1859" s="35" customFormat="1" ht="18.5" customHeight="1" spans="1:20">
      <c r="A1859" s="9"/>
      <c r="B1859" s="25"/>
      <c r="C1859" s="25"/>
      <c r="D1859" s="25"/>
      <c r="E1859" s="25"/>
      <c r="F1859" s="25"/>
      <c r="G1859" s="25"/>
      <c r="H1859" s="25"/>
      <c r="I1859" s="25"/>
      <c r="J1859" s="25"/>
      <c r="K1859" s="25"/>
      <c r="L1859" s="25"/>
      <c r="M1859" s="42" t="s">
        <v>253</v>
      </c>
      <c r="N1859" s="41">
        <v>45077</v>
      </c>
      <c r="O1859" s="25">
        <v>453</v>
      </c>
      <c r="P1859" s="25">
        <v>0</v>
      </c>
      <c r="Q1859" s="25"/>
      <c r="R1859" s="25"/>
      <c r="S1859" s="25"/>
      <c r="T1859" s="10"/>
    </row>
    <row r="1860" s="35" customFormat="1" ht="18.5" customHeight="1" spans="1:20">
      <c r="A1860" s="9"/>
      <c r="B1860" s="25"/>
      <c r="C1860" s="25"/>
      <c r="D1860" s="25"/>
      <c r="E1860" s="25"/>
      <c r="F1860" s="25"/>
      <c r="G1860" s="25"/>
      <c r="H1860" s="25"/>
      <c r="I1860" s="25"/>
      <c r="J1860" s="25"/>
      <c r="K1860" s="25"/>
      <c r="L1860" s="25"/>
      <c r="M1860" s="42" t="s">
        <v>253</v>
      </c>
      <c r="N1860" s="41">
        <v>45253</v>
      </c>
      <c r="O1860" s="25">
        <v>439</v>
      </c>
      <c r="P1860" s="25">
        <v>0</v>
      </c>
      <c r="Q1860" s="25"/>
      <c r="R1860" s="25"/>
      <c r="S1860" s="25"/>
      <c r="T1860" s="10"/>
    </row>
    <row r="1861" s="35" customFormat="1" ht="18.5" customHeight="1" spans="1:20">
      <c r="A1861" s="9"/>
      <c r="B1861" s="25"/>
      <c r="C1861" s="25"/>
      <c r="D1861" s="25"/>
      <c r="E1861" s="25"/>
      <c r="F1861" s="25"/>
      <c r="G1861" s="25"/>
      <c r="H1861" s="25"/>
      <c r="I1861" s="25"/>
      <c r="J1861" s="25"/>
      <c r="K1861" s="25"/>
      <c r="L1861" s="25"/>
      <c r="M1861" s="42" t="s">
        <v>253</v>
      </c>
      <c r="N1861" s="41">
        <v>45139</v>
      </c>
      <c r="O1861" s="25">
        <v>402</v>
      </c>
      <c r="P1861" s="25">
        <v>0</v>
      </c>
      <c r="Q1861" s="25"/>
      <c r="R1861" s="25"/>
      <c r="S1861" s="25"/>
      <c r="T1861" s="10"/>
    </row>
    <row r="1862" s="35" customFormat="1" ht="18.5" customHeight="1" spans="1:20">
      <c r="A1862" s="9"/>
      <c r="B1862" s="25"/>
      <c r="C1862" s="25"/>
      <c r="D1862" s="25"/>
      <c r="E1862" s="25"/>
      <c r="F1862" s="25"/>
      <c r="G1862" s="25"/>
      <c r="H1862" s="25"/>
      <c r="I1862" s="25"/>
      <c r="J1862" s="25"/>
      <c r="K1862" s="25"/>
      <c r="L1862" s="25"/>
      <c r="M1862" s="42" t="s">
        <v>253</v>
      </c>
      <c r="N1862" s="41">
        <v>45243</v>
      </c>
      <c r="O1862" s="25">
        <v>337</v>
      </c>
      <c r="P1862" s="25">
        <v>0</v>
      </c>
      <c r="Q1862" s="25"/>
      <c r="R1862" s="25"/>
      <c r="S1862" s="25"/>
      <c r="T1862" s="10"/>
    </row>
    <row r="1863" s="35" customFormat="1" ht="18.5" customHeight="1" spans="1:20">
      <c r="A1863" s="9"/>
      <c r="B1863" s="25"/>
      <c r="C1863" s="25"/>
      <c r="D1863" s="25"/>
      <c r="E1863" s="25"/>
      <c r="F1863" s="25"/>
      <c r="G1863" s="25"/>
      <c r="H1863" s="25"/>
      <c r="I1863" s="25"/>
      <c r="J1863" s="25"/>
      <c r="K1863" s="25"/>
      <c r="L1863" s="25"/>
      <c r="M1863" s="42" t="s">
        <v>253</v>
      </c>
      <c r="N1863" s="41">
        <v>45015</v>
      </c>
      <c r="O1863" s="25">
        <v>319</v>
      </c>
      <c r="P1863" s="25">
        <v>0</v>
      </c>
      <c r="Q1863" s="25"/>
      <c r="R1863" s="25"/>
      <c r="S1863" s="25"/>
      <c r="T1863" s="10"/>
    </row>
    <row r="1864" s="35" customFormat="1" ht="18.5" customHeight="1" spans="1:20">
      <c r="A1864" s="9"/>
      <c r="B1864" s="25"/>
      <c r="C1864" s="25"/>
      <c r="D1864" s="25"/>
      <c r="E1864" s="25"/>
      <c r="F1864" s="25"/>
      <c r="G1864" s="25"/>
      <c r="H1864" s="25"/>
      <c r="I1864" s="25"/>
      <c r="J1864" s="25"/>
      <c r="K1864" s="25"/>
      <c r="L1864" s="25"/>
      <c r="M1864" s="42" t="s">
        <v>253</v>
      </c>
      <c r="N1864" s="41">
        <v>45250</v>
      </c>
      <c r="O1864" s="25">
        <v>304</v>
      </c>
      <c r="P1864" s="25">
        <v>0</v>
      </c>
      <c r="Q1864" s="25"/>
      <c r="R1864" s="25"/>
      <c r="S1864" s="25"/>
      <c r="T1864" s="10"/>
    </row>
    <row r="1865" s="35" customFormat="1" ht="18.5" customHeight="1" spans="1:20">
      <c r="A1865" s="9"/>
      <c r="B1865" s="25"/>
      <c r="C1865" s="25"/>
      <c r="D1865" s="25"/>
      <c r="E1865" s="25"/>
      <c r="F1865" s="25"/>
      <c r="G1865" s="25"/>
      <c r="H1865" s="25"/>
      <c r="I1865" s="25"/>
      <c r="J1865" s="25"/>
      <c r="K1865" s="25"/>
      <c r="L1865" s="25"/>
      <c r="M1865" s="42" t="s">
        <v>253</v>
      </c>
      <c r="N1865" s="41">
        <v>45231</v>
      </c>
      <c r="O1865" s="25">
        <v>302</v>
      </c>
      <c r="P1865" s="25">
        <v>0</v>
      </c>
      <c r="Q1865" s="25"/>
      <c r="R1865" s="25"/>
      <c r="S1865" s="25"/>
      <c r="T1865" s="10"/>
    </row>
    <row r="1866" s="35" customFormat="1" ht="18.5" customHeight="1" spans="1:20">
      <c r="A1866" s="9"/>
      <c r="B1866" s="25"/>
      <c r="C1866" s="25"/>
      <c r="D1866" s="25"/>
      <c r="E1866" s="25"/>
      <c r="F1866" s="25"/>
      <c r="G1866" s="25"/>
      <c r="H1866" s="25"/>
      <c r="I1866" s="25"/>
      <c r="J1866" s="25"/>
      <c r="K1866" s="25"/>
      <c r="L1866" s="25"/>
      <c r="M1866" s="42" t="s">
        <v>253</v>
      </c>
      <c r="N1866" s="41">
        <v>45059</v>
      </c>
      <c r="O1866" s="25">
        <v>297</v>
      </c>
      <c r="P1866" s="25">
        <v>0</v>
      </c>
      <c r="Q1866" s="25"/>
      <c r="R1866" s="25"/>
      <c r="S1866" s="25"/>
      <c r="T1866" s="10"/>
    </row>
    <row r="1867" s="35" customFormat="1" ht="18.5" customHeight="1" spans="1:20">
      <c r="A1867" s="9"/>
      <c r="B1867" s="25"/>
      <c r="C1867" s="25"/>
      <c r="D1867" s="25"/>
      <c r="E1867" s="25"/>
      <c r="F1867" s="25"/>
      <c r="G1867" s="25"/>
      <c r="H1867" s="25"/>
      <c r="I1867" s="25"/>
      <c r="J1867" s="25"/>
      <c r="K1867" s="25"/>
      <c r="L1867" s="25"/>
      <c r="M1867" s="42" t="s">
        <v>253</v>
      </c>
      <c r="N1867" s="41">
        <v>45207</v>
      </c>
      <c r="O1867" s="25">
        <v>228</v>
      </c>
      <c r="P1867" s="25">
        <v>0</v>
      </c>
      <c r="Q1867" s="25"/>
      <c r="R1867" s="25"/>
      <c r="S1867" s="25"/>
      <c r="T1867" s="10"/>
    </row>
    <row r="1868" s="35" customFormat="1" ht="18.5" customHeight="1" spans="1:20">
      <c r="A1868" s="9"/>
      <c r="B1868" s="25"/>
      <c r="C1868" s="25"/>
      <c r="D1868" s="25"/>
      <c r="E1868" s="25"/>
      <c r="F1868" s="25"/>
      <c r="G1868" s="25"/>
      <c r="H1868" s="25"/>
      <c r="I1868" s="25"/>
      <c r="J1868" s="25"/>
      <c r="K1868" s="25"/>
      <c r="L1868" s="25"/>
      <c r="M1868" s="42" t="s">
        <v>253</v>
      </c>
      <c r="N1868" s="41">
        <v>45247</v>
      </c>
      <c r="O1868" s="25">
        <v>197</v>
      </c>
      <c r="P1868" s="25">
        <v>0</v>
      </c>
      <c r="Q1868" s="25"/>
      <c r="R1868" s="25"/>
      <c r="S1868" s="25"/>
      <c r="T1868" s="10"/>
    </row>
    <row r="1869" s="35" customFormat="1" ht="18.5" customHeight="1" spans="1:20">
      <c r="A1869" s="9"/>
      <c r="B1869" s="25"/>
      <c r="C1869" s="25"/>
      <c r="D1869" s="25"/>
      <c r="E1869" s="25"/>
      <c r="F1869" s="25"/>
      <c r="G1869" s="25"/>
      <c r="H1869" s="25"/>
      <c r="I1869" s="25"/>
      <c r="J1869" s="25"/>
      <c r="K1869" s="25"/>
      <c r="L1869" s="25"/>
      <c r="M1869" s="42" t="s">
        <v>253</v>
      </c>
      <c r="N1869" s="41">
        <v>45236</v>
      </c>
      <c r="O1869" s="25">
        <v>171</v>
      </c>
      <c r="P1869" s="25">
        <v>0</v>
      </c>
      <c r="Q1869" s="25"/>
      <c r="R1869" s="25"/>
      <c r="S1869" s="25"/>
      <c r="T1869" s="10"/>
    </row>
    <row r="1870" s="35" customFormat="1" ht="18.5" customHeight="1" spans="1:20">
      <c r="A1870" s="9"/>
      <c r="B1870" s="25"/>
      <c r="C1870" s="25"/>
      <c r="D1870" s="25"/>
      <c r="E1870" s="25"/>
      <c r="F1870" s="25"/>
      <c r="G1870" s="25"/>
      <c r="H1870" s="25"/>
      <c r="I1870" s="25"/>
      <c r="J1870" s="25"/>
      <c r="K1870" s="25"/>
      <c r="L1870" s="25"/>
      <c r="M1870" s="42" t="s">
        <v>253</v>
      </c>
      <c r="N1870" s="41">
        <v>45277</v>
      </c>
      <c r="O1870" s="25">
        <v>165</v>
      </c>
      <c r="P1870" s="25">
        <v>0</v>
      </c>
      <c r="Q1870" s="25"/>
      <c r="R1870" s="25"/>
      <c r="S1870" s="25"/>
      <c r="T1870" s="10"/>
    </row>
    <row r="1871" s="35" customFormat="1" ht="18.5" customHeight="1" spans="1:20">
      <c r="A1871" s="9"/>
      <c r="B1871" s="25"/>
      <c r="C1871" s="25"/>
      <c r="D1871" s="25"/>
      <c r="E1871" s="25"/>
      <c r="F1871" s="25"/>
      <c r="G1871" s="25"/>
      <c r="H1871" s="25"/>
      <c r="I1871" s="25"/>
      <c r="J1871" s="25"/>
      <c r="K1871" s="25"/>
      <c r="L1871" s="25"/>
      <c r="M1871" s="42" t="s">
        <v>253</v>
      </c>
      <c r="N1871" s="41">
        <v>45237</v>
      </c>
      <c r="O1871" s="25">
        <v>163</v>
      </c>
      <c r="P1871" s="25">
        <v>0</v>
      </c>
      <c r="Q1871" s="25"/>
      <c r="R1871" s="25"/>
      <c r="S1871" s="25"/>
      <c r="T1871" s="10"/>
    </row>
    <row r="1872" s="35" customFormat="1" ht="18.5" customHeight="1" spans="1:20">
      <c r="A1872" s="9"/>
      <c r="B1872" s="25"/>
      <c r="C1872" s="25"/>
      <c r="D1872" s="25"/>
      <c r="E1872" s="25"/>
      <c r="F1872" s="25"/>
      <c r="G1872" s="25"/>
      <c r="H1872" s="25"/>
      <c r="I1872" s="25"/>
      <c r="J1872" s="25"/>
      <c r="K1872" s="25"/>
      <c r="L1872" s="25"/>
      <c r="M1872" s="42" t="s">
        <v>253</v>
      </c>
      <c r="N1872" s="41">
        <v>45237</v>
      </c>
      <c r="O1872" s="25">
        <v>162</v>
      </c>
      <c r="P1872" s="25">
        <v>0</v>
      </c>
      <c r="Q1872" s="25"/>
      <c r="R1872" s="25"/>
      <c r="S1872" s="25"/>
      <c r="T1872" s="10"/>
    </row>
    <row r="1873" s="35" customFormat="1" ht="18.5" customHeight="1" spans="1:20">
      <c r="A1873" s="9"/>
      <c r="B1873" s="25"/>
      <c r="C1873" s="25"/>
      <c r="D1873" s="25"/>
      <c r="E1873" s="25"/>
      <c r="F1873" s="25"/>
      <c r="G1873" s="25"/>
      <c r="H1873" s="25"/>
      <c r="I1873" s="25"/>
      <c r="J1873" s="25"/>
      <c r="K1873" s="25"/>
      <c r="L1873" s="25"/>
      <c r="M1873" s="42" t="s">
        <v>253</v>
      </c>
      <c r="N1873" s="41">
        <v>45239</v>
      </c>
      <c r="O1873" s="25">
        <v>158</v>
      </c>
      <c r="P1873" s="25">
        <v>0</v>
      </c>
      <c r="Q1873" s="25"/>
      <c r="R1873" s="25"/>
      <c r="S1873" s="25"/>
      <c r="T1873" s="10"/>
    </row>
    <row r="1874" s="35" customFormat="1" ht="18.5" customHeight="1" spans="1:20">
      <c r="A1874" s="9"/>
      <c r="B1874" s="25"/>
      <c r="C1874" s="25"/>
      <c r="D1874" s="25"/>
      <c r="E1874" s="25"/>
      <c r="F1874" s="25"/>
      <c r="G1874" s="25"/>
      <c r="H1874" s="25"/>
      <c r="I1874" s="25"/>
      <c r="J1874" s="25"/>
      <c r="K1874" s="25"/>
      <c r="L1874" s="25"/>
      <c r="M1874" s="42" t="s">
        <v>253</v>
      </c>
      <c r="N1874" s="41">
        <v>45236</v>
      </c>
      <c r="O1874" s="25">
        <v>156</v>
      </c>
      <c r="P1874" s="25">
        <v>0</v>
      </c>
      <c r="Q1874" s="25"/>
      <c r="R1874" s="25"/>
      <c r="S1874" s="25"/>
      <c r="T1874" s="10"/>
    </row>
    <row r="1875" s="35" customFormat="1" ht="18.5" customHeight="1" spans="1:20">
      <c r="A1875" s="9"/>
      <c r="B1875" s="25"/>
      <c r="C1875" s="25"/>
      <c r="D1875" s="25"/>
      <c r="E1875" s="25"/>
      <c r="F1875" s="25"/>
      <c r="G1875" s="25"/>
      <c r="H1875" s="25"/>
      <c r="I1875" s="25"/>
      <c r="J1875" s="25"/>
      <c r="K1875" s="25"/>
      <c r="L1875" s="25"/>
      <c r="M1875" s="42" t="s">
        <v>253</v>
      </c>
      <c r="N1875" s="41">
        <v>45286</v>
      </c>
      <c r="O1875" s="25">
        <v>148</v>
      </c>
      <c r="P1875" s="25">
        <v>0</v>
      </c>
      <c r="Q1875" s="25"/>
      <c r="R1875" s="25"/>
      <c r="S1875" s="25"/>
      <c r="T1875" s="10"/>
    </row>
    <row r="1876" s="35" customFormat="1" ht="18.5" customHeight="1" spans="1:20">
      <c r="A1876" s="9"/>
      <c r="B1876" s="25"/>
      <c r="C1876" s="25"/>
      <c r="D1876" s="25"/>
      <c r="E1876" s="25"/>
      <c r="F1876" s="25"/>
      <c r="G1876" s="25"/>
      <c r="H1876" s="25"/>
      <c r="I1876" s="25"/>
      <c r="J1876" s="25"/>
      <c r="K1876" s="25"/>
      <c r="L1876" s="25"/>
      <c r="M1876" s="42" t="s">
        <v>253</v>
      </c>
      <c r="N1876" s="41">
        <v>45245</v>
      </c>
      <c r="O1876" s="25">
        <v>147</v>
      </c>
      <c r="P1876" s="25">
        <v>0</v>
      </c>
      <c r="Q1876" s="25"/>
      <c r="R1876" s="25"/>
      <c r="S1876" s="25"/>
      <c r="T1876" s="10"/>
    </row>
    <row r="1877" s="35" customFormat="1" ht="18.5" customHeight="1" spans="1:20">
      <c r="A1877" s="9"/>
      <c r="B1877" s="25"/>
      <c r="C1877" s="25"/>
      <c r="D1877" s="25"/>
      <c r="E1877" s="25"/>
      <c r="F1877" s="25"/>
      <c r="G1877" s="25"/>
      <c r="H1877" s="25"/>
      <c r="I1877" s="25"/>
      <c r="J1877" s="25"/>
      <c r="K1877" s="25"/>
      <c r="L1877" s="25"/>
      <c r="M1877" s="42" t="s">
        <v>253</v>
      </c>
      <c r="N1877" s="41">
        <v>45242</v>
      </c>
      <c r="O1877" s="25">
        <v>145</v>
      </c>
      <c r="P1877" s="25">
        <v>0</v>
      </c>
      <c r="Q1877" s="25"/>
      <c r="R1877" s="25"/>
      <c r="S1877" s="25"/>
      <c r="T1877" s="10"/>
    </row>
    <row r="1878" s="35" customFormat="1" ht="18.5" customHeight="1" spans="1:20">
      <c r="A1878" s="9"/>
      <c r="B1878" s="25"/>
      <c r="C1878" s="25"/>
      <c r="D1878" s="25"/>
      <c r="E1878" s="25"/>
      <c r="F1878" s="25"/>
      <c r="G1878" s="25"/>
      <c r="H1878" s="25"/>
      <c r="I1878" s="25"/>
      <c r="J1878" s="25"/>
      <c r="K1878" s="25"/>
      <c r="L1878" s="25"/>
      <c r="M1878" s="42" t="s">
        <v>253</v>
      </c>
      <c r="N1878" s="41">
        <v>45249</v>
      </c>
      <c r="O1878" s="25">
        <v>143</v>
      </c>
      <c r="P1878" s="25">
        <v>0</v>
      </c>
      <c r="Q1878" s="25"/>
      <c r="R1878" s="25"/>
      <c r="S1878" s="25"/>
      <c r="T1878" s="10"/>
    </row>
    <row r="1879" s="35" customFormat="1" ht="18.5" customHeight="1" spans="1:20">
      <c r="A1879" s="9"/>
      <c r="B1879" s="25"/>
      <c r="C1879" s="25"/>
      <c r="D1879" s="25"/>
      <c r="E1879" s="25"/>
      <c r="F1879" s="25"/>
      <c r="G1879" s="25"/>
      <c r="H1879" s="25"/>
      <c r="I1879" s="25"/>
      <c r="J1879" s="25"/>
      <c r="K1879" s="25"/>
      <c r="L1879" s="25"/>
      <c r="M1879" s="42" t="s">
        <v>253</v>
      </c>
      <c r="N1879" s="41">
        <v>45247</v>
      </c>
      <c r="O1879" s="25">
        <v>141</v>
      </c>
      <c r="P1879" s="25">
        <v>0</v>
      </c>
      <c r="Q1879" s="25"/>
      <c r="R1879" s="25"/>
      <c r="S1879" s="25"/>
      <c r="T1879" s="10"/>
    </row>
    <row r="1880" s="35" customFormat="1" ht="18.5" customHeight="1" spans="1:20">
      <c r="A1880" s="9"/>
      <c r="B1880" s="25"/>
      <c r="C1880" s="25"/>
      <c r="D1880" s="25"/>
      <c r="E1880" s="25"/>
      <c r="F1880" s="25"/>
      <c r="G1880" s="25"/>
      <c r="H1880" s="25"/>
      <c r="I1880" s="25"/>
      <c r="J1880" s="25"/>
      <c r="K1880" s="25"/>
      <c r="L1880" s="25"/>
      <c r="M1880" s="42" t="s">
        <v>253</v>
      </c>
      <c r="N1880" s="41">
        <v>45240</v>
      </c>
      <c r="O1880" s="25">
        <v>110</v>
      </c>
      <c r="P1880" s="25">
        <v>0</v>
      </c>
      <c r="Q1880" s="25"/>
      <c r="R1880" s="25"/>
      <c r="S1880" s="25"/>
      <c r="T1880" s="10"/>
    </row>
    <row r="1881" s="35" customFormat="1" ht="18.5" customHeight="1" spans="1:20">
      <c r="A1881" s="9"/>
      <c r="B1881" s="25"/>
      <c r="C1881" s="25"/>
      <c r="D1881" s="25"/>
      <c r="E1881" s="25"/>
      <c r="F1881" s="25"/>
      <c r="G1881" s="25"/>
      <c r="H1881" s="25"/>
      <c r="I1881" s="25"/>
      <c r="J1881" s="25"/>
      <c r="K1881" s="25"/>
      <c r="L1881" s="25"/>
      <c r="M1881" s="42" t="s">
        <v>253</v>
      </c>
      <c r="N1881" s="41">
        <v>45241</v>
      </c>
      <c r="O1881" s="25">
        <v>81</v>
      </c>
      <c r="P1881" s="25">
        <v>0</v>
      </c>
      <c r="Q1881" s="25"/>
      <c r="R1881" s="25"/>
      <c r="S1881" s="25"/>
      <c r="T1881" s="10"/>
    </row>
    <row r="1882" s="35" customFormat="1" ht="18.5" customHeight="1" spans="1:20">
      <c r="A1882" s="9"/>
      <c r="B1882" s="25"/>
      <c r="C1882" s="25"/>
      <c r="D1882" s="25"/>
      <c r="E1882" s="25"/>
      <c r="F1882" s="25"/>
      <c r="G1882" s="25"/>
      <c r="H1882" s="25"/>
      <c r="I1882" s="25"/>
      <c r="J1882" s="25"/>
      <c r="K1882" s="25"/>
      <c r="L1882" s="25"/>
      <c r="M1882" s="42" t="s">
        <v>253</v>
      </c>
      <c r="N1882" s="41">
        <v>45243</v>
      </c>
      <c r="O1882" s="25">
        <v>298</v>
      </c>
      <c r="P1882" s="25">
        <v>0</v>
      </c>
      <c r="Q1882" s="25"/>
      <c r="R1882" s="25"/>
      <c r="S1882" s="25"/>
      <c r="T1882" s="10"/>
    </row>
    <row r="1883" s="35" customFormat="1" ht="18.5" customHeight="1" spans="1:20">
      <c r="A1883" s="9"/>
      <c r="B1883" s="25"/>
      <c r="C1883" s="25"/>
      <c r="D1883" s="25"/>
      <c r="E1883" s="25"/>
      <c r="F1883" s="25"/>
      <c r="G1883" s="25"/>
      <c r="H1883" s="25"/>
      <c r="I1883" s="25"/>
      <c r="J1883" s="25"/>
      <c r="K1883" s="25"/>
      <c r="L1883" s="25"/>
      <c r="M1883" s="42" t="s">
        <v>253</v>
      </c>
      <c r="N1883" s="41">
        <v>45239</v>
      </c>
      <c r="O1883" s="25">
        <v>297</v>
      </c>
      <c r="P1883" s="25">
        <v>0</v>
      </c>
      <c r="Q1883" s="25"/>
      <c r="R1883" s="25"/>
      <c r="S1883" s="25"/>
      <c r="T1883" s="10"/>
    </row>
    <row r="1884" s="35" customFormat="1" ht="18.5" customHeight="1" spans="1:20">
      <c r="A1884" s="9"/>
      <c r="B1884" s="25"/>
      <c r="C1884" s="25"/>
      <c r="D1884" s="25"/>
      <c r="E1884" s="25"/>
      <c r="F1884" s="25"/>
      <c r="G1884" s="25"/>
      <c r="H1884" s="25"/>
      <c r="I1884" s="25"/>
      <c r="J1884" s="25"/>
      <c r="K1884" s="25"/>
      <c r="L1884" s="25"/>
      <c r="M1884" s="42" t="s">
        <v>253</v>
      </c>
      <c r="N1884" s="41">
        <v>45243</v>
      </c>
      <c r="O1884" s="25">
        <v>263</v>
      </c>
      <c r="P1884" s="25">
        <v>0</v>
      </c>
      <c r="Q1884" s="25"/>
      <c r="R1884" s="25"/>
      <c r="S1884" s="25"/>
      <c r="T1884" s="10"/>
    </row>
    <row r="1885" s="35" customFormat="1" ht="18.5" customHeight="1" spans="1:20">
      <c r="A1885" s="9"/>
      <c r="B1885" s="25"/>
      <c r="C1885" s="25"/>
      <c r="D1885" s="25"/>
      <c r="E1885" s="25"/>
      <c r="F1885" s="25"/>
      <c r="G1885" s="25"/>
      <c r="H1885" s="25"/>
      <c r="I1885" s="25"/>
      <c r="J1885" s="25"/>
      <c r="K1885" s="25"/>
      <c r="L1885" s="25"/>
      <c r="M1885" s="42" t="s">
        <v>253</v>
      </c>
      <c r="N1885" s="41">
        <v>45201</v>
      </c>
      <c r="O1885" s="25">
        <v>383</v>
      </c>
      <c r="P1885" s="25">
        <v>0</v>
      </c>
      <c r="Q1885" s="25"/>
      <c r="R1885" s="25"/>
      <c r="S1885" s="25"/>
      <c r="T1885" s="10"/>
    </row>
    <row r="1886" s="35" customFormat="1" ht="18.5" customHeight="1" spans="1:20">
      <c r="A1886" s="9"/>
      <c r="B1886" s="25"/>
      <c r="C1886" s="25"/>
      <c r="D1886" s="25"/>
      <c r="E1886" s="25"/>
      <c r="F1886" s="25"/>
      <c r="G1886" s="25"/>
      <c r="H1886" s="25"/>
      <c r="I1886" s="25"/>
      <c r="J1886" s="25"/>
      <c r="K1886" s="25"/>
      <c r="L1886" s="25"/>
      <c r="M1886" s="42" t="s">
        <v>253</v>
      </c>
      <c r="N1886" s="41">
        <v>45276</v>
      </c>
      <c r="O1886" s="25">
        <v>281</v>
      </c>
      <c r="P1886" s="25">
        <v>0</v>
      </c>
      <c r="Q1886" s="25"/>
      <c r="R1886" s="25"/>
      <c r="S1886" s="25"/>
      <c r="T1886" s="10"/>
    </row>
    <row r="1887" s="35" customFormat="1" ht="18.5" customHeight="1" spans="1:20">
      <c r="A1887" s="9"/>
      <c r="B1887" s="25"/>
      <c r="C1887" s="25"/>
      <c r="D1887" s="25"/>
      <c r="E1887" s="25"/>
      <c r="F1887" s="25"/>
      <c r="G1887" s="25"/>
      <c r="H1887" s="25"/>
      <c r="I1887" s="25"/>
      <c r="J1887" s="25"/>
      <c r="K1887" s="25"/>
      <c r="L1887" s="25"/>
      <c r="M1887" s="42" t="s">
        <v>253</v>
      </c>
      <c r="N1887" s="41">
        <v>45211</v>
      </c>
      <c r="O1887" s="25">
        <v>243</v>
      </c>
      <c r="P1887" s="25">
        <v>0</v>
      </c>
      <c r="Q1887" s="25"/>
      <c r="R1887" s="25"/>
      <c r="S1887" s="25"/>
      <c r="T1887" s="10"/>
    </row>
    <row r="1888" s="35" customFormat="1" ht="18.5" customHeight="1" spans="1:20">
      <c r="A1888" s="9"/>
      <c r="B1888" s="25"/>
      <c r="C1888" s="25"/>
      <c r="D1888" s="25"/>
      <c r="E1888" s="25"/>
      <c r="F1888" s="25"/>
      <c r="G1888" s="25"/>
      <c r="H1888" s="25"/>
      <c r="I1888" s="25"/>
      <c r="J1888" s="25"/>
      <c r="K1888" s="25"/>
      <c r="L1888" s="25"/>
      <c r="M1888" s="42" t="s">
        <v>253</v>
      </c>
      <c r="N1888" s="41">
        <v>45262</v>
      </c>
      <c r="O1888" s="25">
        <v>211</v>
      </c>
      <c r="P1888" s="25">
        <v>0</v>
      </c>
      <c r="Q1888" s="25"/>
      <c r="R1888" s="25"/>
      <c r="S1888" s="25"/>
      <c r="T1888" s="10"/>
    </row>
    <row r="1889" s="35" customFormat="1" ht="18.5" customHeight="1" spans="1:20">
      <c r="A1889" s="9"/>
      <c r="B1889" s="25"/>
      <c r="C1889" s="25"/>
      <c r="D1889" s="25"/>
      <c r="E1889" s="25"/>
      <c r="F1889" s="25"/>
      <c r="G1889" s="25"/>
      <c r="H1889" s="25"/>
      <c r="I1889" s="25"/>
      <c r="J1889" s="25"/>
      <c r="K1889" s="25"/>
      <c r="L1889" s="25"/>
      <c r="M1889" s="42" t="s">
        <v>253</v>
      </c>
      <c r="N1889" s="41">
        <v>45203</v>
      </c>
      <c r="O1889" s="25">
        <v>198</v>
      </c>
      <c r="P1889" s="25">
        <v>0</v>
      </c>
      <c r="Q1889" s="25"/>
      <c r="R1889" s="25"/>
      <c r="S1889" s="25"/>
      <c r="T1889" s="10"/>
    </row>
    <row r="1890" s="35" customFormat="1" ht="18.5" customHeight="1" spans="1:20">
      <c r="A1890" s="9"/>
      <c r="B1890" s="25"/>
      <c r="C1890" s="25"/>
      <c r="D1890" s="25"/>
      <c r="E1890" s="25"/>
      <c r="F1890" s="25"/>
      <c r="G1890" s="25"/>
      <c r="H1890" s="25"/>
      <c r="I1890" s="25"/>
      <c r="J1890" s="25"/>
      <c r="K1890" s="25"/>
      <c r="L1890" s="25"/>
      <c r="M1890" s="42" t="s">
        <v>253</v>
      </c>
      <c r="N1890" s="41">
        <v>45237</v>
      </c>
      <c r="O1890" s="25">
        <v>356</v>
      </c>
      <c r="P1890" s="25">
        <v>0</v>
      </c>
      <c r="Q1890" s="25"/>
      <c r="R1890" s="25"/>
      <c r="S1890" s="25"/>
      <c r="T1890" s="10"/>
    </row>
    <row r="1891" s="35" customFormat="1" ht="18.5" customHeight="1" spans="1:20">
      <c r="A1891" s="9"/>
      <c r="B1891" s="25"/>
      <c r="C1891" s="25"/>
      <c r="D1891" s="25"/>
      <c r="E1891" s="25"/>
      <c r="F1891" s="25"/>
      <c r="G1891" s="25"/>
      <c r="H1891" s="25"/>
      <c r="I1891" s="25"/>
      <c r="J1891" s="25"/>
      <c r="K1891" s="25"/>
      <c r="L1891" s="25"/>
      <c r="M1891" s="42" t="s">
        <v>253</v>
      </c>
      <c r="N1891" s="41">
        <v>45240</v>
      </c>
      <c r="O1891" s="25">
        <v>289</v>
      </c>
      <c r="P1891" s="25">
        <v>0</v>
      </c>
      <c r="Q1891" s="25"/>
      <c r="R1891" s="25"/>
      <c r="S1891" s="25"/>
      <c r="T1891" s="10"/>
    </row>
    <row r="1892" s="35" customFormat="1" ht="18.5" customHeight="1" spans="1:20">
      <c r="A1892" s="9"/>
      <c r="B1892" s="25"/>
      <c r="C1892" s="25"/>
      <c r="D1892" s="25"/>
      <c r="E1892" s="25"/>
      <c r="F1892" s="25"/>
      <c r="G1892" s="25"/>
      <c r="H1892" s="25"/>
      <c r="I1892" s="25"/>
      <c r="J1892" s="25"/>
      <c r="K1892" s="25"/>
      <c r="L1892" s="25"/>
      <c r="M1892" s="42" t="s">
        <v>253</v>
      </c>
      <c r="N1892" s="41">
        <v>45248</v>
      </c>
      <c r="O1892" s="25">
        <v>249</v>
      </c>
      <c r="P1892" s="25">
        <v>0</v>
      </c>
      <c r="Q1892" s="25"/>
      <c r="R1892" s="25"/>
      <c r="S1892" s="25"/>
      <c r="T1892" s="10"/>
    </row>
    <row r="1893" s="35" customFormat="1" ht="18.5" customHeight="1" spans="1:20">
      <c r="A1893" s="9"/>
      <c r="B1893" s="25"/>
      <c r="C1893" s="25"/>
      <c r="D1893" s="25"/>
      <c r="E1893" s="25"/>
      <c r="F1893" s="25"/>
      <c r="G1893" s="25"/>
      <c r="H1893" s="25"/>
      <c r="I1893" s="25"/>
      <c r="J1893" s="25"/>
      <c r="K1893" s="25"/>
      <c r="L1893" s="25"/>
      <c r="M1893" s="42" t="s">
        <v>253</v>
      </c>
      <c r="N1893" s="41">
        <v>45252</v>
      </c>
      <c r="O1893" s="25">
        <v>222</v>
      </c>
      <c r="P1893" s="25">
        <v>0</v>
      </c>
      <c r="Q1893" s="25"/>
      <c r="R1893" s="25"/>
      <c r="S1893" s="25"/>
      <c r="T1893" s="10"/>
    </row>
    <row r="1894" s="35" customFormat="1" ht="18.5" customHeight="1" spans="1:20">
      <c r="A1894" s="9"/>
      <c r="B1894" s="25"/>
      <c r="C1894" s="25"/>
      <c r="D1894" s="25"/>
      <c r="E1894" s="25"/>
      <c r="F1894" s="25"/>
      <c r="G1894" s="25"/>
      <c r="H1894" s="25"/>
      <c r="I1894" s="25"/>
      <c r="J1894" s="25"/>
      <c r="K1894" s="25"/>
      <c r="L1894" s="25"/>
      <c r="M1894" s="42" t="s">
        <v>253</v>
      </c>
      <c r="N1894" s="41">
        <v>45238</v>
      </c>
      <c r="O1894" s="25">
        <v>173</v>
      </c>
      <c r="P1894" s="25">
        <v>0</v>
      </c>
      <c r="Q1894" s="25"/>
      <c r="R1894" s="25"/>
      <c r="S1894" s="25"/>
      <c r="T1894" s="10"/>
    </row>
    <row r="1895" s="35" customFormat="1" ht="18.5" customHeight="1" spans="1:20">
      <c r="A1895" s="9"/>
      <c r="B1895" s="25"/>
      <c r="C1895" s="25"/>
      <c r="D1895" s="25"/>
      <c r="E1895" s="25"/>
      <c r="F1895" s="25"/>
      <c r="G1895" s="25"/>
      <c r="H1895" s="25"/>
      <c r="I1895" s="25"/>
      <c r="J1895" s="25"/>
      <c r="K1895" s="25"/>
      <c r="L1895" s="25"/>
      <c r="M1895" s="42" t="s">
        <v>253</v>
      </c>
      <c r="N1895" s="41">
        <v>45238</v>
      </c>
      <c r="O1895" s="25">
        <v>173</v>
      </c>
      <c r="P1895" s="25">
        <v>0</v>
      </c>
      <c r="Q1895" s="25"/>
      <c r="R1895" s="25"/>
      <c r="S1895" s="25"/>
      <c r="T1895" s="10"/>
    </row>
    <row r="1896" s="35" customFormat="1" ht="18.5" customHeight="1" spans="1:20">
      <c r="A1896" s="9"/>
      <c r="B1896" s="25"/>
      <c r="C1896" s="25"/>
      <c r="D1896" s="25"/>
      <c r="E1896" s="25"/>
      <c r="F1896" s="25"/>
      <c r="G1896" s="25"/>
      <c r="H1896" s="25"/>
      <c r="I1896" s="25"/>
      <c r="J1896" s="25"/>
      <c r="K1896" s="25"/>
      <c r="L1896" s="25"/>
      <c r="M1896" s="42" t="s">
        <v>253</v>
      </c>
      <c r="N1896" s="41">
        <v>45248</v>
      </c>
      <c r="O1896" s="25">
        <v>162</v>
      </c>
      <c r="P1896" s="25">
        <v>0</v>
      </c>
      <c r="Q1896" s="25"/>
      <c r="R1896" s="25"/>
      <c r="S1896" s="25"/>
      <c r="T1896" s="10"/>
    </row>
    <row r="1897" s="35" customFormat="1" ht="18.5" customHeight="1" spans="1:20">
      <c r="A1897" s="9"/>
      <c r="B1897" s="25"/>
      <c r="C1897" s="25"/>
      <c r="D1897" s="25"/>
      <c r="E1897" s="25"/>
      <c r="F1897" s="25"/>
      <c r="G1897" s="25"/>
      <c r="H1897" s="25"/>
      <c r="I1897" s="25"/>
      <c r="J1897" s="25"/>
      <c r="K1897" s="25"/>
      <c r="L1897" s="25"/>
      <c r="M1897" s="42" t="s">
        <v>253</v>
      </c>
      <c r="N1897" s="41">
        <v>45243</v>
      </c>
      <c r="O1897" s="25">
        <v>163</v>
      </c>
      <c r="P1897" s="25">
        <v>0</v>
      </c>
      <c r="Q1897" s="25"/>
      <c r="R1897" s="25"/>
      <c r="S1897" s="25"/>
      <c r="T1897" s="10"/>
    </row>
    <row r="1898" s="35" customFormat="1" ht="18.5" customHeight="1" spans="1:20">
      <c r="A1898" s="9"/>
      <c r="B1898" s="25"/>
      <c r="C1898" s="25"/>
      <c r="D1898" s="25"/>
      <c r="E1898" s="25"/>
      <c r="F1898" s="25"/>
      <c r="G1898" s="25"/>
      <c r="H1898" s="25"/>
      <c r="I1898" s="25"/>
      <c r="J1898" s="25"/>
      <c r="K1898" s="25"/>
      <c r="L1898" s="25"/>
      <c r="M1898" s="42" t="s">
        <v>253</v>
      </c>
      <c r="N1898" s="41">
        <v>45263</v>
      </c>
      <c r="O1898" s="25">
        <v>161</v>
      </c>
      <c r="P1898" s="25">
        <v>0</v>
      </c>
      <c r="Q1898" s="25"/>
      <c r="R1898" s="25"/>
      <c r="S1898" s="25"/>
      <c r="T1898" s="10"/>
    </row>
    <row r="1899" s="35" customFormat="1" ht="18.5" customHeight="1" spans="1:20">
      <c r="A1899" s="9"/>
      <c r="B1899" s="25"/>
      <c r="C1899" s="25"/>
      <c r="D1899" s="25"/>
      <c r="E1899" s="25"/>
      <c r="F1899" s="25"/>
      <c r="G1899" s="25"/>
      <c r="H1899" s="25"/>
      <c r="I1899" s="25"/>
      <c r="J1899" s="25"/>
      <c r="K1899" s="25"/>
      <c r="L1899" s="25"/>
      <c r="M1899" s="42" t="s">
        <v>253</v>
      </c>
      <c r="N1899" s="41">
        <v>45277</v>
      </c>
      <c r="O1899" s="25">
        <v>138</v>
      </c>
      <c r="P1899" s="25">
        <v>0</v>
      </c>
      <c r="Q1899" s="25"/>
      <c r="R1899" s="25"/>
      <c r="S1899" s="25"/>
      <c r="T1899" s="10"/>
    </row>
    <row r="1900" s="35" customFormat="1" ht="18.5" customHeight="1" spans="1:20">
      <c r="A1900" s="9"/>
      <c r="B1900" s="25"/>
      <c r="C1900" s="25"/>
      <c r="D1900" s="25"/>
      <c r="E1900" s="25"/>
      <c r="F1900" s="25"/>
      <c r="G1900" s="25"/>
      <c r="H1900" s="25"/>
      <c r="I1900" s="25"/>
      <c r="J1900" s="25"/>
      <c r="K1900" s="25"/>
      <c r="L1900" s="25"/>
      <c r="M1900" s="42" t="s">
        <v>253</v>
      </c>
      <c r="N1900" s="41">
        <v>45237</v>
      </c>
      <c r="O1900" s="25">
        <v>131</v>
      </c>
      <c r="P1900" s="25">
        <v>0</v>
      </c>
      <c r="Q1900" s="25"/>
      <c r="R1900" s="25"/>
      <c r="S1900" s="25"/>
      <c r="T1900" s="10"/>
    </row>
    <row r="1901" s="35" customFormat="1" ht="18.5" customHeight="1" spans="1:20">
      <c r="A1901" s="9"/>
      <c r="B1901" s="25"/>
      <c r="C1901" s="25"/>
      <c r="D1901" s="25"/>
      <c r="E1901" s="25"/>
      <c r="F1901" s="25"/>
      <c r="G1901" s="25"/>
      <c r="H1901" s="25"/>
      <c r="I1901" s="25"/>
      <c r="J1901" s="25"/>
      <c r="K1901" s="25"/>
      <c r="L1901" s="25"/>
      <c r="M1901" s="42" t="s">
        <v>253</v>
      </c>
      <c r="N1901" s="41">
        <v>45275</v>
      </c>
      <c r="O1901" s="25">
        <v>110</v>
      </c>
      <c r="P1901" s="25">
        <v>0</v>
      </c>
      <c r="Q1901" s="25"/>
      <c r="R1901" s="25"/>
      <c r="S1901" s="25"/>
      <c r="T1901" s="10"/>
    </row>
    <row r="1902" s="35" customFormat="1" ht="18.5" customHeight="1" spans="1:20">
      <c r="A1902" s="9"/>
      <c r="B1902" s="25"/>
      <c r="C1902" s="25"/>
      <c r="D1902" s="25"/>
      <c r="E1902" s="25"/>
      <c r="F1902" s="25"/>
      <c r="G1902" s="25"/>
      <c r="H1902" s="25"/>
      <c r="I1902" s="25"/>
      <c r="J1902" s="25"/>
      <c r="K1902" s="25"/>
      <c r="L1902" s="25"/>
      <c r="M1902" s="42" t="s">
        <v>253</v>
      </c>
      <c r="N1902" s="41">
        <v>45152</v>
      </c>
      <c r="O1902" s="25">
        <v>429</v>
      </c>
      <c r="P1902" s="25">
        <v>0</v>
      </c>
      <c r="Q1902" s="25"/>
      <c r="R1902" s="25"/>
      <c r="S1902" s="25"/>
      <c r="T1902" s="10"/>
    </row>
    <row r="1903" s="35" customFormat="1" ht="18.5" customHeight="1" spans="1:20">
      <c r="A1903" s="9"/>
      <c r="B1903" s="25"/>
      <c r="C1903" s="25"/>
      <c r="D1903" s="25"/>
      <c r="E1903" s="25"/>
      <c r="F1903" s="25"/>
      <c r="G1903" s="25"/>
      <c r="H1903" s="25"/>
      <c r="I1903" s="25"/>
      <c r="J1903" s="25"/>
      <c r="K1903" s="25"/>
      <c r="L1903" s="25"/>
      <c r="M1903" s="42" t="s">
        <v>253</v>
      </c>
      <c r="N1903" s="41">
        <v>45114</v>
      </c>
      <c r="O1903" s="25">
        <v>290</v>
      </c>
      <c r="P1903" s="25">
        <v>0</v>
      </c>
      <c r="Q1903" s="25"/>
      <c r="R1903" s="25"/>
      <c r="S1903" s="25"/>
      <c r="T1903" s="10"/>
    </row>
    <row r="1904" s="35" customFormat="1" ht="18.5" customHeight="1" spans="1:20">
      <c r="A1904" s="9"/>
      <c r="B1904" s="25"/>
      <c r="C1904" s="25"/>
      <c r="D1904" s="25"/>
      <c r="E1904" s="25"/>
      <c r="F1904" s="25"/>
      <c r="G1904" s="25"/>
      <c r="H1904" s="25"/>
      <c r="I1904" s="25"/>
      <c r="J1904" s="25"/>
      <c r="K1904" s="25"/>
      <c r="L1904" s="25"/>
      <c r="M1904" s="42" t="s">
        <v>253</v>
      </c>
      <c r="N1904" s="41">
        <v>45230</v>
      </c>
      <c r="O1904" s="25">
        <v>274</v>
      </c>
      <c r="P1904" s="25">
        <v>0</v>
      </c>
      <c r="Q1904" s="25"/>
      <c r="R1904" s="25"/>
      <c r="S1904" s="25"/>
      <c r="T1904" s="10"/>
    </row>
    <row r="1905" s="35" customFormat="1" ht="18.5" customHeight="1" spans="1:20">
      <c r="A1905" s="9"/>
      <c r="B1905" s="25"/>
      <c r="C1905" s="25"/>
      <c r="D1905" s="25"/>
      <c r="E1905" s="25"/>
      <c r="F1905" s="25"/>
      <c r="G1905" s="25"/>
      <c r="H1905" s="25"/>
      <c r="I1905" s="25"/>
      <c r="J1905" s="25"/>
      <c r="K1905" s="25"/>
      <c r="L1905" s="25"/>
      <c r="M1905" s="42" t="s">
        <v>253</v>
      </c>
      <c r="N1905" s="41">
        <v>45240</v>
      </c>
      <c r="O1905" s="25">
        <v>224</v>
      </c>
      <c r="P1905" s="25">
        <v>0</v>
      </c>
      <c r="Q1905" s="25"/>
      <c r="R1905" s="25"/>
      <c r="S1905" s="25"/>
      <c r="T1905" s="10"/>
    </row>
    <row r="1906" s="35" customFormat="1" ht="18.5" customHeight="1" spans="1:20">
      <c r="A1906" s="9"/>
      <c r="B1906" s="25"/>
      <c r="C1906" s="25"/>
      <c r="D1906" s="25"/>
      <c r="E1906" s="25"/>
      <c r="F1906" s="25"/>
      <c r="G1906" s="25"/>
      <c r="H1906" s="25"/>
      <c r="I1906" s="25"/>
      <c r="J1906" s="25"/>
      <c r="K1906" s="25"/>
      <c r="L1906" s="25"/>
      <c r="M1906" s="42" t="s">
        <v>253</v>
      </c>
      <c r="N1906" s="41">
        <v>45247</v>
      </c>
      <c r="O1906" s="25">
        <v>211</v>
      </c>
      <c r="P1906" s="25">
        <v>0</v>
      </c>
      <c r="Q1906" s="25"/>
      <c r="R1906" s="25"/>
      <c r="S1906" s="25"/>
      <c r="T1906" s="10"/>
    </row>
    <row r="1907" s="35" customFormat="1" ht="18.5" customHeight="1" spans="1:20">
      <c r="A1907" s="9"/>
      <c r="B1907" s="25"/>
      <c r="C1907" s="25"/>
      <c r="D1907" s="25"/>
      <c r="E1907" s="25"/>
      <c r="F1907" s="25"/>
      <c r="G1907" s="25"/>
      <c r="H1907" s="25"/>
      <c r="I1907" s="25"/>
      <c r="J1907" s="25"/>
      <c r="K1907" s="25"/>
      <c r="L1907" s="25"/>
      <c r="M1907" s="42" t="s">
        <v>253</v>
      </c>
      <c r="N1907" s="41">
        <v>45251</v>
      </c>
      <c r="O1907" s="25">
        <v>207</v>
      </c>
      <c r="P1907" s="25">
        <v>0</v>
      </c>
      <c r="Q1907" s="25"/>
      <c r="R1907" s="25"/>
      <c r="S1907" s="25"/>
      <c r="T1907" s="10"/>
    </row>
    <row r="1908" s="35" customFormat="1" ht="18.5" customHeight="1" spans="1:20">
      <c r="A1908" s="9"/>
      <c r="B1908" s="25"/>
      <c r="C1908" s="25"/>
      <c r="D1908" s="25"/>
      <c r="E1908" s="25"/>
      <c r="F1908" s="25"/>
      <c r="G1908" s="25"/>
      <c r="H1908" s="25"/>
      <c r="I1908" s="25"/>
      <c r="J1908" s="25"/>
      <c r="K1908" s="25"/>
      <c r="L1908" s="25"/>
      <c r="M1908" s="42" t="s">
        <v>253</v>
      </c>
      <c r="N1908" s="41">
        <v>45264</v>
      </c>
      <c r="O1908" s="25">
        <v>202</v>
      </c>
      <c r="P1908" s="25">
        <v>0</v>
      </c>
      <c r="Q1908" s="25"/>
      <c r="R1908" s="25"/>
      <c r="S1908" s="25"/>
      <c r="T1908" s="10"/>
    </row>
    <row r="1909" s="35" customFormat="1" ht="18.5" customHeight="1" spans="1:20">
      <c r="A1909" s="9"/>
      <c r="B1909" s="25"/>
      <c r="C1909" s="25"/>
      <c r="D1909" s="25"/>
      <c r="E1909" s="25"/>
      <c r="F1909" s="25"/>
      <c r="G1909" s="25"/>
      <c r="H1909" s="25"/>
      <c r="I1909" s="25"/>
      <c r="J1909" s="25"/>
      <c r="K1909" s="25"/>
      <c r="L1909" s="25"/>
      <c r="M1909" s="42" t="s">
        <v>253</v>
      </c>
      <c r="N1909" s="41">
        <v>45219</v>
      </c>
      <c r="O1909" s="25">
        <v>196</v>
      </c>
      <c r="P1909" s="25">
        <v>0</v>
      </c>
      <c r="Q1909" s="25"/>
      <c r="R1909" s="25"/>
      <c r="S1909" s="25"/>
      <c r="T1909" s="10"/>
    </row>
    <row r="1910" s="35" customFormat="1" ht="18.5" customHeight="1" spans="1:20">
      <c r="A1910" s="9"/>
      <c r="B1910" s="25"/>
      <c r="C1910" s="25"/>
      <c r="D1910" s="25"/>
      <c r="E1910" s="25"/>
      <c r="F1910" s="25"/>
      <c r="G1910" s="25"/>
      <c r="H1910" s="25"/>
      <c r="I1910" s="25"/>
      <c r="J1910" s="25"/>
      <c r="K1910" s="25"/>
      <c r="L1910" s="25"/>
      <c r="M1910" s="42" t="s">
        <v>253</v>
      </c>
      <c r="N1910" s="41">
        <v>45286</v>
      </c>
      <c r="O1910" s="25">
        <v>185</v>
      </c>
      <c r="P1910" s="25">
        <v>0</v>
      </c>
      <c r="Q1910" s="25"/>
      <c r="R1910" s="25"/>
      <c r="S1910" s="25"/>
      <c r="T1910" s="10"/>
    </row>
    <row r="1911" s="35" customFormat="1" ht="18.5" customHeight="1" spans="1:20">
      <c r="A1911" s="9"/>
      <c r="B1911" s="25"/>
      <c r="C1911" s="25"/>
      <c r="D1911" s="25"/>
      <c r="E1911" s="25"/>
      <c r="F1911" s="25"/>
      <c r="G1911" s="25"/>
      <c r="H1911" s="25"/>
      <c r="I1911" s="25"/>
      <c r="J1911" s="25"/>
      <c r="K1911" s="25"/>
      <c r="L1911" s="25"/>
      <c r="M1911" s="42" t="s">
        <v>253</v>
      </c>
      <c r="N1911" s="41">
        <v>45245</v>
      </c>
      <c r="O1911" s="25">
        <v>183</v>
      </c>
      <c r="P1911" s="25">
        <v>0</v>
      </c>
      <c r="Q1911" s="25"/>
      <c r="R1911" s="25"/>
      <c r="S1911" s="25"/>
      <c r="T1911" s="10"/>
    </row>
    <row r="1912" s="35" customFormat="1" ht="18.5" customHeight="1" spans="1:20">
      <c r="A1912" s="9"/>
      <c r="B1912" s="25"/>
      <c r="C1912" s="25"/>
      <c r="D1912" s="25"/>
      <c r="E1912" s="25"/>
      <c r="F1912" s="25"/>
      <c r="G1912" s="25"/>
      <c r="H1912" s="25"/>
      <c r="I1912" s="25"/>
      <c r="J1912" s="25"/>
      <c r="K1912" s="25"/>
      <c r="L1912" s="25"/>
      <c r="M1912" s="42" t="s">
        <v>253</v>
      </c>
      <c r="N1912" s="41">
        <v>45197</v>
      </c>
      <c r="O1912" s="25">
        <v>176</v>
      </c>
      <c r="P1912" s="25">
        <v>0</v>
      </c>
      <c r="Q1912" s="25"/>
      <c r="R1912" s="25"/>
      <c r="S1912" s="25"/>
      <c r="T1912" s="10"/>
    </row>
    <row r="1913" s="35" customFormat="1" ht="18.5" customHeight="1" spans="1:20">
      <c r="A1913" s="9"/>
      <c r="B1913" s="25"/>
      <c r="C1913" s="25"/>
      <c r="D1913" s="25"/>
      <c r="E1913" s="25"/>
      <c r="F1913" s="25"/>
      <c r="G1913" s="25"/>
      <c r="H1913" s="25"/>
      <c r="I1913" s="25"/>
      <c r="J1913" s="25"/>
      <c r="K1913" s="25"/>
      <c r="L1913" s="25"/>
      <c r="M1913" s="42" t="s">
        <v>253</v>
      </c>
      <c r="N1913" s="41">
        <v>45278</v>
      </c>
      <c r="O1913" s="25">
        <v>156</v>
      </c>
      <c r="P1913" s="25">
        <v>0</v>
      </c>
      <c r="Q1913" s="25"/>
      <c r="R1913" s="25"/>
      <c r="S1913" s="25"/>
      <c r="T1913" s="10"/>
    </row>
    <row r="1914" s="35" customFormat="1" ht="18.5" customHeight="1" spans="1:20">
      <c r="A1914" s="9"/>
      <c r="B1914" s="25"/>
      <c r="C1914" s="25"/>
      <c r="D1914" s="25"/>
      <c r="E1914" s="25"/>
      <c r="F1914" s="25"/>
      <c r="G1914" s="25"/>
      <c r="H1914" s="25"/>
      <c r="I1914" s="25"/>
      <c r="J1914" s="25"/>
      <c r="K1914" s="25"/>
      <c r="L1914" s="25"/>
      <c r="M1914" s="42" t="s">
        <v>253</v>
      </c>
      <c r="N1914" s="41">
        <v>45249</v>
      </c>
      <c r="O1914" s="25">
        <v>155</v>
      </c>
      <c r="P1914" s="25">
        <v>0</v>
      </c>
      <c r="Q1914" s="25"/>
      <c r="R1914" s="25"/>
      <c r="S1914" s="25"/>
      <c r="T1914" s="10"/>
    </row>
    <row r="1915" s="35" customFormat="1" ht="18.5" customHeight="1" spans="1:20">
      <c r="A1915" s="9"/>
      <c r="B1915" s="25"/>
      <c r="C1915" s="25"/>
      <c r="D1915" s="25"/>
      <c r="E1915" s="25"/>
      <c r="F1915" s="25"/>
      <c r="G1915" s="25"/>
      <c r="H1915" s="25"/>
      <c r="I1915" s="25"/>
      <c r="J1915" s="25"/>
      <c r="K1915" s="25"/>
      <c r="L1915" s="25"/>
      <c r="M1915" s="42" t="s">
        <v>253</v>
      </c>
      <c r="N1915" s="41">
        <v>45259</v>
      </c>
      <c r="O1915" s="25">
        <v>153</v>
      </c>
      <c r="P1915" s="25">
        <v>0</v>
      </c>
      <c r="Q1915" s="25"/>
      <c r="R1915" s="25"/>
      <c r="S1915" s="25"/>
      <c r="T1915" s="10"/>
    </row>
    <row r="1916" s="35" customFormat="1" ht="18.5" customHeight="1" spans="1:20">
      <c r="A1916" s="9"/>
      <c r="B1916" s="25"/>
      <c r="C1916" s="25"/>
      <c r="D1916" s="25"/>
      <c r="E1916" s="25"/>
      <c r="F1916" s="25"/>
      <c r="G1916" s="25"/>
      <c r="H1916" s="25"/>
      <c r="I1916" s="25"/>
      <c r="J1916" s="25"/>
      <c r="K1916" s="25"/>
      <c r="L1916" s="25"/>
      <c r="M1916" s="42" t="s">
        <v>253</v>
      </c>
      <c r="N1916" s="41">
        <v>45240</v>
      </c>
      <c r="O1916" s="25">
        <v>150</v>
      </c>
      <c r="P1916" s="25">
        <v>0</v>
      </c>
      <c r="Q1916" s="25"/>
      <c r="R1916" s="25"/>
      <c r="S1916" s="25"/>
      <c r="T1916" s="10"/>
    </row>
    <row r="1917" s="35" customFormat="1" ht="18.5" customHeight="1" spans="1:20">
      <c r="A1917" s="9"/>
      <c r="B1917" s="25"/>
      <c r="C1917" s="25"/>
      <c r="D1917" s="25"/>
      <c r="E1917" s="25"/>
      <c r="F1917" s="25"/>
      <c r="G1917" s="25"/>
      <c r="H1917" s="25"/>
      <c r="I1917" s="25"/>
      <c r="J1917" s="25"/>
      <c r="K1917" s="25"/>
      <c r="L1917" s="25"/>
      <c r="M1917" s="42" t="s">
        <v>253</v>
      </c>
      <c r="N1917" s="41">
        <v>45268</v>
      </c>
      <c r="O1917" s="25">
        <v>148</v>
      </c>
      <c r="P1917" s="25">
        <v>0</v>
      </c>
      <c r="Q1917" s="25"/>
      <c r="R1917" s="25"/>
      <c r="S1917" s="25"/>
      <c r="T1917" s="10"/>
    </row>
    <row r="1918" s="35" customFormat="1" ht="18.5" customHeight="1" spans="1:20">
      <c r="A1918" s="9"/>
      <c r="B1918" s="25"/>
      <c r="C1918" s="25"/>
      <c r="D1918" s="25"/>
      <c r="E1918" s="25"/>
      <c r="F1918" s="25"/>
      <c r="G1918" s="25"/>
      <c r="H1918" s="25"/>
      <c r="I1918" s="25"/>
      <c r="J1918" s="25"/>
      <c r="K1918" s="25"/>
      <c r="L1918" s="25"/>
      <c r="M1918" s="42" t="s">
        <v>253</v>
      </c>
      <c r="N1918" s="41">
        <v>45237</v>
      </c>
      <c r="O1918" s="25">
        <v>148</v>
      </c>
      <c r="P1918" s="25">
        <v>0</v>
      </c>
      <c r="Q1918" s="25"/>
      <c r="R1918" s="25"/>
      <c r="S1918" s="25"/>
      <c r="T1918" s="10"/>
    </row>
    <row r="1919" s="35" customFormat="1" ht="18.5" customHeight="1" spans="1:20">
      <c r="A1919" s="9"/>
      <c r="B1919" s="25"/>
      <c r="C1919" s="25"/>
      <c r="D1919" s="25"/>
      <c r="E1919" s="25"/>
      <c r="F1919" s="25"/>
      <c r="G1919" s="25"/>
      <c r="H1919" s="25"/>
      <c r="I1919" s="25"/>
      <c r="J1919" s="25"/>
      <c r="K1919" s="25"/>
      <c r="L1919" s="25"/>
      <c r="M1919" s="42" t="s">
        <v>253</v>
      </c>
      <c r="N1919" s="41">
        <v>45188</v>
      </c>
      <c r="O1919" s="25">
        <v>148</v>
      </c>
      <c r="P1919" s="25">
        <v>0</v>
      </c>
      <c r="Q1919" s="25"/>
      <c r="R1919" s="25"/>
      <c r="S1919" s="25"/>
      <c r="T1919" s="10"/>
    </row>
    <row r="1920" s="35" customFormat="1" ht="18.5" customHeight="1" spans="1:20">
      <c r="A1920" s="9"/>
      <c r="B1920" s="25"/>
      <c r="C1920" s="25"/>
      <c r="D1920" s="25"/>
      <c r="E1920" s="25"/>
      <c r="F1920" s="25"/>
      <c r="G1920" s="25"/>
      <c r="H1920" s="25"/>
      <c r="I1920" s="25"/>
      <c r="J1920" s="25"/>
      <c r="K1920" s="25"/>
      <c r="L1920" s="25"/>
      <c r="M1920" s="42" t="s">
        <v>253</v>
      </c>
      <c r="N1920" s="41">
        <v>45277</v>
      </c>
      <c r="O1920" s="25">
        <v>146</v>
      </c>
      <c r="P1920" s="25">
        <v>0</v>
      </c>
      <c r="Q1920" s="25"/>
      <c r="R1920" s="25"/>
      <c r="S1920" s="25"/>
      <c r="T1920" s="10"/>
    </row>
    <row r="1921" s="35" customFormat="1" ht="18.5" customHeight="1" spans="1:20">
      <c r="A1921" s="9"/>
      <c r="B1921" s="25"/>
      <c r="C1921" s="25"/>
      <c r="D1921" s="25"/>
      <c r="E1921" s="25"/>
      <c r="F1921" s="25"/>
      <c r="G1921" s="25"/>
      <c r="H1921" s="25"/>
      <c r="I1921" s="25"/>
      <c r="J1921" s="25"/>
      <c r="K1921" s="25"/>
      <c r="L1921" s="25"/>
      <c r="M1921" s="42" t="s">
        <v>253</v>
      </c>
      <c r="N1921" s="41">
        <v>45240</v>
      </c>
      <c r="O1921" s="25">
        <v>141</v>
      </c>
      <c r="P1921" s="25">
        <v>0</v>
      </c>
      <c r="Q1921" s="25"/>
      <c r="R1921" s="25"/>
      <c r="S1921" s="25"/>
      <c r="T1921" s="10"/>
    </row>
    <row r="1922" s="35" customFormat="1" ht="18.5" customHeight="1" spans="1:20">
      <c r="A1922" s="9"/>
      <c r="B1922" s="25"/>
      <c r="C1922" s="25"/>
      <c r="D1922" s="25"/>
      <c r="E1922" s="25"/>
      <c r="F1922" s="25"/>
      <c r="G1922" s="25"/>
      <c r="H1922" s="25"/>
      <c r="I1922" s="25"/>
      <c r="J1922" s="25"/>
      <c r="K1922" s="25"/>
      <c r="L1922" s="25"/>
      <c r="M1922" s="42" t="s">
        <v>253</v>
      </c>
      <c r="N1922" s="41">
        <v>45282</v>
      </c>
      <c r="O1922" s="25">
        <v>138</v>
      </c>
      <c r="P1922" s="25">
        <v>0</v>
      </c>
      <c r="Q1922" s="25"/>
      <c r="R1922" s="25"/>
      <c r="S1922" s="25"/>
      <c r="T1922" s="10"/>
    </row>
    <row r="1923" s="35" customFormat="1" ht="18.5" customHeight="1" spans="1:20">
      <c r="A1923" s="9"/>
      <c r="B1923" s="25"/>
      <c r="C1923" s="25"/>
      <c r="D1923" s="25"/>
      <c r="E1923" s="25"/>
      <c r="F1923" s="25"/>
      <c r="G1923" s="25"/>
      <c r="H1923" s="25"/>
      <c r="I1923" s="25"/>
      <c r="J1923" s="25"/>
      <c r="K1923" s="25"/>
      <c r="L1923" s="25"/>
      <c r="M1923" s="42" t="s">
        <v>253</v>
      </c>
      <c r="N1923" s="41">
        <v>45251</v>
      </c>
      <c r="O1923" s="25">
        <v>123</v>
      </c>
      <c r="P1923" s="25">
        <v>0</v>
      </c>
      <c r="Q1923" s="25"/>
      <c r="R1923" s="25"/>
      <c r="S1923" s="25"/>
      <c r="T1923" s="10"/>
    </row>
    <row r="1924" s="35" customFormat="1" ht="18.5" customHeight="1" spans="1:20">
      <c r="A1924" s="9"/>
      <c r="B1924" s="25"/>
      <c r="C1924" s="25"/>
      <c r="D1924" s="25"/>
      <c r="E1924" s="25"/>
      <c r="F1924" s="25"/>
      <c r="G1924" s="25"/>
      <c r="H1924" s="25"/>
      <c r="I1924" s="25"/>
      <c r="J1924" s="25"/>
      <c r="K1924" s="25"/>
      <c r="L1924" s="25"/>
      <c r="M1924" s="42" t="s">
        <v>253</v>
      </c>
      <c r="N1924" s="41">
        <v>45223</v>
      </c>
      <c r="O1924" s="25">
        <v>123</v>
      </c>
      <c r="P1924" s="25">
        <v>0</v>
      </c>
      <c r="Q1924" s="25"/>
      <c r="R1924" s="25"/>
      <c r="S1924" s="25"/>
      <c r="T1924" s="10"/>
    </row>
    <row r="1925" s="35" customFormat="1" ht="18.5" customHeight="1" spans="1:20">
      <c r="A1925" s="9"/>
      <c r="B1925" s="25"/>
      <c r="C1925" s="25"/>
      <c r="D1925" s="25"/>
      <c r="E1925" s="25"/>
      <c r="F1925" s="25"/>
      <c r="G1925" s="25"/>
      <c r="H1925" s="25"/>
      <c r="I1925" s="25"/>
      <c r="J1925" s="25"/>
      <c r="K1925" s="25"/>
      <c r="L1925" s="25"/>
      <c r="M1925" s="42" t="s">
        <v>253</v>
      </c>
      <c r="N1925" s="41">
        <v>45257</v>
      </c>
      <c r="O1925" s="25">
        <v>122</v>
      </c>
      <c r="P1925" s="25">
        <v>0</v>
      </c>
      <c r="Q1925" s="25"/>
      <c r="R1925" s="25"/>
      <c r="S1925" s="25"/>
      <c r="T1925" s="10"/>
    </row>
    <row r="1926" s="35" customFormat="1" ht="18.5" customHeight="1" spans="1:20">
      <c r="A1926" s="9"/>
      <c r="B1926" s="25"/>
      <c r="C1926" s="25"/>
      <c r="D1926" s="25"/>
      <c r="E1926" s="25"/>
      <c r="F1926" s="25"/>
      <c r="G1926" s="25"/>
      <c r="H1926" s="25"/>
      <c r="I1926" s="25"/>
      <c r="J1926" s="25"/>
      <c r="K1926" s="25"/>
      <c r="L1926" s="25"/>
      <c r="M1926" s="42" t="s">
        <v>253</v>
      </c>
      <c r="N1926" s="41">
        <v>45236</v>
      </c>
      <c r="O1926" s="25">
        <v>122</v>
      </c>
      <c r="P1926" s="25">
        <v>0</v>
      </c>
      <c r="Q1926" s="25"/>
      <c r="R1926" s="25"/>
      <c r="S1926" s="25"/>
      <c r="T1926" s="10"/>
    </row>
    <row r="1927" s="35" customFormat="1" ht="18.5" customHeight="1" spans="1:20">
      <c r="A1927" s="9"/>
      <c r="B1927" s="25"/>
      <c r="C1927" s="25"/>
      <c r="D1927" s="25"/>
      <c r="E1927" s="25"/>
      <c r="F1927" s="25"/>
      <c r="G1927" s="25"/>
      <c r="H1927" s="25"/>
      <c r="I1927" s="25"/>
      <c r="J1927" s="25"/>
      <c r="K1927" s="25"/>
      <c r="L1927" s="25"/>
      <c r="M1927" s="42" t="s">
        <v>253</v>
      </c>
      <c r="N1927" s="41">
        <v>45271</v>
      </c>
      <c r="O1927" s="25">
        <v>116</v>
      </c>
      <c r="P1927" s="25">
        <v>0</v>
      </c>
      <c r="Q1927" s="25"/>
      <c r="R1927" s="25"/>
      <c r="S1927" s="25"/>
      <c r="T1927" s="10"/>
    </row>
    <row r="1928" s="35" customFormat="1" ht="18.5" customHeight="1" spans="1:20">
      <c r="A1928" s="9"/>
      <c r="B1928" s="25"/>
      <c r="C1928" s="25"/>
      <c r="D1928" s="25"/>
      <c r="E1928" s="25"/>
      <c r="F1928" s="25"/>
      <c r="G1928" s="25"/>
      <c r="H1928" s="25"/>
      <c r="I1928" s="25"/>
      <c r="J1928" s="25"/>
      <c r="K1928" s="25"/>
      <c r="L1928" s="25"/>
      <c r="M1928" s="42" t="s">
        <v>253</v>
      </c>
      <c r="N1928" s="41">
        <v>45263</v>
      </c>
      <c r="O1928" s="25">
        <v>109</v>
      </c>
      <c r="P1928" s="25">
        <v>0</v>
      </c>
      <c r="Q1928" s="25"/>
      <c r="R1928" s="25"/>
      <c r="S1928" s="25"/>
      <c r="T1928" s="10"/>
    </row>
    <row r="1929" s="35" customFormat="1" ht="18.5" customHeight="1" spans="1:20">
      <c r="A1929" s="9"/>
      <c r="B1929" s="25"/>
      <c r="C1929" s="25"/>
      <c r="D1929" s="25"/>
      <c r="E1929" s="25"/>
      <c r="F1929" s="25"/>
      <c r="G1929" s="25"/>
      <c r="H1929" s="25"/>
      <c r="I1929" s="25"/>
      <c r="J1929" s="25"/>
      <c r="K1929" s="25"/>
      <c r="L1929" s="25"/>
      <c r="M1929" s="42" t="s">
        <v>253</v>
      </c>
      <c r="N1929" s="41">
        <v>45283</v>
      </c>
      <c r="O1929" s="25">
        <v>108</v>
      </c>
      <c r="P1929" s="25">
        <v>0</v>
      </c>
      <c r="Q1929" s="25"/>
      <c r="R1929" s="25"/>
      <c r="S1929" s="25"/>
      <c r="T1929" s="10"/>
    </row>
    <row r="1930" s="35" customFormat="1" ht="18.5" customHeight="1" spans="1:20">
      <c r="A1930" s="9"/>
      <c r="B1930" s="25"/>
      <c r="C1930" s="25"/>
      <c r="D1930" s="25"/>
      <c r="E1930" s="25"/>
      <c r="F1930" s="25"/>
      <c r="G1930" s="25"/>
      <c r="H1930" s="25"/>
      <c r="I1930" s="25"/>
      <c r="J1930" s="25"/>
      <c r="K1930" s="25"/>
      <c r="L1930" s="25"/>
      <c r="M1930" s="42" t="s">
        <v>253</v>
      </c>
      <c r="N1930" s="41">
        <v>45267</v>
      </c>
      <c r="O1930" s="25">
        <v>97</v>
      </c>
      <c r="P1930" s="25">
        <v>0</v>
      </c>
      <c r="Q1930" s="25"/>
      <c r="R1930" s="25"/>
      <c r="S1930" s="25"/>
      <c r="T1930" s="10"/>
    </row>
    <row r="1931" s="35" customFormat="1" ht="18.5" customHeight="1" spans="1:20">
      <c r="A1931" s="9"/>
      <c r="B1931" s="25"/>
      <c r="C1931" s="25"/>
      <c r="D1931" s="25"/>
      <c r="E1931" s="25"/>
      <c r="F1931" s="25"/>
      <c r="G1931" s="25"/>
      <c r="H1931" s="25"/>
      <c r="I1931" s="25"/>
      <c r="J1931" s="25"/>
      <c r="K1931" s="25"/>
      <c r="L1931" s="25"/>
      <c r="M1931" s="42" t="s">
        <v>253</v>
      </c>
      <c r="N1931" s="41">
        <v>45289</v>
      </c>
      <c r="O1931" s="25">
        <v>91</v>
      </c>
      <c r="P1931" s="25">
        <v>0</v>
      </c>
      <c r="Q1931" s="25"/>
      <c r="R1931" s="25"/>
      <c r="S1931" s="25"/>
      <c r="T1931" s="10"/>
    </row>
    <row r="1932" s="35" customFormat="1" ht="18.5" customHeight="1" spans="1:20">
      <c r="A1932" s="9"/>
      <c r="B1932" s="25"/>
      <c r="C1932" s="25"/>
      <c r="D1932" s="25"/>
      <c r="E1932" s="25"/>
      <c r="F1932" s="25"/>
      <c r="G1932" s="25"/>
      <c r="H1932" s="25"/>
      <c r="I1932" s="25"/>
      <c r="J1932" s="25"/>
      <c r="K1932" s="25"/>
      <c r="L1932" s="25"/>
      <c r="M1932" s="42" t="s">
        <v>253</v>
      </c>
      <c r="N1932" s="41">
        <v>45237</v>
      </c>
      <c r="O1932" s="25">
        <v>85</v>
      </c>
      <c r="P1932" s="25">
        <v>0</v>
      </c>
      <c r="Q1932" s="25"/>
      <c r="R1932" s="25"/>
      <c r="S1932" s="25"/>
      <c r="T1932" s="10"/>
    </row>
    <row r="1933" s="35" customFormat="1" ht="18.5" customHeight="1" spans="1:20">
      <c r="A1933" s="9"/>
      <c r="B1933" s="25"/>
      <c r="C1933" s="25"/>
      <c r="D1933" s="25"/>
      <c r="E1933" s="25"/>
      <c r="F1933" s="25"/>
      <c r="G1933" s="25"/>
      <c r="H1933" s="25"/>
      <c r="I1933" s="25"/>
      <c r="J1933" s="25"/>
      <c r="K1933" s="25"/>
      <c r="L1933" s="25"/>
      <c r="M1933" s="42" t="s">
        <v>253</v>
      </c>
      <c r="N1933" s="41">
        <v>45245</v>
      </c>
      <c r="O1933" s="25">
        <v>161</v>
      </c>
      <c r="P1933" s="25">
        <v>0</v>
      </c>
      <c r="Q1933" s="25"/>
      <c r="R1933" s="25"/>
      <c r="S1933" s="25"/>
      <c r="T1933" s="10"/>
    </row>
    <row r="1934" s="35" customFormat="1" ht="18.5" customHeight="1" spans="1:20">
      <c r="A1934" s="9"/>
      <c r="B1934" s="25"/>
      <c r="C1934" s="25"/>
      <c r="D1934" s="25"/>
      <c r="E1934" s="25"/>
      <c r="F1934" s="25"/>
      <c r="G1934" s="25"/>
      <c r="H1934" s="25"/>
      <c r="I1934" s="25"/>
      <c r="J1934" s="25"/>
      <c r="K1934" s="25"/>
      <c r="L1934" s="25"/>
      <c r="M1934" s="42" t="s">
        <v>253</v>
      </c>
      <c r="N1934" s="41">
        <v>45241</v>
      </c>
      <c r="O1934" s="25">
        <v>265</v>
      </c>
      <c r="P1934" s="25">
        <v>0</v>
      </c>
      <c r="Q1934" s="25"/>
      <c r="R1934" s="25"/>
      <c r="S1934" s="25"/>
      <c r="T1934" s="10"/>
    </row>
    <row r="1935" s="35" customFormat="1" ht="18.5" customHeight="1" spans="1:20">
      <c r="A1935" s="9"/>
      <c r="B1935" s="25"/>
      <c r="C1935" s="25"/>
      <c r="D1935" s="25"/>
      <c r="E1935" s="25"/>
      <c r="F1935" s="25"/>
      <c r="G1935" s="25"/>
      <c r="H1935" s="25"/>
      <c r="I1935" s="25"/>
      <c r="J1935" s="25"/>
      <c r="K1935" s="25"/>
      <c r="L1935" s="25"/>
      <c r="M1935" s="42" t="s">
        <v>253</v>
      </c>
      <c r="N1935" s="41">
        <v>45218</v>
      </c>
      <c r="O1935" s="25">
        <v>211</v>
      </c>
      <c r="P1935" s="25">
        <v>0</v>
      </c>
      <c r="Q1935" s="25"/>
      <c r="R1935" s="25"/>
      <c r="S1935" s="25"/>
      <c r="T1935" s="10"/>
    </row>
    <row r="1936" s="35" customFormat="1" ht="18.5" customHeight="1" spans="1:20">
      <c r="A1936" s="9"/>
      <c r="B1936" s="25"/>
      <c r="C1936" s="25"/>
      <c r="D1936" s="25"/>
      <c r="E1936" s="25"/>
      <c r="F1936" s="25"/>
      <c r="G1936" s="25"/>
      <c r="H1936" s="25"/>
      <c r="I1936" s="25"/>
      <c r="J1936" s="25"/>
      <c r="K1936" s="25"/>
      <c r="L1936" s="25"/>
      <c r="M1936" s="42" t="s">
        <v>253</v>
      </c>
      <c r="N1936" s="41">
        <v>45281</v>
      </c>
      <c r="O1936" s="25">
        <v>200</v>
      </c>
      <c r="P1936" s="25">
        <v>0</v>
      </c>
      <c r="Q1936" s="25"/>
      <c r="R1936" s="25"/>
      <c r="S1936" s="25"/>
      <c r="T1936" s="10"/>
    </row>
    <row r="1937" s="35" customFormat="1" ht="18.5" customHeight="1" spans="1:20">
      <c r="A1937" s="9"/>
      <c r="B1937" s="25"/>
      <c r="C1937" s="25"/>
      <c r="D1937" s="25"/>
      <c r="E1937" s="25"/>
      <c r="F1937" s="25"/>
      <c r="G1937" s="25"/>
      <c r="H1937" s="25"/>
      <c r="I1937" s="25"/>
      <c r="J1937" s="25"/>
      <c r="K1937" s="25"/>
      <c r="L1937" s="25"/>
      <c r="M1937" s="42" t="s">
        <v>253</v>
      </c>
      <c r="N1937" s="41">
        <v>45275</v>
      </c>
      <c r="O1937" s="25">
        <v>176</v>
      </c>
      <c r="P1937" s="25">
        <v>0</v>
      </c>
      <c r="Q1937" s="25"/>
      <c r="R1937" s="25"/>
      <c r="S1937" s="25"/>
      <c r="T1937" s="10"/>
    </row>
    <row r="1938" s="35" customFormat="1" ht="18.5" customHeight="1" spans="1:20">
      <c r="A1938" s="9"/>
      <c r="B1938" s="25"/>
      <c r="C1938" s="25"/>
      <c r="D1938" s="25"/>
      <c r="E1938" s="25"/>
      <c r="F1938" s="25"/>
      <c r="G1938" s="25"/>
      <c r="H1938" s="25"/>
      <c r="I1938" s="25"/>
      <c r="J1938" s="25"/>
      <c r="K1938" s="25"/>
      <c r="L1938" s="25"/>
      <c r="M1938" s="42" t="s">
        <v>253</v>
      </c>
      <c r="N1938" s="41">
        <v>45244</v>
      </c>
      <c r="O1938" s="25">
        <v>121</v>
      </c>
      <c r="P1938" s="25">
        <v>0</v>
      </c>
      <c r="Q1938" s="25"/>
      <c r="R1938" s="25"/>
      <c r="S1938" s="25"/>
      <c r="T1938" s="10"/>
    </row>
    <row r="1939" s="35" customFormat="1" ht="18.5" customHeight="1" spans="1:20">
      <c r="A1939" s="9"/>
      <c r="B1939" s="25"/>
      <c r="C1939" s="25"/>
      <c r="D1939" s="25"/>
      <c r="E1939" s="25"/>
      <c r="F1939" s="25"/>
      <c r="G1939" s="25"/>
      <c r="H1939" s="25"/>
      <c r="I1939" s="25"/>
      <c r="J1939" s="25"/>
      <c r="K1939" s="25"/>
      <c r="L1939" s="25"/>
      <c r="M1939" s="42" t="s">
        <v>253</v>
      </c>
      <c r="N1939" s="41">
        <v>45286</v>
      </c>
      <c r="O1939" s="25">
        <v>291</v>
      </c>
      <c r="P1939" s="25">
        <v>0</v>
      </c>
      <c r="Q1939" s="25"/>
      <c r="R1939" s="25"/>
      <c r="S1939" s="25"/>
      <c r="T1939" s="10"/>
    </row>
    <row r="1940" s="35" customFormat="1" ht="18.5" customHeight="1" spans="1:20">
      <c r="A1940" s="9"/>
      <c r="B1940" s="25"/>
      <c r="C1940" s="25"/>
      <c r="D1940" s="25"/>
      <c r="E1940" s="25"/>
      <c r="F1940" s="25"/>
      <c r="G1940" s="25"/>
      <c r="H1940" s="25"/>
      <c r="I1940" s="25"/>
      <c r="J1940" s="25"/>
      <c r="K1940" s="25"/>
      <c r="L1940" s="25"/>
      <c r="M1940" s="42" t="s">
        <v>253</v>
      </c>
      <c r="N1940" s="41">
        <v>45275</v>
      </c>
      <c r="O1940" s="25">
        <v>194</v>
      </c>
      <c r="P1940" s="25">
        <v>0</v>
      </c>
      <c r="Q1940" s="25"/>
      <c r="R1940" s="25"/>
      <c r="S1940" s="25"/>
      <c r="T1940" s="10"/>
    </row>
    <row r="1941" s="35" customFormat="1" ht="18.5" customHeight="1" spans="1:20">
      <c r="A1941" s="9"/>
      <c r="B1941" s="25"/>
      <c r="C1941" s="25"/>
      <c r="D1941" s="25"/>
      <c r="E1941" s="25"/>
      <c r="F1941" s="25"/>
      <c r="G1941" s="25"/>
      <c r="H1941" s="25"/>
      <c r="I1941" s="25"/>
      <c r="J1941" s="25"/>
      <c r="K1941" s="25"/>
      <c r="L1941" s="25"/>
      <c r="M1941" s="42" t="s">
        <v>253</v>
      </c>
      <c r="N1941" s="41">
        <v>45268</v>
      </c>
      <c r="O1941" s="25">
        <v>140</v>
      </c>
      <c r="P1941" s="25">
        <v>0</v>
      </c>
      <c r="Q1941" s="25"/>
      <c r="R1941" s="25"/>
      <c r="S1941" s="25"/>
      <c r="T1941" s="10"/>
    </row>
    <row r="1942" s="35" customFormat="1" ht="18.5" customHeight="1" spans="1:20">
      <c r="A1942" s="9"/>
      <c r="B1942" s="25"/>
      <c r="C1942" s="25"/>
      <c r="D1942" s="25"/>
      <c r="E1942" s="25"/>
      <c r="F1942" s="25"/>
      <c r="G1942" s="25"/>
      <c r="H1942" s="25"/>
      <c r="I1942" s="25"/>
      <c r="J1942" s="25"/>
      <c r="K1942" s="25"/>
      <c r="L1942" s="25"/>
      <c r="M1942" s="42" t="s">
        <v>253</v>
      </c>
      <c r="N1942" s="41">
        <v>45287</v>
      </c>
      <c r="O1942" s="25">
        <v>137</v>
      </c>
      <c r="P1942" s="25">
        <v>0</v>
      </c>
      <c r="Q1942" s="25"/>
      <c r="R1942" s="25"/>
      <c r="S1942" s="25"/>
      <c r="T1942" s="10"/>
    </row>
    <row r="1943" s="35" customFormat="1" ht="18.5" customHeight="1" spans="1:20">
      <c r="A1943" s="9"/>
      <c r="B1943" s="25"/>
      <c r="C1943" s="25"/>
      <c r="D1943" s="25"/>
      <c r="E1943" s="25"/>
      <c r="F1943" s="25"/>
      <c r="G1943" s="25"/>
      <c r="H1943" s="25"/>
      <c r="I1943" s="25"/>
      <c r="J1943" s="25"/>
      <c r="K1943" s="25"/>
      <c r="L1943" s="25"/>
      <c r="M1943" s="42" t="s">
        <v>253</v>
      </c>
      <c r="N1943" s="41">
        <v>45276</v>
      </c>
      <c r="O1943" s="25">
        <v>135</v>
      </c>
      <c r="P1943" s="25">
        <v>0</v>
      </c>
      <c r="Q1943" s="25"/>
      <c r="R1943" s="25"/>
      <c r="S1943" s="25"/>
      <c r="T1943" s="10"/>
    </row>
    <row r="1944" s="35" customFormat="1" ht="18.5" customHeight="1" spans="1:20">
      <c r="A1944" s="9"/>
      <c r="B1944" s="25"/>
      <c r="C1944" s="25"/>
      <c r="D1944" s="25"/>
      <c r="E1944" s="25"/>
      <c r="F1944" s="25"/>
      <c r="G1944" s="25"/>
      <c r="H1944" s="25"/>
      <c r="I1944" s="25"/>
      <c r="J1944" s="25"/>
      <c r="K1944" s="25"/>
      <c r="L1944" s="25"/>
      <c r="M1944" s="42" t="s">
        <v>253</v>
      </c>
      <c r="N1944" s="41">
        <v>45274</v>
      </c>
      <c r="O1944" s="25">
        <v>100</v>
      </c>
      <c r="P1944" s="25">
        <v>0</v>
      </c>
      <c r="Q1944" s="25"/>
      <c r="R1944" s="25"/>
      <c r="S1944" s="25"/>
      <c r="T1944" s="10"/>
    </row>
    <row r="1945" s="35" customFormat="1" ht="18.5" customHeight="1" spans="1:20">
      <c r="A1945" s="9"/>
      <c r="B1945" s="25"/>
      <c r="C1945" s="25"/>
      <c r="D1945" s="25"/>
      <c r="E1945" s="25"/>
      <c r="F1945" s="25"/>
      <c r="G1945" s="25"/>
      <c r="H1945" s="25"/>
      <c r="I1945" s="25"/>
      <c r="J1945" s="25"/>
      <c r="K1945" s="25"/>
      <c r="L1945" s="25"/>
      <c r="M1945" s="42" t="s">
        <v>253</v>
      </c>
      <c r="N1945" s="41">
        <v>45269</v>
      </c>
      <c r="O1945" s="25">
        <v>276</v>
      </c>
      <c r="P1945" s="25">
        <v>0</v>
      </c>
      <c r="Q1945" s="25"/>
      <c r="R1945" s="25"/>
      <c r="S1945" s="25"/>
      <c r="T1945" s="10"/>
    </row>
    <row r="1946" s="35" customFormat="1" ht="18.5" customHeight="1" spans="1:20">
      <c r="A1946" s="9"/>
      <c r="B1946" s="25"/>
      <c r="C1946" s="25"/>
      <c r="D1946" s="25"/>
      <c r="E1946" s="25"/>
      <c r="F1946" s="25"/>
      <c r="G1946" s="25"/>
      <c r="H1946" s="25"/>
      <c r="I1946" s="25"/>
      <c r="J1946" s="25"/>
      <c r="K1946" s="25"/>
      <c r="L1946" s="25"/>
      <c r="M1946" s="42" t="s">
        <v>253</v>
      </c>
      <c r="N1946" s="41">
        <v>45272</v>
      </c>
      <c r="O1946" s="25">
        <v>269</v>
      </c>
      <c r="P1946" s="25">
        <v>0</v>
      </c>
      <c r="Q1946" s="25"/>
      <c r="R1946" s="25"/>
      <c r="S1946" s="25"/>
      <c r="T1946" s="10"/>
    </row>
    <row r="1947" s="35" customFormat="1" ht="18.5" customHeight="1" spans="1:20">
      <c r="A1947" s="9"/>
      <c r="B1947" s="25"/>
      <c r="C1947" s="25"/>
      <c r="D1947" s="25"/>
      <c r="E1947" s="25"/>
      <c r="F1947" s="25"/>
      <c r="G1947" s="25"/>
      <c r="H1947" s="25"/>
      <c r="I1947" s="25"/>
      <c r="J1947" s="25"/>
      <c r="K1947" s="25"/>
      <c r="L1947" s="25"/>
      <c r="M1947" s="42" t="s">
        <v>253</v>
      </c>
      <c r="N1947" s="41">
        <v>45286</v>
      </c>
      <c r="O1947" s="25">
        <v>248</v>
      </c>
      <c r="P1947" s="25">
        <v>0</v>
      </c>
      <c r="Q1947" s="25"/>
      <c r="R1947" s="25"/>
      <c r="S1947" s="25"/>
      <c r="T1947" s="10"/>
    </row>
    <row r="1948" s="35" customFormat="1" ht="18.5" customHeight="1" spans="1:20">
      <c r="A1948" s="9"/>
      <c r="B1948" s="25"/>
      <c r="C1948" s="25"/>
      <c r="D1948" s="25"/>
      <c r="E1948" s="25"/>
      <c r="F1948" s="25"/>
      <c r="G1948" s="25"/>
      <c r="H1948" s="25"/>
      <c r="I1948" s="25"/>
      <c r="J1948" s="25"/>
      <c r="K1948" s="25"/>
      <c r="L1948" s="25"/>
      <c r="M1948" s="42" t="s">
        <v>253</v>
      </c>
      <c r="N1948" s="41">
        <v>45274</v>
      </c>
      <c r="O1948" s="25">
        <v>239</v>
      </c>
      <c r="P1948" s="25">
        <v>0</v>
      </c>
      <c r="Q1948" s="25"/>
      <c r="R1948" s="25"/>
      <c r="S1948" s="25"/>
      <c r="T1948" s="10"/>
    </row>
    <row r="1949" s="35" customFormat="1" ht="18.5" customHeight="1" spans="1:20">
      <c r="A1949" s="9"/>
      <c r="B1949" s="25"/>
      <c r="C1949" s="25"/>
      <c r="D1949" s="25"/>
      <c r="E1949" s="25"/>
      <c r="F1949" s="25"/>
      <c r="G1949" s="25"/>
      <c r="H1949" s="25"/>
      <c r="I1949" s="25"/>
      <c r="J1949" s="25"/>
      <c r="K1949" s="25"/>
      <c r="L1949" s="25"/>
      <c r="M1949" s="42" t="s">
        <v>253</v>
      </c>
      <c r="N1949" s="41">
        <v>45278</v>
      </c>
      <c r="O1949" s="25">
        <v>188</v>
      </c>
      <c r="P1949" s="25">
        <v>0</v>
      </c>
      <c r="Q1949" s="25"/>
      <c r="R1949" s="25"/>
      <c r="S1949" s="25"/>
      <c r="T1949" s="10"/>
    </row>
    <row r="1950" s="35" customFormat="1" ht="18.5" customHeight="1" spans="1:20">
      <c r="A1950" s="9"/>
      <c r="B1950" s="25"/>
      <c r="C1950" s="25"/>
      <c r="D1950" s="25"/>
      <c r="E1950" s="25"/>
      <c r="F1950" s="25"/>
      <c r="G1950" s="25"/>
      <c r="H1950" s="25"/>
      <c r="I1950" s="25"/>
      <c r="J1950" s="25"/>
      <c r="K1950" s="25"/>
      <c r="L1950" s="25"/>
      <c r="M1950" s="42" t="s">
        <v>253</v>
      </c>
      <c r="N1950" s="41">
        <v>45279</v>
      </c>
      <c r="O1950" s="25">
        <v>187</v>
      </c>
      <c r="P1950" s="25">
        <v>0</v>
      </c>
      <c r="Q1950" s="25"/>
      <c r="R1950" s="25"/>
      <c r="S1950" s="25"/>
      <c r="T1950" s="10"/>
    </row>
    <row r="1951" s="35" customFormat="1" ht="18.5" customHeight="1" spans="1:20">
      <c r="A1951" s="9"/>
      <c r="B1951" s="25"/>
      <c r="C1951" s="25"/>
      <c r="D1951" s="25"/>
      <c r="E1951" s="25"/>
      <c r="F1951" s="25"/>
      <c r="G1951" s="25"/>
      <c r="H1951" s="25"/>
      <c r="I1951" s="25"/>
      <c r="J1951" s="25"/>
      <c r="K1951" s="25"/>
      <c r="L1951" s="25"/>
      <c r="M1951" s="42" t="s">
        <v>253</v>
      </c>
      <c r="N1951" s="41">
        <v>45270</v>
      </c>
      <c r="O1951" s="25">
        <v>167</v>
      </c>
      <c r="P1951" s="25">
        <v>0</v>
      </c>
      <c r="Q1951" s="25"/>
      <c r="R1951" s="25"/>
      <c r="S1951" s="25"/>
      <c r="T1951" s="10"/>
    </row>
    <row r="1952" s="35" customFormat="1" ht="18.5" customHeight="1" spans="1:20">
      <c r="A1952" s="9"/>
      <c r="B1952" s="25"/>
      <c r="C1952" s="25"/>
      <c r="D1952" s="25"/>
      <c r="E1952" s="25"/>
      <c r="F1952" s="25"/>
      <c r="G1952" s="25"/>
      <c r="H1952" s="25"/>
      <c r="I1952" s="25"/>
      <c r="J1952" s="25"/>
      <c r="K1952" s="25"/>
      <c r="L1952" s="25"/>
      <c r="M1952" s="42" t="s">
        <v>253</v>
      </c>
      <c r="N1952" s="41">
        <v>45278</v>
      </c>
      <c r="O1952" s="25">
        <v>159</v>
      </c>
      <c r="P1952" s="25">
        <v>0</v>
      </c>
      <c r="Q1952" s="25"/>
      <c r="R1952" s="25"/>
      <c r="S1952" s="25"/>
      <c r="T1952" s="10"/>
    </row>
    <row r="1953" s="35" customFormat="1" ht="18.5" customHeight="1" spans="1:20">
      <c r="A1953" s="9"/>
      <c r="B1953" s="25"/>
      <c r="C1953" s="25"/>
      <c r="D1953" s="25"/>
      <c r="E1953" s="25"/>
      <c r="F1953" s="25"/>
      <c r="G1953" s="25"/>
      <c r="H1953" s="25"/>
      <c r="I1953" s="25"/>
      <c r="J1953" s="25"/>
      <c r="K1953" s="25"/>
      <c r="L1953" s="25"/>
      <c r="M1953" s="42" t="s">
        <v>253</v>
      </c>
      <c r="N1953" s="41">
        <v>45274</v>
      </c>
      <c r="O1953" s="25">
        <v>150</v>
      </c>
      <c r="P1953" s="25">
        <v>0</v>
      </c>
      <c r="Q1953" s="25"/>
      <c r="R1953" s="25"/>
      <c r="S1953" s="25"/>
      <c r="T1953" s="10"/>
    </row>
    <row r="1954" s="35" customFormat="1" ht="18.5" customHeight="1" spans="1:20">
      <c r="A1954" s="9"/>
      <c r="B1954" s="25"/>
      <c r="C1954" s="25"/>
      <c r="D1954" s="25"/>
      <c r="E1954" s="25"/>
      <c r="F1954" s="25"/>
      <c r="G1954" s="25"/>
      <c r="H1954" s="25"/>
      <c r="I1954" s="25"/>
      <c r="J1954" s="25"/>
      <c r="K1954" s="25"/>
      <c r="L1954" s="25"/>
      <c r="M1954" s="42" t="s">
        <v>253</v>
      </c>
      <c r="N1954" s="41">
        <v>45281</v>
      </c>
      <c r="O1954" s="25">
        <v>147</v>
      </c>
      <c r="P1954" s="25">
        <v>0</v>
      </c>
      <c r="Q1954" s="25"/>
      <c r="R1954" s="25"/>
      <c r="S1954" s="25"/>
      <c r="T1954" s="10"/>
    </row>
    <row r="1955" s="35" customFormat="1" ht="18.5" customHeight="1" spans="1:20">
      <c r="A1955" s="9"/>
      <c r="B1955" s="25"/>
      <c r="C1955" s="25"/>
      <c r="D1955" s="25"/>
      <c r="E1955" s="25"/>
      <c r="F1955" s="25"/>
      <c r="G1955" s="25"/>
      <c r="H1955" s="25"/>
      <c r="I1955" s="25"/>
      <c r="J1955" s="25"/>
      <c r="K1955" s="25"/>
      <c r="L1955" s="25"/>
      <c r="M1955" s="42" t="s">
        <v>253</v>
      </c>
      <c r="N1955" s="41">
        <v>45287</v>
      </c>
      <c r="O1955" s="25">
        <v>140</v>
      </c>
      <c r="P1955" s="25">
        <v>0</v>
      </c>
      <c r="Q1955" s="25"/>
      <c r="R1955" s="25"/>
      <c r="S1955" s="25"/>
      <c r="T1955" s="10"/>
    </row>
    <row r="1956" s="35" customFormat="1" ht="18.5" customHeight="1" spans="1:20">
      <c r="A1956" s="9"/>
      <c r="B1956" s="25"/>
      <c r="C1956" s="25"/>
      <c r="D1956" s="25"/>
      <c r="E1956" s="25"/>
      <c r="F1956" s="25"/>
      <c r="G1956" s="25"/>
      <c r="H1956" s="25"/>
      <c r="I1956" s="25"/>
      <c r="J1956" s="25"/>
      <c r="K1956" s="25"/>
      <c r="L1956" s="25"/>
      <c r="M1956" s="42" t="s">
        <v>253</v>
      </c>
      <c r="N1956" s="41">
        <v>45268</v>
      </c>
      <c r="O1956" s="25">
        <v>136</v>
      </c>
      <c r="P1956" s="25">
        <v>0</v>
      </c>
      <c r="Q1956" s="25"/>
      <c r="R1956" s="25"/>
      <c r="S1956" s="25"/>
      <c r="T1956" s="10"/>
    </row>
    <row r="1957" s="35" customFormat="1" ht="18.5" customHeight="1" spans="1:20">
      <c r="A1957" s="9"/>
      <c r="B1957" s="25"/>
      <c r="C1957" s="25"/>
      <c r="D1957" s="25"/>
      <c r="E1957" s="25"/>
      <c r="F1957" s="25"/>
      <c r="G1957" s="25"/>
      <c r="H1957" s="25"/>
      <c r="I1957" s="25"/>
      <c r="J1957" s="25"/>
      <c r="K1957" s="25"/>
      <c r="L1957" s="25"/>
      <c r="M1957" s="42" t="s">
        <v>253</v>
      </c>
      <c r="N1957" s="41">
        <v>45268</v>
      </c>
      <c r="O1957" s="25">
        <v>135</v>
      </c>
      <c r="P1957" s="25">
        <v>0</v>
      </c>
      <c r="Q1957" s="25"/>
      <c r="R1957" s="25"/>
      <c r="S1957" s="25"/>
      <c r="T1957" s="10"/>
    </row>
    <row r="1958" s="35" customFormat="1" ht="18.5" customHeight="1" spans="1:20">
      <c r="A1958" s="9"/>
      <c r="B1958" s="25"/>
      <c r="C1958" s="25"/>
      <c r="D1958" s="25"/>
      <c r="E1958" s="25"/>
      <c r="F1958" s="25"/>
      <c r="G1958" s="25"/>
      <c r="H1958" s="25"/>
      <c r="I1958" s="25"/>
      <c r="J1958" s="25"/>
      <c r="K1958" s="25"/>
      <c r="L1958" s="25"/>
      <c r="M1958" s="42" t="s">
        <v>253</v>
      </c>
      <c r="N1958" s="41">
        <v>45278</v>
      </c>
      <c r="O1958" s="25">
        <v>134</v>
      </c>
      <c r="P1958" s="25">
        <v>0</v>
      </c>
      <c r="Q1958" s="25"/>
      <c r="R1958" s="25"/>
      <c r="S1958" s="25"/>
      <c r="T1958" s="10"/>
    </row>
    <row r="1959" s="35" customFormat="1" ht="18.5" customHeight="1" spans="1:20">
      <c r="A1959" s="9"/>
      <c r="B1959" s="25"/>
      <c r="C1959" s="25"/>
      <c r="D1959" s="25"/>
      <c r="E1959" s="25"/>
      <c r="F1959" s="25"/>
      <c r="G1959" s="25"/>
      <c r="H1959" s="25"/>
      <c r="I1959" s="25"/>
      <c r="J1959" s="25"/>
      <c r="K1959" s="25"/>
      <c r="L1959" s="25"/>
      <c r="M1959" s="42" t="s">
        <v>253</v>
      </c>
      <c r="N1959" s="41">
        <v>45280</v>
      </c>
      <c r="O1959" s="25">
        <v>121</v>
      </c>
      <c r="P1959" s="25">
        <v>0</v>
      </c>
      <c r="Q1959" s="25"/>
      <c r="R1959" s="25"/>
      <c r="S1959" s="25"/>
      <c r="T1959" s="10"/>
    </row>
    <row r="1960" s="35" customFormat="1" ht="18.5" customHeight="1" spans="1:20">
      <c r="A1960" s="9"/>
      <c r="B1960" s="25"/>
      <c r="C1960" s="25"/>
      <c r="D1960" s="25"/>
      <c r="E1960" s="25"/>
      <c r="F1960" s="25"/>
      <c r="G1960" s="25"/>
      <c r="H1960" s="25"/>
      <c r="I1960" s="25"/>
      <c r="J1960" s="25"/>
      <c r="K1960" s="25"/>
      <c r="L1960" s="25"/>
      <c r="M1960" s="42" t="s">
        <v>253</v>
      </c>
      <c r="N1960" s="41">
        <v>45289</v>
      </c>
      <c r="O1960" s="25">
        <v>111</v>
      </c>
      <c r="P1960" s="25">
        <v>0</v>
      </c>
      <c r="Q1960" s="25"/>
      <c r="R1960" s="25"/>
      <c r="S1960" s="25"/>
      <c r="T1960" s="10"/>
    </row>
    <row r="1961" s="35" customFormat="1" ht="18.5" customHeight="1" spans="1:20">
      <c r="A1961" s="9"/>
      <c r="B1961" s="25"/>
      <c r="C1961" s="25"/>
      <c r="D1961" s="25"/>
      <c r="E1961" s="25"/>
      <c r="F1961" s="25"/>
      <c r="G1961" s="25"/>
      <c r="H1961" s="25"/>
      <c r="I1961" s="25"/>
      <c r="J1961" s="25"/>
      <c r="K1961" s="25"/>
      <c r="L1961" s="25"/>
      <c r="M1961" s="42" t="s">
        <v>253</v>
      </c>
      <c r="N1961" s="41">
        <v>45282</v>
      </c>
      <c r="O1961" s="25">
        <v>111</v>
      </c>
      <c r="P1961" s="25">
        <v>0</v>
      </c>
      <c r="Q1961" s="25"/>
      <c r="R1961" s="25"/>
      <c r="S1961" s="25"/>
      <c r="T1961" s="10"/>
    </row>
    <row r="1962" s="35" customFormat="1" ht="18.5" customHeight="1" spans="1:20">
      <c r="A1962" s="9"/>
      <c r="B1962" s="25"/>
      <c r="C1962" s="25"/>
      <c r="D1962" s="25"/>
      <c r="E1962" s="25"/>
      <c r="F1962" s="25"/>
      <c r="G1962" s="25"/>
      <c r="H1962" s="25"/>
      <c r="I1962" s="25"/>
      <c r="J1962" s="25"/>
      <c r="K1962" s="25"/>
      <c r="L1962" s="25"/>
      <c r="M1962" s="42" t="s">
        <v>253</v>
      </c>
      <c r="N1962" s="41">
        <v>45279</v>
      </c>
      <c r="O1962" s="25">
        <v>106</v>
      </c>
      <c r="P1962" s="25">
        <v>0</v>
      </c>
      <c r="Q1962" s="25"/>
      <c r="R1962" s="25"/>
      <c r="S1962" s="25"/>
      <c r="T1962" s="10"/>
    </row>
    <row r="1963" s="35" customFormat="1" ht="18.5" customHeight="1" spans="1:20">
      <c r="A1963" s="9"/>
      <c r="B1963" s="25"/>
      <c r="C1963" s="25"/>
      <c r="D1963" s="25"/>
      <c r="E1963" s="25"/>
      <c r="F1963" s="25"/>
      <c r="G1963" s="25"/>
      <c r="H1963" s="25"/>
      <c r="I1963" s="25"/>
      <c r="J1963" s="25"/>
      <c r="K1963" s="25"/>
      <c r="L1963" s="25"/>
      <c r="M1963" s="42" t="s">
        <v>253</v>
      </c>
      <c r="N1963" s="41">
        <v>45275</v>
      </c>
      <c r="O1963" s="25">
        <v>96</v>
      </c>
      <c r="P1963" s="25">
        <v>0</v>
      </c>
      <c r="Q1963" s="25"/>
      <c r="R1963" s="25"/>
      <c r="S1963" s="25"/>
      <c r="T1963" s="10"/>
    </row>
    <row r="1964" s="35" customFormat="1" ht="18.5" customHeight="1" spans="1:20">
      <c r="A1964" s="9"/>
      <c r="B1964" s="25"/>
      <c r="C1964" s="25"/>
      <c r="D1964" s="25"/>
      <c r="E1964" s="25"/>
      <c r="F1964" s="25"/>
      <c r="G1964" s="25"/>
      <c r="H1964" s="25"/>
      <c r="I1964" s="25"/>
      <c r="J1964" s="25"/>
      <c r="K1964" s="25"/>
      <c r="L1964" s="25"/>
      <c r="M1964" s="42" t="s">
        <v>253</v>
      </c>
      <c r="N1964" s="41">
        <v>45288</v>
      </c>
      <c r="O1964" s="25">
        <v>87</v>
      </c>
      <c r="P1964" s="25">
        <v>0</v>
      </c>
      <c r="Q1964" s="25"/>
      <c r="R1964" s="25"/>
      <c r="S1964" s="25"/>
      <c r="T1964" s="10"/>
    </row>
    <row r="1965" s="35" customFormat="1" ht="18.5" customHeight="1" spans="1:20">
      <c r="A1965" s="9"/>
      <c r="B1965" s="25"/>
      <c r="C1965" s="25"/>
      <c r="D1965" s="25"/>
      <c r="E1965" s="25"/>
      <c r="F1965" s="25"/>
      <c r="G1965" s="25"/>
      <c r="H1965" s="25"/>
      <c r="I1965" s="25"/>
      <c r="J1965" s="25"/>
      <c r="K1965" s="25"/>
      <c r="L1965" s="25"/>
      <c r="M1965" s="42" t="s">
        <v>253</v>
      </c>
      <c r="N1965" s="41">
        <v>45280</v>
      </c>
      <c r="O1965" s="25">
        <v>86</v>
      </c>
      <c r="P1965" s="25">
        <v>0</v>
      </c>
      <c r="Q1965" s="25"/>
      <c r="R1965" s="25"/>
      <c r="S1965" s="25"/>
      <c r="T1965" s="10"/>
    </row>
    <row r="1966" s="35" customFormat="1" ht="18.5" customHeight="1" spans="1:20">
      <c r="A1966" s="9"/>
      <c r="B1966" s="25"/>
      <c r="C1966" s="25"/>
      <c r="D1966" s="25"/>
      <c r="E1966" s="25"/>
      <c r="F1966" s="25"/>
      <c r="G1966" s="25"/>
      <c r="H1966" s="25"/>
      <c r="I1966" s="25"/>
      <c r="J1966" s="25"/>
      <c r="K1966" s="25"/>
      <c r="L1966" s="25"/>
      <c r="M1966" s="42" t="s">
        <v>253</v>
      </c>
      <c r="N1966" s="41">
        <v>45290</v>
      </c>
      <c r="O1966" s="25">
        <v>85</v>
      </c>
      <c r="P1966" s="25">
        <v>0</v>
      </c>
      <c r="Q1966" s="25"/>
      <c r="R1966" s="25"/>
      <c r="S1966" s="25"/>
      <c r="T1966" s="10"/>
    </row>
    <row r="1967" s="35" customFormat="1" ht="18.5" customHeight="1" spans="1:20">
      <c r="A1967" s="9"/>
      <c r="B1967" s="25"/>
      <c r="C1967" s="25"/>
      <c r="D1967" s="25"/>
      <c r="E1967" s="25"/>
      <c r="F1967" s="25"/>
      <c r="G1967" s="25"/>
      <c r="H1967" s="25"/>
      <c r="I1967" s="25"/>
      <c r="J1967" s="25"/>
      <c r="K1967" s="25"/>
      <c r="L1967" s="25"/>
      <c r="M1967" s="42" t="s">
        <v>253</v>
      </c>
      <c r="N1967" s="41">
        <v>45268</v>
      </c>
      <c r="O1967" s="25">
        <v>73</v>
      </c>
      <c r="P1967" s="25">
        <v>0</v>
      </c>
      <c r="Q1967" s="25"/>
      <c r="R1967" s="25"/>
      <c r="S1967" s="25"/>
      <c r="T1967" s="10"/>
    </row>
    <row r="1968" s="35" customFormat="1" ht="18.5" customHeight="1" spans="1:20">
      <c r="A1968" s="9"/>
      <c r="B1968" s="25"/>
      <c r="C1968" s="25"/>
      <c r="D1968" s="25"/>
      <c r="E1968" s="25"/>
      <c r="F1968" s="25"/>
      <c r="G1968" s="25"/>
      <c r="H1968" s="25"/>
      <c r="I1968" s="25"/>
      <c r="J1968" s="25"/>
      <c r="K1968" s="25"/>
      <c r="L1968" s="25"/>
      <c r="M1968" s="42" t="s">
        <v>253</v>
      </c>
      <c r="N1968" s="41">
        <v>45272</v>
      </c>
      <c r="O1968" s="25">
        <v>68</v>
      </c>
      <c r="P1968" s="25">
        <v>0</v>
      </c>
      <c r="Q1968" s="25"/>
      <c r="R1968" s="25"/>
      <c r="S1968" s="25"/>
      <c r="T1968" s="10"/>
    </row>
    <row r="1969" s="35" customFormat="1" ht="18.5" customHeight="1" spans="1:20">
      <c r="A1969" s="9"/>
      <c r="B1969" s="25"/>
      <c r="C1969" s="25"/>
      <c r="D1969" s="25"/>
      <c r="E1969" s="25"/>
      <c r="F1969" s="25"/>
      <c r="G1969" s="25"/>
      <c r="H1969" s="25"/>
      <c r="I1969" s="25"/>
      <c r="J1969" s="25"/>
      <c r="K1969" s="25"/>
      <c r="L1969" s="25"/>
      <c r="M1969" s="42" t="s">
        <v>253</v>
      </c>
      <c r="N1969" s="41">
        <v>45133</v>
      </c>
      <c r="O1969" s="25">
        <v>464</v>
      </c>
      <c r="P1969" s="25">
        <v>0</v>
      </c>
      <c r="Q1969" s="25"/>
      <c r="R1969" s="25"/>
      <c r="S1969" s="25"/>
      <c r="T1969" s="10"/>
    </row>
    <row r="1970" s="35" customFormat="1" ht="18.5" customHeight="1" spans="1:20">
      <c r="A1970" s="9"/>
      <c r="B1970" s="25"/>
      <c r="C1970" s="25"/>
      <c r="D1970" s="25"/>
      <c r="E1970" s="25"/>
      <c r="F1970" s="25"/>
      <c r="G1970" s="25"/>
      <c r="H1970" s="25"/>
      <c r="I1970" s="25"/>
      <c r="J1970" s="25"/>
      <c r="K1970" s="25"/>
      <c r="L1970" s="25"/>
      <c r="M1970" s="42" t="s">
        <v>253</v>
      </c>
      <c r="N1970" s="41">
        <v>45257</v>
      </c>
      <c r="O1970" s="25">
        <v>290</v>
      </c>
      <c r="P1970" s="25">
        <v>0</v>
      </c>
      <c r="Q1970" s="25"/>
      <c r="R1970" s="25"/>
      <c r="S1970" s="25"/>
      <c r="T1970" s="10"/>
    </row>
    <row r="1971" s="35" customFormat="1" ht="18.5" customHeight="1" spans="1:20">
      <c r="A1971" s="9"/>
      <c r="B1971" s="25"/>
      <c r="C1971" s="25"/>
      <c r="D1971" s="25"/>
      <c r="E1971" s="25"/>
      <c r="F1971" s="25"/>
      <c r="G1971" s="25"/>
      <c r="H1971" s="25"/>
      <c r="I1971" s="25"/>
      <c r="J1971" s="25"/>
      <c r="K1971" s="25"/>
      <c r="L1971" s="25"/>
      <c r="M1971" s="42" t="s">
        <v>253</v>
      </c>
      <c r="N1971" s="41">
        <v>45152</v>
      </c>
      <c r="O1971" s="25">
        <v>300</v>
      </c>
      <c r="P1971" s="25">
        <v>0</v>
      </c>
      <c r="Q1971" s="25"/>
      <c r="R1971" s="25"/>
      <c r="S1971" s="25"/>
      <c r="T1971" s="10"/>
    </row>
    <row r="1972" s="35" customFormat="1" ht="18.5" customHeight="1" spans="1:20">
      <c r="A1972" s="9"/>
      <c r="B1972" s="25"/>
      <c r="C1972" s="25"/>
      <c r="D1972" s="25"/>
      <c r="E1972" s="25"/>
      <c r="F1972" s="25"/>
      <c r="G1972" s="25"/>
      <c r="H1972" s="25"/>
      <c r="I1972" s="25"/>
      <c r="J1972" s="25"/>
      <c r="K1972" s="25"/>
      <c r="L1972" s="25"/>
      <c r="M1972" s="42" t="s">
        <v>253</v>
      </c>
      <c r="N1972" s="41">
        <v>45275</v>
      </c>
      <c r="O1972" s="25">
        <v>211</v>
      </c>
      <c r="P1972" s="25">
        <v>0</v>
      </c>
      <c r="Q1972" s="25"/>
      <c r="R1972" s="25"/>
      <c r="S1972" s="25"/>
      <c r="T1972" s="10"/>
    </row>
    <row r="1973" s="35" customFormat="1" ht="18.5" customHeight="1" spans="1:20">
      <c r="A1973" s="9"/>
      <c r="B1973" s="25"/>
      <c r="C1973" s="25"/>
      <c r="D1973" s="25"/>
      <c r="E1973" s="25"/>
      <c r="F1973" s="25"/>
      <c r="G1973" s="25"/>
      <c r="H1973" s="25"/>
      <c r="I1973" s="25"/>
      <c r="J1973" s="25"/>
      <c r="K1973" s="25"/>
      <c r="L1973" s="25"/>
      <c r="M1973" s="42" t="s">
        <v>253</v>
      </c>
      <c r="N1973" s="41">
        <v>45241</v>
      </c>
      <c r="O1973" s="25">
        <v>183</v>
      </c>
      <c r="P1973" s="25">
        <v>0</v>
      </c>
      <c r="Q1973" s="25"/>
      <c r="R1973" s="25"/>
      <c r="S1973" s="25"/>
      <c r="T1973" s="10"/>
    </row>
    <row r="1974" s="35" customFormat="1" ht="18.5" customHeight="1" spans="1:20">
      <c r="A1974" s="9"/>
      <c r="B1974" s="25"/>
      <c r="C1974" s="25"/>
      <c r="D1974" s="25"/>
      <c r="E1974" s="25"/>
      <c r="F1974" s="25"/>
      <c r="G1974" s="25"/>
      <c r="H1974" s="25"/>
      <c r="I1974" s="25"/>
      <c r="J1974" s="25"/>
      <c r="K1974" s="25"/>
      <c r="L1974" s="25"/>
      <c r="M1974" s="42" t="s">
        <v>253</v>
      </c>
      <c r="N1974" s="41">
        <v>45288</v>
      </c>
      <c r="O1974" s="25">
        <v>163</v>
      </c>
      <c r="P1974" s="25">
        <v>0</v>
      </c>
      <c r="Q1974" s="25"/>
      <c r="R1974" s="25"/>
      <c r="S1974" s="25"/>
      <c r="T1974" s="10"/>
    </row>
    <row r="1975" s="35" customFormat="1" ht="18.5" customHeight="1" spans="1:20">
      <c r="A1975" s="9"/>
      <c r="B1975" s="25"/>
      <c r="C1975" s="25"/>
      <c r="D1975" s="25"/>
      <c r="E1975" s="25"/>
      <c r="F1975" s="25"/>
      <c r="G1975" s="25"/>
      <c r="H1975" s="25"/>
      <c r="I1975" s="25"/>
      <c r="J1975" s="25"/>
      <c r="K1975" s="25"/>
      <c r="L1975" s="25"/>
      <c r="M1975" s="42" t="s">
        <v>253</v>
      </c>
      <c r="N1975" s="41">
        <v>45044</v>
      </c>
      <c r="O1975" s="25">
        <v>1562</v>
      </c>
      <c r="P1975" s="25">
        <v>0</v>
      </c>
      <c r="Q1975" s="25"/>
      <c r="R1975" s="25"/>
      <c r="S1975" s="25"/>
      <c r="T1975" s="10"/>
    </row>
    <row r="1976" s="35" customFormat="1" ht="18.5" customHeight="1" spans="1:20">
      <c r="A1976" s="9"/>
      <c r="B1976" s="25"/>
      <c r="C1976" s="25"/>
      <c r="D1976" s="25"/>
      <c r="E1976" s="25"/>
      <c r="F1976" s="25"/>
      <c r="G1976" s="25"/>
      <c r="H1976" s="25"/>
      <c r="I1976" s="25"/>
      <c r="J1976" s="25"/>
      <c r="K1976" s="25"/>
      <c r="L1976" s="25"/>
      <c r="M1976" s="42" t="s">
        <v>253</v>
      </c>
      <c r="N1976" s="41">
        <v>45027</v>
      </c>
      <c r="O1976" s="25">
        <v>1316</v>
      </c>
      <c r="P1976" s="25">
        <v>0</v>
      </c>
      <c r="Q1976" s="25"/>
      <c r="R1976" s="25"/>
      <c r="S1976" s="25"/>
      <c r="T1976" s="10"/>
    </row>
    <row r="1977" s="35" customFormat="1" ht="18.5" customHeight="1" spans="1:20">
      <c r="A1977" s="9"/>
      <c r="B1977" s="25"/>
      <c r="C1977" s="25"/>
      <c r="D1977" s="25"/>
      <c r="E1977" s="25"/>
      <c r="F1977" s="25"/>
      <c r="G1977" s="25"/>
      <c r="H1977" s="25"/>
      <c r="I1977" s="25"/>
      <c r="J1977" s="25"/>
      <c r="K1977" s="25"/>
      <c r="L1977" s="25"/>
      <c r="M1977" s="42" t="s">
        <v>253</v>
      </c>
      <c r="N1977" s="41">
        <v>45054</v>
      </c>
      <c r="O1977" s="25">
        <v>540</v>
      </c>
      <c r="P1977" s="25">
        <v>0</v>
      </c>
      <c r="Q1977" s="25"/>
      <c r="R1977" s="25"/>
      <c r="S1977" s="25"/>
      <c r="T1977" s="10"/>
    </row>
    <row r="1978" s="35" customFormat="1" ht="18.5" customHeight="1" spans="1:20">
      <c r="A1978" s="9"/>
      <c r="B1978" s="25"/>
      <c r="C1978" s="25"/>
      <c r="D1978" s="25"/>
      <c r="E1978" s="25"/>
      <c r="F1978" s="25"/>
      <c r="G1978" s="25"/>
      <c r="H1978" s="25"/>
      <c r="I1978" s="25"/>
      <c r="J1978" s="25"/>
      <c r="K1978" s="25"/>
      <c r="L1978" s="25"/>
      <c r="M1978" s="42" t="s">
        <v>253</v>
      </c>
      <c r="N1978" s="41">
        <v>45067</v>
      </c>
      <c r="O1978" s="25">
        <v>654</v>
      </c>
      <c r="P1978" s="25">
        <v>0</v>
      </c>
      <c r="Q1978" s="25"/>
      <c r="R1978" s="25"/>
      <c r="S1978" s="25"/>
      <c r="T1978" s="10"/>
    </row>
    <row r="1979" s="35" customFormat="1" ht="18.5" customHeight="1" spans="1:20">
      <c r="A1979" s="9"/>
      <c r="B1979" s="25"/>
      <c r="C1979" s="25"/>
      <c r="D1979" s="25"/>
      <c r="E1979" s="25"/>
      <c r="F1979" s="25"/>
      <c r="G1979" s="25"/>
      <c r="H1979" s="25"/>
      <c r="I1979" s="25"/>
      <c r="J1979" s="25"/>
      <c r="K1979" s="25"/>
      <c r="L1979" s="25"/>
      <c r="M1979" s="42" t="s">
        <v>253</v>
      </c>
      <c r="N1979" s="41">
        <v>45057</v>
      </c>
      <c r="O1979" s="25">
        <v>1931</v>
      </c>
      <c r="P1979" s="25">
        <v>0</v>
      </c>
      <c r="Q1979" s="25"/>
      <c r="R1979" s="25"/>
      <c r="S1979" s="25"/>
      <c r="T1979" s="10"/>
    </row>
    <row r="1980" s="35" customFormat="1" ht="18.5" customHeight="1" spans="1:20">
      <c r="A1980" s="9"/>
      <c r="B1980" s="25"/>
      <c r="C1980" s="25"/>
      <c r="D1980" s="25"/>
      <c r="E1980" s="25"/>
      <c r="F1980" s="25"/>
      <c r="G1980" s="25"/>
      <c r="H1980" s="25"/>
      <c r="I1980" s="25"/>
      <c r="J1980" s="25"/>
      <c r="K1980" s="25"/>
      <c r="L1980" s="25"/>
      <c r="M1980" s="42" t="s">
        <v>253</v>
      </c>
      <c r="N1980" s="41">
        <v>45072</v>
      </c>
      <c r="O1980" s="25">
        <v>388</v>
      </c>
      <c r="P1980" s="25">
        <v>0</v>
      </c>
      <c r="Q1980" s="25"/>
      <c r="R1980" s="25"/>
      <c r="S1980" s="25"/>
      <c r="T1980" s="10"/>
    </row>
    <row r="1981" s="35" customFormat="1" ht="18.5" customHeight="1" spans="1:20">
      <c r="A1981" s="9"/>
      <c r="B1981" s="25"/>
      <c r="C1981" s="25"/>
      <c r="D1981" s="25"/>
      <c r="E1981" s="25"/>
      <c r="F1981" s="25"/>
      <c r="G1981" s="25"/>
      <c r="H1981" s="25"/>
      <c r="I1981" s="25"/>
      <c r="J1981" s="25"/>
      <c r="K1981" s="25"/>
      <c r="L1981" s="25"/>
      <c r="M1981" s="42" t="s">
        <v>253</v>
      </c>
      <c r="N1981" s="41">
        <v>45073</v>
      </c>
      <c r="O1981" s="25">
        <v>240</v>
      </c>
      <c r="P1981" s="25">
        <v>0</v>
      </c>
      <c r="Q1981" s="25"/>
      <c r="R1981" s="25"/>
      <c r="S1981" s="25"/>
      <c r="T1981" s="10"/>
    </row>
    <row r="1982" s="35" customFormat="1" ht="18.5" customHeight="1" spans="1:20">
      <c r="A1982" s="9"/>
      <c r="B1982" s="25"/>
      <c r="C1982" s="25"/>
      <c r="D1982" s="25"/>
      <c r="E1982" s="25"/>
      <c r="F1982" s="25"/>
      <c r="G1982" s="25"/>
      <c r="H1982" s="25"/>
      <c r="I1982" s="25"/>
      <c r="J1982" s="25"/>
      <c r="K1982" s="25"/>
      <c r="L1982" s="25"/>
      <c r="M1982" s="42" t="s">
        <v>253</v>
      </c>
      <c r="N1982" s="41">
        <v>45053</v>
      </c>
      <c r="O1982" s="25">
        <v>709</v>
      </c>
      <c r="P1982" s="25">
        <v>0</v>
      </c>
      <c r="Q1982" s="25"/>
      <c r="R1982" s="25"/>
      <c r="S1982" s="25"/>
      <c r="T1982" s="10"/>
    </row>
    <row r="1983" s="35" customFormat="1" ht="18.5" customHeight="1" spans="1:20">
      <c r="A1983" s="9"/>
      <c r="B1983" s="25"/>
      <c r="C1983" s="25"/>
      <c r="D1983" s="25"/>
      <c r="E1983" s="25"/>
      <c r="F1983" s="25"/>
      <c r="G1983" s="25"/>
      <c r="H1983" s="25"/>
      <c r="I1983" s="25"/>
      <c r="J1983" s="25"/>
      <c r="K1983" s="25"/>
      <c r="L1983" s="25"/>
      <c r="M1983" s="42" t="s">
        <v>253</v>
      </c>
      <c r="N1983" s="41">
        <v>45034</v>
      </c>
      <c r="O1983" s="25">
        <v>613</v>
      </c>
      <c r="P1983" s="25">
        <v>0</v>
      </c>
      <c r="Q1983" s="25"/>
      <c r="R1983" s="25"/>
      <c r="S1983" s="25"/>
      <c r="T1983" s="10"/>
    </row>
    <row r="1984" s="35" customFormat="1" ht="18.5" customHeight="1" spans="1:20">
      <c r="A1984" s="9"/>
      <c r="B1984" s="25"/>
      <c r="C1984" s="25"/>
      <c r="D1984" s="25"/>
      <c r="E1984" s="25"/>
      <c r="F1984" s="25"/>
      <c r="G1984" s="25"/>
      <c r="H1984" s="25"/>
      <c r="I1984" s="25"/>
      <c r="J1984" s="25"/>
      <c r="K1984" s="25"/>
      <c r="L1984" s="25"/>
      <c r="M1984" s="42" t="s">
        <v>253</v>
      </c>
      <c r="N1984" s="41">
        <v>45072</v>
      </c>
      <c r="O1984" s="25">
        <v>2793</v>
      </c>
      <c r="P1984" s="25">
        <v>0</v>
      </c>
      <c r="Q1984" s="25"/>
      <c r="R1984" s="25"/>
      <c r="S1984" s="25"/>
      <c r="T1984" s="10"/>
    </row>
    <row r="1985" s="35" customFormat="1" ht="18.5" customHeight="1" spans="1:20">
      <c r="A1985" s="9"/>
      <c r="B1985" s="25"/>
      <c r="C1985" s="25"/>
      <c r="D1985" s="25"/>
      <c r="E1985" s="25"/>
      <c r="F1985" s="25"/>
      <c r="G1985" s="25"/>
      <c r="H1985" s="25"/>
      <c r="I1985" s="25"/>
      <c r="J1985" s="25"/>
      <c r="K1985" s="25"/>
      <c r="L1985" s="25"/>
      <c r="M1985" s="42" t="s">
        <v>253</v>
      </c>
      <c r="N1985" s="41">
        <v>45056</v>
      </c>
      <c r="O1985" s="25">
        <v>451</v>
      </c>
      <c r="P1985" s="25">
        <v>0</v>
      </c>
      <c r="Q1985" s="25"/>
      <c r="R1985" s="25"/>
      <c r="S1985" s="25"/>
      <c r="T1985" s="10"/>
    </row>
    <row r="1986" s="35" customFormat="1" ht="18.5" customHeight="1" spans="1:20">
      <c r="A1986" s="9"/>
      <c r="B1986" s="25"/>
      <c r="C1986" s="25"/>
      <c r="D1986" s="25"/>
      <c r="E1986" s="25"/>
      <c r="F1986" s="25"/>
      <c r="G1986" s="25"/>
      <c r="H1986" s="25"/>
      <c r="I1986" s="25"/>
      <c r="J1986" s="25"/>
      <c r="K1986" s="25"/>
      <c r="L1986" s="25"/>
      <c r="M1986" s="42" t="s">
        <v>253</v>
      </c>
      <c r="N1986" s="41">
        <v>45026</v>
      </c>
      <c r="O1986" s="25">
        <v>398</v>
      </c>
      <c r="P1986" s="25">
        <v>0</v>
      </c>
      <c r="Q1986" s="25"/>
      <c r="R1986" s="25"/>
      <c r="S1986" s="25"/>
      <c r="T1986" s="10"/>
    </row>
    <row r="1987" s="35" customFormat="1" ht="18.5" customHeight="1" spans="1:20">
      <c r="A1987" s="9"/>
      <c r="B1987" s="25"/>
      <c r="C1987" s="25"/>
      <c r="D1987" s="25"/>
      <c r="E1987" s="25"/>
      <c r="F1987" s="25"/>
      <c r="G1987" s="25"/>
      <c r="H1987" s="25"/>
      <c r="I1987" s="25"/>
      <c r="J1987" s="25"/>
      <c r="K1987" s="25"/>
      <c r="L1987" s="25"/>
      <c r="M1987" s="42" t="s">
        <v>253</v>
      </c>
      <c r="N1987" s="41">
        <v>45144</v>
      </c>
      <c r="O1987" s="25">
        <v>382</v>
      </c>
      <c r="P1987" s="25">
        <v>0</v>
      </c>
      <c r="Q1987" s="25"/>
      <c r="R1987" s="25"/>
      <c r="S1987" s="25"/>
      <c r="T1987" s="10"/>
    </row>
    <row r="1988" s="35" customFormat="1" ht="18.5" customHeight="1" spans="1:20">
      <c r="A1988" s="9"/>
      <c r="B1988" s="25"/>
      <c r="C1988" s="25"/>
      <c r="D1988" s="25"/>
      <c r="E1988" s="25"/>
      <c r="F1988" s="25"/>
      <c r="G1988" s="25"/>
      <c r="H1988" s="25"/>
      <c r="I1988" s="25"/>
      <c r="J1988" s="25"/>
      <c r="K1988" s="25"/>
      <c r="L1988" s="25"/>
      <c r="M1988" s="42" t="s">
        <v>253</v>
      </c>
      <c r="N1988" s="41">
        <v>45164</v>
      </c>
      <c r="O1988" s="25">
        <v>375</v>
      </c>
      <c r="P1988" s="25">
        <v>0</v>
      </c>
      <c r="Q1988" s="25"/>
      <c r="R1988" s="25"/>
      <c r="S1988" s="25"/>
      <c r="T1988" s="10"/>
    </row>
    <row r="1989" s="35" customFormat="1" ht="18.5" customHeight="1" spans="1:20">
      <c r="A1989" s="9"/>
      <c r="B1989" s="25"/>
      <c r="C1989" s="25"/>
      <c r="D1989" s="25"/>
      <c r="E1989" s="25"/>
      <c r="F1989" s="25"/>
      <c r="G1989" s="25"/>
      <c r="H1989" s="25"/>
      <c r="I1989" s="25"/>
      <c r="J1989" s="25"/>
      <c r="K1989" s="25"/>
      <c r="L1989" s="25"/>
      <c r="M1989" s="42" t="s">
        <v>253</v>
      </c>
      <c r="N1989" s="41">
        <v>45110</v>
      </c>
      <c r="O1989" s="25">
        <v>372</v>
      </c>
      <c r="P1989" s="25">
        <v>0</v>
      </c>
      <c r="Q1989" s="25"/>
      <c r="R1989" s="25"/>
      <c r="S1989" s="25"/>
      <c r="T1989" s="10"/>
    </row>
    <row r="1990" s="35" customFormat="1" ht="18.5" customHeight="1" spans="1:20">
      <c r="A1990" s="9"/>
      <c r="B1990" s="25"/>
      <c r="C1990" s="25"/>
      <c r="D1990" s="25"/>
      <c r="E1990" s="25"/>
      <c r="F1990" s="25"/>
      <c r="G1990" s="25"/>
      <c r="H1990" s="25"/>
      <c r="I1990" s="25"/>
      <c r="J1990" s="25"/>
      <c r="K1990" s="25"/>
      <c r="L1990" s="25"/>
      <c r="M1990" s="42" t="s">
        <v>253</v>
      </c>
      <c r="N1990" s="41">
        <v>45023</v>
      </c>
      <c r="O1990" s="25">
        <v>341</v>
      </c>
      <c r="P1990" s="25">
        <v>0</v>
      </c>
      <c r="Q1990" s="25"/>
      <c r="R1990" s="25"/>
      <c r="S1990" s="25"/>
      <c r="T1990" s="10"/>
    </row>
    <row r="1991" s="35" customFormat="1" ht="18.5" customHeight="1" spans="1:20">
      <c r="A1991" s="9"/>
      <c r="B1991" s="25"/>
      <c r="C1991" s="25"/>
      <c r="D1991" s="25"/>
      <c r="E1991" s="25"/>
      <c r="F1991" s="25"/>
      <c r="G1991" s="25"/>
      <c r="H1991" s="25"/>
      <c r="I1991" s="25"/>
      <c r="J1991" s="25"/>
      <c r="K1991" s="25"/>
      <c r="L1991" s="25"/>
      <c r="M1991" s="42" t="s">
        <v>253</v>
      </c>
      <c r="N1991" s="41">
        <v>45243</v>
      </c>
      <c r="O1991" s="25">
        <v>190</v>
      </c>
      <c r="P1991" s="25">
        <v>0</v>
      </c>
      <c r="Q1991" s="25"/>
      <c r="R1991" s="25"/>
      <c r="S1991" s="25"/>
      <c r="T1991" s="10"/>
    </row>
    <row r="1992" s="35" customFormat="1" ht="18.5" customHeight="1" spans="1:20">
      <c r="A1992" s="9"/>
      <c r="B1992" s="25"/>
      <c r="C1992" s="25"/>
      <c r="D1992" s="25"/>
      <c r="E1992" s="25"/>
      <c r="F1992" s="25"/>
      <c r="G1992" s="25"/>
      <c r="H1992" s="25"/>
      <c r="I1992" s="25"/>
      <c r="J1992" s="25"/>
      <c r="K1992" s="25"/>
      <c r="L1992" s="25"/>
      <c r="M1992" s="42" t="s">
        <v>253</v>
      </c>
      <c r="N1992" s="41">
        <v>45045</v>
      </c>
      <c r="O1992" s="25">
        <v>321</v>
      </c>
      <c r="P1992" s="25">
        <v>0</v>
      </c>
      <c r="Q1992" s="25"/>
      <c r="R1992" s="25"/>
      <c r="S1992" s="25"/>
      <c r="T1992" s="10"/>
    </row>
    <row r="1993" s="35" customFormat="1" ht="18.5" customHeight="1" spans="1:20">
      <c r="A1993" s="9"/>
      <c r="B1993" s="25"/>
      <c r="C1993" s="25"/>
      <c r="D1993" s="25"/>
      <c r="E1993" s="25"/>
      <c r="F1993" s="25"/>
      <c r="G1993" s="25"/>
      <c r="H1993" s="25"/>
      <c r="I1993" s="25"/>
      <c r="J1993" s="25"/>
      <c r="K1993" s="25"/>
      <c r="L1993" s="25"/>
      <c r="M1993" s="42" t="s">
        <v>253</v>
      </c>
      <c r="N1993" s="41">
        <v>45071</v>
      </c>
      <c r="O1993" s="25">
        <v>1329</v>
      </c>
      <c r="P1993" s="25">
        <v>0</v>
      </c>
      <c r="Q1993" s="25"/>
      <c r="R1993" s="25"/>
      <c r="S1993" s="25"/>
      <c r="T1993" s="10"/>
    </row>
    <row r="1994" s="35" customFormat="1" ht="18.5" customHeight="1" spans="1:20">
      <c r="A1994" s="9"/>
      <c r="B1994" s="25"/>
      <c r="C1994" s="25"/>
      <c r="D1994" s="25"/>
      <c r="E1994" s="25"/>
      <c r="F1994" s="25"/>
      <c r="G1994" s="25"/>
      <c r="H1994" s="25"/>
      <c r="I1994" s="25"/>
      <c r="J1994" s="25"/>
      <c r="K1994" s="25"/>
      <c r="L1994" s="25"/>
      <c r="M1994" s="42" t="s">
        <v>253</v>
      </c>
      <c r="N1994" s="41">
        <v>45031</v>
      </c>
      <c r="O1994" s="25">
        <v>1188</v>
      </c>
      <c r="P1994" s="25">
        <v>0</v>
      </c>
      <c r="Q1994" s="25"/>
      <c r="R1994" s="25"/>
      <c r="S1994" s="25"/>
      <c r="T1994" s="10"/>
    </row>
    <row r="1995" s="35" customFormat="1" ht="18.5" customHeight="1" spans="1:20">
      <c r="A1995" s="9"/>
      <c r="B1995" s="25"/>
      <c r="C1995" s="25"/>
      <c r="D1995" s="25"/>
      <c r="E1995" s="25"/>
      <c r="F1995" s="25"/>
      <c r="G1995" s="25"/>
      <c r="H1995" s="25"/>
      <c r="I1995" s="25"/>
      <c r="J1995" s="25"/>
      <c r="K1995" s="25"/>
      <c r="L1995" s="25"/>
      <c r="M1995" s="42" t="s">
        <v>253</v>
      </c>
      <c r="N1995" s="41">
        <v>45121</v>
      </c>
      <c r="O1995" s="25">
        <v>1079</v>
      </c>
      <c r="P1995" s="25">
        <v>0</v>
      </c>
      <c r="Q1995" s="25"/>
      <c r="R1995" s="25"/>
      <c r="S1995" s="25"/>
      <c r="T1995" s="10"/>
    </row>
    <row r="1996" s="35" customFormat="1" ht="18.5" customHeight="1" spans="1:20">
      <c r="A1996" s="9"/>
      <c r="B1996" s="25"/>
      <c r="C1996" s="25"/>
      <c r="D1996" s="25"/>
      <c r="E1996" s="25"/>
      <c r="F1996" s="25"/>
      <c r="G1996" s="25"/>
      <c r="H1996" s="25"/>
      <c r="I1996" s="25"/>
      <c r="J1996" s="25"/>
      <c r="K1996" s="25"/>
      <c r="L1996" s="25"/>
      <c r="M1996" s="42" t="s">
        <v>253</v>
      </c>
      <c r="N1996" s="41">
        <v>45083</v>
      </c>
      <c r="O1996" s="25">
        <v>798</v>
      </c>
      <c r="P1996" s="25">
        <v>0</v>
      </c>
      <c r="Q1996" s="25"/>
      <c r="R1996" s="25"/>
      <c r="S1996" s="25"/>
      <c r="T1996" s="10"/>
    </row>
    <row r="1997" s="35" customFormat="1" ht="18.5" customHeight="1" spans="1:20">
      <c r="A1997" s="9"/>
      <c r="B1997" s="25"/>
      <c r="C1997" s="25"/>
      <c r="D1997" s="25"/>
      <c r="E1997" s="25"/>
      <c r="F1997" s="25"/>
      <c r="G1997" s="25"/>
      <c r="H1997" s="25"/>
      <c r="I1997" s="25"/>
      <c r="J1997" s="25"/>
      <c r="K1997" s="25"/>
      <c r="L1997" s="25"/>
      <c r="M1997" s="42" t="s">
        <v>253</v>
      </c>
      <c r="N1997" s="41">
        <v>45245</v>
      </c>
      <c r="O1997" s="25">
        <v>781</v>
      </c>
      <c r="P1997" s="25">
        <v>0</v>
      </c>
      <c r="Q1997" s="25"/>
      <c r="R1997" s="25"/>
      <c r="S1997" s="25"/>
      <c r="T1997" s="10"/>
    </row>
    <row r="1998" s="35" customFormat="1" ht="18.5" customHeight="1" spans="1:20">
      <c r="A1998" s="9"/>
      <c r="B1998" s="25"/>
      <c r="C1998" s="25"/>
      <c r="D1998" s="25"/>
      <c r="E1998" s="25"/>
      <c r="F1998" s="25"/>
      <c r="G1998" s="25"/>
      <c r="H1998" s="25"/>
      <c r="I1998" s="25"/>
      <c r="J1998" s="25"/>
      <c r="K1998" s="25"/>
      <c r="L1998" s="25"/>
      <c r="M1998" s="42" t="s">
        <v>253</v>
      </c>
      <c r="N1998" s="41">
        <v>45090</v>
      </c>
      <c r="O1998" s="25">
        <v>682</v>
      </c>
      <c r="P1998" s="25">
        <v>0</v>
      </c>
      <c r="Q1998" s="25"/>
      <c r="R1998" s="25"/>
      <c r="S1998" s="25"/>
      <c r="T1998" s="10"/>
    </row>
    <row r="1999" s="35" customFormat="1" ht="18.5" customHeight="1" spans="1:20">
      <c r="A1999" s="9"/>
      <c r="B1999" s="25"/>
      <c r="C1999" s="25"/>
      <c r="D1999" s="25"/>
      <c r="E1999" s="25"/>
      <c r="F1999" s="25"/>
      <c r="G1999" s="25"/>
      <c r="H1999" s="25"/>
      <c r="I1999" s="25"/>
      <c r="J1999" s="25"/>
      <c r="K1999" s="25"/>
      <c r="L1999" s="25"/>
      <c r="M1999" s="42" t="s">
        <v>253</v>
      </c>
      <c r="N1999" s="41">
        <v>45066</v>
      </c>
      <c r="O1999" s="25">
        <v>538</v>
      </c>
      <c r="P1999" s="25">
        <v>0</v>
      </c>
      <c r="Q1999" s="25"/>
      <c r="R1999" s="25"/>
      <c r="S1999" s="25"/>
      <c r="T1999" s="10"/>
    </row>
    <row r="2000" s="35" customFormat="1" ht="18.5" customHeight="1" spans="1:20">
      <c r="A2000" s="9"/>
      <c r="B2000" s="25"/>
      <c r="C2000" s="25"/>
      <c r="D2000" s="25"/>
      <c r="E2000" s="25"/>
      <c r="F2000" s="25"/>
      <c r="G2000" s="25"/>
      <c r="H2000" s="25"/>
      <c r="I2000" s="25"/>
      <c r="J2000" s="25"/>
      <c r="K2000" s="25"/>
      <c r="L2000" s="25"/>
      <c r="M2000" s="42" t="s">
        <v>253</v>
      </c>
      <c r="N2000" s="41">
        <v>45246</v>
      </c>
      <c r="O2000" s="25">
        <v>528</v>
      </c>
      <c r="P2000" s="25">
        <v>0</v>
      </c>
      <c r="Q2000" s="25"/>
      <c r="R2000" s="25"/>
      <c r="S2000" s="25"/>
      <c r="T2000" s="10"/>
    </row>
    <row r="2001" s="35" customFormat="1" ht="18.5" customHeight="1" spans="1:20">
      <c r="A2001" s="9"/>
      <c r="B2001" s="25"/>
      <c r="C2001" s="25"/>
      <c r="D2001" s="25"/>
      <c r="E2001" s="25"/>
      <c r="F2001" s="25"/>
      <c r="G2001" s="25"/>
      <c r="H2001" s="25"/>
      <c r="I2001" s="25"/>
      <c r="J2001" s="25"/>
      <c r="K2001" s="25"/>
      <c r="L2001" s="25"/>
      <c r="M2001" s="42" t="s">
        <v>253</v>
      </c>
      <c r="N2001" s="41">
        <v>45118</v>
      </c>
      <c r="O2001" s="25">
        <v>518</v>
      </c>
      <c r="P2001" s="25">
        <v>0</v>
      </c>
      <c r="Q2001" s="25"/>
      <c r="R2001" s="25"/>
      <c r="S2001" s="25"/>
      <c r="T2001" s="10"/>
    </row>
    <row r="2002" s="35" customFormat="1" ht="18.5" customHeight="1" spans="1:20">
      <c r="A2002" s="9"/>
      <c r="B2002" s="25"/>
      <c r="C2002" s="25"/>
      <c r="D2002" s="25"/>
      <c r="E2002" s="25"/>
      <c r="F2002" s="25"/>
      <c r="G2002" s="25"/>
      <c r="H2002" s="25"/>
      <c r="I2002" s="25"/>
      <c r="J2002" s="25"/>
      <c r="K2002" s="25"/>
      <c r="L2002" s="25"/>
      <c r="M2002" s="42" t="s">
        <v>253</v>
      </c>
      <c r="N2002" s="41">
        <v>45054</v>
      </c>
      <c r="O2002" s="25">
        <v>431</v>
      </c>
      <c r="P2002" s="25">
        <v>0</v>
      </c>
      <c r="Q2002" s="25"/>
      <c r="R2002" s="25"/>
      <c r="S2002" s="25"/>
      <c r="T2002" s="10"/>
    </row>
    <row r="2003" s="35" customFormat="1" ht="18.5" customHeight="1" spans="1:20">
      <c r="A2003" s="9"/>
      <c r="B2003" s="25"/>
      <c r="C2003" s="25"/>
      <c r="D2003" s="25"/>
      <c r="E2003" s="25"/>
      <c r="F2003" s="25"/>
      <c r="G2003" s="25"/>
      <c r="H2003" s="25"/>
      <c r="I2003" s="25"/>
      <c r="J2003" s="25"/>
      <c r="K2003" s="25"/>
      <c r="L2003" s="25"/>
      <c r="M2003" s="42" t="s">
        <v>253</v>
      </c>
      <c r="N2003" s="41">
        <v>45180</v>
      </c>
      <c r="O2003" s="25">
        <v>401</v>
      </c>
      <c r="P2003" s="25">
        <v>0</v>
      </c>
      <c r="Q2003" s="25"/>
      <c r="R2003" s="25"/>
      <c r="S2003" s="25"/>
      <c r="T2003" s="10"/>
    </row>
    <row r="2004" s="35" customFormat="1" ht="18.5" customHeight="1" spans="1:20">
      <c r="A2004" s="9"/>
      <c r="B2004" s="25"/>
      <c r="C2004" s="25"/>
      <c r="D2004" s="25"/>
      <c r="E2004" s="25"/>
      <c r="F2004" s="25"/>
      <c r="G2004" s="25"/>
      <c r="H2004" s="25"/>
      <c r="I2004" s="25"/>
      <c r="J2004" s="25"/>
      <c r="K2004" s="25"/>
      <c r="L2004" s="25"/>
      <c r="M2004" s="42" t="s">
        <v>253</v>
      </c>
      <c r="N2004" s="41">
        <v>45055</v>
      </c>
      <c r="O2004" s="25">
        <v>371</v>
      </c>
      <c r="P2004" s="25">
        <v>0</v>
      </c>
      <c r="Q2004" s="25"/>
      <c r="R2004" s="25"/>
      <c r="S2004" s="25"/>
      <c r="T2004" s="10"/>
    </row>
    <row r="2005" s="35" customFormat="1" ht="18.5" customHeight="1" spans="1:20">
      <c r="A2005" s="9"/>
      <c r="B2005" s="25"/>
      <c r="C2005" s="25"/>
      <c r="D2005" s="25"/>
      <c r="E2005" s="25"/>
      <c r="F2005" s="25"/>
      <c r="G2005" s="25"/>
      <c r="H2005" s="25"/>
      <c r="I2005" s="25"/>
      <c r="J2005" s="25"/>
      <c r="K2005" s="25"/>
      <c r="L2005" s="25"/>
      <c r="M2005" s="42" t="s">
        <v>253</v>
      </c>
      <c r="N2005" s="41">
        <v>45022</v>
      </c>
      <c r="O2005" s="25">
        <v>366</v>
      </c>
      <c r="P2005" s="25">
        <v>0</v>
      </c>
      <c r="Q2005" s="25"/>
      <c r="R2005" s="25"/>
      <c r="S2005" s="25"/>
      <c r="T2005" s="10"/>
    </row>
    <row r="2006" s="35" customFormat="1" ht="18.5" customHeight="1" spans="1:20">
      <c r="A2006" s="9"/>
      <c r="B2006" s="25"/>
      <c r="C2006" s="25"/>
      <c r="D2006" s="25"/>
      <c r="E2006" s="25"/>
      <c r="F2006" s="25"/>
      <c r="G2006" s="25"/>
      <c r="H2006" s="25"/>
      <c r="I2006" s="25"/>
      <c r="J2006" s="25"/>
      <c r="K2006" s="25"/>
      <c r="L2006" s="25"/>
      <c r="M2006" s="42" t="s">
        <v>253</v>
      </c>
      <c r="N2006" s="41">
        <v>45044</v>
      </c>
      <c r="O2006" s="25">
        <v>364</v>
      </c>
      <c r="P2006" s="25">
        <v>0</v>
      </c>
      <c r="Q2006" s="25"/>
      <c r="R2006" s="25"/>
      <c r="S2006" s="25"/>
      <c r="T2006" s="10"/>
    </row>
    <row r="2007" s="35" customFormat="1" ht="18.5" customHeight="1" spans="1:20">
      <c r="A2007" s="9"/>
      <c r="B2007" s="25"/>
      <c r="C2007" s="25"/>
      <c r="D2007" s="25"/>
      <c r="E2007" s="25"/>
      <c r="F2007" s="25"/>
      <c r="G2007" s="25"/>
      <c r="H2007" s="25"/>
      <c r="I2007" s="25"/>
      <c r="J2007" s="25"/>
      <c r="K2007" s="25"/>
      <c r="L2007" s="25"/>
      <c r="M2007" s="42" t="s">
        <v>253</v>
      </c>
      <c r="N2007" s="41">
        <v>45067</v>
      </c>
      <c r="O2007" s="25">
        <v>342</v>
      </c>
      <c r="P2007" s="25">
        <v>0</v>
      </c>
      <c r="Q2007" s="25"/>
      <c r="R2007" s="25"/>
      <c r="S2007" s="25"/>
      <c r="T2007" s="10"/>
    </row>
    <row r="2008" s="35" customFormat="1" ht="18.5" customHeight="1" spans="1:20">
      <c r="A2008" s="9"/>
      <c r="B2008" s="25"/>
      <c r="C2008" s="25"/>
      <c r="D2008" s="25"/>
      <c r="E2008" s="25"/>
      <c r="F2008" s="25"/>
      <c r="G2008" s="25"/>
      <c r="H2008" s="25"/>
      <c r="I2008" s="25"/>
      <c r="J2008" s="25"/>
      <c r="K2008" s="25"/>
      <c r="L2008" s="25"/>
      <c r="M2008" s="42" t="s">
        <v>253</v>
      </c>
      <c r="N2008" s="41">
        <v>45060</v>
      </c>
      <c r="O2008" s="25">
        <v>340</v>
      </c>
      <c r="P2008" s="25">
        <v>0</v>
      </c>
      <c r="Q2008" s="25"/>
      <c r="R2008" s="25"/>
      <c r="S2008" s="25"/>
      <c r="T2008" s="10"/>
    </row>
    <row r="2009" s="35" customFormat="1" ht="18.5" customHeight="1" spans="1:20">
      <c r="A2009" s="9"/>
      <c r="B2009" s="25"/>
      <c r="C2009" s="25"/>
      <c r="D2009" s="25"/>
      <c r="E2009" s="25"/>
      <c r="F2009" s="25"/>
      <c r="G2009" s="25"/>
      <c r="H2009" s="25"/>
      <c r="I2009" s="25"/>
      <c r="J2009" s="25"/>
      <c r="K2009" s="25"/>
      <c r="L2009" s="25"/>
      <c r="M2009" s="42" t="s">
        <v>253</v>
      </c>
      <c r="N2009" s="41">
        <v>45070</v>
      </c>
      <c r="O2009" s="25">
        <v>315</v>
      </c>
      <c r="P2009" s="25">
        <v>0</v>
      </c>
      <c r="Q2009" s="25"/>
      <c r="R2009" s="25"/>
      <c r="S2009" s="25"/>
      <c r="T2009" s="10"/>
    </row>
    <row r="2010" s="35" customFormat="1" ht="18.5" customHeight="1" spans="1:20">
      <c r="A2010" s="9"/>
      <c r="B2010" s="25"/>
      <c r="C2010" s="25"/>
      <c r="D2010" s="25"/>
      <c r="E2010" s="25"/>
      <c r="F2010" s="25"/>
      <c r="G2010" s="25"/>
      <c r="H2010" s="25"/>
      <c r="I2010" s="25"/>
      <c r="J2010" s="25"/>
      <c r="K2010" s="25"/>
      <c r="L2010" s="25"/>
      <c r="M2010" s="42" t="s">
        <v>253</v>
      </c>
      <c r="N2010" s="41">
        <v>45034</v>
      </c>
      <c r="O2010" s="25">
        <v>311</v>
      </c>
      <c r="P2010" s="25">
        <v>0</v>
      </c>
      <c r="Q2010" s="25"/>
      <c r="R2010" s="25"/>
      <c r="S2010" s="25"/>
      <c r="T2010" s="10"/>
    </row>
    <row r="2011" s="35" customFormat="1" ht="18.5" customHeight="1" spans="1:20">
      <c r="A2011" s="9"/>
      <c r="B2011" s="25"/>
      <c r="C2011" s="25"/>
      <c r="D2011" s="25"/>
      <c r="E2011" s="25"/>
      <c r="F2011" s="25"/>
      <c r="G2011" s="25"/>
      <c r="H2011" s="25"/>
      <c r="I2011" s="25"/>
      <c r="J2011" s="25"/>
      <c r="K2011" s="25"/>
      <c r="L2011" s="25"/>
      <c r="M2011" s="42" t="s">
        <v>253</v>
      </c>
      <c r="N2011" s="41">
        <v>45243</v>
      </c>
      <c r="O2011" s="25">
        <v>281</v>
      </c>
      <c r="P2011" s="25">
        <v>0</v>
      </c>
      <c r="Q2011" s="25"/>
      <c r="R2011" s="25"/>
      <c r="S2011" s="25"/>
      <c r="T2011" s="10"/>
    </row>
    <row r="2012" s="35" customFormat="1" ht="18.5" customHeight="1" spans="1:20">
      <c r="A2012" s="9"/>
      <c r="B2012" s="25"/>
      <c r="C2012" s="25"/>
      <c r="D2012" s="25"/>
      <c r="E2012" s="25"/>
      <c r="F2012" s="25"/>
      <c r="G2012" s="25"/>
      <c r="H2012" s="25"/>
      <c r="I2012" s="25"/>
      <c r="J2012" s="25"/>
      <c r="K2012" s="25"/>
      <c r="L2012" s="25"/>
      <c r="M2012" s="42" t="s">
        <v>253</v>
      </c>
      <c r="N2012" s="41">
        <v>45084</v>
      </c>
      <c r="O2012" s="25">
        <v>275</v>
      </c>
      <c r="P2012" s="25">
        <v>0</v>
      </c>
      <c r="Q2012" s="25"/>
      <c r="R2012" s="25"/>
      <c r="S2012" s="25"/>
      <c r="T2012" s="10"/>
    </row>
    <row r="2013" s="35" customFormat="1" ht="18.5" customHeight="1" spans="1:20">
      <c r="A2013" s="9"/>
      <c r="B2013" s="25"/>
      <c r="C2013" s="25"/>
      <c r="D2013" s="25"/>
      <c r="E2013" s="25"/>
      <c r="F2013" s="25"/>
      <c r="G2013" s="25"/>
      <c r="H2013" s="25"/>
      <c r="I2013" s="25"/>
      <c r="J2013" s="25"/>
      <c r="K2013" s="25"/>
      <c r="L2013" s="25"/>
      <c r="M2013" s="42" t="s">
        <v>253</v>
      </c>
      <c r="N2013" s="41">
        <v>45029</v>
      </c>
      <c r="O2013" s="25">
        <v>269</v>
      </c>
      <c r="P2013" s="25">
        <v>0</v>
      </c>
      <c r="Q2013" s="25"/>
      <c r="R2013" s="25"/>
      <c r="S2013" s="25"/>
      <c r="T2013" s="10"/>
    </row>
    <row r="2014" s="35" customFormat="1" ht="18.5" customHeight="1" spans="1:20">
      <c r="A2014" s="9"/>
      <c r="B2014" s="25"/>
      <c r="C2014" s="25"/>
      <c r="D2014" s="25"/>
      <c r="E2014" s="25"/>
      <c r="F2014" s="25"/>
      <c r="G2014" s="25"/>
      <c r="H2014" s="25"/>
      <c r="I2014" s="25"/>
      <c r="J2014" s="25"/>
      <c r="K2014" s="25"/>
      <c r="L2014" s="25"/>
      <c r="M2014" s="42" t="s">
        <v>253</v>
      </c>
      <c r="N2014" s="41">
        <v>45260</v>
      </c>
      <c r="O2014" s="25">
        <v>261</v>
      </c>
      <c r="P2014" s="25">
        <v>0</v>
      </c>
      <c r="Q2014" s="25"/>
      <c r="R2014" s="25"/>
      <c r="S2014" s="25"/>
      <c r="T2014" s="10"/>
    </row>
    <row r="2015" s="35" customFormat="1" ht="18.5" customHeight="1" spans="1:20">
      <c r="A2015" s="9"/>
      <c r="B2015" s="25"/>
      <c r="C2015" s="25"/>
      <c r="D2015" s="25"/>
      <c r="E2015" s="25"/>
      <c r="F2015" s="25"/>
      <c r="G2015" s="25"/>
      <c r="H2015" s="25"/>
      <c r="I2015" s="25"/>
      <c r="J2015" s="25"/>
      <c r="K2015" s="25"/>
      <c r="L2015" s="25"/>
      <c r="M2015" s="42" t="s">
        <v>253</v>
      </c>
      <c r="N2015" s="41">
        <v>45049</v>
      </c>
      <c r="O2015" s="25">
        <v>1425</v>
      </c>
      <c r="P2015" s="25">
        <v>0</v>
      </c>
      <c r="Q2015" s="25"/>
      <c r="R2015" s="25"/>
      <c r="S2015" s="25"/>
      <c r="T2015" s="10"/>
    </row>
    <row r="2016" s="35" customFormat="1" ht="18.5" customHeight="1" spans="1:20">
      <c r="A2016" s="9"/>
      <c r="B2016" s="25"/>
      <c r="C2016" s="25"/>
      <c r="D2016" s="25"/>
      <c r="E2016" s="25"/>
      <c r="F2016" s="25"/>
      <c r="G2016" s="25"/>
      <c r="H2016" s="25"/>
      <c r="I2016" s="25"/>
      <c r="J2016" s="25"/>
      <c r="K2016" s="25"/>
      <c r="L2016" s="25"/>
      <c r="M2016" s="42" t="s">
        <v>253</v>
      </c>
      <c r="N2016" s="41">
        <v>45058</v>
      </c>
      <c r="O2016" s="25">
        <v>236</v>
      </c>
      <c r="P2016" s="25">
        <v>0</v>
      </c>
      <c r="Q2016" s="25"/>
      <c r="R2016" s="25"/>
      <c r="S2016" s="25"/>
      <c r="T2016" s="10"/>
    </row>
    <row r="2017" s="35" customFormat="1" ht="18.5" customHeight="1" spans="1:20">
      <c r="A2017" s="9"/>
      <c r="B2017" s="25"/>
      <c r="C2017" s="25"/>
      <c r="D2017" s="25"/>
      <c r="E2017" s="25"/>
      <c r="F2017" s="25"/>
      <c r="G2017" s="25"/>
      <c r="H2017" s="25"/>
      <c r="I2017" s="25"/>
      <c r="J2017" s="25"/>
      <c r="K2017" s="25"/>
      <c r="L2017" s="25"/>
      <c r="M2017" s="42" t="s">
        <v>253</v>
      </c>
      <c r="N2017" s="41">
        <v>45121</v>
      </c>
      <c r="O2017" s="25">
        <v>1254</v>
      </c>
      <c r="P2017" s="25">
        <v>0</v>
      </c>
      <c r="Q2017" s="25"/>
      <c r="R2017" s="25"/>
      <c r="S2017" s="25"/>
      <c r="T2017" s="10"/>
    </row>
    <row r="2018" s="35" customFormat="1" ht="18.5" customHeight="1" spans="1:20">
      <c r="A2018" s="9"/>
      <c r="B2018" s="25"/>
      <c r="C2018" s="25"/>
      <c r="D2018" s="25"/>
      <c r="E2018" s="25"/>
      <c r="F2018" s="25"/>
      <c r="G2018" s="25"/>
      <c r="H2018" s="25"/>
      <c r="I2018" s="25"/>
      <c r="J2018" s="25"/>
      <c r="K2018" s="25"/>
      <c r="L2018" s="25"/>
      <c r="M2018" s="42" t="s">
        <v>253</v>
      </c>
      <c r="N2018" s="41">
        <v>45140</v>
      </c>
      <c r="O2018" s="25">
        <v>212</v>
      </c>
      <c r="P2018" s="25">
        <v>0</v>
      </c>
      <c r="Q2018" s="25"/>
      <c r="R2018" s="25"/>
      <c r="S2018" s="25"/>
      <c r="T2018" s="10"/>
    </row>
    <row r="2019" s="35" customFormat="1" ht="18.5" customHeight="1" spans="1:20">
      <c r="A2019" s="9"/>
      <c r="B2019" s="25"/>
      <c r="C2019" s="25"/>
      <c r="D2019" s="25"/>
      <c r="E2019" s="25"/>
      <c r="F2019" s="25"/>
      <c r="G2019" s="25"/>
      <c r="H2019" s="25"/>
      <c r="I2019" s="25"/>
      <c r="J2019" s="25"/>
      <c r="K2019" s="25"/>
      <c r="L2019" s="25"/>
      <c r="M2019" s="42" t="s">
        <v>253</v>
      </c>
      <c r="N2019" s="41">
        <v>45027</v>
      </c>
      <c r="O2019" s="25">
        <v>312</v>
      </c>
      <c r="P2019" s="25">
        <v>0</v>
      </c>
      <c r="Q2019" s="25"/>
      <c r="R2019" s="25"/>
      <c r="S2019" s="25"/>
      <c r="T2019" s="10"/>
    </row>
    <row r="2020" s="35" customFormat="1" ht="18.5" customHeight="1" spans="1:20">
      <c r="A2020" s="9"/>
      <c r="B2020" s="25"/>
      <c r="C2020" s="25"/>
      <c r="D2020" s="25"/>
      <c r="E2020" s="25"/>
      <c r="F2020" s="25"/>
      <c r="G2020" s="25"/>
      <c r="H2020" s="25"/>
      <c r="I2020" s="25"/>
      <c r="J2020" s="25"/>
      <c r="K2020" s="25"/>
      <c r="L2020" s="25"/>
      <c r="M2020" s="42" t="s">
        <v>253</v>
      </c>
      <c r="N2020" s="41">
        <v>45258</v>
      </c>
      <c r="O2020" s="25">
        <v>143</v>
      </c>
      <c r="P2020" s="25">
        <v>0</v>
      </c>
      <c r="Q2020" s="25"/>
      <c r="R2020" s="25"/>
      <c r="S2020" s="25"/>
      <c r="T2020" s="10"/>
    </row>
    <row r="2021" s="35" customFormat="1" ht="18.5" customHeight="1" spans="1:20">
      <c r="A2021" s="9"/>
      <c r="B2021" s="25"/>
      <c r="C2021" s="25"/>
      <c r="D2021" s="25"/>
      <c r="E2021" s="25"/>
      <c r="F2021" s="25"/>
      <c r="G2021" s="25"/>
      <c r="H2021" s="25"/>
      <c r="I2021" s="25"/>
      <c r="J2021" s="25"/>
      <c r="K2021" s="25"/>
      <c r="L2021" s="25"/>
      <c r="M2021" s="42" t="s">
        <v>253</v>
      </c>
      <c r="N2021" s="41">
        <v>45267</v>
      </c>
      <c r="O2021" s="25">
        <v>118</v>
      </c>
      <c r="P2021" s="25">
        <v>0</v>
      </c>
      <c r="Q2021" s="25"/>
      <c r="R2021" s="25"/>
      <c r="S2021" s="25"/>
      <c r="T2021" s="10"/>
    </row>
    <row r="2022" s="35" customFormat="1" ht="18.5" customHeight="1" spans="1:20">
      <c r="A2022" s="9"/>
      <c r="B2022" s="25"/>
      <c r="C2022" s="25"/>
      <c r="D2022" s="25"/>
      <c r="E2022" s="25"/>
      <c r="F2022" s="25"/>
      <c r="G2022" s="25"/>
      <c r="H2022" s="25"/>
      <c r="I2022" s="25"/>
      <c r="J2022" s="25"/>
      <c r="K2022" s="25"/>
      <c r="L2022" s="25"/>
      <c r="M2022" s="42" t="s">
        <v>253</v>
      </c>
      <c r="N2022" s="41">
        <v>45083</v>
      </c>
      <c r="O2022" s="25">
        <v>471</v>
      </c>
      <c r="P2022" s="25">
        <v>0</v>
      </c>
      <c r="Q2022" s="25"/>
      <c r="R2022" s="25"/>
      <c r="S2022" s="25"/>
      <c r="T2022" s="10"/>
    </row>
    <row r="2023" s="35" customFormat="1" ht="18.5" customHeight="1" spans="1:20">
      <c r="A2023" s="9"/>
      <c r="B2023" s="25"/>
      <c r="C2023" s="25"/>
      <c r="D2023" s="25"/>
      <c r="E2023" s="25"/>
      <c r="F2023" s="25"/>
      <c r="G2023" s="25"/>
      <c r="H2023" s="25"/>
      <c r="I2023" s="25"/>
      <c r="J2023" s="25"/>
      <c r="K2023" s="25"/>
      <c r="L2023" s="25"/>
      <c r="M2023" s="42" t="s">
        <v>253</v>
      </c>
      <c r="N2023" s="41">
        <v>45239</v>
      </c>
      <c r="O2023" s="25">
        <v>435</v>
      </c>
      <c r="P2023" s="25">
        <v>0</v>
      </c>
      <c r="Q2023" s="25"/>
      <c r="R2023" s="25"/>
      <c r="S2023" s="25"/>
      <c r="T2023" s="10"/>
    </row>
    <row r="2024" s="35" customFormat="1" ht="18.5" customHeight="1" spans="1:20">
      <c r="A2024" s="9"/>
      <c r="B2024" s="25"/>
      <c r="C2024" s="25"/>
      <c r="D2024" s="25"/>
      <c r="E2024" s="25"/>
      <c r="F2024" s="25"/>
      <c r="G2024" s="25"/>
      <c r="H2024" s="25"/>
      <c r="I2024" s="25"/>
      <c r="J2024" s="25"/>
      <c r="K2024" s="25"/>
      <c r="L2024" s="25"/>
      <c r="M2024" s="42" t="s">
        <v>253</v>
      </c>
      <c r="N2024" s="41">
        <v>45202</v>
      </c>
      <c r="O2024" s="25">
        <v>401</v>
      </c>
      <c r="P2024" s="25">
        <v>0</v>
      </c>
      <c r="Q2024" s="25"/>
      <c r="R2024" s="25"/>
      <c r="S2024" s="25"/>
      <c r="T2024" s="10"/>
    </row>
    <row r="2025" s="35" customFormat="1" ht="18.5" customHeight="1" spans="1:20">
      <c r="A2025" s="9"/>
      <c r="B2025" s="25"/>
      <c r="C2025" s="25"/>
      <c r="D2025" s="25"/>
      <c r="E2025" s="25"/>
      <c r="F2025" s="25"/>
      <c r="G2025" s="25"/>
      <c r="H2025" s="25"/>
      <c r="I2025" s="25"/>
      <c r="J2025" s="25"/>
      <c r="K2025" s="25"/>
      <c r="L2025" s="25"/>
      <c r="M2025" s="42" t="s">
        <v>253</v>
      </c>
      <c r="N2025" s="41">
        <v>45028</v>
      </c>
      <c r="O2025" s="25">
        <v>393</v>
      </c>
      <c r="P2025" s="25">
        <v>0</v>
      </c>
      <c r="Q2025" s="25"/>
      <c r="R2025" s="25"/>
      <c r="S2025" s="25"/>
      <c r="T2025" s="10"/>
    </row>
    <row r="2026" s="35" customFormat="1" ht="18.5" customHeight="1" spans="1:20">
      <c r="A2026" s="9"/>
      <c r="B2026" s="25"/>
      <c r="C2026" s="25"/>
      <c r="D2026" s="25"/>
      <c r="E2026" s="25"/>
      <c r="F2026" s="25"/>
      <c r="G2026" s="25"/>
      <c r="H2026" s="25"/>
      <c r="I2026" s="25"/>
      <c r="J2026" s="25"/>
      <c r="K2026" s="25"/>
      <c r="L2026" s="25"/>
      <c r="M2026" s="42" t="s">
        <v>253</v>
      </c>
      <c r="N2026" s="41">
        <v>45062</v>
      </c>
      <c r="O2026" s="25">
        <v>386</v>
      </c>
      <c r="P2026" s="25">
        <v>0</v>
      </c>
      <c r="Q2026" s="25"/>
      <c r="R2026" s="25"/>
      <c r="S2026" s="25"/>
      <c r="T2026" s="10"/>
    </row>
    <row r="2027" s="35" customFormat="1" ht="18.5" customHeight="1" spans="1:20">
      <c r="A2027" s="9"/>
      <c r="B2027" s="25"/>
      <c r="C2027" s="25"/>
      <c r="D2027" s="25"/>
      <c r="E2027" s="25"/>
      <c r="F2027" s="25"/>
      <c r="G2027" s="25"/>
      <c r="H2027" s="25"/>
      <c r="I2027" s="25"/>
      <c r="J2027" s="25"/>
      <c r="K2027" s="25"/>
      <c r="L2027" s="25"/>
      <c r="M2027" s="42" t="s">
        <v>253</v>
      </c>
      <c r="N2027" s="41">
        <v>45080</v>
      </c>
      <c r="O2027" s="25">
        <v>382</v>
      </c>
      <c r="P2027" s="25">
        <v>0</v>
      </c>
      <c r="Q2027" s="25"/>
      <c r="R2027" s="25"/>
      <c r="S2027" s="25"/>
      <c r="T2027" s="10"/>
    </row>
    <row r="2028" s="35" customFormat="1" ht="18.5" customHeight="1" spans="1:20">
      <c r="A2028" s="9"/>
      <c r="B2028" s="25"/>
      <c r="C2028" s="25"/>
      <c r="D2028" s="25"/>
      <c r="E2028" s="25"/>
      <c r="F2028" s="25"/>
      <c r="G2028" s="25"/>
      <c r="H2028" s="25"/>
      <c r="I2028" s="25"/>
      <c r="J2028" s="25"/>
      <c r="K2028" s="25"/>
      <c r="L2028" s="25"/>
      <c r="M2028" s="42" t="s">
        <v>253</v>
      </c>
      <c r="N2028" s="41">
        <v>45194</v>
      </c>
      <c r="O2028" s="25">
        <v>369</v>
      </c>
      <c r="P2028" s="25">
        <v>0</v>
      </c>
      <c r="Q2028" s="25"/>
      <c r="R2028" s="25"/>
      <c r="S2028" s="25"/>
      <c r="T2028" s="10"/>
    </row>
    <row r="2029" s="35" customFormat="1" ht="18.5" customHeight="1" spans="1:20">
      <c r="A2029" s="9"/>
      <c r="B2029" s="25"/>
      <c r="C2029" s="25"/>
      <c r="D2029" s="25"/>
      <c r="E2029" s="25"/>
      <c r="F2029" s="25"/>
      <c r="G2029" s="25"/>
      <c r="H2029" s="25"/>
      <c r="I2029" s="25"/>
      <c r="J2029" s="25"/>
      <c r="K2029" s="25"/>
      <c r="L2029" s="25"/>
      <c r="M2029" s="42" t="s">
        <v>253</v>
      </c>
      <c r="N2029" s="41">
        <v>45065</v>
      </c>
      <c r="O2029" s="25">
        <v>362</v>
      </c>
      <c r="P2029" s="25">
        <v>0</v>
      </c>
      <c r="Q2029" s="25"/>
      <c r="R2029" s="25"/>
      <c r="S2029" s="25"/>
      <c r="T2029" s="10"/>
    </row>
    <row r="2030" s="35" customFormat="1" ht="18.5" customHeight="1" spans="1:20">
      <c r="A2030" s="9"/>
      <c r="B2030" s="25"/>
      <c r="C2030" s="25"/>
      <c r="D2030" s="25"/>
      <c r="E2030" s="25"/>
      <c r="F2030" s="25"/>
      <c r="G2030" s="25"/>
      <c r="H2030" s="25"/>
      <c r="I2030" s="25"/>
      <c r="J2030" s="25"/>
      <c r="K2030" s="25"/>
      <c r="L2030" s="25"/>
      <c r="M2030" s="42" t="s">
        <v>253</v>
      </c>
      <c r="N2030" s="41">
        <v>45068</v>
      </c>
      <c r="O2030" s="25">
        <v>351</v>
      </c>
      <c r="P2030" s="25">
        <v>0</v>
      </c>
      <c r="Q2030" s="25"/>
      <c r="R2030" s="25"/>
      <c r="S2030" s="25"/>
      <c r="T2030" s="10"/>
    </row>
    <row r="2031" s="35" customFormat="1" ht="18.5" customHeight="1" spans="1:20">
      <c r="A2031" s="9"/>
      <c r="B2031" s="25"/>
      <c r="C2031" s="25"/>
      <c r="D2031" s="25"/>
      <c r="E2031" s="25"/>
      <c r="F2031" s="25"/>
      <c r="G2031" s="25"/>
      <c r="H2031" s="25"/>
      <c r="I2031" s="25"/>
      <c r="J2031" s="25"/>
      <c r="K2031" s="25"/>
      <c r="L2031" s="25"/>
      <c r="M2031" s="42" t="s">
        <v>253</v>
      </c>
      <c r="N2031" s="41">
        <v>45080</v>
      </c>
      <c r="O2031" s="25">
        <v>334</v>
      </c>
      <c r="P2031" s="25">
        <v>0</v>
      </c>
      <c r="Q2031" s="25"/>
      <c r="R2031" s="25"/>
      <c r="S2031" s="25"/>
      <c r="T2031" s="10"/>
    </row>
    <row r="2032" s="35" customFormat="1" ht="18.5" customHeight="1" spans="1:20">
      <c r="A2032" s="9"/>
      <c r="B2032" s="25"/>
      <c r="C2032" s="25"/>
      <c r="D2032" s="25"/>
      <c r="E2032" s="25"/>
      <c r="F2032" s="25"/>
      <c r="G2032" s="25"/>
      <c r="H2032" s="25"/>
      <c r="I2032" s="25"/>
      <c r="J2032" s="25"/>
      <c r="K2032" s="25"/>
      <c r="L2032" s="25"/>
      <c r="M2032" s="42" t="s">
        <v>253</v>
      </c>
      <c r="N2032" s="41">
        <v>45031</v>
      </c>
      <c r="O2032" s="25">
        <v>330</v>
      </c>
      <c r="P2032" s="25">
        <v>0</v>
      </c>
      <c r="Q2032" s="25"/>
      <c r="R2032" s="25"/>
      <c r="S2032" s="25"/>
      <c r="T2032" s="10"/>
    </row>
    <row r="2033" s="35" customFormat="1" ht="18.5" customHeight="1" spans="1:20">
      <c r="A2033" s="9"/>
      <c r="B2033" s="25"/>
      <c r="C2033" s="25"/>
      <c r="D2033" s="25"/>
      <c r="E2033" s="25"/>
      <c r="F2033" s="25"/>
      <c r="G2033" s="25"/>
      <c r="H2033" s="25"/>
      <c r="I2033" s="25"/>
      <c r="J2033" s="25"/>
      <c r="K2033" s="25"/>
      <c r="L2033" s="25"/>
      <c r="M2033" s="42" t="s">
        <v>253</v>
      </c>
      <c r="N2033" s="41">
        <v>45133</v>
      </c>
      <c r="O2033" s="25">
        <v>324</v>
      </c>
      <c r="P2033" s="25">
        <v>0</v>
      </c>
      <c r="Q2033" s="25"/>
      <c r="R2033" s="25"/>
      <c r="S2033" s="25"/>
      <c r="T2033" s="10"/>
    </row>
    <row r="2034" s="35" customFormat="1" ht="18.5" customHeight="1" spans="1:20">
      <c r="A2034" s="9"/>
      <c r="B2034" s="25"/>
      <c r="C2034" s="25"/>
      <c r="D2034" s="25"/>
      <c r="E2034" s="25"/>
      <c r="F2034" s="25"/>
      <c r="G2034" s="25"/>
      <c r="H2034" s="25"/>
      <c r="I2034" s="25"/>
      <c r="J2034" s="25"/>
      <c r="K2034" s="25"/>
      <c r="L2034" s="25"/>
      <c r="M2034" s="42" t="s">
        <v>253</v>
      </c>
      <c r="N2034" s="41">
        <v>45045</v>
      </c>
      <c r="O2034" s="25">
        <v>319</v>
      </c>
      <c r="P2034" s="25">
        <v>0</v>
      </c>
      <c r="Q2034" s="25"/>
      <c r="R2034" s="25"/>
      <c r="S2034" s="25"/>
      <c r="T2034" s="10"/>
    </row>
    <row r="2035" s="35" customFormat="1" ht="18.5" customHeight="1" spans="1:20">
      <c r="A2035" s="9"/>
      <c r="B2035" s="25"/>
      <c r="C2035" s="25"/>
      <c r="D2035" s="25"/>
      <c r="E2035" s="25"/>
      <c r="F2035" s="25"/>
      <c r="G2035" s="25"/>
      <c r="H2035" s="25"/>
      <c r="I2035" s="25"/>
      <c r="J2035" s="25"/>
      <c r="K2035" s="25"/>
      <c r="L2035" s="25"/>
      <c r="M2035" s="42" t="s">
        <v>253</v>
      </c>
      <c r="N2035" s="41">
        <v>45274</v>
      </c>
      <c r="O2035" s="25">
        <v>311</v>
      </c>
      <c r="P2035" s="25">
        <v>0</v>
      </c>
      <c r="Q2035" s="25"/>
      <c r="R2035" s="25"/>
      <c r="S2035" s="25"/>
      <c r="T2035" s="10"/>
    </row>
    <row r="2036" s="35" customFormat="1" ht="18.5" customHeight="1" spans="1:20">
      <c r="A2036" s="9"/>
      <c r="B2036" s="25"/>
      <c r="C2036" s="25"/>
      <c r="D2036" s="25"/>
      <c r="E2036" s="25"/>
      <c r="F2036" s="25"/>
      <c r="G2036" s="25"/>
      <c r="H2036" s="25"/>
      <c r="I2036" s="25"/>
      <c r="J2036" s="25"/>
      <c r="K2036" s="25"/>
      <c r="L2036" s="25"/>
      <c r="M2036" s="42" t="s">
        <v>253</v>
      </c>
      <c r="N2036" s="41">
        <v>45152</v>
      </c>
      <c r="O2036" s="25">
        <v>304</v>
      </c>
      <c r="P2036" s="25">
        <v>0</v>
      </c>
      <c r="Q2036" s="25"/>
      <c r="R2036" s="25"/>
      <c r="S2036" s="25"/>
      <c r="T2036" s="10"/>
    </row>
    <row r="2037" s="35" customFormat="1" ht="18.5" customHeight="1" spans="1:20">
      <c r="A2037" s="9"/>
      <c r="B2037" s="25"/>
      <c r="C2037" s="25"/>
      <c r="D2037" s="25"/>
      <c r="E2037" s="25"/>
      <c r="F2037" s="25"/>
      <c r="G2037" s="25"/>
      <c r="H2037" s="25"/>
      <c r="I2037" s="25"/>
      <c r="J2037" s="25"/>
      <c r="K2037" s="25"/>
      <c r="L2037" s="25"/>
      <c r="M2037" s="42" t="s">
        <v>253</v>
      </c>
      <c r="N2037" s="41">
        <v>45069</v>
      </c>
      <c r="O2037" s="25">
        <v>300</v>
      </c>
      <c r="P2037" s="25">
        <v>0</v>
      </c>
      <c r="Q2037" s="25"/>
      <c r="R2037" s="25"/>
      <c r="S2037" s="25"/>
      <c r="T2037" s="10"/>
    </row>
    <row r="2038" s="35" customFormat="1" ht="18.5" customHeight="1" spans="1:20">
      <c r="A2038" s="9"/>
      <c r="B2038" s="25"/>
      <c r="C2038" s="25"/>
      <c r="D2038" s="25"/>
      <c r="E2038" s="25"/>
      <c r="F2038" s="25"/>
      <c r="G2038" s="25"/>
      <c r="H2038" s="25"/>
      <c r="I2038" s="25"/>
      <c r="J2038" s="25"/>
      <c r="K2038" s="25"/>
      <c r="L2038" s="25"/>
      <c r="M2038" s="42" t="s">
        <v>253</v>
      </c>
      <c r="N2038" s="41">
        <v>45039</v>
      </c>
      <c r="O2038" s="25">
        <v>287</v>
      </c>
      <c r="P2038" s="25">
        <v>0</v>
      </c>
      <c r="Q2038" s="25"/>
      <c r="R2038" s="25"/>
      <c r="S2038" s="25"/>
      <c r="T2038" s="10"/>
    </row>
    <row r="2039" s="35" customFormat="1" ht="18.5" customHeight="1" spans="1:20">
      <c r="A2039" s="9"/>
      <c r="B2039" s="25"/>
      <c r="C2039" s="25"/>
      <c r="D2039" s="25"/>
      <c r="E2039" s="25"/>
      <c r="F2039" s="25"/>
      <c r="G2039" s="25"/>
      <c r="H2039" s="25"/>
      <c r="I2039" s="25"/>
      <c r="J2039" s="25"/>
      <c r="K2039" s="25"/>
      <c r="L2039" s="25"/>
      <c r="M2039" s="42" t="s">
        <v>253</v>
      </c>
      <c r="N2039" s="41">
        <v>45244</v>
      </c>
      <c r="O2039" s="25">
        <v>285</v>
      </c>
      <c r="P2039" s="25">
        <v>0</v>
      </c>
      <c r="Q2039" s="25"/>
      <c r="R2039" s="25"/>
      <c r="S2039" s="25"/>
      <c r="T2039" s="10"/>
    </row>
    <row r="2040" s="35" customFormat="1" ht="18.5" customHeight="1" spans="1:20">
      <c r="A2040" s="9"/>
      <c r="B2040" s="25"/>
      <c r="C2040" s="25"/>
      <c r="D2040" s="25"/>
      <c r="E2040" s="25"/>
      <c r="F2040" s="25"/>
      <c r="G2040" s="25"/>
      <c r="H2040" s="25"/>
      <c r="I2040" s="25"/>
      <c r="J2040" s="25"/>
      <c r="K2040" s="25"/>
      <c r="L2040" s="25"/>
      <c r="M2040" s="42" t="s">
        <v>253</v>
      </c>
      <c r="N2040" s="41">
        <v>45038</v>
      </c>
      <c r="O2040" s="25">
        <v>283</v>
      </c>
      <c r="P2040" s="25">
        <v>0</v>
      </c>
      <c r="Q2040" s="25"/>
      <c r="R2040" s="25"/>
      <c r="S2040" s="25"/>
      <c r="T2040" s="10"/>
    </row>
    <row r="2041" s="35" customFormat="1" ht="18.5" customHeight="1" spans="1:20">
      <c r="A2041" s="9"/>
      <c r="B2041" s="25"/>
      <c r="C2041" s="25"/>
      <c r="D2041" s="25"/>
      <c r="E2041" s="25"/>
      <c r="F2041" s="25"/>
      <c r="G2041" s="25"/>
      <c r="H2041" s="25"/>
      <c r="I2041" s="25"/>
      <c r="J2041" s="25"/>
      <c r="K2041" s="25"/>
      <c r="L2041" s="25"/>
      <c r="M2041" s="42" t="s">
        <v>253</v>
      </c>
      <c r="N2041" s="41">
        <v>45053</v>
      </c>
      <c r="O2041" s="25">
        <v>281</v>
      </c>
      <c r="P2041" s="25">
        <v>0</v>
      </c>
      <c r="Q2041" s="25"/>
      <c r="R2041" s="25"/>
      <c r="S2041" s="25"/>
      <c r="T2041" s="10"/>
    </row>
    <row r="2042" s="35" customFormat="1" ht="18.5" customHeight="1" spans="1:20">
      <c r="A2042" s="9"/>
      <c r="B2042" s="25"/>
      <c r="C2042" s="25"/>
      <c r="D2042" s="25"/>
      <c r="E2042" s="25"/>
      <c r="F2042" s="25"/>
      <c r="G2042" s="25"/>
      <c r="H2042" s="25"/>
      <c r="I2042" s="25"/>
      <c r="J2042" s="25"/>
      <c r="K2042" s="25"/>
      <c r="L2042" s="25"/>
      <c r="M2042" s="42" t="s">
        <v>253</v>
      </c>
      <c r="N2042" s="41">
        <v>45249</v>
      </c>
      <c r="O2042" s="25">
        <v>277</v>
      </c>
      <c r="P2042" s="25">
        <v>0</v>
      </c>
      <c r="Q2042" s="25"/>
      <c r="R2042" s="25"/>
      <c r="S2042" s="25"/>
      <c r="T2042" s="10"/>
    </row>
    <row r="2043" s="35" customFormat="1" ht="18.5" customHeight="1" spans="1:20">
      <c r="A2043" s="9"/>
      <c r="B2043" s="25"/>
      <c r="C2043" s="25"/>
      <c r="D2043" s="25"/>
      <c r="E2043" s="25"/>
      <c r="F2043" s="25"/>
      <c r="G2043" s="25"/>
      <c r="H2043" s="25"/>
      <c r="I2043" s="25"/>
      <c r="J2043" s="25"/>
      <c r="K2043" s="25"/>
      <c r="L2043" s="25"/>
      <c r="M2043" s="42" t="s">
        <v>253</v>
      </c>
      <c r="N2043" s="41">
        <v>45228</v>
      </c>
      <c r="O2043" s="25">
        <v>277</v>
      </c>
      <c r="P2043" s="25">
        <v>0</v>
      </c>
      <c r="Q2043" s="25"/>
      <c r="R2043" s="25"/>
      <c r="S2043" s="25"/>
      <c r="T2043" s="10"/>
    </row>
    <row r="2044" s="35" customFormat="1" ht="18.5" customHeight="1" spans="1:20">
      <c r="A2044" s="9"/>
      <c r="B2044" s="25"/>
      <c r="C2044" s="25"/>
      <c r="D2044" s="25"/>
      <c r="E2044" s="25"/>
      <c r="F2044" s="25"/>
      <c r="G2044" s="25"/>
      <c r="H2044" s="25"/>
      <c r="I2044" s="25"/>
      <c r="J2044" s="25"/>
      <c r="K2044" s="25"/>
      <c r="L2044" s="25"/>
      <c r="M2044" s="42" t="s">
        <v>253</v>
      </c>
      <c r="N2044" s="41">
        <v>45023</v>
      </c>
      <c r="O2044" s="25">
        <v>273</v>
      </c>
      <c r="P2044" s="25">
        <v>0</v>
      </c>
      <c r="Q2044" s="25"/>
      <c r="R2044" s="25"/>
      <c r="S2044" s="25"/>
      <c r="T2044" s="10"/>
    </row>
    <row r="2045" s="35" customFormat="1" ht="18.5" customHeight="1" spans="1:20">
      <c r="A2045" s="9"/>
      <c r="B2045" s="25"/>
      <c r="C2045" s="25"/>
      <c r="D2045" s="25"/>
      <c r="E2045" s="25"/>
      <c r="F2045" s="25"/>
      <c r="G2045" s="25"/>
      <c r="H2045" s="25"/>
      <c r="I2045" s="25"/>
      <c r="J2045" s="25"/>
      <c r="K2045" s="25"/>
      <c r="L2045" s="25"/>
      <c r="M2045" s="42" t="s">
        <v>253</v>
      </c>
      <c r="N2045" s="41">
        <v>45180</v>
      </c>
      <c r="O2045" s="25">
        <v>273</v>
      </c>
      <c r="P2045" s="25">
        <v>0</v>
      </c>
      <c r="Q2045" s="25"/>
      <c r="R2045" s="25"/>
      <c r="S2045" s="25"/>
      <c r="T2045" s="10"/>
    </row>
    <row r="2046" s="35" customFormat="1" ht="18.5" customHeight="1" spans="1:20">
      <c r="A2046" s="9"/>
      <c r="B2046" s="25"/>
      <c r="C2046" s="25"/>
      <c r="D2046" s="25"/>
      <c r="E2046" s="25"/>
      <c r="F2046" s="25"/>
      <c r="G2046" s="25"/>
      <c r="H2046" s="25"/>
      <c r="I2046" s="25"/>
      <c r="J2046" s="25"/>
      <c r="K2046" s="25"/>
      <c r="L2046" s="25"/>
      <c r="M2046" s="42" t="s">
        <v>253</v>
      </c>
      <c r="N2046" s="41">
        <v>45247</v>
      </c>
      <c r="O2046" s="25">
        <v>271</v>
      </c>
      <c r="P2046" s="25">
        <v>0</v>
      </c>
      <c r="Q2046" s="25"/>
      <c r="R2046" s="25"/>
      <c r="S2046" s="25"/>
      <c r="T2046" s="10"/>
    </row>
    <row r="2047" s="35" customFormat="1" ht="18.5" customHeight="1" spans="1:20">
      <c r="A2047" s="9"/>
      <c r="B2047" s="25"/>
      <c r="C2047" s="25"/>
      <c r="D2047" s="25"/>
      <c r="E2047" s="25"/>
      <c r="F2047" s="25"/>
      <c r="G2047" s="25"/>
      <c r="H2047" s="25"/>
      <c r="I2047" s="25"/>
      <c r="J2047" s="25"/>
      <c r="K2047" s="25"/>
      <c r="L2047" s="25"/>
      <c r="M2047" s="42" t="s">
        <v>253</v>
      </c>
      <c r="N2047" s="41">
        <v>45073</v>
      </c>
      <c r="O2047" s="25">
        <v>270</v>
      </c>
      <c r="P2047" s="25">
        <v>0</v>
      </c>
      <c r="Q2047" s="25"/>
      <c r="R2047" s="25"/>
      <c r="S2047" s="25"/>
      <c r="T2047" s="10"/>
    </row>
    <row r="2048" s="35" customFormat="1" ht="18.5" customHeight="1" spans="1:20">
      <c r="A2048" s="9"/>
      <c r="B2048" s="25"/>
      <c r="C2048" s="25"/>
      <c r="D2048" s="25"/>
      <c r="E2048" s="25"/>
      <c r="F2048" s="25"/>
      <c r="G2048" s="25"/>
      <c r="H2048" s="25"/>
      <c r="I2048" s="25"/>
      <c r="J2048" s="25"/>
      <c r="K2048" s="25"/>
      <c r="L2048" s="25"/>
      <c r="M2048" s="42" t="s">
        <v>253</v>
      </c>
      <c r="N2048" s="41">
        <v>45101</v>
      </c>
      <c r="O2048" s="25">
        <v>267</v>
      </c>
      <c r="P2048" s="25">
        <v>0</v>
      </c>
      <c r="Q2048" s="25"/>
      <c r="R2048" s="25"/>
      <c r="S2048" s="25"/>
      <c r="T2048" s="10"/>
    </row>
    <row r="2049" s="35" customFormat="1" ht="18.5" customHeight="1" spans="1:20">
      <c r="A2049" s="9"/>
      <c r="B2049" s="25"/>
      <c r="C2049" s="25"/>
      <c r="D2049" s="25"/>
      <c r="E2049" s="25"/>
      <c r="F2049" s="25"/>
      <c r="G2049" s="25"/>
      <c r="H2049" s="25"/>
      <c r="I2049" s="25"/>
      <c r="J2049" s="25"/>
      <c r="K2049" s="25"/>
      <c r="L2049" s="25"/>
      <c r="M2049" s="42" t="s">
        <v>253</v>
      </c>
      <c r="N2049" s="41">
        <v>45060</v>
      </c>
      <c r="O2049" s="25">
        <v>265</v>
      </c>
      <c r="P2049" s="25">
        <v>0</v>
      </c>
      <c r="Q2049" s="25"/>
      <c r="R2049" s="25"/>
      <c r="S2049" s="25"/>
      <c r="T2049" s="10"/>
    </row>
    <row r="2050" s="35" customFormat="1" ht="18.5" customHeight="1" spans="1:20">
      <c r="A2050" s="9"/>
      <c r="B2050" s="25"/>
      <c r="C2050" s="25"/>
      <c r="D2050" s="25"/>
      <c r="E2050" s="25"/>
      <c r="F2050" s="25"/>
      <c r="G2050" s="25"/>
      <c r="H2050" s="25"/>
      <c r="I2050" s="25"/>
      <c r="J2050" s="25"/>
      <c r="K2050" s="25"/>
      <c r="L2050" s="25"/>
      <c r="M2050" s="42" t="s">
        <v>253</v>
      </c>
      <c r="N2050" s="41">
        <v>45024</v>
      </c>
      <c r="O2050" s="25">
        <v>263</v>
      </c>
      <c r="P2050" s="25">
        <v>0</v>
      </c>
      <c r="Q2050" s="25"/>
      <c r="R2050" s="25"/>
      <c r="S2050" s="25"/>
      <c r="T2050" s="10"/>
    </row>
    <row r="2051" s="35" customFormat="1" ht="18.5" customHeight="1" spans="1:20">
      <c r="A2051" s="9"/>
      <c r="B2051" s="25"/>
      <c r="C2051" s="25"/>
      <c r="D2051" s="25"/>
      <c r="E2051" s="25"/>
      <c r="F2051" s="25"/>
      <c r="G2051" s="25"/>
      <c r="H2051" s="25"/>
      <c r="I2051" s="25"/>
      <c r="J2051" s="25"/>
      <c r="K2051" s="25"/>
      <c r="L2051" s="25"/>
      <c r="M2051" s="42" t="s">
        <v>253</v>
      </c>
      <c r="N2051" s="41">
        <v>45078</v>
      </c>
      <c r="O2051" s="25">
        <v>260</v>
      </c>
      <c r="P2051" s="25">
        <v>0</v>
      </c>
      <c r="Q2051" s="25"/>
      <c r="R2051" s="25"/>
      <c r="S2051" s="25"/>
      <c r="T2051" s="10"/>
    </row>
    <row r="2052" s="35" customFormat="1" ht="18.5" customHeight="1" spans="1:20">
      <c r="A2052" s="9"/>
      <c r="B2052" s="25"/>
      <c r="C2052" s="25"/>
      <c r="D2052" s="25"/>
      <c r="E2052" s="25"/>
      <c r="F2052" s="25"/>
      <c r="G2052" s="25"/>
      <c r="H2052" s="25"/>
      <c r="I2052" s="25"/>
      <c r="J2052" s="25"/>
      <c r="K2052" s="25"/>
      <c r="L2052" s="25"/>
      <c r="M2052" s="42" t="s">
        <v>253</v>
      </c>
      <c r="N2052" s="41">
        <v>45244</v>
      </c>
      <c r="O2052" s="25">
        <v>250</v>
      </c>
      <c r="P2052" s="25">
        <v>0</v>
      </c>
      <c r="Q2052" s="25"/>
      <c r="R2052" s="25"/>
      <c r="S2052" s="25"/>
      <c r="T2052" s="10"/>
    </row>
    <row r="2053" s="35" customFormat="1" ht="18.5" customHeight="1" spans="1:20">
      <c r="A2053" s="9"/>
      <c r="B2053" s="25"/>
      <c r="C2053" s="25"/>
      <c r="D2053" s="25"/>
      <c r="E2053" s="25"/>
      <c r="F2053" s="25"/>
      <c r="G2053" s="25"/>
      <c r="H2053" s="25"/>
      <c r="I2053" s="25"/>
      <c r="J2053" s="25"/>
      <c r="K2053" s="25"/>
      <c r="L2053" s="25"/>
      <c r="M2053" s="42" t="s">
        <v>253</v>
      </c>
      <c r="N2053" s="41">
        <v>45068</v>
      </c>
      <c r="O2053" s="25">
        <v>239</v>
      </c>
      <c r="P2053" s="25">
        <v>0</v>
      </c>
      <c r="Q2053" s="25"/>
      <c r="R2053" s="25"/>
      <c r="S2053" s="25"/>
      <c r="T2053" s="10"/>
    </row>
    <row r="2054" s="35" customFormat="1" ht="18.5" customHeight="1" spans="1:20">
      <c r="A2054" s="9"/>
      <c r="B2054" s="25"/>
      <c r="C2054" s="25"/>
      <c r="D2054" s="25"/>
      <c r="E2054" s="25"/>
      <c r="F2054" s="25"/>
      <c r="G2054" s="25"/>
      <c r="H2054" s="25"/>
      <c r="I2054" s="25"/>
      <c r="J2054" s="25"/>
      <c r="K2054" s="25"/>
      <c r="L2054" s="25"/>
      <c r="M2054" s="42" t="s">
        <v>253</v>
      </c>
      <c r="N2054" s="41">
        <v>45246</v>
      </c>
      <c r="O2054" s="25">
        <v>235</v>
      </c>
      <c r="P2054" s="25">
        <v>0</v>
      </c>
      <c r="Q2054" s="25"/>
      <c r="R2054" s="25"/>
      <c r="S2054" s="25"/>
      <c r="T2054" s="10"/>
    </row>
    <row r="2055" s="35" customFormat="1" ht="18.5" customHeight="1" spans="1:20">
      <c r="A2055" s="9"/>
      <c r="B2055" s="25"/>
      <c r="C2055" s="25"/>
      <c r="D2055" s="25"/>
      <c r="E2055" s="25"/>
      <c r="F2055" s="25"/>
      <c r="G2055" s="25"/>
      <c r="H2055" s="25"/>
      <c r="I2055" s="25"/>
      <c r="J2055" s="25"/>
      <c r="K2055" s="25"/>
      <c r="L2055" s="25"/>
      <c r="M2055" s="42" t="s">
        <v>253</v>
      </c>
      <c r="N2055" s="41">
        <v>45027</v>
      </c>
      <c r="O2055" s="25">
        <v>235</v>
      </c>
      <c r="P2055" s="25">
        <v>0</v>
      </c>
      <c r="Q2055" s="25"/>
      <c r="R2055" s="25"/>
      <c r="S2055" s="25"/>
      <c r="T2055" s="10"/>
    </row>
    <row r="2056" s="35" customFormat="1" ht="18.5" customHeight="1" spans="1:20">
      <c r="A2056" s="9"/>
      <c r="B2056" s="25"/>
      <c r="C2056" s="25"/>
      <c r="D2056" s="25"/>
      <c r="E2056" s="25"/>
      <c r="F2056" s="25"/>
      <c r="G2056" s="25"/>
      <c r="H2056" s="25"/>
      <c r="I2056" s="25"/>
      <c r="J2056" s="25"/>
      <c r="K2056" s="25"/>
      <c r="L2056" s="25"/>
      <c r="M2056" s="42" t="s">
        <v>253</v>
      </c>
      <c r="N2056" s="41">
        <v>45241</v>
      </c>
      <c r="O2056" s="25">
        <v>232</v>
      </c>
      <c r="P2056" s="25">
        <v>0</v>
      </c>
      <c r="Q2056" s="25"/>
      <c r="R2056" s="25"/>
      <c r="S2056" s="25"/>
      <c r="T2056" s="10"/>
    </row>
    <row r="2057" s="35" customFormat="1" ht="18.5" customHeight="1" spans="1:20">
      <c r="A2057" s="9"/>
      <c r="B2057" s="25"/>
      <c r="C2057" s="25"/>
      <c r="D2057" s="25"/>
      <c r="E2057" s="25"/>
      <c r="F2057" s="25"/>
      <c r="G2057" s="25"/>
      <c r="H2057" s="25"/>
      <c r="I2057" s="25"/>
      <c r="J2057" s="25"/>
      <c r="K2057" s="25"/>
      <c r="L2057" s="25"/>
      <c r="M2057" s="42" t="s">
        <v>253</v>
      </c>
      <c r="N2057" s="41">
        <v>45211</v>
      </c>
      <c r="O2057" s="25">
        <v>215</v>
      </c>
      <c r="P2057" s="25">
        <v>0</v>
      </c>
      <c r="Q2057" s="25"/>
      <c r="R2057" s="25"/>
      <c r="S2057" s="25"/>
      <c r="T2057" s="10"/>
    </row>
    <row r="2058" s="35" customFormat="1" ht="18.5" customHeight="1" spans="1:20">
      <c r="A2058" s="9"/>
      <c r="B2058" s="25"/>
      <c r="C2058" s="25"/>
      <c r="D2058" s="25"/>
      <c r="E2058" s="25"/>
      <c r="F2058" s="25"/>
      <c r="G2058" s="25"/>
      <c r="H2058" s="25"/>
      <c r="I2058" s="25"/>
      <c r="J2058" s="25"/>
      <c r="K2058" s="25"/>
      <c r="L2058" s="25"/>
      <c r="M2058" s="42" t="s">
        <v>253</v>
      </c>
      <c r="N2058" s="41">
        <v>45074</v>
      </c>
      <c r="O2058" s="25">
        <v>215</v>
      </c>
      <c r="P2058" s="25">
        <v>0</v>
      </c>
      <c r="Q2058" s="25"/>
      <c r="R2058" s="25"/>
      <c r="S2058" s="25"/>
      <c r="T2058" s="10"/>
    </row>
    <row r="2059" s="35" customFormat="1" ht="18.5" customHeight="1" spans="1:20">
      <c r="A2059" s="9"/>
      <c r="B2059" s="25"/>
      <c r="C2059" s="25"/>
      <c r="D2059" s="25"/>
      <c r="E2059" s="25"/>
      <c r="F2059" s="25"/>
      <c r="G2059" s="25"/>
      <c r="H2059" s="25"/>
      <c r="I2059" s="25"/>
      <c r="J2059" s="25"/>
      <c r="K2059" s="25"/>
      <c r="L2059" s="25"/>
      <c r="M2059" s="42" t="s">
        <v>253</v>
      </c>
      <c r="N2059" s="41">
        <v>45169</v>
      </c>
      <c r="O2059" s="25">
        <v>203</v>
      </c>
      <c r="P2059" s="25">
        <v>0</v>
      </c>
      <c r="Q2059" s="25"/>
      <c r="R2059" s="25"/>
      <c r="S2059" s="25"/>
      <c r="T2059" s="10"/>
    </row>
    <row r="2060" s="35" customFormat="1" ht="18.5" customHeight="1" spans="1:20">
      <c r="A2060" s="9"/>
      <c r="B2060" s="25"/>
      <c r="C2060" s="25"/>
      <c r="D2060" s="25"/>
      <c r="E2060" s="25"/>
      <c r="F2060" s="25"/>
      <c r="G2060" s="25"/>
      <c r="H2060" s="25"/>
      <c r="I2060" s="25"/>
      <c r="J2060" s="25"/>
      <c r="K2060" s="25"/>
      <c r="L2060" s="25"/>
      <c r="M2060" s="42" t="s">
        <v>253</v>
      </c>
      <c r="N2060" s="41">
        <v>45240</v>
      </c>
      <c r="O2060" s="25">
        <v>201</v>
      </c>
      <c r="P2060" s="25">
        <v>0</v>
      </c>
      <c r="Q2060" s="25"/>
      <c r="R2060" s="25"/>
      <c r="S2060" s="25"/>
      <c r="T2060" s="10"/>
    </row>
    <row r="2061" s="35" customFormat="1" ht="18.5" customHeight="1" spans="1:20">
      <c r="A2061" s="9"/>
      <c r="B2061" s="25"/>
      <c r="C2061" s="25"/>
      <c r="D2061" s="25"/>
      <c r="E2061" s="25"/>
      <c r="F2061" s="25"/>
      <c r="G2061" s="25"/>
      <c r="H2061" s="25"/>
      <c r="I2061" s="25"/>
      <c r="J2061" s="25"/>
      <c r="K2061" s="25"/>
      <c r="L2061" s="25"/>
      <c r="M2061" s="42" t="s">
        <v>253</v>
      </c>
      <c r="N2061" s="41">
        <v>45138</v>
      </c>
      <c r="O2061" s="25">
        <v>197</v>
      </c>
      <c r="P2061" s="25">
        <v>0</v>
      </c>
      <c r="Q2061" s="25"/>
      <c r="R2061" s="25"/>
      <c r="S2061" s="25"/>
      <c r="T2061" s="10"/>
    </row>
    <row r="2062" s="35" customFormat="1" ht="18.5" customHeight="1" spans="1:20">
      <c r="A2062" s="9"/>
      <c r="B2062" s="25"/>
      <c r="C2062" s="25"/>
      <c r="D2062" s="25"/>
      <c r="E2062" s="25"/>
      <c r="F2062" s="25"/>
      <c r="G2062" s="25"/>
      <c r="H2062" s="25"/>
      <c r="I2062" s="25"/>
      <c r="J2062" s="25"/>
      <c r="K2062" s="25"/>
      <c r="L2062" s="25"/>
      <c r="M2062" s="42" t="s">
        <v>253</v>
      </c>
      <c r="N2062" s="41">
        <v>45096</v>
      </c>
      <c r="O2062" s="25">
        <v>191</v>
      </c>
      <c r="P2062" s="25">
        <v>0</v>
      </c>
      <c r="Q2062" s="25"/>
      <c r="R2062" s="25"/>
      <c r="S2062" s="25"/>
      <c r="T2062" s="10"/>
    </row>
    <row r="2063" s="35" customFormat="1" ht="18.5" customHeight="1" spans="1:20">
      <c r="A2063" s="9"/>
      <c r="B2063" s="25"/>
      <c r="C2063" s="25"/>
      <c r="D2063" s="25"/>
      <c r="E2063" s="25"/>
      <c r="F2063" s="25"/>
      <c r="G2063" s="25"/>
      <c r="H2063" s="25"/>
      <c r="I2063" s="25"/>
      <c r="J2063" s="25"/>
      <c r="K2063" s="25"/>
      <c r="L2063" s="25"/>
      <c r="M2063" s="42" t="s">
        <v>253</v>
      </c>
      <c r="N2063" s="41">
        <v>45032</v>
      </c>
      <c r="O2063" s="25">
        <v>188</v>
      </c>
      <c r="P2063" s="25">
        <v>0</v>
      </c>
      <c r="Q2063" s="25"/>
      <c r="R2063" s="25"/>
      <c r="S2063" s="25"/>
      <c r="T2063" s="10"/>
    </row>
    <row r="2064" s="35" customFormat="1" ht="18.5" customHeight="1" spans="1:20">
      <c r="A2064" s="9"/>
      <c r="B2064" s="25"/>
      <c r="C2064" s="25"/>
      <c r="D2064" s="25"/>
      <c r="E2064" s="25"/>
      <c r="F2064" s="25"/>
      <c r="G2064" s="25"/>
      <c r="H2064" s="25"/>
      <c r="I2064" s="25"/>
      <c r="J2064" s="25"/>
      <c r="K2064" s="25"/>
      <c r="L2064" s="25"/>
      <c r="M2064" s="42" t="s">
        <v>253</v>
      </c>
      <c r="N2064" s="41">
        <v>45128</v>
      </c>
      <c r="O2064" s="25">
        <v>184</v>
      </c>
      <c r="P2064" s="25">
        <v>0</v>
      </c>
      <c r="Q2064" s="25"/>
      <c r="R2064" s="25"/>
      <c r="S2064" s="25"/>
      <c r="T2064" s="10"/>
    </row>
    <row r="2065" s="35" customFormat="1" ht="18.5" customHeight="1" spans="1:20">
      <c r="A2065" s="9"/>
      <c r="B2065" s="25"/>
      <c r="C2065" s="25"/>
      <c r="D2065" s="25"/>
      <c r="E2065" s="25"/>
      <c r="F2065" s="25"/>
      <c r="G2065" s="25"/>
      <c r="H2065" s="25"/>
      <c r="I2065" s="25"/>
      <c r="J2065" s="25"/>
      <c r="K2065" s="25"/>
      <c r="L2065" s="25"/>
      <c r="M2065" s="42" t="s">
        <v>253</v>
      </c>
      <c r="N2065" s="41">
        <v>45273</v>
      </c>
      <c r="O2065" s="25">
        <v>176</v>
      </c>
      <c r="P2065" s="25">
        <v>0</v>
      </c>
      <c r="Q2065" s="25"/>
      <c r="R2065" s="25"/>
      <c r="S2065" s="25"/>
      <c r="T2065" s="10"/>
    </row>
    <row r="2066" s="35" customFormat="1" ht="18.5" customHeight="1" spans="1:20">
      <c r="A2066" s="9"/>
      <c r="B2066" s="25"/>
      <c r="C2066" s="25"/>
      <c r="D2066" s="25"/>
      <c r="E2066" s="25"/>
      <c r="F2066" s="25"/>
      <c r="G2066" s="25"/>
      <c r="H2066" s="25"/>
      <c r="I2066" s="25"/>
      <c r="J2066" s="25"/>
      <c r="K2066" s="25"/>
      <c r="L2066" s="25"/>
      <c r="M2066" s="42" t="s">
        <v>253</v>
      </c>
      <c r="N2066" s="41">
        <v>45264</v>
      </c>
      <c r="O2066" s="25">
        <v>174</v>
      </c>
      <c r="P2066" s="25">
        <v>0</v>
      </c>
      <c r="Q2066" s="25"/>
      <c r="R2066" s="25"/>
      <c r="S2066" s="25"/>
      <c r="T2066" s="10"/>
    </row>
    <row r="2067" s="35" customFormat="1" ht="18.5" customHeight="1" spans="1:20">
      <c r="A2067" s="9"/>
      <c r="B2067" s="25"/>
      <c r="C2067" s="25"/>
      <c r="D2067" s="25"/>
      <c r="E2067" s="25"/>
      <c r="F2067" s="25"/>
      <c r="G2067" s="25"/>
      <c r="H2067" s="25"/>
      <c r="I2067" s="25"/>
      <c r="J2067" s="25"/>
      <c r="K2067" s="25"/>
      <c r="L2067" s="25"/>
      <c r="M2067" s="42" t="s">
        <v>253</v>
      </c>
      <c r="N2067" s="41">
        <v>45252</v>
      </c>
      <c r="O2067" s="25">
        <v>170</v>
      </c>
      <c r="P2067" s="25">
        <v>0</v>
      </c>
      <c r="Q2067" s="25"/>
      <c r="R2067" s="25"/>
      <c r="S2067" s="25"/>
      <c r="T2067" s="10"/>
    </row>
    <row r="2068" s="35" customFormat="1" ht="18.5" customHeight="1" spans="1:20">
      <c r="A2068" s="9"/>
      <c r="B2068" s="25"/>
      <c r="C2068" s="25"/>
      <c r="D2068" s="25"/>
      <c r="E2068" s="25"/>
      <c r="F2068" s="25"/>
      <c r="G2068" s="25"/>
      <c r="H2068" s="25"/>
      <c r="I2068" s="25"/>
      <c r="J2068" s="25"/>
      <c r="K2068" s="25"/>
      <c r="L2068" s="25"/>
      <c r="M2068" s="42" t="s">
        <v>253</v>
      </c>
      <c r="N2068" s="41">
        <v>45246</v>
      </c>
      <c r="O2068" s="25">
        <v>168</v>
      </c>
      <c r="P2068" s="25">
        <v>0</v>
      </c>
      <c r="Q2068" s="25"/>
      <c r="R2068" s="25"/>
      <c r="S2068" s="25"/>
      <c r="T2068" s="10"/>
    </row>
    <row r="2069" s="35" customFormat="1" ht="18.5" customHeight="1" spans="1:20">
      <c r="A2069" s="9"/>
      <c r="B2069" s="25"/>
      <c r="C2069" s="25"/>
      <c r="D2069" s="25"/>
      <c r="E2069" s="25"/>
      <c r="F2069" s="25"/>
      <c r="G2069" s="25"/>
      <c r="H2069" s="25"/>
      <c r="I2069" s="25"/>
      <c r="J2069" s="25"/>
      <c r="K2069" s="25"/>
      <c r="L2069" s="25"/>
      <c r="M2069" s="42" t="s">
        <v>253</v>
      </c>
      <c r="N2069" s="41">
        <v>45076</v>
      </c>
      <c r="O2069" s="25">
        <v>164</v>
      </c>
      <c r="P2069" s="25">
        <v>0</v>
      </c>
      <c r="Q2069" s="25"/>
      <c r="R2069" s="25"/>
      <c r="S2069" s="25"/>
      <c r="T2069" s="10"/>
    </row>
    <row r="2070" s="35" customFormat="1" ht="18.5" customHeight="1" spans="1:20">
      <c r="A2070" s="9"/>
      <c r="B2070" s="25"/>
      <c r="C2070" s="25"/>
      <c r="D2070" s="25"/>
      <c r="E2070" s="25"/>
      <c r="F2070" s="25"/>
      <c r="G2070" s="25"/>
      <c r="H2070" s="25"/>
      <c r="I2070" s="25"/>
      <c r="J2070" s="25"/>
      <c r="K2070" s="25"/>
      <c r="L2070" s="25"/>
      <c r="M2070" s="42" t="s">
        <v>253</v>
      </c>
      <c r="N2070" s="41">
        <v>45241</v>
      </c>
      <c r="O2070" s="25">
        <v>162</v>
      </c>
      <c r="P2070" s="25">
        <v>0</v>
      </c>
      <c r="Q2070" s="25"/>
      <c r="R2070" s="25"/>
      <c r="S2070" s="25"/>
      <c r="T2070" s="10"/>
    </row>
    <row r="2071" s="35" customFormat="1" ht="18.5" customHeight="1" spans="1:20">
      <c r="A2071" s="9"/>
      <c r="B2071" s="25"/>
      <c r="C2071" s="25"/>
      <c r="D2071" s="25"/>
      <c r="E2071" s="25"/>
      <c r="F2071" s="25"/>
      <c r="G2071" s="25"/>
      <c r="H2071" s="25"/>
      <c r="I2071" s="25"/>
      <c r="J2071" s="25"/>
      <c r="K2071" s="25"/>
      <c r="L2071" s="25"/>
      <c r="M2071" s="42" t="s">
        <v>253</v>
      </c>
      <c r="N2071" s="41">
        <v>45114</v>
      </c>
      <c r="O2071" s="25">
        <v>160</v>
      </c>
      <c r="P2071" s="25">
        <v>0</v>
      </c>
      <c r="Q2071" s="25"/>
      <c r="R2071" s="25"/>
      <c r="S2071" s="25"/>
      <c r="T2071" s="10"/>
    </row>
    <row r="2072" s="35" customFormat="1" ht="18.5" customHeight="1" spans="1:20">
      <c r="A2072" s="9"/>
      <c r="B2072" s="25"/>
      <c r="C2072" s="25"/>
      <c r="D2072" s="25"/>
      <c r="E2072" s="25"/>
      <c r="F2072" s="25"/>
      <c r="G2072" s="25"/>
      <c r="H2072" s="25"/>
      <c r="I2072" s="25"/>
      <c r="J2072" s="25"/>
      <c r="K2072" s="25"/>
      <c r="L2072" s="25"/>
      <c r="M2072" s="42" t="s">
        <v>253</v>
      </c>
      <c r="N2072" s="41">
        <v>45244</v>
      </c>
      <c r="O2072" s="25">
        <v>154</v>
      </c>
      <c r="P2072" s="25">
        <v>0</v>
      </c>
      <c r="Q2072" s="25"/>
      <c r="R2072" s="25"/>
      <c r="S2072" s="25"/>
      <c r="T2072" s="10"/>
    </row>
    <row r="2073" s="35" customFormat="1" ht="18.5" customHeight="1" spans="1:20">
      <c r="A2073" s="9"/>
      <c r="B2073" s="25"/>
      <c r="C2073" s="25"/>
      <c r="D2073" s="25"/>
      <c r="E2073" s="25"/>
      <c r="F2073" s="25"/>
      <c r="G2073" s="25"/>
      <c r="H2073" s="25"/>
      <c r="I2073" s="25"/>
      <c r="J2073" s="25"/>
      <c r="K2073" s="25"/>
      <c r="L2073" s="25"/>
      <c r="M2073" s="42" t="s">
        <v>253</v>
      </c>
      <c r="N2073" s="41">
        <v>45085</v>
      </c>
      <c r="O2073" s="25">
        <v>828</v>
      </c>
      <c r="P2073" s="25">
        <v>0</v>
      </c>
      <c r="Q2073" s="25"/>
      <c r="R2073" s="25"/>
      <c r="S2073" s="25"/>
      <c r="T2073" s="10"/>
    </row>
    <row r="2074" s="35" customFormat="1" ht="18.5" customHeight="1" spans="1:20">
      <c r="A2074" s="9"/>
      <c r="B2074" s="25"/>
      <c r="C2074" s="25"/>
      <c r="D2074" s="25"/>
      <c r="E2074" s="25"/>
      <c r="F2074" s="25"/>
      <c r="G2074" s="25"/>
      <c r="H2074" s="25"/>
      <c r="I2074" s="25"/>
      <c r="J2074" s="25"/>
      <c r="K2074" s="25"/>
      <c r="L2074" s="25"/>
      <c r="M2074" s="42" t="s">
        <v>253</v>
      </c>
      <c r="N2074" s="41">
        <v>45238</v>
      </c>
      <c r="O2074" s="25">
        <v>129</v>
      </c>
      <c r="P2074" s="25">
        <v>0</v>
      </c>
      <c r="Q2074" s="25"/>
      <c r="R2074" s="25"/>
      <c r="S2074" s="25"/>
      <c r="T2074" s="10"/>
    </row>
    <row r="2075" s="35" customFormat="1" ht="18.5" customHeight="1" spans="1:20">
      <c r="A2075" s="9"/>
      <c r="B2075" s="25"/>
      <c r="C2075" s="25"/>
      <c r="D2075" s="25"/>
      <c r="E2075" s="25"/>
      <c r="F2075" s="25"/>
      <c r="G2075" s="25"/>
      <c r="H2075" s="25"/>
      <c r="I2075" s="25"/>
      <c r="J2075" s="25"/>
      <c r="K2075" s="25"/>
      <c r="L2075" s="25"/>
      <c r="M2075" s="42" t="s">
        <v>253</v>
      </c>
      <c r="N2075" s="41">
        <v>45242</v>
      </c>
      <c r="O2075" s="25">
        <v>128</v>
      </c>
      <c r="P2075" s="25">
        <v>0</v>
      </c>
      <c r="Q2075" s="25"/>
      <c r="R2075" s="25"/>
      <c r="S2075" s="25"/>
      <c r="T2075" s="10"/>
    </row>
    <row r="2076" s="35" customFormat="1" ht="18.5" customHeight="1" spans="1:20">
      <c r="A2076" s="9"/>
      <c r="B2076" s="25"/>
      <c r="C2076" s="25"/>
      <c r="D2076" s="25"/>
      <c r="E2076" s="25"/>
      <c r="F2076" s="25"/>
      <c r="G2076" s="25"/>
      <c r="H2076" s="25"/>
      <c r="I2076" s="25"/>
      <c r="J2076" s="25"/>
      <c r="K2076" s="25"/>
      <c r="L2076" s="25"/>
      <c r="M2076" s="42" t="s">
        <v>253</v>
      </c>
      <c r="N2076" s="41">
        <v>45043</v>
      </c>
      <c r="O2076" s="25">
        <v>714</v>
      </c>
      <c r="P2076" s="25">
        <v>0</v>
      </c>
      <c r="Q2076" s="25"/>
      <c r="R2076" s="25"/>
      <c r="S2076" s="25"/>
      <c r="T2076" s="10"/>
    </row>
    <row r="2077" s="35" customFormat="1" ht="18.5" customHeight="1" spans="1:20">
      <c r="A2077" s="9"/>
      <c r="B2077" s="25"/>
      <c r="C2077" s="25"/>
      <c r="D2077" s="25"/>
      <c r="E2077" s="25"/>
      <c r="F2077" s="25"/>
      <c r="G2077" s="25"/>
      <c r="H2077" s="25"/>
      <c r="I2077" s="25"/>
      <c r="J2077" s="25"/>
      <c r="K2077" s="25"/>
      <c r="L2077" s="25"/>
      <c r="M2077" s="42" t="s">
        <v>253</v>
      </c>
      <c r="N2077" s="41">
        <v>45141</v>
      </c>
      <c r="O2077" s="25">
        <v>650</v>
      </c>
      <c r="P2077" s="25">
        <v>0</v>
      </c>
      <c r="Q2077" s="25"/>
      <c r="R2077" s="25"/>
      <c r="S2077" s="25"/>
      <c r="T2077" s="10"/>
    </row>
    <row r="2078" s="35" customFormat="1" ht="18.5" customHeight="1" spans="1:20">
      <c r="A2078" s="9"/>
      <c r="B2078" s="25"/>
      <c r="C2078" s="25"/>
      <c r="D2078" s="25"/>
      <c r="E2078" s="25"/>
      <c r="F2078" s="25"/>
      <c r="G2078" s="25"/>
      <c r="H2078" s="25"/>
      <c r="I2078" s="25"/>
      <c r="J2078" s="25"/>
      <c r="K2078" s="25"/>
      <c r="L2078" s="25"/>
      <c r="M2078" s="42" t="s">
        <v>253</v>
      </c>
      <c r="N2078" s="41">
        <v>45284</v>
      </c>
      <c r="O2078" s="25">
        <v>110</v>
      </c>
      <c r="P2078" s="25">
        <v>0</v>
      </c>
      <c r="Q2078" s="25"/>
      <c r="R2078" s="25"/>
      <c r="S2078" s="25"/>
      <c r="T2078" s="10"/>
    </row>
    <row r="2079" s="35" customFormat="1" ht="18.5" customHeight="1" spans="1:20">
      <c r="A2079" s="9"/>
      <c r="B2079" s="25"/>
      <c r="C2079" s="25"/>
      <c r="D2079" s="25"/>
      <c r="E2079" s="25"/>
      <c r="F2079" s="25"/>
      <c r="G2079" s="25"/>
      <c r="H2079" s="25"/>
      <c r="I2079" s="25"/>
      <c r="J2079" s="25"/>
      <c r="K2079" s="25"/>
      <c r="L2079" s="25"/>
      <c r="M2079" s="42" t="s">
        <v>253</v>
      </c>
      <c r="N2079" s="41">
        <v>45258</v>
      </c>
      <c r="O2079" s="25">
        <v>100</v>
      </c>
      <c r="P2079" s="25">
        <v>0</v>
      </c>
      <c r="Q2079" s="25"/>
      <c r="R2079" s="25"/>
      <c r="S2079" s="25"/>
      <c r="T2079" s="10"/>
    </row>
    <row r="2080" s="35" customFormat="1" ht="18.5" customHeight="1" spans="1:20">
      <c r="A2080" s="9"/>
      <c r="B2080" s="25"/>
      <c r="C2080" s="25"/>
      <c r="D2080" s="25"/>
      <c r="E2080" s="25"/>
      <c r="F2080" s="25"/>
      <c r="G2080" s="25"/>
      <c r="H2080" s="25"/>
      <c r="I2080" s="25"/>
      <c r="J2080" s="25"/>
      <c r="K2080" s="25"/>
      <c r="L2080" s="25"/>
      <c r="M2080" s="42" t="s">
        <v>253</v>
      </c>
      <c r="N2080" s="41">
        <v>45267</v>
      </c>
      <c r="O2080" s="25">
        <v>96</v>
      </c>
      <c r="P2080" s="25">
        <v>0</v>
      </c>
      <c r="Q2080" s="25"/>
      <c r="R2080" s="25"/>
      <c r="S2080" s="25"/>
      <c r="T2080" s="10"/>
    </row>
    <row r="2081" s="35" customFormat="1" ht="18.5" customHeight="1" spans="1:20">
      <c r="A2081" s="9"/>
      <c r="B2081" s="25"/>
      <c r="C2081" s="25"/>
      <c r="D2081" s="25"/>
      <c r="E2081" s="25"/>
      <c r="F2081" s="25"/>
      <c r="G2081" s="25"/>
      <c r="H2081" s="25"/>
      <c r="I2081" s="25"/>
      <c r="J2081" s="25"/>
      <c r="K2081" s="25"/>
      <c r="L2081" s="25"/>
      <c r="M2081" s="42" t="s">
        <v>253</v>
      </c>
      <c r="N2081" s="41">
        <v>45081</v>
      </c>
      <c r="O2081" s="25">
        <v>538</v>
      </c>
      <c r="P2081" s="25">
        <v>0</v>
      </c>
      <c r="Q2081" s="25"/>
      <c r="R2081" s="25"/>
      <c r="S2081" s="25"/>
      <c r="T2081" s="10"/>
    </row>
    <row r="2082" s="35" customFormat="1" ht="18.5" customHeight="1" spans="1:20">
      <c r="A2082" s="9"/>
      <c r="B2082" s="25"/>
      <c r="C2082" s="25"/>
      <c r="D2082" s="25"/>
      <c r="E2082" s="25"/>
      <c r="F2082" s="25"/>
      <c r="G2082" s="25"/>
      <c r="H2082" s="25"/>
      <c r="I2082" s="25"/>
      <c r="J2082" s="25"/>
      <c r="K2082" s="25"/>
      <c r="L2082" s="25"/>
      <c r="M2082" s="42" t="s">
        <v>253</v>
      </c>
      <c r="N2082" s="41">
        <v>45234</v>
      </c>
      <c r="O2082" s="25">
        <v>507</v>
      </c>
      <c r="P2082" s="25">
        <v>0</v>
      </c>
      <c r="Q2082" s="25"/>
      <c r="R2082" s="25"/>
      <c r="S2082" s="25"/>
      <c r="T2082" s="10"/>
    </row>
    <row r="2083" s="35" customFormat="1" ht="18.5" customHeight="1" spans="1:20">
      <c r="A2083" s="9"/>
      <c r="B2083" s="25"/>
      <c r="C2083" s="25"/>
      <c r="D2083" s="25"/>
      <c r="E2083" s="25"/>
      <c r="F2083" s="25"/>
      <c r="G2083" s="25"/>
      <c r="H2083" s="25"/>
      <c r="I2083" s="25"/>
      <c r="J2083" s="25"/>
      <c r="K2083" s="25"/>
      <c r="L2083" s="25"/>
      <c r="M2083" s="42" t="s">
        <v>253</v>
      </c>
      <c r="N2083" s="41">
        <v>45258</v>
      </c>
      <c r="O2083" s="25">
        <v>500</v>
      </c>
      <c r="P2083" s="25">
        <v>0</v>
      </c>
      <c r="Q2083" s="25"/>
      <c r="R2083" s="25"/>
      <c r="S2083" s="25"/>
      <c r="T2083" s="10"/>
    </row>
    <row r="2084" s="35" customFormat="1" ht="18.5" customHeight="1" spans="1:20">
      <c r="A2084" s="9"/>
      <c r="B2084" s="25"/>
      <c r="C2084" s="25"/>
      <c r="D2084" s="25"/>
      <c r="E2084" s="25"/>
      <c r="F2084" s="25"/>
      <c r="G2084" s="25"/>
      <c r="H2084" s="25"/>
      <c r="I2084" s="25"/>
      <c r="J2084" s="25"/>
      <c r="K2084" s="25"/>
      <c r="L2084" s="25"/>
      <c r="M2084" s="42" t="s">
        <v>253</v>
      </c>
      <c r="N2084" s="41">
        <v>45239</v>
      </c>
      <c r="O2084" s="25">
        <v>468</v>
      </c>
      <c r="P2084" s="25">
        <v>0</v>
      </c>
      <c r="Q2084" s="25"/>
      <c r="R2084" s="25"/>
      <c r="S2084" s="25"/>
      <c r="T2084" s="10"/>
    </row>
    <row r="2085" s="35" customFormat="1" ht="18.5" customHeight="1" spans="1:20">
      <c r="A2085" s="9"/>
      <c r="B2085" s="25"/>
      <c r="C2085" s="25"/>
      <c r="D2085" s="25"/>
      <c r="E2085" s="25"/>
      <c r="F2085" s="25"/>
      <c r="G2085" s="25"/>
      <c r="H2085" s="25"/>
      <c r="I2085" s="25"/>
      <c r="J2085" s="25"/>
      <c r="K2085" s="25"/>
      <c r="L2085" s="25"/>
      <c r="M2085" s="42" t="s">
        <v>253</v>
      </c>
      <c r="N2085" s="41">
        <v>45065</v>
      </c>
      <c r="O2085" s="25">
        <v>436</v>
      </c>
      <c r="P2085" s="25">
        <v>0</v>
      </c>
      <c r="Q2085" s="25"/>
      <c r="R2085" s="25"/>
      <c r="S2085" s="25"/>
      <c r="T2085" s="10"/>
    </row>
    <row r="2086" s="35" customFormat="1" ht="18.5" customHeight="1" spans="1:20">
      <c r="A2086" s="9"/>
      <c r="B2086" s="25"/>
      <c r="C2086" s="25"/>
      <c r="D2086" s="25"/>
      <c r="E2086" s="25"/>
      <c r="F2086" s="25"/>
      <c r="G2086" s="25"/>
      <c r="H2086" s="25"/>
      <c r="I2086" s="25"/>
      <c r="J2086" s="25"/>
      <c r="K2086" s="25"/>
      <c r="L2086" s="25"/>
      <c r="M2086" s="42" t="s">
        <v>253</v>
      </c>
      <c r="N2086" s="41">
        <v>45120</v>
      </c>
      <c r="O2086" s="25">
        <v>434</v>
      </c>
      <c r="P2086" s="25">
        <v>0</v>
      </c>
      <c r="Q2086" s="25"/>
      <c r="R2086" s="25"/>
      <c r="S2086" s="25"/>
      <c r="T2086" s="10"/>
    </row>
    <row r="2087" s="35" customFormat="1" ht="18.5" customHeight="1" spans="1:20">
      <c r="A2087" s="9"/>
      <c r="B2087" s="25"/>
      <c r="C2087" s="25"/>
      <c r="D2087" s="25"/>
      <c r="E2087" s="25"/>
      <c r="F2087" s="25"/>
      <c r="G2087" s="25"/>
      <c r="H2087" s="25"/>
      <c r="I2087" s="25"/>
      <c r="J2087" s="25"/>
      <c r="K2087" s="25"/>
      <c r="L2087" s="25"/>
      <c r="M2087" s="42" t="s">
        <v>253</v>
      </c>
      <c r="N2087" s="41">
        <v>45208</v>
      </c>
      <c r="O2087" s="25">
        <v>421</v>
      </c>
      <c r="P2087" s="25">
        <v>0</v>
      </c>
      <c r="Q2087" s="25"/>
      <c r="R2087" s="25"/>
      <c r="S2087" s="25"/>
      <c r="T2087" s="10"/>
    </row>
    <row r="2088" s="35" customFormat="1" ht="18.5" customHeight="1" spans="1:20">
      <c r="A2088" s="9"/>
      <c r="B2088" s="25"/>
      <c r="C2088" s="25"/>
      <c r="D2088" s="25"/>
      <c r="E2088" s="25"/>
      <c r="F2088" s="25"/>
      <c r="G2088" s="25"/>
      <c r="H2088" s="25"/>
      <c r="I2088" s="25"/>
      <c r="J2088" s="25"/>
      <c r="K2088" s="25"/>
      <c r="L2088" s="25"/>
      <c r="M2088" s="42" t="s">
        <v>253</v>
      </c>
      <c r="N2088" s="41">
        <v>45106</v>
      </c>
      <c r="O2088" s="25">
        <v>419</v>
      </c>
      <c r="P2088" s="25">
        <v>0</v>
      </c>
      <c r="Q2088" s="25"/>
      <c r="R2088" s="25"/>
      <c r="S2088" s="25"/>
      <c r="T2088" s="10"/>
    </row>
    <row r="2089" s="35" customFormat="1" ht="18.5" customHeight="1" spans="1:20">
      <c r="A2089" s="9"/>
      <c r="B2089" s="25"/>
      <c r="C2089" s="25"/>
      <c r="D2089" s="25"/>
      <c r="E2089" s="25"/>
      <c r="F2089" s="25"/>
      <c r="G2089" s="25"/>
      <c r="H2089" s="25"/>
      <c r="I2089" s="25"/>
      <c r="J2089" s="25"/>
      <c r="K2089" s="25"/>
      <c r="L2089" s="25"/>
      <c r="M2089" s="42" t="s">
        <v>253</v>
      </c>
      <c r="N2089" s="41">
        <v>45084</v>
      </c>
      <c r="O2089" s="25">
        <v>416</v>
      </c>
      <c r="P2089" s="25">
        <v>0</v>
      </c>
      <c r="Q2089" s="25"/>
      <c r="R2089" s="25"/>
      <c r="S2089" s="25"/>
      <c r="T2089" s="10"/>
    </row>
    <row r="2090" s="35" customFormat="1" ht="18.5" customHeight="1" spans="1:20">
      <c r="A2090" s="9"/>
      <c r="B2090" s="25"/>
      <c r="C2090" s="25"/>
      <c r="D2090" s="25"/>
      <c r="E2090" s="25"/>
      <c r="F2090" s="25"/>
      <c r="G2090" s="25"/>
      <c r="H2090" s="25"/>
      <c r="I2090" s="25"/>
      <c r="J2090" s="25"/>
      <c r="K2090" s="25"/>
      <c r="L2090" s="25"/>
      <c r="M2090" s="42" t="s">
        <v>253</v>
      </c>
      <c r="N2090" s="41">
        <v>45037</v>
      </c>
      <c r="O2090" s="25">
        <v>410</v>
      </c>
      <c r="P2090" s="25">
        <v>0</v>
      </c>
      <c r="Q2090" s="25"/>
      <c r="R2090" s="25"/>
      <c r="S2090" s="25"/>
      <c r="T2090" s="10"/>
    </row>
    <row r="2091" s="35" customFormat="1" ht="18.5" customHeight="1" spans="1:20">
      <c r="A2091" s="9"/>
      <c r="B2091" s="25"/>
      <c r="C2091" s="25"/>
      <c r="D2091" s="25"/>
      <c r="E2091" s="25"/>
      <c r="F2091" s="25"/>
      <c r="G2091" s="25"/>
      <c r="H2091" s="25"/>
      <c r="I2091" s="25"/>
      <c r="J2091" s="25"/>
      <c r="K2091" s="25"/>
      <c r="L2091" s="25"/>
      <c r="M2091" s="42" t="s">
        <v>253</v>
      </c>
      <c r="N2091" s="41">
        <v>45137</v>
      </c>
      <c r="O2091" s="25">
        <v>402</v>
      </c>
      <c r="P2091" s="25">
        <v>0</v>
      </c>
      <c r="Q2091" s="25"/>
      <c r="R2091" s="25"/>
      <c r="S2091" s="25"/>
      <c r="T2091" s="10"/>
    </row>
    <row r="2092" s="35" customFormat="1" ht="18.5" customHeight="1" spans="1:20">
      <c r="A2092" s="9"/>
      <c r="B2092" s="25"/>
      <c r="C2092" s="25"/>
      <c r="D2092" s="25"/>
      <c r="E2092" s="25"/>
      <c r="F2092" s="25"/>
      <c r="G2092" s="25"/>
      <c r="H2092" s="25"/>
      <c r="I2092" s="25"/>
      <c r="J2092" s="25"/>
      <c r="K2092" s="25"/>
      <c r="L2092" s="25"/>
      <c r="M2092" s="42" t="s">
        <v>253</v>
      </c>
      <c r="N2092" s="41">
        <v>45214</v>
      </c>
      <c r="O2092" s="25">
        <v>393</v>
      </c>
      <c r="P2092" s="25">
        <v>0</v>
      </c>
      <c r="Q2092" s="25"/>
      <c r="R2092" s="25"/>
      <c r="S2092" s="25"/>
      <c r="T2092" s="10"/>
    </row>
    <row r="2093" s="35" customFormat="1" ht="18.5" customHeight="1" spans="1:20">
      <c r="A2093" s="9"/>
      <c r="B2093" s="25"/>
      <c r="C2093" s="25"/>
      <c r="D2093" s="25"/>
      <c r="E2093" s="25"/>
      <c r="F2093" s="25"/>
      <c r="G2093" s="25"/>
      <c r="H2093" s="25"/>
      <c r="I2093" s="25"/>
      <c r="J2093" s="25"/>
      <c r="K2093" s="25"/>
      <c r="L2093" s="25"/>
      <c r="M2093" s="42" t="s">
        <v>253</v>
      </c>
      <c r="N2093" s="41">
        <v>45187</v>
      </c>
      <c r="O2093" s="25">
        <v>392</v>
      </c>
      <c r="P2093" s="25">
        <v>0</v>
      </c>
      <c r="Q2093" s="25"/>
      <c r="R2093" s="25"/>
      <c r="S2093" s="25"/>
      <c r="T2093" s="10"/>
    </row>
    <row r="2094" s="35" customFormat="1" ht="18.5" customHeight="1" spans="1:20">
      <c r="A2094" s="9"/>
      <c r="B2094" s="25"/>
      <c r="C2094" s="25"/>
      <c r="D2094" s="25"/>
      <c r="E2094" s="25"/>
      <c r="F2094" s="25"/>
      <c r="G2094" s="25"/>
      <c r="H2094" s="25"/>
      <c r="I2094" s="25"/>
      <c r="J2094" s="25"/>
      <c r="K2094" s="25"/>
      <c r="L2094" s="25"/>
      <c r="M2094" s="42" t="s">
        <v>253</v>
      </c>
      <c r="N2094" s="41">
        <v>45073</v>
      </c>
      <c r="O2094" s="25">
        <v>383</v>
      </c>
      <c r="P2094" s="25">
        <v>0</v>
      </c>
      <c r="Q2094" s="25"/>
      <c r="R2094" s="25"/>
      <c r="S2094" s="25"/>
      <c r="T2094" s="10"/>
    </row>
    <row r="2095" s="35" customFormat="1" ht="18.5" customHeight="1" spans="1:20">
      <c r="A2095" s="9"/>
      <c r="B2095" s="25"/>
      <c r="C2095" s="25"/>
      <c r="D2095" s="25"/>
      <c r="E2095" s="25"/>
      <c r="F2095" s="25"/>
      <c r="G2095" s="25"/>
      <c r="H2095" s="25"/>
      <c r="I2095" s="25"/>
      <c r="J2095" s="25"/>
      <c r="K2095" s="25"/>
      <c r="L2095" s="25"/>
      <c r="M2095" s="42" t="s">
        <v>253</v>
      </c>
      <c r="N2095" s="41">
        <v>45069</v>
      </c>
      <c r="O2095" s="25">
        <v>379</v>
      </c>
      <c r="P2095" s="25">
        <v>0</v>
      </c>
      <c r="Q2095" s="25"/>
      <c r="R2095" s="25"/>
      <c r="S2095" s="25"/>
      <c r="T2095" s="10"/>
    </row>
    <row r="2096" s="35" customFormat="1" ht="18.5" customHeight="1" spans="1:20">
      <c r="A2096" s="9"/>
      <c r="B2096" s="25"/>
      <c r="C2096" s="25"/>
      <c r="D2096" s="25"/>
      <c r="E2096" s="25"/>
      <c r="F2096" s="25"/>
      <c r="G2096" s="25"/>
      <c r="H2096" s="25"/>
      <c r="I2096" s="25"/>
      <c r="J2096" s="25"/>
      <c r="K2096" s="25"/>
      <c r="L2096" s="25"/>
      <c r="M2096" s="42" t="s">
        <v>253</v>
      </c>
      <c r="N2096" s="41">
        <v>45062</v>
      </c>
      <c r="O2096" s="25">
        <v>377</v>
      </c>
      <c r="P2096" s="25">
        <v>0</v>
      </c>
      <c r="Q2096" s="25"/>
      <c r="R2096" s="25"/>
      <c r="S2096" s="25"/>
      <c r="T2096" s="10"/>
    </row>
    <row r="2097" s="35" customFormat="1" ht="18.5" customHeight="1" spans="1:20">
      <c r="A2097" s="9"/>
      <c r="B2097" s="25"/>
      <c r="C2097" s="25"/>
      <c r="D2097" s="25"/>
      <c r="E2097" s="25"/>
      <c r="F2097" s="25"/>
      <c r="G2097" s="25"/>
      <c r="H2097" s="25"/>
      <c r="I2097" s="25"/>
      <c r="J2097" s="25"/>
      <c r="K2097" s="25"/>
      <c r="L2097" s="25"/>
      <c r="M2097" s="42" t="s">
        <v>253</v>
      </c>
      <c r="N2097" s="41">
        <v>45068</v>
      </c>
      <c r="O2097" s="25">
        <v>376</v>
      </c>
      <c r="P2097" s="25">
        <v>0</v>
      </c>
      <c r="Q2097" s="25"/>
      <c r="R2097" s="25"/>
      <c r="S2097" s="25"/>
      <c r="T2097" s="10"/>
    </row>
    <row r="2098" s="35" customFormat="1" ht="18.5" customHeight="1" spans="1:20">
      <c r="A2098" s="9"/>
      <c r="B2098" s="25"/>
      <c r="C2098" s="25"/>
      <c r="D2098" s="25"/>
      <c r="E2098" s="25"/>
      <c r="F2098" s="25"/>
      <c r="G2098" s="25"/>
      <c r="H2098" s="25"/>
      <c r="I2098" s="25"/>
      <c r="J2098" s="25"/>
      <c r="K2098" s="25"/>
      <c r="L2098" s="25"/>
      <c r="M2098" s="42" t="s">
        <v>253</v>
      </c>
      <c r="N2098" s="41">
        <v>45068</v>
      </c>
      <c r="O2098" s="25">
        <v>375</v>
      </c>
      <c r="P2098" s="25">
        <v>0</v>
      </c>
      <c r="Q2098" s="25"/>
      <c r="R2098" s="25"/>
      <c r="S2098" s="25"/>
      <c r="T2098" s="10"/>
    </row>
    <row r="2099" s="35" customFormat="1" ht="18.5" customHeight="1" spans="1:20">
      <c r="A2099" s="9"/>
      <c r="B2099" s="25"/>
      <c r="C2099" s="25"/>
      <c r="D2099" s="25"/>
      <c r="E2099" s="25"/>
      <c r="F2099" s="25"/>
      <c r="G2099" s="25"/>
      <c r="H2099" s="25"/>
      <c r="I2099" s="25"/>
      <c r="J2099" s="25"/>
      <c r="K2099" s="25"/>
      <c r="L2099" s="25"/>
      <c r="M2099" s="42" t="s">
        <v>253</v>
      </c>
      <c r="N2099" s="41">
        <v>45086</v>
      </c>
      <c r="O2099" s="25">
        <v>359</v>
      </c>
      <c r="P2099" s="25">
        <v>0</v>
      </c>
      <c r="Q2099" s="25"/>
      <c r="R2099" s="25"/>
      <c r="S2099" s="25"/>
      <c r="T2099" s="10"/>
    </row>
    <row r="2100" s="35" customFormat="1" ht="18.5" customHeight="1" spans="1:20">
      <c r="A2100" s="9"/>
      <c r="B2100" s="25"/>
      <c r="C2100" s="25"/>
      <c r="D2100" s="25"/>
      <c r="E2100" s="25"/>
      <c r="F2100" s="25"/>
      <c r="G2100" s="25"/>
      <c r="H2100" s="25"/>
      <c r="I2100" s="25"/>
      <c r="J2100" s="25"/>
      <c r="K2100" s="25"/>
      <c r="L2100" s="25"/>
      <c r="M2100" s="42" t="s">
        <v>253</v>
      </c>
      <c r="N2100" s="41">
        <v>45243</v>
      </c>
      <c r="O2100" s="25">
        <v>356</v>
      </c>
      <c r="P2100" s="25">
        <v>0</v>
      </c>
      <c r="Q2100" s="25"/>
      <c r="R2100" s="25"/>
      <c r="S2100" s="25"/>
      <c r="T2100" s="10"/>
    </row>
    <row r="2101" s="35" customFormat="1" ht="18.5" customHeight="1" spans="1:20">
      <c r="A2101" s="9"/>
      <c r="B2101" s="25"/>
      <c r="C2101" s="25"/>
      <c r="D2101" s="25"/>
      <c r="E2101" s="25"/>
      <c r="F2101" s="25"/>
      <c r="G2101" s="25"/>
      <c r="H2101" s="25"/>
      <c r="I2101" s="25"/>
      <c r="J2101" s="25"/>
      <c r="K2101" s="25"/>
      <c r="L2101" s="25"/>
      <c r="M2101" s="42" t="s">
        <v>253</v>
      </c>
      <c r="N2101" s="41">
        <v>45080</v>
      </c>
      <c r="O2101" s="25">
        <v>349</v>
      </c>
      <c r="P2101" s="25">
        <v>0</v>
      </c>
      <c r="Q2101" s="25"/>
      <c r="R2101" s="25"/>
      <c r="S2101" s="25"/>
      <c r="T2101" s="10"/>
    </row>
    <row r="2102" s="35" customFormat="1" ht="18.5" customHeight="1" spans="1:20">
      <c r="A2102" s="9"/>
      <c r="B2102" s="25"/>
      <c r="C2102" s="25"/>
      <c r="D2102" s="25"/>
      <c r="E2102" s="25"/>
      <c r="F2102" s="25"/>
      <c r="G2102" s="25"/>
      <c r="H2102" s="25"/>
      <c r="I2102" s="25"/>
      <c r="J2102" s="25"/>
      <c r="K2102" s="25"/>
      <c r="L2102" s="25"/>
      <c r="M2102" s="42" t="s">
        <v>253</v>
      </c>
      <c r="N2102" s="41">
        <v>45161</v>
      </c>
      <c r="O2102" s="25">
        <v>339</v>
      </c>
      <c r="P2102" s="25">
        <v>0</v>
      </c>
      <c r="Q2102" s="25"/>
      <c r="R2102" s="25"/>
      <c r="S2102" s="25"/>
      <c r="T2102" s="10"/>
    </row>
    <row r="2103" s="35" customFormat="1" ht="18.5" customHeight="1" spans="1:20">
      <c r="A2103" s="9"/>
      <c r="B2103" s="25"/>
      <c r="C2103" s="25"/>
      <c r="D2103" s="25"/>
      <c r="E2103" s="25"/>
      <c r="F2103" s="25"/>
      <c r="G2103" s="25"/>
      <c r="H2103" s="25"/>
      <c r="I2103" s="25"/>
      <c r="J2103" s="25"/>
      <c r="K2103" s="25"/>
      <c r="L2103" s="25"/>
      <c r="M2103" s="42" t="s">
        <v>253</v>
      </c>
      <c r="N2103" s="41">
        <v>45086</v>
      </c>
      <c r="O2103" s="25">
        <v>337</v>
      </c>
      <c r="P2103" s="25">
        <v>0</v>
      </c>
      <c r="Q2103" s="25"/>
      <c r="R2103" s="25"/>
      <c r="S2103" s="25"/>
      <c r="T2103" s="10"/>
    </row>
    <row r="2104" s="35" customFormat="1" ht="18.5" customHeight="1" spans="1:20">
      <c r="A2104" s="9"/>
      <c r="B2104" s="25"/>
      <c r="C2104" s="25"/>
      <c r="D2104" s="25"/>
      <c r="E2104" s="25"/>
      <c r="F2104" s="25"/>
      <c r="G2104" s="25"/>
      <c r="H2104" s="25"/>
      <c r="I2104" s="25"/>
      <c r="J2104" s="25"/>
      <c r="K2104" s="25"/>
      <c r="L2104" s="25"/>
      <c r="M2104" s="42" t="s">
        <v>253</v>
      </c>
      <c r="N2104" s="41">
        <v>45063</v>
      </c>
      <c r="O2104" s="25">
        <v>337</v>
      </c>
      <c r="P2104" s="25">
        <v>0</v>
      </c>
      <c r="Q2104" s="25"/>
      <c r="R2104" s="25"/>
      <c r="S2104" s="25"/>
      <c r="T2104" s="10"/>
    </row>
    <row r="2105" s="35" customFormat="1" ht="18.5" customHeight="1" spans="1:20">
      <c r="A2105" s="9"/>
      <c r="B2105" s="25"/>
      <c r="C2105" s="25"/>
      <c r="D2105" s="25"/>
      <c r="E2105" s="25"/>
      <c r="F2105" s="25"/>
      <c r="G2105" s="25"/>
      <c r="H2105" s="25"/>
      <c r="I2105" s="25"/>
      <c r="J2105" s="25"/>
      <c r="K2105" s="25"/>
      <c r="L2105" s="25"/>
      <c r="M2105" s="42" t="s">
        <v>253</v>
      </c>
      <c r="N2105" s="41">
        <v>45098</v>
      </c>
      <c r="O2105" s="25">
        <v>328</v>
      </c>
      <c r="P2105" s="25">
        <v>0</v>
      </c>
      <c r="Q2105" s="25"/>
      <c r="R2105" s="25"/>
      <c r="S2105" s="25"/>
      <c r="T2105" s="10"/>
    </row>
    <row r="2106" s="35" customFormat="1" ht="18.5" customHeight="1" spans="1:20">
      <c r="A2106" s="9"/>
      <c r="B2106" s="25"/>
      <c r="C2106" s="25"/>
      <c r="D2106" s="25"/>
      <c r="E2106" s="25"/>
      <c r="F2106" s="25"/>
      <c r="G2106" s="25"/>
      <c r="H2106" s="25"/>
      <c r="I2106" s="25"/>
      <c r="J2106" s="25"/>
      <c r="K2106" s="25"/>
      <c r="L2106" s="25"/>
      <c r="M2106" s="42" t="s">
        <v>253</v>
      </c>
      <c r="N2106" s="41">
        <v>45147</v>
      </c>
      <c r="O2106" s="25">
        <v>327</v>
      </c>
      <c r="P2106" s="25">
        <v>0</v>
      </c>
      <c r="Q2106" s="25"/>
      <c r="R2106" s="25"/>
      <c r="S2106" s="25"/>
      <c r="T2106" s="10"/>
    </row>
    <row r="2107" s="35" customFormat="1" ht="18.5" customHeight="1" spans="1:20">
      <c r="A2107" s="9"/>
      <c r="B2107" s="25"/>
      <c r="C2107" s="25"/>
      <c r="D2107" s="25"/>
      <c r="E2107" s="25"/>
      <c r="F2107" s="25"/>
      <c r="G2107" s="25"/>
      <c r="H2107" s="25"/>
      <c r="I2107" s="25"/>
      <c r="J2107" s="25"/>
      <c r="K2107" s="25"/>
      <c r="L2107" s="25"/>
      <c r="M2107" s="42" t="s">
        <v>253</v>
      </c>
      <c r="N2107" s="41">
        <v>45063</v>
      </c>
      <c r="O2107" s="25">
        <v>326</v>
      </c>
      <c r="P2107" s="25">
        <v>0</v>
      </c>
      <c r="Q2107" s="25"/>
      <c r="R2107" s="25"/>
      <c r="S2107" s="25"/>
      <c r="T2107" s="10"/>
    </row>
    <row r="2108" s="35" customFormat="1" ht="18.5" customHeight="1" spans="1:20">
      <c r="A2108" s="9"/>
      <c r="B2108" s="25"/>
      <c r="C2108" s="25"/>
      <c r="D2108" s="25"/>
      <c r="E2108" s="25"/>
      <c r="F2108" s="25"/>
      <c r="G2108" s="25"/>
      <c r="H2108" s="25"/>
      <c r="I2108" s="25"/>
      <c r="J2108" s="25"/>
      <c r="K2108" s="25"/>
      <c r="L2108" s="25"/>
      <c r="M2108" s="42" t="s">
        <v>253</v>
      </c>
      <c r="N2108" s="41">
        <v>45045</v>
      </c>
      <c r="O2108" s="25">
        <v>325</v>
      </c>
      <c r="P2108" s="25">
        <v>0</v>
      </c>
      <c r="Q2108" s="25"/>
      <c r="R2108" s="25"/>
      <c r="S2108" s="25"/>
      <c r="T2108" s="10"/>
    </row>
    <row r="2109" s="35" customFormat="1" ht="18.5" customHeight="1" spans="1:20">
      <c r="A2109" s="9"/>
      <c r="B2109" s="25"/>
      <c r="C2109" s="25"/>
      <c r="D2109" s="25"/>
      <c r="E2109" s="25"/>
      <c r="F2109" s="25"/>
      <c r="G2109" s="25"/>
      <c r="H2109" s="25"/>
      <c r="I2109" s="25"/>
      <c r="J2109" s="25"/>
      <c r="K2109" s="25"/>
      <c r="L2109" s="25"/>
      <c r="M2109" s="42" t="s">
        <v>253</v>
      </c>
      <c r="N2109" s="41">
        <v>45145</v>
      </c>
      <c r="O2109" s="25">
        <v>319</v>
      </c>
      <c r="P2109" s="25">
        <v>0</v>
      </c>
      <c r="Q2109" s="25"/>
      <c r="R2109" s="25"/>
      <c r="S2109" s="25"/>
      <c r="T2109" s="10"/>
    </row>
    <row r="2110" s="35" customFormat="1" ht="18.5" customHeight="1" spans="1:20">
      <c r="A2110" s="9"/>
      <c r="B2110" s="25"/>
      <c r="C2110" s="25"/>
      <c r="D2110" s="25"/>
      <c r="E2110" s="25"/>
      <c r="F2110" s="25"/>
      <c r="G2110" s="25"/>
      <c r="H2110" s="25"/>
      <c r="I2110" s="25"/>
      <c r="J2110" s="25"/>
      <c r="K2110" s="25"/>
      <c r="L2110" s="25"/>
      <c r="M2110" s="42" t="s">
        <v>253</v>
      </c>
      <c r="N2110" s="41">
        <v>45074</v>
      </c>
      <c r="O2110" s="25">
        <v>317</v>
      </c>
      <c r="P2110" s="25">
        <v>0</v>
      </c>
      <c r="Q2110" s="25"/>
      <c r="R2110" s="25"/>
      <c r="S2110" s="25"/>
      <c r="T2110" s="10"/>
    </row>
    <row r="2111" s="35" customFormat="1" ht="18.5" customHeight="1" spans="1:20">
      <c r="A2111" s="9"/>
      <c r="B2111" s="25"/>
      <c r="C2111" s="25"/>
      <c r="D2111" s="25"/>
      <c r="E2111" s="25"/>
      <c r="F2111" s="25"/>
      <c r="G2111" s="25"/>
      <c r="H2111" s="25"/>
      <c r="I2111" s="25"/>
      <c r="J2111" s="25"/>
      <c r="K2111" s="25"/>
      <c r="L2111" s="25"/>
      <c r="M2111" s="42" t="s">
        <v>253</v>
      </c>
      <c r="N2111" s="41">
        <v>45061</v>
      </c>
      <c r="O2111" s="25">
        <v>315</v>
      </c>
      <c r="P2111" s="25">
        <v>0</v>
      </c>
      <c r="Q2111" s="25"/>
      <c r="R2111" s="25"/>
      <c r="S2111" s="25"/>
      <c r="T2111" s="10"/>
    </row>
    <row r="2112" s="35" customFormat="1" ht="18.5" customHeight="1" spans="1:20">
      <c r="A2112" s="9"/>
      <c r="B2112" s="25"/>
      <c r="C2112" s="25"/>
      <c r="D2112" s="25"/>
      <c r="E2112" s="25"/>
      <c r="F2112" s="25"/>
      <c r="G2112" s="25"/>
      <c r="H2112" s="25"/>
      <c r="I2112" s="25"/>
      <c r="J2112" s="25"/>
      <c r="K2112" s="25"/>
      <c r="L2112" s="25"/>
      <c r="M2112" s="42" t="s">
        <v>253</v>
      </c>
      <c r="N2112" s="41">
        <v>45056</v>
      </c>
      <c r="O2112" s="25">
        <v>314</v>
      </c>
      <c r="P2112" s="25">
        <v>0</v>
      </c>
      <c r="Q2112" s="25"/>
      <c r="R2112" s="25"/>
      <c r="S2112" s="25"/>
      <c r="T2112" s="10"/>
    </row>
    <row r="2113" s="35" customFormat="1" ht="18.5" customHeight="1" spans="1:20">
      <c r="A2113" s="9"/>
      <c r="B2113" s="25"/>
      <c r="C2113" s="25"/>
      <c r="D2113" s="25"/>
      <c r="E2113" s="25"/>
      <c r="F2113" s="25"/>
      <c r="G2113" s="25"/>
      <c r="H2113" s="25"/>
      <c r="I2113" s="25"/>
      <c r="J2113" s="25"/>
      <c r="K2113" s="25"/>
      <c r="L2113" s="25"/>
      <c r="M2113" s="42" t="s">
        <v>253</v>
      </c>
      <c r="N2113" s="41">
        <v>45107</v>
      </c>
      <c r="O2113" s="25">
        <v>312</v>
      </c>
      <c r="P2113" s="25">
        <v>0</v>
      </c>
      <c r="Q2113" s="25"/>
      <c r="R2113" s="25"/>
      <c r="S2113" s="25"/>
      <c r="T2113" s="10"/>
    </row>
    <row r="2114" s="35" customFormat="1" ht="18.5" customHeight="1" spans="1:20">
      <c r="A2114" s="9"/>
      <c r="B2114" s="25"/>
      <c r="C2114" s="25"/>
      <c r="D2114" s="25"/>
      <c r="E2114" s="25"/>
      <c r="F2114" s="25"/>
      <c r="G2114" s="25"/>
      <c r="H2114" s="25"/>
      <c r="I2114" s="25"/>
      <c r="J2114" s="25"/>
      <c r="K2114" s="25"/>
      <c r="L2114" s="25"/>
      <c r="M2114" s="42" t="s">
        <v>253</v>
      </c>
      <c r="N2114" s="41">
        <v>45061</v>
      </c>
      <c r="O2114" s="25">
        <v>313</v>
      </c>
      <c r="P2114" s="25">
        <v>0</v>
      </c>
      <c r="Q2114" s="25"/>
      <c r="R2114" s="25"/>
      <c r="S2114" s="25"/>
      <c r="T2114" s="10"/>
    </row>
    <row r="2115" s="35" customFormat="1" ht="18.5" customHeight="1" spans="1:20">
      <c r="A2115" s="9"/>
      <c r="B2115" s="25"/>
      <c r="C2115" s="25"/>
      <c r="D2115" s="25"/>
      <c r="E2115" s="25"/>
      <c r="F2115" s="25"/>
      <c r="G2115" s="25"/>
      <c r="H2115" s="25"/>
      <c r="I2115" s="25"/>
      <c r="J2115" s="25"/>
      <c r="K2115" s="25"/>
      <c r="L2115" s="25"/>
      <c r="M2115" s="42" t="s">
        <v>253</v>
      </c>
      <c r="N2115" s="41">
        <v>45052</v>
      </c>
      <c r="O2115" s="25">
        <v>308</v>
      </c>
      <c r="P2115" s="25">
        <v>0</v>
      </c>
      <c r="Q2115" s="25"/>
      <c r="R2115" s="25"/>
      <c r="S2115" s="25"/>
      <c r="T2115" s="10"/>
    </row>
    <row r="2116" s="35" customFormat="1" ht="18.5" customHeight="1" spans="1:20">
      <c r="A2116" s="9"/>
      <c r="B2116" s="25"/>
      <c r="C2116" s="25"/>
      <c r="D2116" s="25"/>
      <c r="E2116" s="25"/>
      <c r="F2116" s="25"/>
      <c r="G2116" s="25"/>
      <c r="H2116" s="25"/>
      <c r="I2116" s="25"/>
      <c r="J2116" s="25"/>
      <c r="K2116" s="25"/>
      <c r="L2116" s="25"/>
      <c r="M2116" s="42" t="s">
        <v>253</v>
      </c>
      <c r="N2116" s="41">
        <v>45073</v>
      </c>
      <c r="O2116" s="25">
        <v>304</v>
      </c>
      <c r="P2116" s="25">
        <v>0</v>
      </c>
      <c r="Q2116" s="25"/>
      <c r="R2116" s="25"/>
      <c r="S2116" s="25"/>
      <c r="T2116" s="10"/>
    </row>
    <row r="2117" s="35" customFormat="1" ht="18.5" customHeight="1" spans="1:20">
      <c r="A2117" s="9"/>
      <c r="B2117" s="25"/>
      <c r="C2117" s="25"/>
      <c r="D2117" s="25"/>
      <c r="E2117" s="25"/>
      <c r="F2117" s="25"/>
      <c r="G2117" s="25"/>
      <c r="H2117" s="25"/>
      <c r="I2117" s="25"/>
      <c r="J2117" s="25"/>
      <c r="K2117" s="25"/>
      <c r="L2117" s="25"/>
      <c r="M2117" s="42" t="s">
        <v>253</v>
      </c>
      <c r="N2117" s="41">
        <v>45070</v>
      </c>
      <c r="O2117" s="25">
        <v>304</v>
      </c>
      <c r="P2117" s="25">
        <v>0</v>
      </c>
      <c r="Q2117" s="25"/>
      <c r="R2117" s="25"/>
      <c r="S2117" s="25"/>
      <c r="T2117" s="10"/>
    </row>
    <row r="2118" s="35" customFormat="1" ht="18.5" customHeight="1" spans="1:20">
      <c r="A2118" s="9"/>
      <c r="B2118" s="25"/>
      <c r="C2118" s="25"/>
      <c r="D2118" s="25"/>
      <c r="E2118" s="25"/>
      <c r="F2118" s="25"/>
      <c r="G2118" s="25"/>
      <c r="H2118" s="25"/>
      <c r="I2118" s="25"/>
      <c r="J2118" s="25"/>
      <c r="K2118" s="25"/>
      <c r="L2118" s="25"/>
      <c r="M2118" s="42" t="s">
        <v>253</v>
      </c>
      <c r="N2118" s="41">
        <v>45248</v>
      </c>
      <c r="O2118" s="25">
        <v>301</v>
      </c>
      <c r="P2118" s="25">
        <v>0</v>
      </c>
      <c r="Q2118" s="25"/>
      <c r="R2118" s="25"/>
      <c r="S2118" s="25"/>
      <c r="T2118" s="10"/>
    </row>
    <row r="2119" s="35" customFormat="1" ht="18.5" customHeight="1" spans="1:20">
      <c r="A2119" s="9"/>
      <c r="B2119" s="25"/>
      <c r="C2119" s="25"/>
      <c r="D2119" s="25"/>
      <c r="E2119" s="25"/>
      <c r="F2119" s="25"/>
      <c r="G2119" s="25"/>
      <c r="H2119" s="25"/>
      <c r="I2119" s="25"/>
      <c r="J2119" s="25"/>
      <c r="K2119" s="25"/>
      <c r="L2119" s="25"/>
      <c r="M2119" s="42" t="s">
        <v>253</v>
      </c>
      <c r="N2119" s="41">
        <v>45244</v>
      </c>
      <c r="O2119" s="25">
        <v>298</v>
      </c>
      <c r="P2119" s="25">
        <v>0</v>
      </c>
      <c r="Q2119" s="25"/>
      <c r="R2119" s="25"/>
      <c r="S2119" s="25"/>
      <c r="T2119" s="10"/>
    </row>
    <row r="2120" s="35" customFormat="1" ht="18.5" customHeight="1" spans="1:20">
      <c r="A2120" s="9"/>
      <c r="B2120" s="25"/>
      <c r="C2120" s="25"/>
      <c r="D2120" s="25"/>
      <c r="E2120" s="25"/>
      <c r="F2120" s="25"/>
      <c r="G2120" s="25"/>
      <c r="H2120" s="25"/>
      <c r="I2120" s="25"/>
      <c r="J2120" s="25"/>
      <c r="K2120" s="25"/>
      <c r="L2120" s="25"/>
      <c r="M2120" s="42" t="s">
        <v>253</v>
      </c>
      <c r="N2120" s="41">
        <v>45106</v>
      </c>
      <c r="O2120" s="25">
        <v>297</v>
      </c>
      <c r="P2120" s="25">
        <v>0</v>
      </c>
      <c r="Q2120" s="25"/>
      <c r="R2120" s="25"/>
      <c r="S2120" s="25"/>
      <c r="T2120" s="10"/>
    </row>
    <row r="2121" s="35" customFormat="1" ht="18.5" customHeight="1" spans="1:20">
      <c r="A2121" s="9"/>
      <c r="B2121" s="25"/>
      <c r="C2121" s="25"/>
      <c r="D2121" s="25"/>
      <c r="E2121" s="25"/>
      <c r="F2121" s="25"/>
      <c r="G2121" s="25"/>
      <c r="H2121" s="25"/>
      <c r="I2121" s="25"/>
      <c r="J2121" s="25"/>
      <c r="K2121" s="25"/>
      <c r="L2121" s="25"/>
      <c r="M2121" s="42" t="s">
        <v>253</v>
      </c>
      <c r="N2121" s="41">
        <v>45094</v>
      </c>
      <c r="O2121" s="25">
        <v>296</v>
      </c>
      <c r="P2121" s="25">
        <v>0</v>
      </c>
      <c r="Q2121" s="25"/>
      <c r="R2121" s="25"/>
      <c r="S2121" s="25"/>
      <c r="T2121" s="10"/>
    </row>
    <row r="2122" s="35" customFormat="1" ht="18.5" customHeight="1" spans="1:20">
      <c r="A2122" s="9"/>
      <c r="B2122" s="25"/>
      <c r="C2122" s="25"/>
      <c r="D2122" s="25"/>
      <c r="E2122" s="25"/>
      <c r="F2122" s="25"/>
      <c r="G2122" s="25"/>
      <c r="H2122" s="25"/>
      <c r="I2122" s="25"/>
      <c r="J2122" s="25"/>
      <c r="K2122" s="25"/>
      <c r="L2122" s="25"/>
      <c r="M2122" s="42" t="s">
        <v>253</v>
      </c>
      <c r="N2122" s="41">
        <v>45098</v>
      </c>
      <c r="O2122" s="25">
        <v>293</v>
      </c>
      <c r="P2122" s="25">
        <v>0</v>
      </c>
      <c r="Q2122" s="25"/>
      <c r="R2122" s="25"/>
      <c r="S2122" s="25"/>
      <c r="T2122" s="10"/>
    </row>
    <row r="2123" s="35" customFormat="1" ht="18.5" customHeight="1" spans="1:20">
      <c r="A2123" s="9"/>
      <c r="B2123" s="25"/>
      <c r="C2123" s="25"/>
      <c r="D2123" s="25"/>
      <c r="E2123" s="25"/>
      <c r="F2123" s="25"/>
      <c r="G2123" s="25"/>
      <c r="H2123" s="25"/>
      <c r="I2123" s="25"/>
      <c r="J2123" s="25"/>
      <c r="K2123" s="25"/>
      <c r="L2123" s="25"/>
      <c r="M2123" s="42" t="s">
        <v>253</v>
      </c>
      <c r="N2123" s="41">
        <v>45099</v>
      </c>
      <c r="O2123" s="25">
        <v>291</v>
      </c>
      <c r="P2123" s="25">
        <v>0</v>
      </c>
      <c r="Q2123" s="25"/>
      <c r="R2123" s="25"/>
      <c r="S2123" s="25"/>
      <c r="T2123" s="10"/>
    </row>
    <row r="2124" s="35" customFormat="1" ht="18.5" customHeight="1" spans="1:20">
      <c r="A2124" s="9"/>
      <c r="B2124" s="25"/>
      <c r="C2124" s="25"/>
      <c r="D2124" s="25"/>
      <c r="E2124" s="25"/>
      <c r="F2124" s="25"/>
      <c r="G2124" s="25"/>
      <c r="H2124" s="25"/>
      <c r="I2124" s="25"/>
      <c r="J2124" s="25"/>
      <c r="K2124" s="25"/>
      <c r="L2124" s="25"/>
      <c r="M2124" s="42" t="s">
        <v>253</v>
      </c>
      <c r="N2124" s="41">
        <v>45064</v>
      </c>
      <c r="O2124" s="25">
        <v>284</v>
      </c>
      <c r="P2124" s="25">
        <v>0</v>
      </c>
      <c r="Q2124" s="25"/>
      <c r="R2124" s="25"/>
      <c r="S2124" s="25"/>
      <c r="T2124" s="10"/>
    </row>
    <row r="2125" s="35" customFormat="1" ht="18.5" customHeight="1" spans="1:20">
      <c r="A2125" s="9"/>
      <c r="B2125" s="25"/>
      <c r="C2125" s="25"/>
      <c r="D2125" s="25"/>
      <c r="E2125" s="25"/>
      <c r="F2125" s="25"/>
      <c r="G2125" s="25"/>
      <c r="H2125" s="25"/>
      <c r="I2125" s="25"/>
      <c r="J2125" s="25"/>
      <c r="K2125" s="25"/>
      <c r="L2125" s="25"/>
      <c r="M2125" s="42" t="s">
        <v>253</v>
      </c>
      <c r="N2125" s="41">
        <v>45260</v>
      </c>
      <c r="O2125" s="25">
        <v>280</v>
      </c>
      <c r="P2125" s="25">
        <v>0</v>
      </c>
      <c r="Q2125" s="25"/>
      <c r="R2125" s="25"/>
      <c r="S2125" s="25"/>
      <c r="T2125" s="10"/>
    </row>
    <row r="2126" s="35" customFormat="1" ht="18.5" customHeight="1" spans="1:20">
      <c r="A2126" s="9"/>
      <c r="B2126" s="25"/>
      <c r="C2126" s="25"/>
      <c r="D2126" s="25"/>
      <c r="E2126" s="25"/>
      <c r="F2126" s="25"/>
      <c r="G2126" s="25"/>
      <c r="H2126" s="25"/>
      <c r="I2126" s="25"/>
      <c r="J2126" s="25"/>
      <c r="K2126" s="25"/>
      <c r="L2126" s="25"/>
      <c r="M2126" s="42" t="s">
        <v>253</v>
      </c>
      <c r="N2126" s="41">
        <v>45117</v>
      </c>
      <c r="O2126" s="25">
        <v>279</v>
      </c>
      <c r="P2126" s="25">
        <v>0</v>
      </c>
      <c r="Q2126" s="25"/>
      <c r="R2126" s="25"/>
      <c r="S2126" s="25"/>
      <c r="T2126" s="10"/>
    </row>
    <row r="2127" s="35" customFormat="1" ht="18.5" customHeight="1" spans="1:20">
      <c r="A2127" s="9"/>
      <c r="B2127" s="25"/>
      <c r="C2127" s="25"/>
      <c r="D2127" s="25"/>
      <c r="E2127" s="25"/>
      <c r="F2127" s="25"/>
      <c r="G2127" s="25"/>
      <c r="H2127" s="25"/>
      <c r="I2127" s="25"/>
      <c r="J2127" s="25"/>
      <c r="K2127" s="25"/>
      <c r="L2127" s="25"/>
      <c r="M2127" s="42" t="s">
        <v>253</v>
      </c>
      <c r="N2127" s="41">
        <v>45236</v>
      </c>
      <c r="O2127" s="25">
        <v>275</v>
      </c>
      <c r="P2127" s="25">
        <v>0</v>
      </c>
      <c r="Q2127" s="25"/>
      <c r="R2127" s="25"/>
      <c r="S2127" s="25"/>
      <c r="T2127" s="10"/>
    </row>
    <row r="2128" s="35" customFormat="1" ht="18.5" customHeight="1" spans="1:20">
      <c r="A2128" s="9"/>
      <c r="B2128" s="25"/>
      <c r="C2128" s="25"/>
      <c r="D2128" s="25"/>
      <c r="E2128" s="25"/>
      <c r="F2128" s="25"/>
      <c r="G2128" s="25"/>
      <c r="H2128" s="25"/>
      <c r="I2128" s="25"/>
      <c r="J2128" s="25"/>
      <c r="K2128" s="25"/>
      <c r="L2128" s="25"/>
      <c r="M2128" s="42" t="s">
        <v>253</v>
      </c>
      <c r="N2128" s="41">
        <v>45100</v>
      </c>
      <c r="O2128" s="25">
        <v>275</v>
      </c>
      <c r="P2128" s="25">
        <v>0</v>
      </c>
      <c r="Q2128" s="25"/>
      <c r="R2128" s="25"/>
      <c r="S2128" s="25"/>
      <c r="T2128" s="10"/>
    </row>
    <row r="2129" s="35" customFormat="1" ht="18.5" customHeight="1" spans="1:20">
      <c r="A2129" s="9"/>
      <c r="B2129" s="25"/>
      <c r="C2129" s="25"/>
      <c r="D2129" s="25"/>
      <c r="E2129" s="25"/>
      <c r="F2129" s="25"/>
      <c r="G2129" s="25"/>
      <c r="H2129" s="25"/>
      <c r="I2129" s="25"/>
      <c r="J2129" s="25"/>
      <c r="K2129" s="25"/>
      <c r="L2129" s="25"/>
      <c r="M2129" s="42" t="s">
        <v>253</v>
      </c>
      <c r="N2129" s="41">
        <v>45022</v>
      </c>
      <c r="O2129" s="25">
        <v>273</v>
      </c>
      <c r="P2129" s="25">
        <v>0</v>
      </c>
      <c r="Q2129" s="25"/>
      <c r="R2129" s="25"/>
      <c r="S2129" s="25"/>
      <c r="T2129" s="10"/>
    </row>
    <row r="2130" s="35" customFormat="1" ht="18.5" customHeight="1" spans="1:20">
      <c r="A2130" s="9"/>
      <c r="B2130" s="25"/>
      <c r="C2130" s="25"/>
      <c r="D2130" s="25"/>
      <c r="E2130" s="25"/>
      <c r="F2130" s="25"/>
      <c r="G2130" s="25"/>
      <c r="H2130" s="25"/>
      <c r="I2130" s="25"/>
      <c r="J2130" s="25"/>
      <c r="K2130" s="25"/>
      <c r="L2130" s="25"/>
      <c r="M2130" s="42" t="s">
        <v>253</v>
      </c>
      <c r="N2130" s="41">
        <v>45260</v>
      </c>
      <c r="O2130" s="25">
        <v>272</v>
      </c>
      <c r="P2130" s="25">
        <v>0</v>
      </c>
      <c r="Q2130" s="25"/>
      <c r="R2130" s="25"/>
      <c r="S2130" s="25"/>
      <c r="T2130" s="10"/>
    </row>
    <row r="2131" s="35" customFormat="1" ht="18.5" customHeight="1" spans="1:20">
      <c r="A2131" s="9"/>
      <c r="B2131" s="25"/>
      <c r="C2131" s="25"/>
      <c r="D2131" s="25"/>
      <c r="E2131" s="25"/>
      <c r="F2131" s="25"/>
      <c r="G2131" s="25"/>
      <c r="H2131" s="25"/>
      <c r="I2131" s="25"/>
      <c r="J2131" s="25"/>
      <c r="K2131" s="25"/>
      <c r="L2131" s="25"/>
      <c r="M2131" s="42" t="s">
        <v>253</v>
      </c>
      <c r="N2131" s="41">
        <v>45023</v>
      </c>
      <c r="O2131" s="25">
        <v>270</v>
      </c>
      <c r="P2131" s="25">
        <v>0</v>
      </c>
      <c r="Q2131" s="25"/>
      <c r="R2131" s="25"/>
      <c r="S2131" s="25"/>
      <c r="T2131" s="10"/>
    </row>
    <row r="2132" s="35" customFormat="1" ht="18.5" customHeight="1" spans="1:20">
      <c r="A2132" s="9"/>
      <c r="B2132" s="25"/>
      <c r="C2132" s="25"/>
      <c r="D2132" s="25"/>
      <c r="E2132" s="25"/>
      <c r="F2132" s="25"/>
      <c r="G2132" s="25"/>
      <c r="H2132" s="25"/>
      <c r="I2132" s="25"/>
      <c r="J2132" s="25"/>
      <c r="K2132" s="25"/>
      <c r="L2132" s="25"/>
      <c r="M2132" s="42" t="s">
        <v>253</v>
      </c>
      <c r="N2132" s="41">
        <v>45228</v>
      </c>
      <c r="O2132" s="25">
        <v>269</v>
      </c>
      <c r="P2132" s="25">
        <v>0</v>
      </c>
      <c r="Q2132" s="25"/>
      <c r="R2132" s="25"/>
      <c r="S2132" s="25"/>
      <c r="T2132" s="10"/>
    </row>
    <row r="2133" s="35" customFormat="1" ht="18.5" customHeight="1" spans="1:20">
      <c r="A2133" s="9"/>
      <c r="B2133" s="25"/>
      <c r="C2133" s="25"/>
      <c r="D2133" s="25"/>
      <c r="E2133" s="25"/>
      <c r="F2133" s="25"/>
      <c r="G2133" s="25"/>
      <c r="H2133" s="25"/>
      <c r="I2133" s="25"/>
      <c r="J2133" s="25"/>
      <c r="K2133" s="25"/>
      <c r="L2133" s="25"/>
      <c r="M2133" s="42" t="s">
        <v>253</v>
      </c>
      <c r="N2133" s="41">
        <v>45038</v>
      </c>
      <c r="O2133" s="25">
        <v>266</v>
      </c>
      <c r="P2133" s="25">
        <v>0</v>
      </c>
      <c r="Q2133" s="25"/>
      <c r="R2133" s="25"/>
      <c r="S2133" s="25"/>
      <c r="T2133" s="10"/>
    </row>
    <row r="2134" s="35" customFormat="1" ht="18.5" customHeight="1" spans="1:20">
      <c r="A2134" s="9"/>
      <c r="B2134" s="25"/>
      <c r="C2134" s="25"/>
      <c r="D2134" s="25"/>
      <c r="E2134" s="25"/>
      <c r="F2134" s="25"/>
      <c r="G2134" s="25"/>
      <c r="H2134" s="25"/>
      <c r="I2134" s="25"/>
      <c r="J2134" s="25"/>
      <c r="K2134" s="25"/>
      <c r="L2134" s="25"/>
      <c r="M2134" s="42" t="s">
        <v>253</v>
      </c>
      <c r="N2134" s="41">
        <v>45139</v>
      </c>
      <c r="O2134" s="25">
        <v>261</v>
      </c>
      <c r="P2134" s="25">
        <v>0</v>
      </c>
      <c r="Q2134" s="25"/>
      <c r="R2134" s="25"/>
      <c r="S2134" s="25"/>
      <c r="T2134" s="10"/>
    </row>
    <row r="2135" s="35" customFormat="1" ht="18.5" customHeight="1" spans="1:20">
      <c r="A2135" s="9"/>
      <c r="B2135" s="25"/>
      <c r="C2135" s="25"/>
      <c r="D2135" s="25"/>
      <c r="E2135" s="25"/>
      <c r="F2135" s="25"/>
      <c r="G2135" s="25"/>
      <c r="H2135" s="25"/>
      <c r="I2135" s="25"/>
      <c r="J2135" s="25"/>
      <c r="K2135" s="25"/>
      <c r="L2135" s="25"/>
      <c r="M2135" s="42" t="s">
        <v>253</v>
      </c>
      <c r="N2135" s="41">
        <v>45211</v>
      </c>
      <c r="O2135" s="25">
        <v>260</v>
      </c>
      <c r="P2135" s="25">
        <v>0</v>
      </c>
      <c r="Q2135" s="25"/>
      <c r="R2135" s="25"/>
      <c r="S2135" s="25"/>
      <c r="T2135" s="10"/>
    </row>
    <row r="2136" s="35" customFormat="1" ht="18.5" customHeight="1" spans="1:20">
      <c r="A2136" s="9"/>
      <c r="B2136" s="25"/>
      <c r="C2136" s="25"/>
      <c r="D2136" s="25"/>
      <c r="E2136" s="25"/>
      <c r="F2136" s="25"/>
      <c r="G2136" s="25"/>
      <c r="H2136" s="25"/>
      <c r="I2136" s="25"/>
      <c r="J2136" s="25"/>
      <c r="K2136" s="25"/>
      <c r="L2136" s="25"/>
      <c r="M2136" s="42" t="s">
        <v>253</v>
      </c>
      <c r="N2136" s="41">
        <v>45047</v>
      </c>
      <c r="O2136" s="25">
        <v>258</v>
      </c>
      <c r="P2136" s="25">
        <v>0</v>
      </c>
      <c r="Q2136" s="25"/>
      <c r="R2136" s="25"/>
      <c r="S2136" s="25"/>
      <c r="T2136" s="10"/>
    </row>
    <row r="2137" s="35" customFormat="1" ht="18.5" customHeight="1" spans="1:20">
      <c r="A2137" s="9"/>
      <c r="B2137" s="25"/>
      <c r="C2137" s="25"/>
      <c r="D2137" s="25"/>
      <c r="E2137" s="25"/>
      <c r="F2137" s="25"/>
      <c r="G2137" s="25"/>
      <c r="H2137" s="25"/>
      <c r="I2137" s="25"/>
      <c r="J2137" s="25"/>
      <c r="K2137" s="25"/>
      <c r="L2137" s="25"/>
      <c r="M2137" s="42" t="s">
        <v>253</v>
      </c>
      <c r="N2137" s="41">
        <v>45254</v>
      </c>
      <c r="O2137" s="25">
        <v>256</v>
      </c>
      <c r="P2137" s="25">
        <v>0</v>
      </c>
      <c r="Q2137" s="25"/>
      <c r="R2137" s="25"/>
      <c r="S2137" s="25"/>
      <c r="T2137" s="10"/>
    </row>
    <row r="2138" s="35" customFormat="1" ht="18.5" customHeight="1" spans="1:20">
      <c r="A2138" s="9"/>
      <c r="B2138" s="25"/>
      <c r="C2138" s="25"/>
      <c r="D2138" s="25"/>
      <c r="E2138" s="25"/>
      <c r="F2138" s="25"/>
      <c r="G2138" s="25"/>
      <c r="H2138" s="25"/>
      <c r="I2138" s="25"/>
      <c r="J2138" s="25"/>
      <c r="K2138" s="25"/>
      <c r="L2138" s="25"/>
      <c r="M2138" s="42" t="s">
        <v>253</v>
      </c>
      <c r="N2138" s="41">
        <v>45063</v>
      </c>
      <c r="O2138" s="25">
        <v>252</v>
      </c>
      <c r="P2138" s="25">
        <v>0</v>
      </c>
      <c r="Q2138" s="25"/>
      <c r="R2138" s="25"/>
      <c r="S2138" s="25"/>
      <c r="T2138" s="10"/>
    </row>
    <row r="2139" s="35" customFormat="1" ht="18.5" customHeight="1" spans="1:20">
      <c r="A2139" s="9"/>
      <c r="B2139" s="25"/>
      <c r="C2139" s="25"/>
      <c r="D2139" s="25"/>
      <c r="E2139" s="25"/>
      <c r="F2139" s="25"/>
      <c r="G2139" s="25"/>
      <c r="H2139" s="25"/>
      <c r="I2139" s="25"/>
      <c r="J2139" s="25"/>
      <c r="K2139" s="25"/>
      <c r="L2139" s="25"/>
      <c r="M2139" s="42" t="s">
        <v>253</v>
      </c>
      <c r="N2139" s="41">
        <v>45217</v>
      </c>
      <c r="O2139" s="25">
        <v>250</v>
      </c>
      <c r="P2139" s="25">
        <v>0</v>
      </c>
      <c r="Q2139" s="25"/>
      <c r="R2139" s="25"/>
      <c r="S2139" s="25"/>
      <c r="T2139" s="10"/>
    </row>
    <row r="2140" s="35" customFormat="1" ht="18.5" customHeight="1" spans="1:20">
      <c r="A2140" s="9"/>
      <c r="B2140" s="25"/>
      <c r="C2140" s="25"/>
      <c r="D2140" s="25"/>
      <c r="E2140" s="25"/>
      <c r="F2140" s="25"/>
      <c r="G2140" s="25"/>
      <c r="H2140" s="25"/>
      <c r="I2140" s="25"/>
      <c r="J2140" s="25"/>
      <c r="K2140" s="25"/>
      <c r="L2140" s="25"/>
      <c r="M2140" s="42" t="s">
        <v>253</v>
      </c>
      <c r="N2140" s="41">
        <v>45077</v>
      </c>
      <c r="O2140" s="25">
        <v>249</v>
      </c>
      <c r="P2140" s="25">
        <v>0</v>
      </c>
      <c r="Q2140" s="25"/>
      <c r="R2140" s="25"/>
      <c r="S2140" s="25"/>
      <c r="T2140" s="10"/>
    </row>
    <row r="2141" s="35" customFormat="1" ht="18.5" customHeight="1" spans="1:20">
      <c r="A2141" s="9"/>
      <c r="B2141" s="25"/>
      <c r="C2141" s="25"/>
      <c r="D2141" s="25"/>
      <c r="E2141" s="25"/>
      <c r="F2141" s="25"/>
      <c r="G2141" s="25"/>
      <c r="H2141" s="25"/>
      <c r="I2141" s="25"/>
      <c r="J2141" s="25"/>
      <c r="K2141" s="25"/>
      <c r="L2141" s="25"/>
      <c r="M2141" s="42" t="s">
        <v>253</v>
      </c>
      <c r="N2141" s="41">
        <v>45082</v>
      </c>
      <c r="O2141" s="25">
        <v>247</v>
      </c>
      <c r="P2141" s="25">
        <v>0</v>
      </c>
      <c r="Q2141" s="25"/>
      <c r="R2141" s="25"/>
      <c r="S2141" s="25"/>
      <c r="T2141" s="10"/>
    </row>
    <row r="2142" s="35" customFormat="1" ht="18.5" customHeight="1" spans="1:20">
      <c r="A2142" s="9"/>
      <c r="B2142" s="25"/>
      <c r="C2142" s="25"/>
      <c r="D2142" s="25"/>
      <c r="E2142" s="25"/>
      <c r="F2142" s="25"/>
      <c r="G2142" s="25"/>
      <c r="H2142" s="25"/>
      <c r="I2142" s="25"/>
      <c r="J2142" s="25"/>
      <c r="K2142" s="25"/>
      <c r="L2142" s="25"/>
      <c r="M2142" s="42" t="s">
        <v>253</v>
      </c>
      <c r="N2142" s="41">
        <v>45076</v>
      </c>
      <c r="O2142" s="25">
        <v>245</v>
      </c>
      <c r="P2142" s="25">
        <v>0</v>
      </c>
      <c r="Q2142" s="25"/>
      <c r="R2142" s="25"/>
      <c r="S2142" s="25"/>
      <c r="T2142" s="10"/>
    </row>
    <row r="2143" s="35" customFormat="1" ht="18.5" customHeight="1" spans="1:20">
      <c r="A2143" s="9"/>
      <c r="B2143" s="25"/>
      <c r="C2143" s="25"/>
      <c r="D2143" s="25"/>
      <c r="E2143" s="25"/>
      <c r="F2143" s="25"/>
      <c r="G2143" s="25"/>
      <c r="H2143" s="25"/>
      <c r="I2143" s="25"/>
      <c r="J2143" s="25"/>
      <c r="K2143" s="25"/>
      <c r="L2143" s="25"/>
      <c r="M2143" s="42" t="s">
        <v>253</v>
      </c>
      <c r="N2143" s="41">
        <v>45270</v>
      </c>
      <c r="O2143" s="25">
        <v>244</v>
      </c>
      <c r="P2143" s="25">
        <v>0</v>
      </c>
      <c r="Q2143" s="25"/>
      <c r="R2143" s="25"/>
      <c r="S2143" s="25"/>
      <c r="T2143" s="10"/>
    </row>
    <row r="2144" s="35" customFormat="1" ht="18.5" customHeight="1" spans="1:20">
      <c r="A2144" s="9"/>
      <c r="B2144" s="25"/>
      <c r="C2144" s="25"/>
      <c r="D2144" s="25"/>
      <c r="E2144" s="25"/>
      <c r="F2144" s="25"/>
      <c r="G2144" s="25"/>
      <c r="H2144" s="25"/>
      <c r="I2144" s="25"/>
      <c r="J2144" s="25"/>
      <c r="K2144" s="25"/>
      <c r="L2144" s="25"/>
      <c r="M2144" s="42" t="s">
        <v>253</v>
      </c>
      <c r="N2144" s="41">
        <v>45237</v>
      </c>
      <c r="O2144" s="25">
        <v>243</v>
      </c>
      <c r="P2144" s="25">
        <v>0</v>
      </c>
      <c r="Q2144" s="25"/>
      <c r="R2144" s="25"/>
      <c r="S2144" s="25"/>
      <c r="T2144" s="10"/>
    </row>
    <row r="2145" s="35" customFormat="1" ht="18.5" customHeight="1" spans="1:20">
      <c r="A2145" s="9"/>
      <c r="B2145" s="25"/>
      <c r="C2145" s="25"/>
      <c r="D2145" s="25"/>
      <c r="E2145" s="25"/>
      <c r="F2145" s="25"/>
      <c r="G2145" s="25"/>
      <c r="H2145" s="25"/>
      <c r="I2145" s="25"/>
      <c r="J2145" s="25"/>
      <c r="K2145" s="25"/>
      <c r="L2145" s="25"/>
      <c r="M2145" s="42" t="s">
        <v>253</v>
      </c>
      <c r="N2145" s="41">
        <v>45071</v>
      </c>
      <c r="O2145" s="25">
        <v>241</v>
      </c>
      <c r="P2145" s="25">
        <v>0</v>
      </c>
      <c r="Q2145" s="25"/>
      <c r="R2145" s="25"/>
      <c r="S2145" s="25"/>
      <c r="T2145" s="10"/>
    </row>
    <row r="2146" s="35" customFormat="1" ht="18.5" customHeight="1" spans="1:20">
      <c r="A2146" s="9"/>
      <c r="B2146" s="25"/>
      <c r="C2146" s="25"/>
      <c r="D2146" s="25"/>
      <c r="E2146" s="25"/>
      <c r="F2146" s="25"/>
      <c r="G2146" s="25"/>
      <c r="H2146" s="25"/>
      <c r="I2146" s="25"/>
      <c r="J2146" s="25"/>
      <c r="K2146" s="25"/>
      <c r="L2146" s="25"/>
      <c r="M2146" s="42" t="s">
        <v>253</v>
      </c>
      <c r="N2146" s="41">
        <v>45022</v>
      </c>
      <c r="O2146" s="25">
        <v>241</v>
      </c>
      <c r="P2146" s="25">
        <v>0</v>
      </c>
      <c r="Q2146" s="25"/>
      <c r="R2146" s="25"/>
      <c r="S2146" s="25"/>
      <c r="T2146" s="10"/>
    </row>
    <row r="2147" s="35" customFormat="1" ht="18.5" customHeight="1" spans="1:20">
      <c r="A2147" s="9"/>
      <c r="B2147" s="25"/>
      <c r="C2147" s="25"/>
      <c r="D2147" s="25"/>
      <c r="E2147" s="25"/>
      <c r="F2147" s="25"/>
      <c r="G2147" s="25"/>
      <c r="H2147" s="25"/>
      <c r="I2147" s="25"/>
      <c r="J2147" s="25"/>
      <c r="K2147" s="25"/>
      <c r="L2147" s="25"/>
      <c r="M2147" s="42" t="s">
        <v>253</v>
      </c>
      <c r="N2147" s="41">
        <v>45058</v>
      </c>
      <c r="O2147" s="25">
        <v>240</v>
      </c>
      <c r="P2147" s="25">
        <v>0</v>
      </c>
      <c r="Q2147" s="25"/>
      <c r="R2147" s="25"/>
      <c r="S2147" s="25"/>
      <c r="T2147" s="10"/>
    </row>
    <row r="2148" s="35" customFormat="1" ht="18.5" customHeight="1" spans="1:20">
      <c r="A2148" s="9"/>
      <c r="B2148" s="25"/>
      <c r="C2148" s="25"/>
      <c r="D2148" s="25"/>
      <c r="E2148" s="25"/>
      <c r="F2148" s="25"/>
      <c r="G2148" s="25"/>
      <c r="H2148" s="25"/>
      <c r="I2148" s="25"/>
      <c r="J2148" s="25"/>
      <c r="K2148" s="25"/>
      <c r="L2148" s="25"/>
      <c r="M2148" s="42" t="s">
        <v>253</v>
      </c>
      <c r="N2148" s="41">
        <v>45069</v>
      </c>
      <c r="O2148" s="25">
        <v>239</v>
      </c>
      <c r="P2148" s="25">
        <v>0</v>
      </c>
      <c r="Q2148" s="25"/>
      <c r="R2148" s="25"/>
      <c r="S2148" s="25"/>
      <c r="T2148" s="10"/>
    </row>
    <row r="2149" s="35" customFormat="1" ht="18.5" customHeight="1" spans="1:20">
      <c r="A2149" s="9"/>
      <c r="B2149" s="25"/>
      <c r="C2149" s="25"/>
      <c r="D2149" s="25"/>
      <c r="E2149" s="25"/>
      <c r="F2149" s="25"/>
      <c r="G2149" s="25"/>
      <c r="H2149" s="25"/>
      <c r="I2149" s="25"/>
      <c r="J2149" s="25"/>
      <c r="K2149" s="25"/>
      <c r="L2149" s="25"/>
      <c r="M2149" s="42" t="s">
        <v>253</v>
      </c>
      <c r="N2149" s="41">
        <v>45246</v>
      </c>
      <c r="O2149" s="25">
        <v>239</v>
      </c>
      <c r="P2149" s="25">
        <v>0</v>
      </c>
      <c r="Q2149" s="25"/>
      <c r="R2149" s="25"/>
      <c r="S2149" s="25"/>
      <c r="T2149" s="10"/>
    </row>
    <row r="2150" s="35" customFormat="1" ht="18.5" customHeight="1" spans="1:20">
      <c r="A2150" s="9"/>
      <c r="B2150" s="25"/>
      <c r="C2150" s="25"/>
      <c r="D2150" s="25"/>
      <c r="E2150" s="25"/>
      <c r="F2150" s="25"/>
      <c r="G2150" s="25"/>
      <c r="H2150" s="25"/>
      <c r="I2150" s="25"/>
      <c r="J2150" s="25"/>
      <c r="K2150" s="25"/>
      <c r="L2150" s="25"/>
      <c r="M2150" s="42" t="s">
        <v>253</v>
      </c>
      <c r="N2150" s="41">
        <v>45083</v>
      </c>
      <c r="O2150" s="25">
        <v>235</v>
      </c>
      <c r="P2150" s="25">
        <v>0</v>
      </c>
      <c r="Q2150" s="25"/>
      <c r="R2150" s="25"/>
      <c r="S2150" s="25"/>
      <c r="T2150" s="10"/>
    </row>
    <row r="2151" s="35" customFormat="1" ht="18.5" customHeight="1" spans="1:20">
      <c r="A2151" s="9"/>
      <c r="B2151" s="25"/>
      <c r="C2151" s="25"/>
      <c r="D2151" s="25"/>
      <c r="E2151" s="25"/>
      <c r="F2151" s="25"/>
      <c r="G2151" s="25"/>
      <c r="H2151" s="25"/>
      <c r="I2151" s="25"/>
      <c r="J2151" s="25"/>
      <c r="K2151" s="25"/>
      <c r="L2151" s="25"/>
      <c r="M2151" s="42" t="s">
        <v>253</v>
      </c>
      <c r="N2151" s="41">
        <v>45054</v>
      </c>
      <c r="O2151" s="25">
        <v>235</v>
      </c>
      <c r="P2151" s="25">
        <v>0</v>
      </c>
      <c r="Q2151" s="25"/>
      <c r="R2151" s="25"/>
      <c r="S2151" s="25"/>
      <c r="T2151" s="10"/>
    </row>
    <row r="2152" s="35" customFormat="1" ht="18.5" customHeight="1" spans="1:20">
      <c r="A2152" s="9"/>
      <c r="B2152" s="25"/>
      <c r="C2152" s="25"/>
      <c r="D2152" s="25"/>
      <c r="E2152" s="25"/>
      <c r="F2152" s="25"/>
      <c r="G2152" s="25"/>
      <c r="H2152" s="25"/>
      <c r="I2152" s="25"/>
      <c r="J2152" s="25"/>
      <c r="K2152" s="25"/>
      <c r="L2152" s="25"/>
      <c r="M2152" s="42" t="s">
        <v>253</v>
      </c>
      <c r="N2152" s="41">
        <v>45051</v>
      </c>
      <c r="O2152" s="25">
        <v>235</v>
      </c>
      <c r="P2152" s="25">
        <v>0</v>
      </c>
      <c r="Q2152" s="25"/>
      <c r="R2152" s="25"/>
      <c r="S2152" s="25"/>
      <c r="T2152" s="10"/>
    </row>
    <row r="2153" s="35" customFormat="1" ht="18.5" customHeight="1" spans="1:20">
      <c r="A2153" s="9"/>
      <c r="B2153" s="25"/>
      <c r="C2153" s="25"/>
      <c r="D2153" s="25"/>
      <c r="E2153" s="25"/>
      <c r="F2153" s="25"/>
      <c r="G2153" s="25"/>
      <c r="H2153" s="25"/>
      <c r="I2153" s="25"/>
      <c r="J2153" s="25"/>
      <c r="K2153" s="25"/>
      <c r="L2153" s="25"/>
      <c r="M2153" s="42" t="s">
        <v>253</v>
      </c>
      <c r="N2153" s="41">
        <v>45282</v>
      </c>
      <c r="O2153" s="25">
        <v>227</v>
      </c>
      <c r="P2153" s="25">
        <v>0</v>
      </c>
      <c r="Q2153" s="25"/>
      <c r="R2153" s="25"/>
      <c r="S2153" s="25"/>
      <c r="T2153" s="10"/>
    </row>
    <row r="2154" s="35" customFormat="1" ht="18.5" customHeight="1" spans="1:20">
      <c r="A2154" s="9"/>
      <c r="B2154" s="25"/>
      <c r="C2154" s="25"/>
      <c r="D2154" s="25"/>
      <c r="E2154" s="25"/>
      <c r="F2154" s="25"/>
      <c r="G2154" s="25"/>
      <c r="H2154" s="25"/>
      <c r="I2154" s="25"/>
      <c r="J2154" s="25"/>
      <c r="K2154" s="25"/>
      <c r="L2154" s="25"/>
      <c r="M2154" s="42" t="s">
        <v>253</v>
      </c>
      <c r="N2154" s="41">
        <v>45083</v>
      </c>
      <c r="O2154" s="25">
        <v>226</v>
      </c>
      <c r="P2154" s="25">
        <v>0</v>
      </c>
      <c r="Q2154" s="25"/>
      <c r="R2154" s="25"/>
      <c r="S2154" s="25"/>
      <c r="T2154" s="10"/>
    </row>
    <row r="2155" s="35" customFormat="1" ht="18.5" customHeight="1" spans="1:20">
      <c r="A2155" s="9"/>
      <c r="B2155" s="25"/>
      <c r="C2155" s="25"/>
      <c r="D2155" s="25"/>
      <c r="E2155" s="25"/>
      <c r="F2155" s="25"/>
      <c r="G2155" s="25"/>
      <c r="H2155" s="25"/>
      <c r="I2155" s="25"/>
      <c r="J2155" s="25"/>
      <c r="K2155" s="25"/>
      <c r="L2155" s="25"/>
      <c r="M2155" s="42" t="s">
        <v>253</v>
      </c>
      <c r="N2155" s="41">
        <v>45023</v>
      </c>
      <c r="O2155" s="25">
        <v>225</v>
      </c>
      <c r="P2155" s="25">
        <v>0</v>
      </c>
      <c r="Q2155" s="25"/>
      <c r="R2155" s="25"/>
      <c r="S2155" s="25"/>
      <c r="T2155" s="10"/>
    </row>
    <row r="2156" s="35" customFormat="1" ht="18.5" customHeight="1" spans="1:20">
      <c r="A2156" s="9"/>
      <c r="B2156" s="25"/>
      <c r="C2156" s="25"/>
      <c r="D2156" s="25"/>
      <c r="E2156" s="25"/>
      <c r="F2156" s="25"/>
      <c r="G2156" s="25"/>
      <c r="H2156" s="25"/>
      <c r="I2156" s="25"/>
      <c r="J2156" s="25"/>
      <c r="K2156" s="25"/>
      <c r="L2156" s="25"/>
      <c r="M2156" s="42" t="s">
        <v>253</v>
      </c>
      <c r="N2156" s="41">
        <v>45064</v>
      </c>
      <c r="O2156" s="25">
        <v>222</v>
      </c>
      <c r="P2156" s="25">
        <v>0</v>
      </c>
      <c r="Q2156" s="25"/>
      <c r="R2156" s="25"/>
      <c r="S2156" s="25"/>
      <c r="T2156" s="10"/>
    </row>
    <row r="2157" s="35" customFormat="1" ht="18.5" customHeight="1" spans="1:20">
      <c r="A2157" s="9"/>
      <c r="B2157" s="25"/>
      <c r="C2157" s="25"/>
      <c r="D2157" s="25"/>
      <c r="E2157" s="25"/>
      <c r="F2157" s="25"/>
      <c r="G2157" s="25"/>
      <c r="H2157" s="25"/>
      <c r="I2157" s="25"/>
      <c r="J2157" s="25"/>
      <c r="K2157" s="25"/>
      <c r="L2157" s="25"/>
      <c r="M2157" s="42" t="s">
        <v>253</v>
      </c>
      <c r="N2157" s="41">
        <v>45114</v>
      </c>
      <c r="O2157" s="25">
        <v>218</v>
      </c>
      <c r="P2157" s="25">
        <v>0</v>
      </c>
      <c r="Q2157" s="25"/>
      <c r="R2157" s="25"/>
      <c r="S2157" s="25"/>
      <c r="T2157" s="10"/>
    </row>
    <row r="2158" s="35" customFormat="1" ht="18.5" customHeight="1" spans="1:20">
      <c r="A2158" s="9"/>
      <c r="B2158" s="25"/>
      <c r="C2158" s="25"/>
      <c r="D2158" s="25"/>
      <c r="E2158" s="25"/>
      <c r="F2158" s="25"/>
      <c r="G2158" s="25"/>
      <c r="H2158" s="25"/>
      <c r="I2158" s="25"/>
      <c r="J2158" s="25"/>
      <c r="K2158" s="25"/>
      <c r="L2158" s="25"/>
      <c r="M2158" s="42" t="s">
        <v>253</v>
      </c>
      <c r="N2158" s="41">
        <v>45062</v>
      </c>
      <c r="O2158" s="25">
        <v>217</v>
      </c>
      <c r="P2158" s="25">
        <v>0</v>
      </c>
      <c r="Q2158" s="25"/>
      <c r="R2158" s="25"/>
      <c r="S2158" s="25"/>
      <c r="T2158" s="10"/>
    </row>
    <row r="2159" s="35" customFormat="1" ht="18.5" customHeight="1" spans="1:20">
      <c r="A2159" s="9"/>
      <c r="B2159" s="25"/>
      <c r="C2159" s="25"/>
      <c r="D2159" s="25"/>
      <c r="E2159" s="25"/>
      <c r="F2159" s="25"/>
      <c r="G2159" s="25"/>
      <c r="H2159" s="25"/>
      <c r="I2159" s="25"/>
      <c r="J2159" s="25"/>
      <c r="K2159" s="25"/>
      <c r="L2159" s="25"/>
      <c r="M2159" s="42" t="s">
        <v>253</v>
      </c>
      <c r="N2159" s="41">
        <v>45124</v>
      </c>
      <c r="O2159" s="25">
        <v>214</v>
      </c>
      <c r="P2159" s="25">
        <v>0</v>
      </c>
      <c r="Q2159" s="25"/>
      <c r="R2159" s="25"/>
      <c r="S2159" s="25"/>
      <c r="T2159" s="10"/>
    </row>
    <row r="2160" s="35" customFormat="1" ht="18.5" customHeight="1" spans="1:20">
      <c r="A2160" s="9"/>
      <c r="B2160" s="25"/>
      <c r="C2160" s="25"/>
      <c r="D2160" s="25"/>
      <c r="E2160" s="25"/>
      <c r="F2160" s="25"/>
      <c r="G2160" s="25"/>
      <c r="H2160" s="25"/>
      <c r="I2160" s="25"/>
      <c r="J2160" s="25"/>
      <c r="K2160" s="25"/>
      <c r="L2160" s="25"/>
      <c r="M2160" s="42" t="s">
        <v>253</v>
      </c>
      <c r="N2160" s="41">
        <v>45065</v>
      </c>
      <c r="O2160" s="25">
        <v>214</v>
      </c>
      <c r="P2160" s="25">
        <v>0</v>
      </c>
      <c r="Q2160" s="25"/>
      <c r="R2160" s="25"/>
      <c r="S2160" s="25"/>
      <c r="T2160" s="10"/>
    </row>
    <row r="2161" s="35" customFormat="1" ht="18.5" customHeight="1" spans="1:20">
      <c r="A2161" s="9"/>
      <c r="B2161" s="25"/>
      <c r="C2161" s="25"/>
      <c r="D2161" s="25"/>
      <c r="E2161" s="25"/>
      <c r="F2161" s="25"/>
      <c r="G2161" s="25"/>
      <c r="H2161" s="25"/>
      <c r="I2161" s="25"/>
      <c r="J2161" s="25"/>
      <c r="K2161" s="25"/>
      <c r="L2161" s="25"/>
      <c r="M2161" s="42" t="s">
        <v>253</v>
      </c>
      <c r="N2161" s="41">
        <v>45069</v>
      </c>
      <c r="O2161" s="25">
        <v>210</v>
      </c>
      <c r="P2161" s="25">
        <v>0</v>
      </c>
      <c r="Q2161" s="25"/>
      <c r="R2161" s="25"/>
      <c r="S2161" s="25"/>
      <c r="T2161" s="10"/>
    </row>
    <row r="2162" s="35" customFormat="1" ht="18.5" customHeight="1" spans="1:20">
      <c r="A2162" s="9"/>
      <c r="B2162" s="25"/>
      <c r="C2162" s="25"/>
      <c r="D2162" s="25"/>
      <c r="E2162" s="25"/>
      <c r="F2162" s="25"/>
      <c r="G2162" s="25"/>
      <c r="H2162" s="25"/>
      <c r="I2162" s="25"/>
      <c r="J2162" s="25"/>
      <c r="K2162" s="25"/>
      <c r="L2162" s="25"/>
      <c r="M2162" s="42" t="s">
        <v>253</v>
      </c>
      <c r="N2162" s="41">
        <v>45246</v>
      </c>
      <c r="O2162" s="25">
        <v>210</v>
      </c>
      <c r="P2162" s="25">
        <v>0</v>
      </c>
      <c r="Q2162" s="25"/>
      <c r="R2162" s="25"/>
      <c r="S2162" s="25"/>
      <c r="T2162" s="10"/>
    </row>
    <row r="2163" s="35" customFormat="1" ht="18.5" customHeight="1" spans="1:20">
      <c r="A2163" s="9"/>
      <c r="B2163" s="25"/>
      <c r="C2163" s="25"/>
      <c r="D2163" s="25"/>
      <c r="E2163" s="25"/>
      <c r="F2163" s="25"/>
      <c r="G2163" s="25"/>
      <c r="H2163" s="25"/>
      <c r="I2163" s="25"/>
      <c r="J2163" s="25"/>
      <c r="K2163" s="25"/>
      <c r="L2163" s="25"/>
      <c r="M2163" s="42" t="s">
        <v>253</v>
      </c>
      <c r="N2163" s="41">
        <v>45176</v>
      </c>
      <c r="O2163" s="25">
        <v>209</v>
      </c>
      <c r="P2163" s="25">
        <v>0</v>
      </c>
      <c r="Q2163" s="25"/>
      <c r="R2163" s="25"/>
      <c r="S2163" s="25"/>
      <c r="T2163" s="10"/>
    </row>
    <row r="2164" s="35" customFormat="1" ht="18.5" customHeight="1" spans="1:20">
      <c r="A2164" s="9"/>
      <c r="B2164" s="25"/>
      <c r="C2164" s="25"/>
      <c r="D2164" s="25"/>
      <c r="E2164" s="25"/>
      <c r="F2164" s="25"/>
      <c r="G2164" s="25"/>
      <c r="H2164" s="25"/>
      <c r="I2164" s="25"/>
      <c r="J2164" s="25"/>
      <c r="K2164" s="25"/>
      <c r="L2164" s="25"/>
      <c r="M2164" s="42" t="s">
        <v>253</v>
      </c>
      <c r="N2164" s="41">
        <v>45127</v>
      </c>
      <c r="O2164" s="25">
        <v>208</v>
      </c>
      <c r="P2164" s="25">
        <v>0</v>
      </c>
      <c r="Q2164" s="25"/>
      <c r="R2164" s="25"/>
      <c r="S2164" s="25"/>
      <c r="T2164" s="10"/>
    </row>
    <row r="2165" s="35" customFormat="1" ht="18.5" customHeight="1" spans="1:20">
      <c r="A2165" s="9"/>
      <c r="B2165" s="25"/>
      <c r="C2165" s="25"/>
      <c r="D2165" s="25"/>
      <c r="E2165" s="25"/>
      <c r="F2165" s="25"/>
      <c r="G2165" s="25"/>
      <c r="H2165" s="25"/>
      <c r="I2165" s="25"/>
      <c r="J2165" s="25"/>
      <c r="K2165" s="25"/>
      <c r="L2165" s="25"/>
      <c r="M2165" s="42" t="s">
        <v>253</v>
      </c>
      <c r="N2165" s="41">
        <v>45274</v>
      </c>
      <c r="O2165" s="25">
        <v>204</v>
      </c>
      <c r="P2165" s="25">
        <v>0</v>
      </c>
      <c r="Q2165" s="25"/>
      <c r="R2165" s="25"/>
      <c r="S2165" s="25"/>
      <c r="T2165" s="10"/>
    </row>
    <row r="2166" s="35" customFormat="1" ht="18.5" customHeight="1" spans="1:20">
      <c r="A2166" s="9"/>
      <c r="B2166" s="25"/>
      <c r="C2166" s="25"/>
      <c r="D2166" s="25"/>
      <c r="E2166" s="25"/>
      <c r="F2166" s="25"/>
      <c r="G2166" s="25"/>
      <c r="H2166" s="25"/>
      <c r="I2166" s="25"/>
      <c r="J2166" s="25"/>
      <c r="K2166" s="25"/>
      <c r="L2166" s="25"/>
      <c r="M2166" s="42" t="s">
        <v>253</v>
      </c>
      <c r="N2166" s="41">
        <v>45071</v>
      </c>
      <c r="O2166" s="25">
        <v>202</v>
      </c>
      <c r="P2166" s="25">
        <v>0</v>
      </c>
      <c r="Q2166" s="25"/>
      <c r="R2166" s="25"/>
      <c r="S2166" s="25"/>
      <c r="T2166" s="10"/>
    </row>
    <row r="2167" s="35" customFormat="1" ht="18.5" customHeight="1" spans="1:20">
      <c r="A2167" s="9"/>
      <c r="B2167" s="25"/>
      <c r="C2167" s="25"/>
      <c r="D2167" s="25"/>
      <c r="E2167" s="25"/>
      <c r="F2167" s="25"/>
      <c r="G2167" s="25"/>
      <c r="H2167" s="25"/>
      <c r="I2167" s="25"/>
      <c r="J2167" s="25"/>
      <c r="K2167" s="25"/>
      <c r="L2167" s="25"/>
      <c r="M2167" s="42" t="s">
        <v>253</v>
      </c>
      <c r="N2167" s="41">
        <v>45066</v>
      </c>
      <c r="O2167" s="25">
        <v>202</v>
      </c>
      <c r="P2167" s="25">
        <v>0</v>
      </c>
      <c r="Q2167" s="25"/>
      <c r="R2167" s="25"/>
      <c r="S2167" s="25"/>
      <c r="T2167" s="10"/>
    </row>
    <row r="2168" s="35" customFormat="1" ht="18.5" customHeight="1" spans="1:20">
      <c r="A2168" s="9"/>
      <c r="B2168" s="25"/>
      <c r="C2168" s="25"/>
      <c r="D2168" s="25"/>
      <c r="E2168" s="25"/>
      <c r="F2168" s="25"/>
      <c r="G2168" s="25"/>
      <c r="H2168" s="25"/>
      <c r="I2168" s="25"/>
      <c r="J2168" s="25"/>
      <c r="K2168" s="25"/>
      <c r="L2168" s="25"/>
      <c r="M2168" s="42" t="s">
        <v>253</v>
      </c>
      <c r="N2168" s="41">
        <v>45076</v>
      </c>
      <c r="O2168" s="25">
        <v>201</v>
      </c>
      <c r="P2168" s="25">
        <v>0</v>
      </c>
      <c r="Q2168" s="25"/>
      <c r="R2168" s="25"/>
      <c r="S2168" s="25"/>
      <c r="T2168" s="10"/>
    </row>
    <row r="2169" s="35" customFormat="1" ht="18.5" customHeight="1" spans="1:20">
      <c r="A2169" s="9"/>
      <c r="B2169" s="25"/>
      <c r="C2169" s="25"/>
      <c r="D2169" s="25"/>
      <c r="E2169" s="25"/>
      <c r="F2169" s="25"/>
      <c r="G2169" s="25"/>
      <c r="H2169" s="25"/>
      <c r="I2169" s="25"/>
      <c r="J2169" s="25"/>
      <c r="K2169" s="25"/>
      <c r="L2169" s="25"/>
      <c r="M2169" s="42" t="s">
        <v>253</v>
      </c>
      <c r="N2169" s="41">
        <v>45261</v>
      </c>
      <c r="O2169" s="25">
        <v>200</v>
      </c>
      <c r="P2169" s="25">
        <v>0</v>
      </c>
      <c r="Q2169" s="25"/>
      <c r="R2169" s="25"/>
      <c r="S2169" s="25"/>
      <c r="T2169" s="10"/>
    </row>
    <row r="2170" s="35" customFormat="1" ht="18.5" customHeight="1" spans="1:20">
      <c r="A2170" s="9"/>
      <c r="B2170" s="25"/>
      <c r="C2170" s="25"/>
      <c r="D2170" s="25"/>
      <c r="E2170" s="25"/>
      <c r="F2170" s="25"/>
      <c r="G2170" s="25"/>
      <c r="H2170" s="25"/>
      <c r="I2170" s="25"/>
      <c r="J2170" s="25"/>
      <c r="K2170" s="25"/>
      <c r="L2170" s="25"/>
      <c r="M2170" s="42" t="s">
        <v>253</v>
      </c>
      <c r="N2170" s="41">
        <v>45214</v>
      </c>
      <c r="O2170" s="25">
        <v>198</v>
      </c>
      <c r="P2170" s="25">
        <v>0</v>
      </c>
      <c r="Q2170" s="25"/>
      <c r="R2170" s="25"/>
      <c r="S2170" s="25"/>
      <c r="T2170" s="10"/>
    </row>
    <row r="2171" s="35" customFormat="1" ht="18.5" customHeight="1" spans="1:20">
      <c r="A2171" s="9"/>
      <c r="B2171" s="25"/>
      <c r="C2171" s="25"/>
      <c r="D2171" s="25"/>
      <c r="E2171" s="25"/>
      <c r="F2171" s="25"/>
      <c r="G2171" s="25"/>
      <c r="H2171" s="25"/>
      <c r="I2171" s="25"/>
      <c r="J2171" s="25"/>
      <c r="K2171" s="25"/>
      <c r="L2171" s="25"/>
      <c r="M2171" s="42" t="s">
        <v>253</v>
      </c>
      <c r="N2171" s="41">
        <v>45093</v>
      </c>
      <c r="O2171" s="25">
        <v>198</v>
      </c>
      <c r="P2171" s="25">
        <v>0</v>
      </c>
      <c r="Q2171" s="25"/>
      <c r="R2171" s="25"/>
      <c r="S2171" s="25"/>
      <c r="T2171" s="10"/>
    </row>
    <row r="2172" s="35" customFormat="1" ht="18.5" customHeight="1" spans="1:20">
      <c r="A2172" s="9"/>
      <c r="B2172" s="25"/>
      <c r="C2172" s="25"/>
      <c r="D2172" s="25"/>
      <c r="E2172" s="25"/>
      <c r="F2172" s="25"/>
      <c r="G2172" s="25"/>
      <c r="H2172" s="25"/>
      <c r="I2172" s="25"/>
      <c r="J2172" s="25"/>
      <c r="K2172" s="25"/>
      <c r="L2172" s="25"/>
      <c r="M2172" s="42" t="s">
        <v>253</v>
      </c>
      <c r="N2172" s="41">
        <v>45037</v>
      </c>
      <c r="O2172" s="25">
        <v>198</v>
      </c>
      <c r="P2172" s="25">
        <v>0</v>
      </c>
      <c r="Q2172" s="25"/>
      <c r="R2172" s="25"/>
      <c r="S2172" s="25"/>
      <c r="T2172" s="10"/>
    </row>
    <row r="2173" s="35" customFormat="1" ht="18.5" customHeight="1" spans="1:20">
      <c r="A2173" s="9"/>
      <c r="B2173" s="25"/>
      <c r="C2173" s="25"/>
      <c r="D2173" s="25"/>
      <c r="E2173" s="25"/>
      <c r="F2173" s="25"/>
      <c r="G2173" s="25"/>
      <c r="H2173" s="25"/>
      <c r="I2173" s="25"/>
      <c r="J2173" s="25"/>
      <c r="K2173" s="25"/>
      <c r="L2173" s="25"/>
      <c r="M2173" s="42" t="s">
        <v>253</v>
      </c>
      <c r="N2173" s="41">
        <v>45113</v>
      </c>
      <c r="O2173" s="25">
        <v>197</v>
      </c>
      <c r="P2173" s="25">
        <v>0</v>
      </c>
      <c r="Q2173" s="25"/>
      <c r="R2173" s="25"/>
      <c r="S2173" s="25"/>
      <c r="T2173" s="10"/>
    </row>
    <row r="2174" s="35" customFormat="1" ht="18.5" customHeight="1" spans="1:20">
      <c r="A2174" s="9"/>
      <c r="B2174" s="25"/>
      <c r="C2174" s="25"/>
      <c r="D2174" s="25"/>
      <c r="E2174" s="25"/>
      <c r="F2174" s="25"/>
      <c r="G2174" s="25"/>
      <c r="H2174" s="25"/>
      <c r="I2174" s="25"/>
      <c r="J2174" s="25"/>
      <c r="K2174" s="25"/>
      <c r="L2174" s="25"/>
      <c r="M2174" s="42" t="s">
        <v>253</v>
      </c>
      <c r="N2174" s="41">
        <v>45140</v>
      </c>
      <c r="O2174" s="25">
        <v>196</v>
      </c>
      <c r="P2174" s="25">
        <v>0</v>
      </c>
      <c r="Q2174" s="25"/>
      <c r="R2174" s="25"/>
      <c r="S2174" s="25"/>
      <c r="T2174" s="10"/>
    </row>
    <row r="2175" s="35" customFormat="1" ht="18.5" customHeight="1" spans="1:20">
      <c r="A2175" s="9"/>
      <c r="B2175" s="25"/>
      <c r="C2175" s="25"/>
      <c r="D2175" s="25"/>
      <c r="E2175" s="25"/>
      <c r="F2175" s="25"/>
      <c r="G2175" s="25"/>
      <c r="H2175" s="25"/>
      <c r="I2175" s="25"/>
      <c r="J2175" s="25"/>
      <c r="K2175" s="25"/>
      <c r="L2175" s="25"/>
      <c r="M2175" s="42" t="s">
        <v>253</v>
      </c>
      <c r="N2175" s="41">
        <v>45274</v>
      </c>
      <c r="O2175" s="25">
        <v>194</v>
      </c>
      <c r="P2175" s="25">
        <v>0</v>
      </c>
      <c r="Q2175" s="25"/>
      <c r="R2175" s="25"/>
      <c r="S2175" s="25"/>
      <c r="T2175" s="10"/>
    </row>
    <row r="2176" s="35" customFormat="1" ht="18.5" customHeight="1" spans="1:20">
      <c r="A2176" s="9"/>
      <c r="B2176" s="25"/>
      <c r="C2176" s="25"/>
      <c r="D2176" s="25"/>
      <c r="E2176" s="25"/>
      <c r="F2176" s="25"/>
      <c r="G2176" s="25"/>
      <c r="H2176" s="25"/>
      <c r="I2176" s="25"/>
      <c r="J2176" s="25"/>
      <c r="K2176" s="25"/>
      <c r="L2176" s="25"/>
      <c r="M2176" s="42" t="s">
        <v>253</v>
      </c>
      <c r="N2176" s="41">
        <v>45260</v>
      </c>
      <c r="O2176" s="25">
        <v>194</v>
      </c>
      <c r="P2176" s="25">
        <v>0</v>
      </c>
      <c r="Q2176" s="25"/>
      <c r="R2176" s="25"/>
      <c r="S2176" s="25"/>
      <c r="T2176" s="10"/>
    </row>
    <row r="2177" s="35" customFormat="1" ht="18.5" customHeight="1" spans="1:20">
      <c r="A2177" s="9"/>
      <c r="B2177" s="25"/>
      <c r="C2177" s="25"/>
      <c r="D2177" s="25"/>
      <c r="E2177" s="25"/>
      <c r="F2177" s="25"/>
      <c r="G2177" s="25"/>
      <c r="H2177" s="25"/>
      <c r="I2177" s="25"/>
      <c r="J2177" s="25"/>
      <c r="K2177" s="25"/>
      <c r="L2177" s="25"/>
      <c r="M2177" s="42" t="s">
        <v>253</v>
      </c>
      <c r="N2177" s="41">
        <v>45243</v>
      </c>
      <c r="O2177" s="25">
        <v>194</v>
      </c>
      <c r="P2177" s="25">
        <v>0</v>
      </c>
      <c r="Q2177" s="25"/>
      <c r="R2177" s="25"/>
      <c r="S2177" s="25"/>
      <c r="T2177" s="10"/>
    </row>
    <row r="2178" s="35" customFormat="1" ht="18.5" customHeight="1" spans="1:20">
      <c r="A2178" s="9"/>
      <c r="B2178" s="25"/>
      <c r="C2178" s="25"/>
      <c r="D2178" s="25"/>
      <c r="E2178" s="25"/>
      <c r="F2178" s="25"/>
      <c r="G2178" s="25"/>
      <c r="H2178" s="25"/>
      <c r="I2178" s="25"/>
      <c r="J2178" s="25"/>
      <c r="K2178" s="25"/>
      <c r="L2178" s="25"/>
      <c r="M2178" s="42" t="s">
        <v>253</v>
      </c>
      <c r="N2178" s="41">
        <v>45068</v>
      </c>
      <c r="O2178" s="25">
        <v>194</v>
      </c>
      <c r="P2178" s="25">
        <v>0</v>
      </c>
      <c r="Q2178" s="25"/>
      <c r="R2178" s="25"/>
      <c r="S2178" s="25"/>
      <c r="T2178" s="10"/>
    </row>
    <row r="2179" s="35" customFormat="1" ht="18.5" customHeight="1" spans="1:20">
      <c r="A2179" s="9"/>
      <c r="B2179" s="25"/>
      <c r="C2179" s="25"/>
      <c r="D2179" s="25"/>
      <c r="E2179" s="25"/>
      <c r="F2179" s="25"/>
      <c r="G2179" s="25"/>
      <c r="H2179" s="25"/>
      <c r="I2179" s="25"/>
      <c r="J2179" s="25"/>
      <c r="K2179" s="25"/>
      <c r="L2179" s="25"/>
      <c r="M2179" s="42" t="s">
        <v>253</v>
      </c>
      <c r="N2179" s="41">
        <v>45040</v>
      </c>
      <c r="O2179" s="25">
        <v>194</v>
      </c>
      <c r="P2179" s="25">
        <v>0</v>
      </c>
      <c r="Q2179" s="25"/>
      <c r="R2179" s="25"/>
      <c r="S2179" s="25"/>
      <c r="T2179" s="10"/>
    </row>
    <row r="2180" s="35" customFormat="1" ht="18.5" customHeight="1" spans="1:20">
      <c r="A2180" s="9"/>
      <c r="B2180" s="25"/>
      <c r="C2180" s="25"/>
      <c r="D2180" s="25"/>
      <c r="E2180" s="25"/>
      <c r="F2180" s="25"/>
      <c r="G2180" s="25"/>
      <c r="H2180" s="25"/>
      <c r="I2180" s="25"/>
      <c r="J2180" s="25"/>
      <c r="K2180" s="25"/>
      <c r="L2180" s="25"/>
      <c r="M2180" s="42" t="s">
        <v>253</v>
      </c>
      <c r="N2180" s="41">
        <v>45274</v>
      </c>
      <c r="O2180" s="25">
        <v>193</v>
      </c>
      <c r="P2180" s="25">
        <v>0</v>
      </c>
      <c r="Q2180" s="25"/>
      <c r="R2180" s="25"/>
      <c r="S2180" s="25"/>
      <c r="T2180" s="10"/>
    </row>
    <row r="2181" s="35" customFormat="1" ht="18.5" customHeight="1" spans="1:20">
      <c r="A2181" s="9"/>
      <c r="B2181" s="25"/>
      <c r="C2181" s="25"/>
      <c r="D2181" s="25"/>
      <c r="E2181" s="25"/>
      <c r="F2181" s="25"/>
      <c r="G2181" s="25"/>
      <c r="H2181" s="25"/>
      <c r="I2181" s="25"/>
      <c r="J2181" s="25"/>
      <c r="K2181" s="25"/>
      <c r="L2181" s="25"/>
      <c r="M2181" s="42" t="s">
        <v>253</v>
      </c>
      <c r="N2181" s="41">
        <v>45134</v>
      </c>
      <c r="O2181" s="25">
        <v>193</v>
      </c>
      <c r="P2181" s="25">
        <v>0</v>
      </c>
      <c r="Q2181" s="25"/>
      <c r="R2181" s="25"/>
      <c r="S2181" s="25"/>
      <c r="T2181" s="10"/>
    </row>
    <row r="2182" s="35" customFormat="1" ht="18.5" customHeight="1" spans="1:20">
      <c r="A2182" s="9"/>
      <c r="B2182" s="25"/>
      <c r="C2182" s="25"/>
      <c r="D2182" s="25"/>
      <c r="E2182" s="25"/>
      <c r="F2182" s="25"/>
      <c r="G2182" s="25"/>
      <c r="H2182" s="25"/>
      <c r="I2182" s="25"/>
      <c r="J2182" s="25"/>
      <c r="K2182" s="25"/>
      <c r="L2182" s="25"/>
      <c r="M2182" s="42" t="s">
        <v>253</v>
      </c>
      <c r="N2182" s="41">
        <v>45250</v>
      </c>
      <c r="O2182" s="25">
        <v>192</v>
      </c>
      <c r="P2182" s="25">
        <v>0</v>
      </c>
      <c r="Q2182" s="25"/>
      <c r="R2182" s="25"/>
      <c r="S2182" s="25"/>
      <c r="T2182" s="10"/>
    </row>
    <row r="2183" s="35" customFormat="1" ht="18.5" customHeight="1" spans="1:20">
      <c r="A2183" s="9"/>
      <c r="B2183" s="25"/>
      <c r="C2183" s="25"/>
      <c r="D2183" s="25"/>
      <c r="E2183" s="25"/>
      <c r="F2183" s="25"/>
      <c r="G2183" s="25"/>
      <c r="H2183" s="25"/>
      <c r="I2183" s="25"/>
      <c r="J2183" s="25"/>
      <c r="K2183" s="25"/>
      <c r="L2183" s="25"/>
      <c r="M2183" s="42" t="s">
        <v>253</v>
      </c>
      <c r="N2183" s="41">
        <v>45120</v>
      </c>
      <c r="O2183" s="25">
        <v>191</v>
      </c>
      <c r="P2183" s="25">
        <v>0</v>
      </c>
      <c r="Q2183" s="25"/>
      <c r="R2183" s="25"/>
      <c r="S2183" s="25"/>
      <c r="T2183" s="10"/>
    </row>
    <row r="2184" s="35" customFormat="1" ht="18.5" customHeight="1" spans="1:20">
      <c r="A2184" s="9"/>
      <c r="B2184" s="25"/>
      <c r="C2184" s="25"/>
      <c r="D2184" s="25"/>
      <c r="E2184" s="25"/>
      <c r="F2184" s="25"/>
      <c r="G2184" s="25"/>
      <c r="H2184" s="25"/>
      <c r="I2184" s="25"/>
      <c r="J2184" s="25"/>
      <c r="K2184" s="25"/>
      <c r="L2184" s="25"/>
      <c r="M2184" s="42" t="s">
        <v>253</v>
      </c>
      <c r="N2184" s="41">
        <v>45269</v>
      </c>
      <c r="O2184" s="25">
        <v>190</v>
      </c>
      <c r="P2184" s="25">
        <v>0</v>
      </c>
      <c r="Q2184" s="25"/>
      <c r="R2184" s="25"/>
      <c r="S2184" s="25"/>
      <c r="T2184" s="10"/>
    </row>
    <row r="2185" s="35" customFormat="1" ht="18.5" customHeight="1" spans="1:20">
      <c r="A2185" s="9"/>
      <c r="B2185" s="25"/>
      <c r="C2185" s="25"/>
      <c r="D2185" s="25"/>
      <c r="E2185" s="25"/>
      <c r="F2185" s="25"/>
      <c r="G2185" s="25"/>
      <c r="H2185" s="25"/>
      <c r="I2185" s="25"/>
      <c r="J2185" s="25"/>
      <c r="K2185" s="25"/>
      <c r="L2185" s="25"/>
      <c r="M2185" s="42" t="s">
        <v>253</v>
      </c>
      <c r="N2185" s="41">
        <v>45168</v>
      </c>
      <c r="O2185" s="25">
        <v>190</v>
      </c>
      <c r="P2185" s="25">
        <v>0</v>
      </c>
      <c r="Q2185" s="25"/>
      <c r="R2185" s="25"/>
      <c r="S2185" s="25"/>
      <c r="T2185" s="10"/>
    </row>
    <row r="2186" s="35" customFormat="1" ht="18.5" customHeight="1" spans="1:20">
      <c r="A2186" s="9"/>
      <c r="B2186" s="25"/>
      <c r="C2186" s="25"/>
      <c r="D2186" s="25"/>
      <c r="E2186" s="25"/>
      <c r="F2186" s="25"/>
      <c r="G2186" s="25"/>
      <c r="H2186" s="25"/>
      <c r="I2186" s="25"/>
      <c r="J2186" s="25"/>
      <c r="K2186" s="25"/>
      <c r="L2186" s="25"/>
      <c r="M2186" s="42" t="s">
        <v>253</v>
      </c>
      <c r="N2186" s="41">
        <v>45107</v>
      </c>
      <c r="O2186" s="25">
        <v>189</v>
      </c>
      <c r="P2186" s="25">
        <v>0</v>
      </c>
      <c r="Q2186" s="25"/>
      <c r="R2186" s="25"/>
      <c r="S2186" s="25"/>
      <c r="T2186" s="10"/>
    </row>
    <row r="2187" s="35" customFormat="1" ht="18.5" customHeight="1" spans="1:20">
      <c r="A2187" s="9"/>
      <c r="B2187" s="25"/>
      <c r="C2187" s="25"/>
      <c r="D2187" s="25"/>
      <c r="E2187" s="25"/>
      <c r="F2187" s="25"/>
      <c r="G2187" s="25"/>
      <c r="H2187" s="25"/>
      <c r="I2187" s="25"/>
      <c r="J2187" s="25"/>
      <c r="K2187" s="25"/>
      <c r="L2187" s="25"/>
      <c r="M2187" s="42" t="s">
        <v>253</v>
      </c>
      <c r="N2187" s="41">
        <v>45075</v>
      </c>
      <c r="O2187" s="25">
        <v>189</v>
      </c>
      <c r="P2187" s="25">
        <v>0</v>
      </c>
      <c r="Q2187" s="25"/>
      <c r="R2187" s="25"/>
      <c r="S2187" s="25"/>
      <c r="T2187" s="10"/>
    </row>
    <row r="2188" s="35" customFormat="1" ht="18.5" customHeight="1" spans="1:20">
      <c r="A2188" s="9"/>
      <c r="B2188" s="25"/>
      <c r="C2188" s="25"/>
      <c r="D2188" s="25"/>
      <c r="E2188" s="25"/>
      <c r="F2188" s="25"/>
      <c r="G2188" s="25"/>
      <c r="H2188" s="25"/>
      <c r="I2188" s="25"/>
      <c r="J2188" s="25"/>
      <c r="K2188" s="25"/>
      <c r="L2188" s="25"/>
      <c r="M2188" s="42" t="s">
        <v>253</v>
      </c>
      <c r="N2188" s="41">
        <v>45271</v>
      </c>
      <c r="O2188" s="25">
        <v>185</v>
      </c>
      <c r="P2188" s="25">
        <v>0</v>
      </c>
      <c r="Q2188" s="25"/>
      <c r="R2188" s="25"/>
      <c r="S2188" s="25"/>
      <c r="T2188" s="10"/>
    </row>
    <row r="2189" s="35" customFormat="1" ht="18.5" customHeight="1" spans="1:20">
      <c r="A2189" s="9"/>
      <c r="B2189" s="25"/>
      <c r="C2189" s="25"/>
      <c r="D2189" s="25"/>
      <c r="E2189" s="25"/>
      <c r="F2189" s="25"/>
      <c r="G2189" s="25"/>
      <c r="H2189" s="25"/>
      <c r="I2189" s="25"/>
      <c r="J2189" s="25"/>
      <c r="K2189" s="25"/>
      <c r="L2189" s="25"/>
      <c r="M2189" s="42" t="s">
        <v>253</v>
      </c>
      <c r="N2189" s="41">
        <v>45266</v>
      </c>
      <c r="O2189" s="25">
        <v>186</v>
      </c>
      <c r="P2189" s="25">
        <v>0</v>
      </c>
      <c r="Q2189" s="25"/>
      <c r="R2189" s="25"/>
      <c r="S2189" s="25"/>
      <c r="T2189" s="10"/>
    </row>
    <row r="2190" s="35" customFormat="1" ht="18.5" customHeight="1" spans="1:20">
      <c r="A2190" s="9"/>
      <c r="B2190" s="25"/>
      <c r="C2190" s="25"/>
      <c r="D2190" s="25"/>
      <c r="E2190" s="25"/>
      <c r="F2190" s="25"/>
      <c r="G2190" s="25"/>
      <c r="H2190" s="25"/>
      <c r="I2190" s="25"/>
      <c r="J2190" s="25"/>
      <c r="K2190" s="25"/>
      <c r="L2190" s="25"/>
      <c r="M2190" s="42" t="s">
        <v>253</v>
      </c>
      <c r="N2190" s="41">
        <v>45226</v>
      </c>
      <c r="O2190" s="25">
        <v>185</v>
      </c>
      <c r="P2190" s="25">
        <v>0</v>
      </c>
      <c r="Q2190" s="25"/>
      <c r="R2190" s="25"/>
      <c r="S2190" s="25"/>
      <c r="T2190" s="10"/>
    </row>
    <row r="2191" s="35" customFormat="1" ht="18.5" customHeight="1" spans="1:20">
      <c r="A2191" s="9"/>
      <c r="B2191" s="25"/>
      <c r="C2191" s="25"/>
      <c r="D2191" s="25"/>
      <c r="E2191" s="25"/>
      <c r="F2191" s="25"/>
      <c r="G2191" s="25"/>
      <c r="H2191" s="25"/>
      <c r="I2191" s="25"/>
      <c r="J2191" s="25"/>
      <c r="K2191" s="25"/>
      <c r="L2191" s="25"/>
      <c r="M2191" s="42" t="s">
        <v>253</v>
      </c>
      <c r="N2191" s="41">
        <v>45097</v>
      </c>
      <c r="O2191" s="25">
        <v>184</v>
      </c>
      <c r="P2191" s="25">
        <v>0</v>
      </c>
      <c r="Q2191" s="25"/>
      <c r="R2191" s="25"/>
      <c r="S2191" s="25"/>
      <c r="T2191" s="10"/>
    </row>
    <row r="2192" s="35" customFormat="1" ht="18.5" customHeight="1" spans="1:20">
      <c r="A2192" s="9"/>
      <c r="B2192" s="25"/>
      <c r="C2192" s="25"/>
      <c r="D2192" s="25"/>
      <c r="E2192" s="25"/>
      <c r="F2192" s="25"/>
      <c r="G2192" s="25"/>
      <c r="H2192" s="25"/>
      <c r="I2192" s="25"/>
      <c r="J2192" s="25"/>
      <c r="K2192" s="25"/>
      <c r="L2192" s="25"/>
      <c r="M2192" s="42" t="s">
        <v>253</v>
      </c>
      <c r="N2192" s="41">
        <v>45150</v>
      </c>
      <c r="O2192" s="25">
        <v>182</v>
      </c>
      <c r="P2192" s="25">
        <v>0</v>
      </c>
      <c r="Q2192" s="25"/>
      <c r="R2192" s="25"/>
      <c r="S2192" s="25"/>
      <c r="T2192" s="10"/>
    </row>
    <row r="2193" s="35" customFormat="1" ht="18.5" customHeight="1" spans="1:20">
      <c r="A2193" s="9"/>
      <c r="B2193" s="25"/>
      <c r="C2193" s="25"/>
      <c r="D2193" s="25"/>
      <c r="E2193" s="25"/>
      <c r="F2193" s="25"/>
      <c r="G2193" s="25"/>
      <c r="H2193" s="25"/>
      <c r="I2193" s="25"/>
      <c r="J2193" s="25"/>
      <c r="K2193" s="25"/>
      <c r="L2193" s="25"/>
      <c r="M2193" s="42" t="s">
        <v>253</v>
      </c>
      <c r="N2193" s="41">
        <v>45284</v>
      </c>
      <c r="O2193" s="25">
        <v>180</v>
      </c>
      <c r="P2193" s="25">
        <v>0</v>
      </c>
      <c r="Q2193" s="25"/>
      <c r="R2193" s="25"/>
      <c r="S2193" s="25"/>
      <c r="T2193" s="10"/>
    </row>
    <row r="2194" s="35" customFormat="1" ht="18.5" customHeight="1" spans="1:20">
      <c r="A2194" s="9"/>
      <c r="B2194" s="25"/>
      <c r="C2194" s="25"/>
      <c r="D2194" s="25"/>
      <c r="E2194" s="25"/>
      <c r="F2194" s="25"/>
      <c r="G2194" s="25"/>
      <c r="H2194" s="25"/>
      <c r="I2194" s="25"/>
      <c r="J2194" s="25"/>
      <c r="K2194" s="25"/>
      <c r="L2194" s="25"/>
      <c r="M2194" s="42" t="s">
        <v>253</v>
      </c>
      <c r="N2194" s="41">
        <v>45142</v>
      </c>
      <c r="O2194" s="25">
        <v>179</v>
      </c>
      <c r="P2194" s="25">
        <v>0</v>
      </c>
      <c r="Q2194" s="25"/>
      <c r="R2194" s="25"/>
      <c r="S2194" s="25"/>
      <c r="T2194" s="10"/>
    </row>
    <row r="2195" s="35" customFormat="1" ht="18.5" customHeight="1" spans="1:20">
      <c r="A2195" s="9"/>
      <c r="B2195" s="25"/>
      <c r="C2195" s="25"/>
      <c r="D2195" s="25"/>
      <c r="E2195" s="25"/>
      <c r="F2195" s="25"/>
      <c r="G2195" s="25"/>
      <c r="H2195" s="25"/>
      <c r="I2195" s="25"/>
      <c r="J2195" s="25"/>
      <c r="K2195" s="25"/>
      <c r="L2195" s="25"/>
      <c r="M2195" s="42" t="s">
        <v>253</v>
      </c>
      <c r="N2195" s="41">
        <v>45116</v>
      </c>
      <c r="O2195" s="25">
        <v>179</v>
      </c>
      <c r="P2195" s="25">
        <v>0</v>
      </c>
      <c r="Q2195" s="25"/>
      <c r="R2195" s="25"/>
      <c r="S2195" s="25"/>
      <c r="T2195" s="10"/>
    </row>
    <row r="2196" s="35" customFormat="1" ht="18.5" customHeight="1" spans="1:20">
      <c r="A2196" s="9"/>
      <c r="B2196" s="25"/>
      <c r="C2196" s="25"/>
      <c r="D2196" s="25"/>
      <c r="E2196" s="25"/>
      <c r="F2196" s="25"/>
      <c r="G2196" s="25"/>
      <c r="H2196" s="25"/>
      <c r="I2196" s="25"/>
      <c r="J2196" s="25"/>
      <c r="K2196" s="25"/>
      <c r="L2196" s="25"/>
      <c r="M2196" s="42" t="s">
        <v>253</v>
      </c>
      <c r="N2196" s="41">
        <v>45059</v>
      </c>
      <c r="O2196" s="25">
        <v>179</v>
      </c>
      <c r="P2196" s="25">
        <v>0</v>
      </c>
      <c r="Q2196" s="25"/>
      <c r="R2196" s="25"/>
      <c r="S2196" s="25"/>
      <c r="T2196" s="10"/>
    </row>
    <row r="2197" s="35" customFormat="1" ht="18.5" customHeight="1" spans="1:20">
      <c r="A2197" s="9"/>
      <c r="B2197" s="25"/>
      <c r="C2197" s="25"/>
      <c r="D2197" s="25"/>
      <c r="E2197" s="25"/>
      <c r="F2197" s="25"/>
      <c r="G2197" s="25"/>
      <c r="H2197" s="25"/>
      <c r="I2197" s="25"/>
      <c r="J2197" s="25"/>
      <c r="K2197" s="25"/>
      <c r="L2197" s="25"/>
      <c r="M2197" s="42" t="s">
        <v>253</v>
      </c>
      <c r="N2197" s="41">
        <v>45267</v>
      </c>
      <c r="O2197" s="25">
        <v>179</v>
      </c>
      <c r="P2197" s="25">
        <v>0</v>
      </c>
      <c r="Q2197" s="25"/>
      <c r="R2197" s="25"/>
      <c r="S2197" s="25"/>
      <c r="T2197" s="10"/>
    </row>
    <row r="2198" s="35" customFormat="1" ht="18.5" customHeight="1" spans="1:20">
      <c r="A2198" s="9"/>
      <c r="B2198" s="25"/>
      <c r="C2198" s="25"/>
      <c r="D2198" s="25"/>
      <c r="E2198" s="25"/>
      <c r="F2198" s="25"/>
      <c r="G2198" s="25"/>
      <c r="H2198" s="25"/>
      <c r="I2198" s="25"/>
      <c r="J2198" s="25"/>
      <c r="K2198" s="25"/>
      <c r="L2198" s="25"/>
      <c r="M2198" s="42" t="s">
        <v>253</v>
      </c>
      <c r="N2198" s="41">
        <v>45255</v>
      </c>
      <c r="O2198" s="25">
        <v>178</v>
      </c>
      <c r="P2198" s="25">
        <v>0</v>
      </c>
      <c r="Q2198" s="25"/>
      <c r="R2198" s="25"/>
      <c r="S2198" s="25"/>
      <c r="T2198" s="10"/>
    </row>
    <row r="2199" s="35" customFormat="1" ht="18.5" customHeight="1" spans="1:20">
      <c r="A2199" s="9"/>
      <c r="B2199" s="25"/>
      <c r="C2199" s="25"/>
      <c r="D2199" s="25"/>
      <c r="E2199" s="25"/>
      <c r="F2199" s="25"/>
      <c r="G2199" s="25"/>
      <c r="H2199" s="25"/>
      <c r="I2199" s="25"/>
      <c r="J2199" s="25"/>
      <c r="K2199" s="25"/>
      <c r="L2199" s="25"/>
      <c r="M2199" s="42" t="s">
        <v>253</v>
      </c>
      <c r="N2199" s="41">
        <v>45262</v>
      </c>
      <c r="O2199" s="25">
        <v>175</v>
      </c>
      <c r="P2199" s="25">
        <v>0</v>
      </c>
      <c r="Q2199" s="25"/>
      <c r="R2199" s="25"/>
      <c r="S2199" s="25"/>
      <c r="T2199" s="10"/>
    </row>
    <row r="2200" s="35" customFormat="1" ht="18.5" customHeight="1" spans="1:20">
      <c r="A2200" s="9"/>
      <c r="B2200" s="25"/>
      <c r="C2200" s="25"/>
      <c r="D2200" s="25"/>
      <c r="E2200" s="25"/>
      <c r="F2200" s="25"/>
      <c r="G2200" s="25"/>
      <c r="H2200" s="25"/>
      <c r="I2200" s="25"/>
      <c r="J2200" s="25"/>
      <c r="K2200" s="25"/>
      <c r="L2200" s="25"/>
      <c r="M2200" s="42" t="s">
        <v>253</v>
      </c>
      <c r="N2200" s="41">
        <v>45244</v>
      </c>
      <c r="O2200" s="25">
        <v>175</v>
      </c>
      <c r="P2200" s="25">
        <v>0</v>
      </c>
      <c r="Q2200" s="25"/>
      <c r="R2200" s="25"/>
      <c r="S2200" s="25"/>
      <c r="T2200" s="10"/>
    </row>
    <row r="2201" s="35" customFormat="1" ht="18.5" customHeight="1" spans="1:20">
      <c r="A2201" s="9"/>
      <c r="B2201" s="25"/>
      <c r="C2201" s="25"/>
      <c r="D2201" s="25"/>
      <c r="E2201" s="25"/>
      <c r="F2201" s="25"/>
      <c r="G2201" s="25"/>
      <c r="H2201" s="25"/>
      <c r="I2201" s="25"/>
      <c r="J2201" s="25"/>
      <c r="K2201" s="25"/>
      <c r="L2201" s="25"/>
      <c r="M2201" s="42" t="s">
        <v>253</v>
      </c>
      <c r="N2201" s="41">
        <v>45175</v>
      </c>
      <c r="O2201" s="25">
        <v>174</v>
      </c>
      <c r="P2201" s="25">
        <v>0</v>
      </c>
      <c r="Q2201" s="25"/>
      <c r="R2201" s="25"/>
      <c r="S2201" s="25"/>
      <c r="T2201" s="10"/>
    </row>
    <row r="2202" s="35" customFormat="1" ht="18.5" customHeight="1" spans="1:20">
      <c r="A2202" s="9"/>
      <c r="B2202" s="25"/>
      <c r="C2202" s="25"/>
      <c r="D2202" s="25"/>
      <c r="E2202" s="25"/>
      <c r="F2202" s="25"/>
      <c r="G2202" s="25"/>
      <c r="H2202" s="25"/>
      <c r="I2202" s="25"/>
      <c r="J2202" s="25"/>
      <c r="K2202" s="25"/>
      <c r="L2202" s="25"/>
      <c r="M2202" s="42" t="s">
        <v>253</v>
      </c>
      <c r="N2202" s="41">
        <v>45139</v>
      </c>
      <c r="O2202" s="25">
        <v>174</v>
      </c>
      <c r="P2202" s="25">
        <v>0</v>
      </c>
      <c r="Q2202" s="25"/>
      <c r="R2202" s="25"/>
      <c r="S2202" s="25"/>
      <c r="T2202" s="10"/>
    </row>
    <row r="2203" s="35" customFormat="1" ht="18.5" customHeight="1" spans="1:20">
      <c r="A2203" s="9"/>
      <c r="B2203" s="25"/>
      <c r="C2203" s="25"/>
      <c r="D2203" s="25"/>
      <c r="E2203" s="25"/>
      <c r="F2203" s="25"/>
      <c r="G2203" s="25"/>
      <c r="H2203" s="25"/>
      <c r="I2203" s="25"/>
      <c r="J2203" s="25"/>
      <c r="K2203" s="25"/>
      <c r="L2203" s="25"/>
      <c r="M2203" s="42" t="s">
        <v>253</v>
      </c>
      <c r="N2203" s="41">
        <v>45129</v>
      </c>
      <c r="O2203" s="25">
        <v>173</v>
      </c>
      <c r="P2203" s="25">
        <v>0</v>
      </c>
      <c r="Q2203" s="25"/>
      <c r="R2203" s="25"/>
      <c r="S2203" s="25"/>
      <c r="T2203" s="10"/>
    </row>
    <row r="2204" s="35" customFormat="1" ht="18.5" customHeight="1" spans="1:20">
      <c r="A2204" s="9"/>
      <c r="B2204" s="25"/>
      <c r="C2204" s="25"/>
      <c r="D2204" s="25"/>
      <c r="E2204" s="25"/>
      <c r="F2204" s="25"/>
      <c r="G2204" s="25"/>
      <c r="H2204" s="25"/>
      <c r="I2204" s="25"/>
      <c r="J2204" s="25"/>
      <c r="K2204" s="25"/>
      <c r="L2204" s="25"/>
      <c r="M2204" s="42" t="s">
        <v>253</v>
      </c>
      <c r="N2204" s="41">
        <v>45061</v>
      </c>
      <c r="O2204" s="25">
        <v>171</v>
      </c>
      <c r="P2204" s="25">
        <v>0</v>
      </c>
      <c r="Q2204" s="25"/>
      <c r="R2204" s="25"/>
      <c r="S2204" s="25"/>
      <c r="T2204" s="10"/>
    </row>
    <row r="2205" s="35" customFormat="1" ht="18.5" customHeight="1" spans="1:20">
      <c r="A2205" s="9"/>
      <c r="B2205" s="25"/>
      <c r="C2205" s="25"/>
      <c r="D2205" s="25"/>
      <c r="E2205" s="25"/>
      <c r="F2205" s="25"/>
      <c r="G2205" s="25"/>
      <c r="H2205" s="25"/>
      <c r="I2205" s="25"/>
      <c r="J2205" s="25"/>
      <c r="K2205" s="25"/>
      <c r="L2205" s="25"/>
      <c r="M2205" s="42" t="s">
        <v>253</v>
      </c>
      <c r="N2205" s="41">
        <v>45275</v>
      </c>
      <c r="O2205" s="25">
        <v>170</v>
      </c>
      <c r="P2205" s="25">
        <v>0</v>
      </c>
      <c r="Q2205" s="25"/>
      <c r="R2205" s="25"/>
      <c r="S2205" s="25"/>
      <c r="T2205" s="10"/>
    </row>
    <row r="2206" s="35" customFormat="1" ht="18.5" customHeight="1" spans="1:20">
      <c r="A2206" s="9"/>
      <c r="B2206" s="25"/>
      <c r="C2206" s="25"/>
      <c r="D2206" s="25"/>
      <c r="E2206" s="25"/>
      <c r="F2206" s="25"/>
      <c r="G2206" s="25"/>
      <c r="H2206" s="25"/>
      <c r="I2206" s="25"/>
      <c r="J2206" s="25"/>
      <c r="K2206" s="25"/>
      <c r="L2206" s="25"/>
      <c r="M2206" s="42" t="s">
        <v>253</v>
      </c>
      <c r="N2206" s="41">
        <v>45258</v>
      </c>
      <c r="O2206" s="25">
        <v>170</v>
      </c>
      <c r="P2206" s="25">
        <v>0</v>
      </c>
      <c r="Q2206" s="25"/>
      <c r="R2206" s="25"/>
      <c r="S2206" s="25"/>
      <c r="T2206" s="10"/>
    </row>
    <row r="2207" s="35" customFormat="1" ht="18.5" customHeight="1" spans="1:20">
      <c r="A2207" s="9"/>
      <c r="B2207" s="25"/>
      <c r="C2207" s="25"/>
      <c r="D2207" s="25"/>
      <c r="E2207" s="25"/>
      <c r="F2207" s="25"/>
      <c r="G2207" s="25"/>
      <c r="H2207" s="25"/>
      <c r="I2207" s="25"/>
      <c r="J2207" s="25"/>
      <c r="K2207" s="25"/>
      <c r="L2207" s="25"/>
      <c r="M2207" s="42" t="s">
        <v>253</v>
      </c>
      <c r="N2207" s="41">
        <v>45257</v>
      </c>
      <c r="O2207" s="25">
        <v>170</v>
      </c>
      <c r="P2207" s="25">
        <v>0</v>
      </c>
      <c r="Q2207" s="25"/>
      <c r="R2207" s="25"/>
      <c r="S2207" s="25"/>
      <c r="T2207" s="10"/>
    </row>
    <row r="2208" s="35" customFormat="1" ht="18.5" customHeight="1" spans="1:20">
      <c r="A2208" s="9"/>
      <c r="B2208" s="25"/>
      <c r="C2208" s="25"/>
      <c r="D2208" s="25"/>
      <c r="E2208" s="25"/>
      <c r="F2208" s="25"/>
      <c r="G2208" s="25"/>
      <c r="H2208" s="25"/>
      <c r="I2208" s="25"/>
      <c r="J2208" s="25"/>
      <c r="K2208" s="25"/>
      <c r="L2208" s="25"/>
      <c r="M2208" s="42" t="s">
        <v>253</v>
      </c>
      <c r="N2208" s="41">
        <v>45246</v>
      </c>
      <c r="O2208" s="25">
        <v>170</v>
      </c>
      <c r="P2208" s="25">
        <v>0</v>
      </c>
      <c r="Q2208" s="25"/>
      <c r="R2208" s="25"/>
      <c r="S2208" s="25"/>
      <c r="T2208" s="10"/>
    </row>
    <row r="2209" s="35" customFormat="1" ht="18.5" customHeight="1" spans="1:20">
      <c r="A2209" s="9"/>
      <c r="B2209" s="25"/>
      <c r="C2209" s="25"/>
      <c r="D2209" s="25"/>
      <c r="E2209" s="25"/>
      <c r="F2209" s="25"/>
      <c r="G2209" s="25"/>
      <c r="H2209" s="25"/>
      <c r="I2209" s="25"/>
      <c r="J2209" s="25"/>
      <c r="K2209" s="25"/>
      <c r="L2209" s="25"/>
      <c r="M2209" s="42" t="s">
        <v>253</v>
      </c>
      <c r="N2209" s="41">
        <v>45283</v>
      </c>
      <c r="O2209" s="25">
        <v>169</v>
      </c>
      <c r="P2209" s="25">
        <v>0</v>
      </c>
      <c r="Q2209" s="25"/>
      <c r="R2209" s="25"/>
      <c r="S2209" s="25"/>
      <c r="T2209" s="10"/>
    </row>
    <row r="2210" s="35" customFormat="1" ht="18.5" customHeight="1" spans="1:20">
      <c r="A2210" s="9"/>
      <c r="B2210" s="25"/>
      <c r="C2210" s="25"/>
      <c r="D2210" s="25"/>
      <c r="E2210" s="25"/>
      <c r="F2210" s="25"/>
      <c r="G2210" s="25"/>
      <c r="H2210" s="25"/>
      <c r="I2210" s="25"/>
      <c r="J2210" s="25"/>
      <c r="K2210" s="25"/>
      <c r="L2210" s="25"/>
      <c r="M2210" s="42" t="s">
        <v>253</v>
      </c>
      <c r="N2210" s="41">
        <v>45061</v>
      </c>
      <c r="O2210" s="25">
        <v>169</v>
      </c>
      <c r="P2210" s="25">
        <v>0</v>
      </c>
      <c r="Q2210" s="25"/>
      <c r="R2210" s="25"/>
      <c r="S2210" s="25"/>
      <c r="T2210" s="10"/>
    </row>
    <row r="2211" s="35" customFormat="1" ht="18.5" customHeight="1" spans="1:20">
      <c r="A2211" s="9"/>
      <c r="B2211" s="25"/>
      <c r="C2211" s="25"/>
      <c r="D2211" s="25"/>
      <c r="E2211" s="25"/>
      <c r="F2211" s="25"/>
      <c r="G2211" s="25"/>
      <c r="H2211" s="25"/>
      <c r="I2211" s="25"/>
      <c r="J2211" s="25"/>
      <c r="K2211" s="25"/>
      <c r="L2211" s="25"/>
      <c r="M2211" s="42" t="s">
        <v>253</v>
      </c>
      <c r="N2211" s="41">
        <v>45142</v>
      </c>
      <c r="O2211" s="25">
        <v>168</v>
      </c>
      <c r="P2211" s="25">
        <v>0</v>
      </c>
      <c r="Q2211" s="25"/>
      <c r="R2211" s="25"/>
      <c r="S2211" s="25"/>
      <c r="T2211" s="10"/>
    </row>
    <row r="2212" s="35" customFormat="1" ht="18.5" customHeight="1" spans="1:20">
      <c r="A2212" s="9"/>
      <c r="B2212" s="25"/>
      <c r="C2212" s="25"/>
      <c r="D2212" s="25"/>
      <c r="E2212" s="25"/>
      <c r="F2212" s="25"/>
      <c r="G2212" s="25"/>
      <c r="H2212" s="25"/>
      <c r="I2212" s="25"/>
      <c r="J2212" s="25"/>
      <c r="K2212" s="25"/>
      <c r="L2212" s="25"/>
      <c r="M2212" s="42" t="s">
        <v>253</v>
      </c>
      <c r="N2212" s="41">
        <v>45257</v>
      </c>
      <c r="O2212" s="25">
        <v>167</v>
      </c>
      <c r="P2212" s="25">
        <v>0</v>
      </c>
      <c r="Q2212" s="25"/>
      <c r="R2212" s="25"/>
      <c r="S2212" s="25"/>
      <c r="T2212" s="10"/>
    </row>
    <row r="2213" s="35" customFormat="1" ht="18.5" customHeight="1" spans="1:20">
      <c r="A2213" s="9"/>
      <c r="B2213" s="25"/>
      <c r="C2213" s="25"/>
      <c r="D2213" s="25"/>
      <c r="E2213" s="25"/>
      <c r="F2213" s="25"/>
      <c r="G2213" s="25"/>
      <c r="H2213" s="25"/>
      <c r="I2213" s="25"/>
      <c r="J2213" s="25"/>
      <c r="K2213" s="25"/>
      <c r="L2213" s="25"/>
      <c r="M2213" s="42" t="s">
        <v>253</v>
      </c>
      <c r="N2213" s="41">
        <v>45261</v>
      </c>
      <c r="O2213" s="25">
        <v>164</v>
      </c>
      <c r="P2213" s="25">
        <v>0</v>
      </c>
      <c r="Q2213" s="25"/>
      <c r="R2213" s="25"/>
      <c r="S2213" s="25"/>
      <c r="T2213" s="10"/>
    </row>
    <row r="2214" s="35" customFormat="1" ht="18.5" customHeight="1" spans="1:20">
      <c r="A2214" s="9"/>
      <c r="B2214" s="25"/>
      <c r="C2214" s="25"/>
      <c r="D2214" s="25"/>
      <c r="E2214" s="25"/>
      <c r="F2214" s="25"/>
      <c r="G2214" s="25"/>
      <c r="H2214" s="25"/>
      <c r="I2214" s="25"/>
      <c r="J2214" s="25"/>
      <c r="K2214" s="25"/>
      <c r="L2214" s="25"/>
      <c r="M2214" s="42" t="s">
        <v>253</v>
      </c>
      <c r="N2214" s="41">
        <v>45243</v>
      </c>
      <c r="O2214" s="25">
        <v>163</v>
      </c>
      <c r="P2214" s="25">
        <v>0</v>
      </c>
      <c r="Q2214" s="25"/>
      <c r="R2214" s="25"/>
      <c r="S2214" s="25"/>
      <c r="T2214" s="10"/>
    </row>
    <row r="2215" s="35" customFormat="1" ht="18.5" customHeight="1" spans="1:20">
      <c r="A2215" s="9"/>
      <c r="B2215" s="25"/>
      <c r="C2215" s="25"/>
      <c r="D2215" s="25"/>
      <c r="E2215" s="25"/>
      <c r="F2215" s="25"/>
      <c r="G2215" s="25"/>
      <c r="H2215" s="25"/>
      <c r="I2215" s="25"/>
      <c r="J2215" s="25"/>
      <c r="K2215" s="25"/>
      <c r="L2215" s="25"/>
      <c r="M2215" s="42" t="s">
        <v>253</v>
      </c>
      <c r="N2215" s="41">
        <v>45255</v>
      </c>
      <c r="O2215" s="25">
        <v>160</v>
      </c>
      <c r="P2215" s="25">
        <v>0</v>
      </c>
      <c r="Q2215" s="25"/>
      <c r="R2215" s="25"/>
      <c r="S2215" s="25"/>
      <c r="T2215" s="10"/>
    </row>
    <row r="2216" s="35" customFormat="1" ht="18.5" customHeight="1" spans="1:20">
      <c r="A2216" s="9"/>
      <c r="B2216" s="25"/>
      <c r="C2216" s="25"/>
      <c r="D2216" s="25"/>
      <c r="E2216" s="25"/>
      <c r="F2216" s="25"/>
      <c r="G2216" s="25"/>
      <c r="H2216" s="25"/>
      <c r="I2216" s="25"/>
      <c r="J2216" s="25"/>
      <c r="K2216" s="25"/>
      <c r="L2216" s="25"/>
      <c r="M2216" s="42" t="s">
        <v>253</v>
      </c>
      <c r="N2216" s="41">
        <v>45146</v>
      </c>
      <c r="O2216" s="25">
        <v>160</v>
      </c>
      <c r="P2216" s="25">
        <v>0</v>
      </c>
      <c r="Q2216" s="25"/>
      <c r="R2216" s="25"/>
      <c r="S2216" s="25"/>
      <c r="T2216" s="10"/>
    </row>
    <row r="2217" s="35" customFormat="1" ht="18.5" customHeight="1" spans="1:20">
      <c r="A2217" s="9"/>
      <c r="B2217" s="25"/>
      <c r="C2217" s="25"/>
      <c r="D2217" s="25"/>
      <c r="E2217" s="25"/>
      <c r="F2217" s="25"/>
      <c r="G2217" s="25"/>
      <c r="H2217" s="25"/>
      <c r="I2217" s="25"/>
      <c r="J2217" s="25"/>
      <c r="K2217" s="25"/>
      <c r="L2217" s="25"/>
      <c r="M2217" s="42" t="s">
        <v>253</v>
      </c>
      <c r="N2217" s="41">
        <v>45290</v>
      </c>
      <c r="O2217" s="25">
        <v>149</v>
      </c>
      <c r="P2217" s="25">
        <v>0</v>
      </c>
      <c r="Q2217" s="25"/>
      <c r="R2217" s="25"/>
      <c r="S2217" s="25"/>
      <c r="T2217" s="10"/>
    </row>
    <row r="2218" s="35" customFormat="1" ht="18.5" customHeight="1" spans="1:20">
      <c r="A2218" s="9"/>
      <c r="B2218" s="25"/>
      <c r="C2218" s="25"/>
      <c r="D2218" s="25"/>
      <c r="E2218" s="25"/>
      <c r="F2218" s="25"/>
      <c r="G2218" s="25"/>
      <c r="H2218" s="25"/>
      <c r="I2218" s="25"/>
      <c r="J2218" s="25"/>
      <c r="K2218" s="25"/>
      <c r="L2218" s="25"/>
      <c r="M2218" s="42" t="s">
        <v>253</v>
      </c>
      <c r="N2218" s="41">
        <v>45245</v>
      </c>
      <c r="O2218" s="25">
        <v>150</v>
      </c>
      <c r="P2218" s="25">
        <v>0</v>
      </c>
      <c r="Q2218" s="25"/>
      <c r="R2218" s="25"/>
      <c r="S2218" s="25"/>
      <c r="T2218" s="10"/>
    </row>
    <row r="2219" s="35" customFormat="1" ht="18.5" customHeight="1" spans="1:20">
      <c r="A2219" s="9"/>
      <c r="B2219" s="25"/>
      <c r="C2219" s="25"/>
      <c r="D2219" s="25"/>
      <c r="E2219" s="25"/>
      <c r="F2219" s="25"/>
      <c r="G2219" s="25"/>
      <c r="H2219" s="25"/>
      <c r="I2219" s="25"/>
      <c r="J2219" s="25"/>
      <c r="K2219" s="25"/>
      <c r="L2219" s="25"/>
      <c r="M2219" s="42" t="s">
        <v>253</v>
      </c>
      <c r="N2219" s="41">
        <v>45217</v>
      </c>
      <c r="O2219" s="25">
        <v>148</v>
      </c>
      <c r="P2219" s="25">
        <v>0</v>
      </c>
      <c r="Q2219" s="25"/>
      <c r="R2219" s="25"/>
      <c r="S2219" s="25"/>
      <c r="T2219" s="10"/>
    </row>
    <row r="2220" s="35" customFormat="1" ht="18.5" customHeight="1" spans="1:20">
      <c r="A2220" s="9"/>
      <c r="B2220" s="25"/>
      <c r="C2220" s="25"/>
      <c r="D2220" s="25"/>
      <c r="E2220" s="25"/>
      <c r="F2220" s="25"/>
      <c r="G2220" s="25"/>
      <c r="H2220" s="25"/>
      <c r="I2220" s="25"/>
      <c r="J2220" s="25"/>
      <c r="K2220" s="25"/>
      <c r="L2220" s="25"/>
      <c r="M2220" s="42" t="s">
        <v>253</v>
      </c>
      <c r="N2220" s="41">
        <v>45073</v>
      </c>
      <c r="O2220" s="25">
        <v>148</v>
      </c>
      <c r="P2220" s="25">
        <v>0</v>
      </c>
      <c r="Q2220" s="25"/>
      <c r="R2220" s="25"/>
      <c r="S2220" s="25"/>
      <c r="T2220" s="10"/>
    </row>
    <row r="2221" s="35" customFormat="1" ht="18.5" customHeight="1" spans="1:20">
      <c r="A2221" s="9"/>
      <c r="B2221" s="25"/>
      <c r="C2221" s="25"/>
      <c r="D2221" s="25"/>
      <c r="E2221" s="25"/>
      <c r="F2221" s="25"/>
      <c r="G2221" s="25"/>
      <c r="H2221" s="25"/>
      <c r="I2221" s="25"/>
      <c r="J2221" s="25"/>
      <c r="K2221" s="25"/>
      <c r="L2221" s="25"/>
      <c r="M2221" s="42" t="s">
        <v>253</v>
      </c>
      <c r="N2221" s="41">
        <v>45091</v>
      </c>
      <c r="O2221" s="25">
        <v>142</v>
      </c>
      <c r="P2221" s="25">
        <v>0</v>
      </c>
      <c r="Q2221" s="25"/>
      <c r="R2221" s="25"/>
      <c r="S2221" s="25"/>
      <c r="T2221" s="10"/>
    </row>
    <row r="2222" s="35" customFormat="1" ht="18.5" customHeight="1" spans="1:20">
      <c r="A2222" s="9"/>
      <c r="B2222" s="25"/>
      <c r="C2222" s="25"/>
      <c r="D2222" s="25"/>
      <c r="E2222" s="25"/>
      <c r="F2222" s="25"/>
      <c r="G2222" s="25"/>
      <c r="H2222" s="25"/>
      <c r="I2222" s="25"/>
      <c r="J2222" s="25"/>
      <c r="K2222" s="25"/>
      <c r="L2222" s="25"/>
      <c r="M2222" s="42" t="s">
        <v>253</v>
      </c>
      <c r="N2222" s="41">
        <v>45061</v>
      </c>
      <c r="O2222" s="25">
        <v>142</v>
      </c>
      <c r="P2222" s="25">
        <v>0</v>
      </c>
      <c r="Q2222" s="25"/>
      <c r="R2222" s="25"/>
      <c r="S2222" s="25"/>
      <c r="T2222" s="10"/>
    </row>
    <row r="2223" s="35" customFormat="1" ht="18.5" customHeight="1" spans="1:20">
      <c r="A2223" s="9"/>
      <c r="B2223" s="25"/>
      <c r="C2223" s="25"/>
      <c r="D2223" s="25"/>
      <c r="E2223" s="25"/>
      <c r="F2223" s="25"/>
      <c r="G2223" s="25"/>
      <c r="H2223" s="25"/>
      <c r="I2223" s="25"/>
      <c r="J2223" s="25"/>
      <c r="K2223" s="25"/>
      <c r="L2223" s="25"/>
      <c r="M2223" s="42" t="s">
        <v>253</v>
      </c>
      <c r="N2223" s="41">
        <v>45241</v>
      </c>
      <c r="O2223" s="25">
        <v>141</v>
      </c>
      <c r="P2223" s="25">
        <v>0</v>
      </c>
      <c r="Q2223" s="25"/>
      <c r="R2223" s="25"/>
      <c r="S2223" s="25"/>
      <c r="T2223" s="10"/>
    </row>
    <row r="2224" s="35" customFormat="1" ht="18.5" customHeight="1" spans="1:20">
      <c r="A2224" s="9"/>
      <c r="B2224" s="25"/>
      <c r="C2224" s="25"/>
      <c r="D2224" s="25"/>
      <c r="E2224" s="25"/>
      <c r="F2224" s="25"/>
      <c r="G2224" s="25"/>
      <c r="H2224" s="25"/>
      <c r="I2224" s="25"/>
      <c r="J2224" s="25"/>
      <c r="K2224" s="25"/>
      <c r="L2224" s="25"/>
      <c r="M2224" s="42" t="s">
        <v>253</v>
      </c>
      <c r="N2224" s="41">
        <v>45072</v>
      </c>
      <c r="O2224" s="25">
        <v>140</v>
      </c>
      <c r="P2224" s="25">
        <v>0</v>
      </c>
      <c r="Q2224" s="25"/>
      <c r="R2224" s="25"/>
      <c r="S2224" s="25"/>
      <c r="T2224" s="10"/>
    </row>
    <row r="2225" s="35" customFormat="1" ht="18.5" customHeight="1" spans="1:20">
      <c r="A2225" s="9"/>
      <c r="B2225" s="25"/>
      <c r="C2225" s="25"/>
      <c r="D2225" s="25"/>
      <c r="E2225" s="25"/>
      <c r="F2225" s="25"/>
      <c r="G2225" s="25"/>
      <c r="H2225" s="25"/>
      <c r="I2225" s="25"/>
      <c r="J2225" s="25"/>
      <c r="K2225" s="25"/>
      <c r="L2225" s="25"/>
      <c r="M2225" s="42" t="s">
        <v>253</v>
      </c>
      <c r="N2225" s="41">
        <v>45287</v>
      </c>
      <c r="O2225" s="25">
        <v>137</v>
      </c>
      <c r="P2225" s="25">
        <v>0</v>
      </c>
      <c r="Q2225" s="25"/>
      <c r="R2225" s="25"/>
      <c r="S2225" s="25"/>
      <c r="T2225" s="10"/>
    </row>
    <row r="2226" s="35" customFormat="1" ht="18.5" customHeight="1" spans="1:20">
      <c r="A2226" s="9"/>
      <c r="B2226" s="25"/>
      <c r="C2226" s="25"/>
      <c r="D2226" s="25"/>
      <c r="E2226" s="25"/>
      <c r="F2226" s="25"/>
      <c r="G2226" s="25"/>
      <c r="H2226" s="25"/>
      <c r="I2226" s="25"/>
      <c r="J2226" s="25"/>
      <c r="K2226" s="25"/>
      <c r="L2226" s="25"/>
      <c r="M2226" s="42" t="s">
        <v>253</v>
      </c>
      <c r="N2226" s="41">
        <v>45273</v>
      </c>
      <c r="O2226" s="25">
        <v>137</v>
      </c>
      <c r="P2226" s="25">
        <v>0</v>
      </c>
      <c r="Q2226" s="25"/>
      <c r="R2226" s="25"/>
      <c r="S2226" s="25"/>
      <c r="T2226" s="10"/>
    </row>
    <row r="2227" s="35" customFormat="1" ht="18.5" customHeight="1" spans="1:20">
      <c r="A2227" s="9"/>
      <c r="B2227" s="25"/>
      <c r="C2227" s="25"/>
      <c r="D2227" s="25"/>
      <c r="E2227" s="25"/>
      <c r="F2227" s="25"/>
      <c r="G2227" s="25"/>
      <c r="H2227" s="25"/>
      <c r="I2227" s="25"/>
      <c r="J2227" s="25"/>
      <c r="K2227" s="25"/>
      <c r="L2227" s="25"/>
      <c r="M2227" s="42" t="s">
        <v>253</v>
      </c>
      <c r="N2227" s="41">
        <v>45267</v>
      </c>
      <c r="O2227" s="25">
        <v>138</v>
      </c>
      <c r="P2227" s="25">
        <v>0</v>
      </c>
      <c r="Q2227" s="25"/>
      <c r="R2227" s="25"/>
      <c r="S2227" s="25"/>
      <c r="T2227" s="10"/>
    </row>
    <row r="2228" s="35" customFormat="1" ht="18.5" customHeight="1" spans="1:20">
      <c r="A2228" s="9"/>
      <c r="B2228" s="25"/>
      <c r="C2228" s="25"/>
      <c r="D2228" s="25"/>
      <c r="E2228" s="25"/>
      <c r="F2228" s="25"/>
      <c r="G2228" s="25"/>
      <c r="H2228" s="25"/>
      <c r="I2228" s="25"/>
      <c r="J2228" s="25"/>
      <c r="K2228" s="25"/>
      <c r="L2228" s="25"/>
      <c r="M2228" s="42" t="s">
        <v>253</v>
      </c>
      <c r="N2228" s="41">
        <v>45092</v>
      </c>
      <c r="O2228" s="25">
        <v>136</v>
      </c>
      <c r="P2228" s="25">
        <v>0</v>
      </c>
      <c r="Q2228" s="25"/>
      <c r="R2228" s="25"/>
      <c r="S2228" s="25"/>
      <c r="T2228" s="10"/>
    </row>
    <row r="2229" s="35" customFormat="1" ht="18.5" customHeight="1" spans="1:20">
      <c r="A2229" s="9"/>
      <c r="B2229" s="25"/>
      <c r="C2229" s="25"/>
      <c r="D2229" s="25"/>
      <c r="E2229" s="25"/>
      <c r="F2229" s="25"/>
      <c r="G2229" s="25"/>
      <c r="H2229" s="25"/>
      <c r="I2229" s="25"/>
      <c r="J2229" s="25"/>
      <c r="K2229" s="25"/>
      <c r="L2229" s="25"/>
      <c r="M2229" s="42" t="s">
        <v>253</v>
      </c>
      <c r="N2229" s="41">
        <v>45257</v>
      </c>
      <c r="O2229" s="25">
        <v>135</v>
      </c>
      <c r="P2229" s="25">
        <v>0</v>
      </c>
      <c r="Q2229" s="25"/>
      <c r="R2229" s="25"/>
      <c r="S2229" s="25"/>
      <c r="T2229" s="10"/>
    </row>
    <row r="2230" s="35" customFormat="1" ht="18.5" customHeight="1" spans="1:20">
      <c r="A2230" s="9"/>
      <c r="B2230" s="25"/>
      <c r="C2230" s="25"/>
      <c r="D2230" s="25"/>
      <c r="E2230" s="25"/>
      <c r="F2230" s="25"/>
      <c r="G2230" s="25"/>
      <c r="H2230" s="25"/>
      <c r="I2230" s="25"/>
      <c r="J2230" s="25"/>
      <c r="K2230" s="25"/>
      <c r="L2230" s="25"/>
      <c r="M2230" s="42" t="s">
        <v>253</v>
      </c>
      <c r="N2230" s="41">
        <v>45253</v>
      </c>
      <c r="O2230" s="25">
        <v>135</v>
      </c>
      <c r="P2230" s="25">
        <v>0</v>
      </c>
      <c r="Q2230" s="25"/>
      <c r="R2230" s="25"/>
      <c r="S2230" s="25"/>
      <c r="T2230" s="10"/>
    </row>
    <row r="2231" s="35" customFormat="1" ht="18.5" customHeight="1" spans="1:20">
      <c r="A2231" s="9"/>
      <c r="B2231" s="25"/>
      <c r="C2231" s="25"/>
      <c r="D2231" s="25"/>
      <c r="E2231" s="25"/>
      <c r="F2231" s="25"/>
      <c r="G2231" s="25"/>
      <c r="H2231" s="25"/>
      <c r="I2231" s="25"/>
      <c r="J2231" s="25"/>
      <c r="K2231" s="25"/>
      <c r="L2231" s="25"/>
      <c r="M2231" s="42" t="s">
        <v>253</v>
      </c>
      <c r="N2231" s="41">
        <v>45267</v>
      </c>
      <c r="O2231" s="25">
        <v>134</v>
      </c>
      <c r="P2231" s="25">
        <v>0</v>
      </c>
      <c r="Q2231" s="25"/>
      <c r="R2231" s="25"/>
      <c r="S2231" s="25"/>
      <c r="T2231" s="10"/>
    </row>
    <row r="2232" s="35" customFormat="1" ht="18.5" customHeight="1" spans="1:20">
      <c r="A2232" s="9"/>
      <c r="B2232" s="25"/>
      <c r="C2232" s="25"/>
      <c r="D2232" s="25"/>
      <c r="E2232" s="25"/>
      <c r="F2232" s="25"/>
      <c r="G2232" s="25"/>
      <c r="H2232" s="25"/>
      <c r="I2232" s="25"/>
      <c r="J2232" s="25"/>
      <c r="K2232" s="25"/>
      <c r="L2232" s="25"/>
      <c r="M2232" s="42" t="s">
        <v>253</v>
      </c>
      <c r="N2232" s="41">
        <v>45270</v>
      </c>
      <c r="O2232" s="25">
        <v>131</v>
      </c>
      <c r="P2232" s="25">
        <v>0</v>
      </c>
      <c r="Q2232" s="25"/>
      <c r="R2232" s="25"/>
      <c r="S2232" s="25"/>
      <c r="T2232" s="10"/>
    </row>
    <row r="2233" s="35" customFormat="1" ht="18.5" customHeight="1" spans="1:20">
      <c r="A2233" s="9"/>
      <c r="B2233" s="25"/>
      <c r="C2233" s="25"/>
      <c r="D2233" s="25"/>
      <c r="E2233" s="25"/>
      <c r="F2233" s="25"/>
      <c r="G2233" s="25"/>
      <c r="H2233" s="25"/>
      <c r="I2233" s="25"/>
      <c r="J2233" s="25"/>
      <c r="K2233" s="25"/>
      <c r="L2233" s="25"/>
      <c r="M2233" s="42" t="s">
        <v>253</v>
      </c>
      <c r="N2233" s="41">
        <v>45240</v>
      </c>
      <c r="O2233" s="25">
        <v>131</v>
      </c>
      <c r="P2233" s="25">
        <v>0</v>
      </c>
      <c r="Q2233" s="25"/>
      <c r="R2233" s="25"/>
      <c r="S2233" s="25"/>
      <c r="T2233" s="10"/>
    </row>
    <row r="2234" s="35" customFormat="1" ht="18.5" customHeight="1" spans="1:20">
      <c r="A2234" s="9"/>
      <c r="B2234" s="25"/>
      <c r="C2234" s="25"/>
      <c r="D2234" s="25"/>
      <c r="E2234" s="25"/>
      <c r="F2234" s="25"/>
      <c r="G2234" s="25"/>
      <c r="H2234" s="25"/>
      <c r="I2234" s="25"/>
      <c r="J2234" s="25"/>
      <c r="K2234" s="25"/>
      <c r="L2234" s="25"/>
      <c r="M2234" s="42" t="s">
        <v>253</v>
      </c>
      <c r="N2234" s="41">
        <v>45280</v>
      </c>
      <c r="O2234" s="25">
        <v>130</v>
      </c>
      <c r="P2234" s="25">
        <v>0</v>
      </c>
      <c r="Q2234" s="25"/>
      <c r="R2234" s="25"/>
      <c r="S2234" s="25"/>
      <c r="T2234" s="10"/>
    </row>
    <row r="2235" s="35" customFormat="1" ht="18.5" customHeight="1" spans="1:20">
      <c r="A2235" s="9"/>
      <c r="B2235" s="25"/>
      <c r="C2235" s="25"/>
      <c r="D2235" s="25"/>
      <c r="E2235" s="25"/>
      <c r="F2235" s="25"/>
      <c r="G2235" s="25"/>
      <c r="H2235" s="25"/>
      <c r="I2235" s="25"/>
      <c r="J2235" s="25"/>
      <c r="K2235" s="25"/>
      <c r="L2235" s="25"/>
      <c r="M2235" s="42" t="s">
        <v>253</v>
      </c>
      <c r="N2235" s="41">
        <v>45231</v>
      </c>
      <c r="O2235" s="25">
        <v>130</v>
      </c>
      <c r="P2235" s="25">
        <v>0</v>
      </c>
      <c r="Q2235" s="25"/>
      <c r="R2235" s="25"/>
      <c r="S2235" s="25"/>
      <c r="T2235" s="10"/>
    </row>
    <row r="2236" s="35" customFormat="1" ht="18.5" customHeight="1" spans="1:20">
      <c r="A2236" s="9"/>
      <c r="B2236" s="25"/>
      <c r="C2236" s="25"/>
      <c r="D2236" s="25"/>
      <c r="E2236" s="25"/>
      <c r="F2236" s="25"/>
      <c r="G2236" s="25"/>
      <c r="H2236" s="25"/>
      <c r="I2236" s="25"/>
      <c r="J2236" s="25"/>
      <c r="K2236" s="25"/>
      <c r="L2236" s="25"/>
      <c r="M2236" s="42" t="s">
        <v>253</v>
      </c>
      <c r="N2236" s="41">
        <v>45141</v>
      </c>
      <c r="O2236" s="25">
        <v>129</v>
      </c>
      <c r="P2236" s="25">
        <v>0</v>
      </c>
      <c r="Q2236" s="25"/>
      <c r="R2236" s="25"/>
      <c r="S2236" s="25"/>
      <c r="T2236" s="10"/>
    </row>
    <row r="2237" s="35" customFormat="1" ht="18.5" customHeight="1" spans="1:20">
      <c r="A2237" s="9"/>
      <c r="B2237" s="25"/>
      <c r="C2237" s="25"/>
      <c r="D2237" s="25"/>
      <c r="E2237" s="25"/>
      <c r="F2237" s="25"/>
      <c r="G2237" s="25"/>
      <c r="H2237" s="25"/>
      <c r="I2237" s="25"/>
      <c r="J2237" s="25"/>
      <c r="K2237" s="25"/>
      <c r="L2237" s="25"/>
      <c r="M2237" s="42" t="s">
        <v>253</v>
      </c>
      <c r="N2237" s="41">
        <v>45271</v>
      </c>
      <c r="O2237" s="25">
        <v>128</v>
      </c>
      <c r="P2237" s="25">
        <v>0</v>
      </c>
      <c r="Q2237" s="25"/>
      <c r="R2237" s="25"/>
      <c r="S2237" s="25"/>
      <c r="T2237" s="10"/>
    </row>
    <row r="2238" s="35" customFormat="1" ht="18.5" customHeight="1" spans="1:20">
      <c r="A2238" s="9"/>
      <c r="B2238" s="25"/>
      <c r="C2238" s="25"/>
      <c r="D2238" s="25"/>
      <c r="E2238" s="25"/>
      <c r="F2238" s="25"/>
      <c r="G2238" s="25"/>
      <c r="H2238" s="25"/>
      <c r="I2238" s="25"/>
      <c r="J2238" s="25"/>
      <c r="K2238" s="25"/>
      <c r="L2238" s="25"/>
      <c r="M2238" s="42" t="s">
        <v>253</v>
      </c>
      <c r="N2238" s="41">
        <v>45247</v>
      </c>
      <c r="O2238" s="25">
        <v>128</v>
      </c>
      <c r="P2238" s="25">
        <v>0</v>
      </c>
      <c r="Q2238" s="25"/>
      <c r="R2238" s="25"/>
      <c r="S2238" s="25"/>
      <c r="T2238" s="10"/>
    </row>
    <row r="2239" s="35" customFormat="1" ht="18.5" customHeight="1" spans="1:20">
      <c r="A2239" s="9"/>
      <c r="B2239" s="25"/>
      <c r="C2239" s="25"/>
      <c r="D2239" s="25"/>
      <c r="E2239" s="25"/>
      <c r="F2239" s="25"/>
      <c r="G2239" s="25"/>
      <c r="H2239" s="25"/>
      <c r="I2239" s="25"/>
      <c r="J2239" s="25"/>
      <c r="K2239" s="25"/>
      <c r="L2239" s="25"/>
      <c r="M2239" s="42" t="s">
        <v>253</v>
      </c>
      <c r="N2239" s="41">
        <v>45249</v>
      </c>
      <c r="O2239" s="25">
        <v>125</v>
      </c>
      <c r="P2239" s="25">
        <v>0</v>
      </c>
      <c r="Q2239" s="25"/>
      <c r="R2239" s="25"/>
      <c r="S2239" s="25"/>
      <c r="T2239" s="10"/>
    </row>
    <row r="2240" s="35" customFormat="1" ht="18.5" customHeight="1" spans="1:20">
      <c r="A2240" s="9"/>
      <c r="B2240" s="25"/>
      <c r="C2240" s="25"/>
      <c r="D2240" s="25"/>
      <c r="E2240" s="25"/>
      <c r="F2240" s="25"/>
      <c r="G2240" s="25"/>
      <c r="H2240" s="25"/>
      <c r="I2240" s="25"/>
      <c r="J2240" s="25"/>
      <c r="K2240" s="25"/>
      <c r="L2240" s="25"/>
      <c r="M2240" s="42" t="s">
        <v>253</v>
      </c>
      <c r="N2240" s="41">
        <v>45224</v>
      </c>
      <c r="O2240" s="25">
        <v>125</v>
      </c>
      <c r="P2240" s="25">
        <v>0</v>
      </c>
      <c r="Q2240" s="25"/>
      <c r="R2240" s="25"/>
      <c r="S2240" s="25"/>
      <c r="T2240" s="10"/>
    </row>
    <row r="2241" s="35" customFormat="1" ht="18.5" customHeight="1" spans="1:20">
      <c r="A2241" s="9"/>
      <c r="B2241" s="25"/>
      <c r="C2241" s="25"/>
      <c r="D2241" s="25"/>
      <c r="E2241" s="25"/>
      <c r="F2241" s="25"/>
      <c r="G2241" s="25"/>
      <c r="H2241" s="25"/>
      <c r="I2241" s="25"/>
      <c r="J2241" s="25"/>
      <c r="K2241" s="25"/>
      <c r="L2241" s="25"/>
      <c r="M2241" s="42" t="s">
        <v>253</v>
      </c>
      <c r="N2241" s="41">
        <v>45033</v>
      </c>
      <c r="O2241" s="25">
        <v>124</v>
      </c>
      <c r="P2241" s="25">
        <v>0</v>
      </c>
      <c r="Q2241" s="25"/>
      <c r="R2241" s="25"/>
      <c r="S2241" s="25"/>
      <c r="T2241" s="10"/>
    </row>
    <row r="2242" s="35" customFormat="1" ht="18.5" customHeight="1" spans="1:20">
      <c r="A2242" s="9"/>
      <c r="B2242" s="25"/>
      <c r="C2242" s="25"/>
      <c r="D2242" s="25"/>
      <c r="E2242" s="25"/>
      <c r="F2242" s="25"/>
      <c r="G2242" s="25"/>
      <c r="H2242" s="25"/>
      <c r="I2242" s="25"/>
      <c r="J2242" s="25"/>
      <c r="K2242" s="25"/>
      <c r="L2242" s="25"/>
      <c r="M2242" s="42" t="s">
        <v>253</v>
      </c>
      <c r="N2242" s="41">
        <v>45287</v>
      </c>
      <c r="O2242" s="25">
        <v>123</v>
      </c>
      <c r="P2242" s="25">
        <v>0</v>
      </c>
      <c r="Q2242" s="25"/>
      <c r="R2242" s="25"/>
      <c r="S2242" s="25"/>
      <c r="T2242" s="10"/>
    </row>
    <row r="2243" s="35" customFormat="1" ht="18.5" customHeight="1" spans="1:20">
      <c r="A2243" s="9"/>
      <c r="B2243" s="25"/>
      <c r="C2243" s="25"/>
      <c r="D2243" s="25"/>
      <c r="E2243" s="25"/>
      <c r="F2243" s="25"/>
      <c r="G2243" s="25"/>
      <c r="H2243" s="25"/>
      <c r="I2243" s="25"/>
      <c r="J2243" s="25"/>
      <c r="K2243" s="25"/>
      <c r="L2243" s="25"/>
      <c r="M2243" s="42" t="s">
        <v>253</v>
      </c>
      <c r="N2243" s="41">
        <v>45242</v>
      </c>
      <c r="O2243" s="25">
        <v>122</v>
      </c>
      <c r="P2243" s="25">
        <v>0</v>
      </c>
      <c r="Q2243" s="25"/>
      <c r="R2243" s="25"/>
      <c r="S2243" s="25"/>
      <c r="T2243" s="10"/>
    </row>
    <row r="2244" s="35" customFormat="1" ht="18.5" customHeight="1" spans="1:20">
      <c r="A2244" s="9"/>
      <c r="B2244" s="25"/>
      <c r="C2244" s="25"/>
      <c r="D2244" s="25"/>
      <c r="E2244" s="25"/>
      <c r="F2244" s="25"/>
      <c r="G2244" s="25"/>
      <c r="H2244" s="25"/>
      <c r="I2244" s="25"/>
      <c r="J2244" s="25"/>
      <c r="K2244" s="25"/>
      <c r="L2244" s="25"/>
      <c r="M2244" s="42" t="s">
        <v>253</v>
      </c>
      <c r="N2244" s="41">
        <v>45273</v>
      </c>
      <c r="O2244" s="25">
        <v>119</v>
      </c>
      <c r="P2244" s="25">
        <v>0</v>
      </c>
      <c r="Q2244" s="25"/>
      <c r="R2244" s="25"/>
      <c r="S2244" s="25"/>
      <c r="T2244" s="10"/>
    </row>
    <row r="2245" s="35" customFormat="1" ht="18.5" customHeight="1" spans="1:20">
      <c r="A2245" s="9"/>
      <c r="B2245" s="25"/>
      <c r="C2245" s="25"/>
      <c r="D2245" s="25"/>
      <c r="E2245" s="25"/>
      <c r="F2245" s="25"/>
      <c r="G2245" s="25"/>
      <c r="H2245" s="25"/>
      <c r="I2245" s="25"/>
      <c r="J2245" s="25"/>
      <c r="K2245" s="25"/>
      <c r="L2245" s="25"/>
      <c r="M2245" s="42" t="s">
        <v>253</v>
      </c>
      <c r="N2245" s="41">
        <v>45249</v>
      </c>
      <c r="O2245" s="25">
        <v>119</v>
      </c>
      <c r="P2245" s="25">
        <v>0</v>
      </c>
      <c r="Q2245" s="25"/>
      <c r="R2245" s="25"/>
      <c r="S2245" s="25"/>
      <c r="T2245" s="10"/>
    </row>
    <row r="2246" s="35" customFormat="1" ht="18.5" customHeight="1" spans="1:20">
      <c r="A2246" s="9"/>
      <c r="B2246" s="25"/>
      <c r="C2246" s="25"/>
      <c r="D2246" s="25"/>
      <c r="E2246" s="25"/>
      <c r="F2246" s="25"/>
      <c r="G2246" s="25"/>
      <c r="H2246" s="25"/>
      <c r="I2246" s="25"/>
      <c r="J2246" s="25"/>
      <c r="K2246" s="25"/>
      <c r="L2246" s="25"/>
      <c r="M2246" s="42" t="s">
        <v>253</v>
      </c>
      <c r="N2246" s="41">
        <v>45247</v>
      </c>
      <c r="O2246" s="25">
        <v>118</v>
      </c>
      <c r="P2246" s="25">
        <v>0</v>
      </c>
      <c r="Q2246" s="25"/>
      <c r="R2246" s="25"/>
      <c r="S2246" s="25"/>
      <c r="T2246" s="10"/>
    </row>
    <row r="2247" s="35" customFormat="1" ht="18.5" customHeight="1" spans="1:20">
      <c r="A2247" s="9"/>
      <c r="B2247" s="25"/>
      <c r="C2247" s="25"/>
      <c r="D2247" s="25"/>
      <c r="E2247" s="25"/>
      <c r="F2247" s="25"/>
      <c r="G2247" s="25"/>
      <c r="H2247" s="25"/>
      <c r="I2247" s="25"/>
      <c r="J2247" s="25"/>
      <c r="K2247" s="25"/>
      <c r="L2247" s="25"/>
      <c r="M2247" s="42" t="s">
        <v>253</v>
      </c>
      <c r="N2247" s="41">
        <v>45245</v>
      </c>
      <c r="O2247" s="25">
        <v>117</v>
      </c>
      <c r="P2247" s="25">
        <v>0</v>
      </c>
      <c r="Q2247" s="25"/>
      <c r="R2247" s="25"/>
      <c r="S2247" s="25"/>
      <c r="T2247" s="10"/>
    </row>
    <row r="2248" s="35" customFormat="1" ht="18.5" customHeight="1" spans="1:20">
      <c r="A2248" s="9"/>
      <c r="B2248" s="25"/>
      <c r="C2248" s="25"/>
      <c r="D2248" s="25"/>
      <c r="E2248" s="25"/>
      <c r="F2248" s="25"/>
      <c r="G2248" s="25"/>
      <c r="H2248" s="25"/>
      <c r="I2248" s="25"/>
      <c r="J2248" s="25"/>
      <c r="K2248" s="25"/>
      <c r="L2248" s="25"/>
      <c r="M2248" s="42" t="s">
        <v>253</v>
      </c>
      <c r="N2248" s="41">
        <v>45250</v>
      </c>
      <c r="O2248" s="25">
        <v>115</v>
      </c>
      <c r="P2248" s="25">
        <v>0</v>
      </c>
      <c r="Q2248" s="25"/>
      <c r="R2248" s="25"/>
      <c r="S2248" s="25"/>
      <c r="T2248" s="10"/>
    </row>
    <row r="2249" s="35" customFormat="1" ht="18.5" customHeight="1" spans="1:20">
      <c r="A2249" s="9"/>
      <c r="B2249" s="25"/>
      <c r="C2249" s="25"/>
      <c r="D2249" s="25"/>
      <c r="E2249" s="25"/>
      <c r="F2249" s="25"/>
      <c r="G2249" s="25"/>
      <c r="H2249" s="25"/>
      <c r="I2249" s="25"/>
      <c r="J2249" s="25"/>
      <c r="K2249" s="25"/>
      <c r="L2249" s="25"/>
      <c r="M2249" s="42" t="s">
        <v>253</v>
      </c>
      <c r="N2249" s="41">
        <v>45248</v>
      </c>
      <c r="O2249" s="25">
        <v>113</v>
      </c>
      <c r="P2249" s="25">
        <v>0</v>
      </c>
      <c r="Q2249" s="25"/>
      <c r="R2249" s="25"/>
      <c r="S2249" s="25"/>
      <c r="T2249" s="10"/>
    </row>
    <row r="2250" s="35" customFormat="1" ht="18.5" customHeight="1" spans="1:20">
      <c r="A2250" s="9"/>
      <c r="B2250" s="25"/>
      <c r="C2250" s="25"/>
      <c r="D2250" s="25"/>
      <c r="E2250" s="25"/>
      <c r="F2250" s="25"/>
      <c r="G2250" s="25"/>
      <c r="H2250" s="25"/>
      <c r="I2250" s="25"/>
      <c r="J2250" s="25"/>
      <c r="K2250" s="25"/>
      <c r="L2250" s="25"/>
      <c r="M2250" s="42" t="s">
        <v>253</v>
      </c>
      <c r="N2250" s="41">
        <v>45240</v>
      </c>
      <c r="O2250" s="25">
        <v>109</v>
      </c>
      <c r="P2250" s="25">
        <v>0</v>
      </c>
      <c r="Q2250" s="25"/>
      <c r="R2250" s="25"/>
      <c r="S2250" s="25"/>
      <c r="T2250" s="10"/>
    </row>
    <row r="2251" s="35" customFormat="1" ht="18.5" customHeight="1" spans="1:20">
      <c r="A2251" s="9"/>
      <c r="B2251" s="25"/>
      <c r="C2251" s="25"/>
      <c r="D2251" s="25"/>
      <c r="E2251" s="25"/>
      <c r="F2251" s="25"/>
      <c r="G2251" s="25"/>
      <c r="H2251" s="25"/>
      <c r="I2251" s="25"/>
      <c r="J2251" s="25"/>
      <c r="K2251" s="25"/>
      <c r="L2251" s="25"/>
      <c r="M2251" s="42" t="s">
        <v>253</v>
      </c>
      <c r="N2251" s="41">
        <v>45084</v>
      </c>
      <c r="O2251" s="25">
        <v>109</v>
      </c>
      <c r="P2251" s="25">
        <v>0</v>
      </c>
      <c r="Q2251" s="25"/>
      <c r="R2251" s="25"/>
      <c r="S2251" s="25"/>
      <c r="T2251" s="10"/>
    </row>
    <row r="2252" s="35" customFormat="1" ht="18.5" customHeight="1" spans="1:20">
      <c r="A2252" s="9"/>
      <c r="B2252" s="25"/>
      <c r="C2252" s="25"/>
      <c r="D2252" s="25"/>
      <c r="E2252" s="25"/>
      <c r="F2252" s="25"/>
      <c r="G2252" s="25"/>
      <c r="H2252" s="25"/>
      <c r="I2252" s="25"/>
      <c r="J2252" s="25"/>
      <c r="K2252" s="25"/>
      <c r="L2252" s="25"/>
      <c r="M2252" s="42" t="s">
        <v>253</v>
      </c>
      <c r="N2252" s="41">
        <v>45244</v>
      </c>
      <c r="O2252" s="25">
        <v>106</v>
      </c>
      <c r="P2252" s="25">
        <v>0</v>
      </c>
      <c r="Q2252" s="25"/>
      <c r="R2252" s="25"/>
      <c r="S2252" s="25"/>
      <c r="T2252" s="10"/>
    </row>
    <row r="2253" s="35" customFormat="1" ht="18.5" customHeight="1" spans="1:20">
      <c r="A2253" s="9"/>
      <c r="B2253" s="25"/>
      <c r="C2253" s="25"/>
      <c r="D2253" s="25"/>
      <c r="E2253" s="25"/>
      <c r="F2253" s="25"/>
      <c r="G2253" s="25"/>
      <c r="H2253" s="25"/>
      <c r="I2253" s="25"/>
      <c r="J2253" s="25"/>
      <c r="K2253" s="25"/>
      <c r="L2253" s="25"/>
      <c r="M2253" s="42" t="s">
        <v>253</v>
      </c>
      <c r="N2253" s="41">
        <v>45280</v>
      </c>
      <c r="O2253" s="25">
        <v>105</v>
      </c>
      <c r="P2253" s="25">
        <v>0</v>
      </c>
      <c r="Q2253" s="25"/>
      <c r="R2253" s="25"/>
      <c r="S2253" s="25"/>
      <c r="T2253" s="10"/>
    </row>
    <row r="2254" s="35" customFormat="1" ht="18.5" customHeight="1" spans="1:20">
      <c r="A2254" s="9"/>
      <c r="B2254" s="25"/>
      <c r="C2254" s="25"/>
      <c r="D2254" s="25"/>
      <c r="E2254" s="25"/>
      <c r="F2254" s="25"/>
      <c r="G2254" s="25"/>
      <c r="H2254" s="25"/>
      <c r="I2254" s="25"/>
      <c r="J2254" s="25"/>
      <c r="K2254" s="25"/>
      <c r="L2254" s="25"/>
      <c r="M2254" s="42" t="s">
        <v>253</v>
      </c>
      <c r="N2254" s="41">
        <v>45279</v>
      </c>
      <c r="O2254" s="25">
        <v>101</v>
      </c>
      <c r="P2254" s="25">
        <v>0</v>
      </c>
      <c r="Q2254" s="25"/>
      <c r="R2254" s="25"/>
      <c r="S2254" s="25"/>
      <c r="T2254" s="10"/>
    </row>
    <row r="2255" s="35" customFormat="1" ht="18.5" customHeight="1" spans="1:20">
      <c r="A2255" s="9"/>
      <c r="B2255" s="25"/>
      <c r="C2255" s="25"/>
      <c r="D2255" s="25"/>
      <c r="E2255" s="25"/>
      <c r="F2255" s="25"/>
      <c r="G2255" s="25"/>
      <c r="H2255" s="25"/>
      <c r="I2255" s="25"/>
      <c r="J2255" s="25"/>
      <c r="K2255" s="25"/>
      <c r="L2255" s="25"/>
      <c r="M2255" s="42" t="s">
        <v>253</v>
      </c>
      <c r="N2255" s="41">
        <v>45274</v>
      </c>
      <c r="O2255" s="25">
        <v>100</v>
      </c>
      <c r="P2255" s="25">
        <v>0</v>
      </c>
      <c r="Q2255" s="25"/>
      <c r="R2255" s="25"/>
      <c r="S2255" s="25"/>
      <c r="T2255" s="10"/>
    </row>
    <row r="2256" s="35" customFormat="1" ht="18.5" customHeight="1" spans="1:20">
      <c r="A2256" s="9"/>
      <c r="B2256" s="25"/>
      <c r="C2256" s="25"/>
      <c r="D2256" s="25"/>
      <c r="E2256" s="25"/>
      <c r="F2256" s="25"/>
      <c r="G2256" s="25"/>
      <c r="H2256" s="25"/>
      <c r="I2256" s="25"/>
      <c r="J2256" s="25"/>
      <c r="K2256" s="25"/>
      <c r="L2256" s="25"/>
      <c r="M2256" s="42" t="s">
        <v>253</v>
      </c>
      <c r="N2256" s="41">
        <v>45283</v>
      </c>
      <c r="O2256" s="25">
        <v>99</v>
      </c>
      <c r="P2256" s="25">
        <v>0</v>
      </c>
      <c r="Q2256" s="25"/>
      <c r="R2256" s="25"/>
      <c r="S2256" s="25"/>
      <c r="T2256" s="10"/>
    </row>
    <row r="2257" s="35" customFormat="1" ht="18.5" customHeight="1" spans="1:20">
      <c r="A2257" s="9"/>
      <c r="B2257" s="25"/>
      <c r="C2257" s="25"/>
      <c r="D2257" s="25"/>
      <c r="E2257" s="25"/>
      <c r="F2257" s="25"/>
      <c r="G2257" s="25"/>
      <c r="H2257" s="25"/>
      <c r="I2257" s="25"/>
      <c r="J2257" s="25"/>
      <c r="K2257" s="25"/>
      <c r="L2257" s="25"/>
      <c r="M2257" s="42" t="s">
        <v>253</v>
      </c>
      <c r="N2257" s="41">
        <v>45290</v>
      </c>
      <c r="O2257" s="25">
        <v>96</v>
      </c>
      <c r="P2257" s="25">
        <v>0</v>
      </c>
      <c r="Q2257" s="25"/>
      <c r="R2257" s="25"/>
      <c r="S2257" s="25"/>
      <c r="T2257" s="10"/>
    </row>
    <row r="2258" s="35" customFormat="1" ht="18.5" customHeight="1" spans="1:20">
      <c r="A2258" s="9"/>
      <c r="B2258" s="25"/>
      <c r="C2258" s="25"/>
      <c r="D2258" s="25"/>
      <c r="E2258" s="25"/>
      <c r="F2258" s="25"/>
      <c r="G2258" s="25"/>
      <c r="H2258" s="25"/>
      <c r="I2258" s="25"/>
      <c r="J2258" s="25"/>
      <c r="K2258" s="25"/>
      <c r="L2258" s="25"/>
      <c r="M2258" s="42" t="s">
        <v>253</v>
      </c>
      <c r="N2258" s="41">
        <v>45246</v>
      </c>
      <c r="O2258" s="25">
        <v>93</v>
      </c>
      <c r="P2258" s="25">
        <v>0</v>
      </c>
      <c r="Q2258" s="25"/>
      <c r="R2258" s="25"/>
      <c r="S2258" s="25"/>
      <c r="T2258" s="10"/>
    </row>
    <row r="2259" s="35" customFormat="1" ht="18.5" customHeight="1" spans="1:20">
      <c r="A2259" s="9"/>
      <c r="B2259" s="25"/>
      <c r="C2259" s="25"/>
      <c r="D2259" s="25"/>
      <c r="E2259" s="25"/>
      <c r="F2259" s="25"/>
      <c r="G2259" s="25"/>
      <c r="H2259" s="25"/>
      <c r="I2259" s="25"/>
      <c r="J2259" s="25"/>
      <c r="K2259" s="25"/>
      <c r="L2259" s="25"/>
      <c r="M2259" s="42" t="s">
        <v>253</v>
      </c>
      <c r="N2259" s="41">
        <v>45290</v>
      </c>
      <c r="O2259" s="25">
        <v>88</v>
      </c>
      <c r="P2259" s="25">
        <v>0</v>
      </c>
      <c r="Q2259" s="25"/>
      <c r="R2259" s="25"/>
      <c r="S2259" s="25"/>
      <c r="T2259" s="10"/>
    </row>
    <row r="2260" s="35" customFormat="1" ht="18.5" customHeight="1" spans="1:20">
      <c r="A2260" s="9"/>
      <c r="B2260" s="25"/>
      <c r="C2260" s="25"/>
      <c r="D2260" s="25"/>
      <c r="E2260" s="25"/>
      <c r="F2260" s="25"/>
      <c r="G2260" s="25"/>
      <c r="H2260" s="25"/>
      <c r="I2260" s="25"/>
      <c r="J2260" s="25"/>
      <c r="K2260" s="25"/>
      <c r="L2260" s="25"/>
      <c r="M2260" s="42" t="s">
        <v>253</v>
      </c>
      <c r="N2260" s="41">
        <v>45279</v>
      </c>
      <c r="O2260" s="25">
        <v>88</v>
      </c>
      <c r="P2260" s="25">
        <v>0</v>
      </c>
      <c r="Q2260" s="25"/>
      <c r="R2260" s="25"/>
      <c r="S2260" s="25"/>
      <c r="T2260" s="10"/>
    </row>
    <row r="2261" s="35" customFormat="1" ht="18.5" customHeight="1" spans="1:20">
      <c r="A2261" s="9"/>
      <c r="B2261" s="25"/>
      <c r="C2261" s="25"/>
      <c r="D2261" s="25"/>
      <c r="E2261" s="25"/>
      <c r="F2261" s="25"/>
      <c r="G2261" s="25"/>
      <c r="H2261" s="25"/>
      <c r="I2261" s="25"/>
      <c r="J2261" s="25"/>
      <c r="K2261" s="25"/>
      <c r="L2261" s="25"/>
      <c r="M2261" s="42" t="s">
        <v>253</v>
      </c>
      <c r="N2261" s="41">
        <v>45290</v>
      </c>
      <c r="O2261" s="25">
        <v>85</v>
      </c>
      <c r="P2261" s="25">
        <v>0</v>
      </c>
      <c r="Q2261" s="25"/>
      <c r="R2261" s="25"/>
      <c r="S2261" s="25"/>
      <c r="T2261" s="10"/>
    </row>
    <row r="2262" s="35" customFormat="1" ht="18.5" customHeight="1" spans="1:20">
      <c r="A2262" s="9"/>
      <c r="B2262" s="25"/>
      <c r="C2262" s="25"/>
      <c r="D2262" s="25"/>
      <c r="E2262" s="25"/>
      <c r="F2262" s="25"/>
      <c r="G2262" s="25"/>
      <c r="H2262" s="25"/>
      <c r="I2262" s="25"/>
      <c r="J2262" s="25"/>
      <c r="K2262" s="25"/>
      <c r="L2262" s="25"/>
      <c r="M2262" s="42" t="s">
        <v>253</v>
      </c>
      <c r="N2262" s="41">
        <v>45245</v>
      </c>
      <c r="O2262" s="25">
        <v>84</v>
      </c>
      <c r="P2262" s="25">
        <v>0</v>
      </c>
      <c r="Q2262" s="25"/>
      <c r="R2262" s="25"/>
      <c r="S2262" s="25"/>
      <c r="T2262" s="10"/>
    </row>
    <row r="2263" s="35" customFormat="1" ht="18.5" customHeight="1" spans="1:20">
      <c r="A2263" s="9"/>
      <c r="B2263" s="25"/>
      <c r="C2263" s="25"/>
      <c r="D2263" s="25"/>
      <c r="E2263" s="25"/>
      <c r="F2263" s="25"/>
      <c r="G2263" s="25"/>
      <c r="H2263" s="25"/>
      <c r="I2263" s="25"/>
      <c r="J2263" s="25"/>
      <c r="K2263" s="25"/>
      <c r="L2263" s="25"/>
      <c r="M2263" s="42" t="s">
        <v>253</v>
      </c>
      <c r="N2263" s="41">
        <v>45244</v>
      </c>
      <c r="O2263" s="25">
        <v>80</v>
      </c>
      <c r="P2263" s="25">
        <v>0</v>
      </c>
      <c r="Q2263" s="25"/>
      <c r="R2263" s="25"/>
      <c r="S2263" s="25"/>
      <c r="T2263" s="10"/>
    </row>
    <row r="2264" s="35" customFormat="1" ht="18.5" customHeight="1" spans="1:20">
      <c r="A2264" s="9"/>
      <c r="B2264" s="25"/>
      <c r="C2264" s="25"/>
      <c r="D2264" s="25"/>
      <c r="E2264" s="25"/>
      <c r="F2264" s="25"/>
      <c r="G2264" s="25"/>
      <c r="H2264" s="25"/>
      <c r="I2264" s="25"/>
      <c r="J2264" s="25"/>
      <c r="K2264" s="25"/>
      <c r="L2264" s="25"/>
      <c r="M2264" s="42" t="s">
        <v>253</v>
      </c>
      <c r="N2264" s="41">
        <v>45260</v>
      </c>
      <c r="O2264" s="25">
        <v>77</v>
      </c>
      <c r="P2264" s="25">
        <v>0</v>
      </c>
      <c r="Q2264" s="25"/>
      <c r="R2264" s="25"/>
      <c r="S2264" s="25"/>
      <c r="T2264" s="10"/>
    </row>
    <row r="2265" s="35" customFormat="1" ht="18.5" customHeight="1" spans="1:20">
      <c r="A2265" s="9"/>
      <c r="B2265" s="25"/>
      <c r="C2265" s="25"/>
      <c r="D2265" s="25"/>
      <c r="E2265" s="25"/>
      <c r="F2265" s="25"/>
      <c r="G2265" s="25"/>
      <c r="H2265" s="25"/>
      <c r="I2265" s="25"/>
      <c r="J2265" s="25"/>
      <c r="K2265" s="25"/>
      <c r="L2265" s="25"/>
      <c r="M2265" s="42" t="s">
        <v>253</v>
      </c>
      <c r="N2265" s="41">
        <v>45245</v>
      </c>
      <c r="O2265" s="25">
        <v>74</v>
      </c>
      <c r="P2265" s="25">
        <v>0</v>
      </c>
      <c r="Q2265" s="25"/>
      <c r="R2265" s="25"/>
      <c r="S2265" s="25"/>
      <c r="T2265" s="10"/>
    </row>
    <row r="2266" s="35" customFormat="1" ht="18.5" customHeight="1" spans="1:20">
      <c r="A2266" s="9"/>
      <c r="B2266" s="25"/>
      <c r="C2266" s="25"/>
      <c r="D2266" s="25"/>
      <c r="E2266" s="25"/>
      <c r="F2266" s="25"/>
      <c r="G2266" s="25"/>
      <c r="H2266" s="25"/>
      <c r="I2266" s="25"/>
      <c r="J2266" s="25"/>
      <c r="K2266" s="25"/>
      <c r="L2266" s="25"/>
      <c r="M2266" s="42" t="s">
        <v>253</v>
      </c>
      <c r="N2266" s="41">
        <v>45241</v>
      </c>
      <c r="O2266" s="25">
        <v>8855</v>
      </c>
      <c r="P2266" s="25">
        <v>0</v>
      </c>
      <c r="Q2266" s="25"/>
      <c r="R2266" s="25"/>
      <c r="S2266" s="25"/>
      <c r="T2266" s="10"/>
    </row>
    <row r="2267" s="35" customFormat="1" ht="18.5" customHeight="1" spans="1:20">
      <c r="A2267" s="9"/>
      <c r="B2267" s="25"/>
      <c r="C2267" s="25"/>
      <c r="D2267" s="25"/>
      <c r="E2267" s="25"/>
      <c r="F2267" s="25"/>
      <c r="G2267" s="25"/>
      <c r="H2267" s="25"/>
      <c r="I2267" s="25"/>
      <c r="J2267" s="25"/>
      <c r="K2267" s="25"/>
      <c r="L2267" s="25"/>
      <c r="M2267" s="42" t="s">
        <v>253</v>
      </c>
      <c r="N2267" s="41">
        <v>45112</v>
      </c>
      <c r="O2267" s="25">
        <v>626</v>
      </c>
      <c r="P2267" s="25">
        <v>0</v>
      </c>
      <c r="Q2267" s="25"/>
      <c r="R2267" s="25"/>
      <c r="S2267" s="25"/>
      <c r="T2267" s="10"/>
    </row>
    <row r="2268" s="35" customFormat="1" ht="18.5" customHeight="1" spans="1:20">
      <c r="A2268" s="9"/>
      <c r="B2268" s="25"/>
      <c r="C2268" s="25"/>
      <c r="D2268" s="25"/>
      <c r="E2268" s="25"/>
      <c r="F2268" s="25"/>
      <c r="G2268" s="25"/>
      <c r="H2268" s="25"/>
      <c r="I2268" s="25"/>
      <c r="J2268" s="25"/>
      <c r="K2268" s="25"/>
      <c r="L2268" s="25"/>
      <c r="M2268" s="42" t="s">
        <v>253</v>
      </c>
      <c r="N2268" s="41">
        <v>45261</v>
      </c>
      <c r="O2268" s="25">
        <v>2371</v>
      </c>
      <c r="P2268" s="25">
        <v>0</v>
      </c>
      <c r="Q2268" s="25"/>
      <c r="R2268" s="25"/>
      <c r="S2268" s="25"/>
      <c r="T2268" s="10"/>
    </row>
    <row r="2269" s="35" customFormat="1" ht="18.5" customHeight="1" spans="1:20">
      <c r="A2269" s="9"/>
      <c r="B2269" s="25"/>
      <c r="C2269" s="25"/>
      <c r="D2269" s="25"/>
      <c r="E2269" s="25"/>
      <c r="F2269" s="25"/>
      <c r="G2269" s="25"/>
      <c r="H2269" s="25"/>
      <c r="I2269" s="25"/>
      <c r="J2269" s="25"/>
      <c r="K2269" s="25"/>
      <c r="L2269" s="25"/>
      <c r="M2269" s="42" t="s">
        <v>253</v>
      </c>
      <c r="N2269" s="41">
        <v>45284</v>
      </c>
      <c r="O2269" s="25">
        <v>361</v>
      </c>
      <c r="P2269" s="25">
        <v>0</v>
      </c>
      <c r="Q2269" s="25"/>
      <c r="R2269" s="25"/>
      <c r="S2269" s="25"/>
      <c r="T2269" s="10"/>
    </row>
    <row r="2270" s="35" customFormat="1" ht="18.5" customHeight="1" spans="1:20">
      <c r="A2270" s="9"/>
      <c r="B2270" s="25"/>
      <c r="C2270" s="25"/>
      <c r="D2270" s="25"/>
      <c r="E2270" s="25"/>
      <c r="F2270" s="25"/>
      <c r="G2270" s="25"/>
      <c r="H2270" s="25"/>
      <c r="I2270" s="25"/>
      <c r="J2270" s="25"/>
      <c r="K2270" s="25"/>
      <c r="L2270" s="25"/>
      <c r="M2270" s="42" t="s">
        <v>253</v>
      </c>
      <c r="N2270" s="41">
        <v>45059</v>
      </c>
      <c r="O2270" s="25">
        <v>1481</v>
      </c>
      <c r="P2270" s="25">
        <v>0</v>
      </c>
      <c r="Q2270" s="25"/>
      <c r="R2270" s="25"/>
      <c r="S2270" s="25"/>
      <c r="T2270" s="10"/>
    </row>
    <row r="2271" s="35" customFormat="1" ht="18.5" customHeight="1" spans="1:20">
      <c r="A2271" s="9"/>
      <c r="B2271" s="25"/>
      <c r="C2271" s="25"/>
      <c r="D2271" s="25"/>
      <c r="E2271" s="25"/>
      <c r="F2271" s="25"/>
      <c r="G2271" s="25"/>
      <c r="H2271" s="25"/>
      <c r="I2271" s="25"/>
      <c r="J2271" s="25"/>
      <c r="K2271" s="25"/>
      <c r="L2271" s="25"/>
      <c r="M2271" s="42" t="s">
        <v>253</v>
      </c>
      <c r="N2271" s="41">
        <v>45013</v>
      </c>
      <c r="O2271" s="25">
        <v>681</v>
      </c>
      <c r="P2271" s="25">
        <v>0</v>
      </c>
      <c r="Q2271" s="25"/>
      <c r="R2271" s="25"/>
      <c r="S2271" s="25"/>
      <c r="T2271" s="10"/>
    </row>
    <row r="2272" s="35" customFormat="1" ht="18.5" customHeight="1" spans="1:20">
      <c r="A2272" s="9"/>
      <c r="B2272" s="25"/>
      <c r="C2272" s="25"/>
      <c r="D2272" s="25"/>
      <c r="E2272" s="25"/>
      <c r="F2272" s="25"/>
      <c r="G2272" s="25"/>
      <c r="H2272" s="25"/>
      <c r="I2272" s="25"/>
      <c r="J2272" s="25"/>
      <c r="K2272" s="25"/>
      <c r="L2272" s="25"/>
      <c r="M2272" s="42" t="s">
        <v>253</v>
      </c>
      <c r="N2272" s="41">
        <v>45099</v>
      </c>
      <c r="O2272" s="25">
        <v>482</v>
      </c>
      <c r="P2272" s="25">
        <v>0</v>
      </c>
      <c r="Q2272" s="25"/>
      <c r="R2272" s="25"/>
      <c r="S2272" s="25"/>
      <c r="T2272" s="10"/>
    </row>
    <row r="2273" s="35" customFormat="1" ht="18.5" customHeight="1" spans="1:20">
      <c r="A2273" s="9"/>
      <c r="B2273" s="25"/>
      <c r="C2273" s="25"/>
      <c r="D2273" s="25"/>
      <c r="E2273" s="25"/>
      <c r="F2273" s="25"/>
      <c r="G2273" s="25"/>
      <c r="H2273" s="25"/>
      <c r="I2273" s="25"/>
      <c r="J2273" s="25"/>
      <c r="K2273" s="25"/>
      <c r="L2273" s="25"/>
      <c r="M2273" s="42" t="s">
        <v>253</v>
      </c>
      <c r="N2273" s="41">
        <v>45094</v>
      </c>
      <c r="O2273" s="25">
        <v>708</v>
      </c>
      <c r="P2273" s="25">
        <v>0</v>
      </c>
      <c r="Q2273" s="25"/>
      <c r="R2273" s="25"/>
      <c r="S2273" s="25"/>
      <c r="T2273" s="10"/>
    </row>
    <row r="2274" s="35" customFormat="1" ht="18.5" customHeight="1" spans="1:20">
      <c r="A2274" s="9"/>
      <c r="B2274" s="25"/>
      <c r="C2274" s="25"/>
      <c r="D2274" s="25"/>
      <c r="E2274" s="25"/>
      <c r="F2274" s="25"/>
      <c r="G2274" s="25"/>
      <c r="H2274" s="25"/>
      <c r="I2274" s="25"/>
      <c r="J2274" s="25"/>
      <c r="K2274" s="25"/>
      <c r="L2274" s="25"/>
      <c r="M2274" s="42" t="s">
        <v>253</v>
      </c>
      <c r="N2274" s="41">
        <v>45015</v>
      </c>
      <c r="O2274" s="25">
        <v>373</v>
      </c>
      <c r="P2274" s="25">
        <v>0</v>
      </c>
      <c r="Q2274" s="25"/>
      <c r="R2274" s="25"/>
      <c r="S2274" s="25"/>
      <c r="T2274" s="10"/>
    </row>
    <row r="2275" s="35" customFormat="1" ht="18.5" customHeight="1" spans="1:20">
      <c r="A2275" s="9"/>
      <c r="B2275" s="25"/>
      <c r="C2275" s="25"/>
      <c r="D2275" s="25"/>
      <c r="E2275" s="25"/>
      <c r="F2275" s="25"/>
      <c r="G2275" s="25"/>
      <c r="H2275" s="25"/>
      <c r="I2275" s="25"/>
      <c r="J2275" s="25"/>
      <c r="K2275" s="25"/>
      <c r="L2275" s="25"/>
      <c r="M2275" s="42" t="s">
        <v>253</v>
      </c>
      <c r="N2275" s="41">
        <v>45267</v>
      </c>
      <c r="O2275" s="25">
        <v>201</v>
      </c>
      <c r="P2275" s="25">
        <v>0</v>
      </c>
      <c r="Q2275" s="25"/>
      <c r="R2275" s="25"/>
      <c r="S2275" s="25"/>
      <c r="T2275" s="10"/>
    </row>
    <row r="2276" s="35" customFormat="1" ht="18.5" customHeight="1" spans="1:20">
      <c r="A2276" s="9"/>
      <c r="B2276" s="25"/>
      <c r="C2276" s="25"/>
      <c r="D2276" s="25"/>
      <c r="E2276" s="25"/>
      <c r="F2276" s="25"/>
      <c r="G2276" s="25"/>
      <c r="H2276" s="25"/>
      <c r="I2276" s="25"/>
      <c r="J2276" s="25"/>
      <c r="K2276" s="25"/>
      <c r="L2276" s="25"/>
      <c r="M2276" s="42" t="s">
        <v>253</v>
      </c>
      <c r="N2276" s="41">
        <v>45098</v>
      </c>
      <c r="O2276" s="25">
        <v>712</v>
      </c>
      <c r="P2276" s="25">
        <v>0</v>
      </c>
      <c r="Q2276" s="25"/>
      <c r="R2276" s="25"/>
      <c r="S2276" s="25"/>
      <c r="T2276" s="10"/>
    </row>
    <row r="2277" s="35" customFormat="1" ht="18.5" customHeight="1" spans="1:20">
      <c r="A2277" s="9"/>
      <c r="B2277" s="25"/>
      <c r="C2277" s="25"/>
      <c r="D2277" s="25"/>
      <c r="E2277" s="25"/>
      <c r="F2277" s="25"/>
      <c r="G2277" s="25"/>
      <c r="H2277" s="25"/>
      <c r="I2277" s="25"/>
      <c r="J2277" s="25"/>
      <c r="K2277" s="25"/>
      <c r="L2277" s="25"/>
      <c r="M2277" s="42" t="s">
        <v>253</v>
      </c>
      <c r="N2277" s="41">
        <v>44968</v>
      </c>
      <c r="O2277" s="25">
        <v>519</v>
      </c>
      <c r="P2277" s="25">
        <v>0</v>
      </c>
      <c r="Q2277" s="25"/>
      <c r="R2277" s="25"/>
      <c r="S2277" s="25"/>
      <c r="T2277" s="10"/>
    </row>
    <row r="2278" s="35" customFormat="1" ht="18.5" customHeight="1" spans="1:20">
      <c r="A2278" s="9"/>
      <c r="B2278" s="25"/>
      <c r="C2278" s="25"/>
      <c r="D2278" s="25"/>
      <c r="E2278" s="25"/>
      <c r="F2278" s="25"/>
      <c r="G2278" s="25"/>
      <c r="H2278" s="25"/>
      <c r="I2278" s="25"/>
      <c r="J2278" s="25"/>
      <c r="K2278" s="25"/>
      <c r="L2278" s="25"/>
      <c r="M2278" s="42" t="s">
        <v>253</v>
      </c>
      <c r="N2278" s="41">
        <v>44944</v>
      </c>
      <c r="O2278" s="25">
        <v>434</v>
      </c>
      <c r="P2278" s="25">
        <v>0</v>
      </c>
      <c r="Q2278" s="25"/>
      <c r="R2278" s="25"/>
      <c r="S2278" s="25"/>
      <c r="T2278" s="10"/>
    </row>
    <row r="2279" s="35" customFormat="1" ht="18.5" customHeight="1" spans="1:20">
      <c r="A2279" s="9"/>
      <c r="B2279" s="25"/>
      <c r="C2279" s="25"/>
      <c r="D2279" s="25"/>
      <c r="E2279" s="25"/>
      <c r="F2279" s="25"/>
      <c r="G2279" s="25"/>
      <c r="H2279" s="25"/>
      <c r="I2279" s="25"/>
      <c r="J2279" s="25"/>
      <c r="K2279" s="25"/>
      <c r="L2279" s="25"/>
      <c r="M2279" s="42" t="s">
        <v>253</v>
      </c>
      <c r="N2279" s="41">
        <v>44942</v>
      </c>
      <c r="O2279" s="25">
        <v>253</v>
      </c>
      <c r="P2279" s="25">
        <v>0</v>
      </c>
      <c r="Q2279" s="25"/>
      <c r="R2279" s="25"/>
      <c r="S2279" s="25"/>
      <c r="T2279" s="10"/>
    </row>
    <row r="2280" s="35" customFormat="1" ht="18.5" customHeight="1" spans="1:20">
      <c r="A2280" s="9"/>
      <c r="B2280" s="25"/>
      <c r="C2280" s="25"/>
      <c r="D2280" s="25"/>
      <c r="E2280" s="25"/>
      <c r="F2280" s="25"/>
      <c r="G2280" s="25"/>
      <c r="H2280" s="25"/>
      <c r="I2280" s="25"/>
      <c r="J2280" s="25"/>
      <c r="K2280" s="25"/>
      <c r="L2280" s="25"/>
      <c r="M2280" s="42" t="s">
        <v>253</v>
      </c>
      <c r="N2280" s="41">
        <v>45205</v>
      </c>
      <c r="O2280" s="25">
        <v>240</v>
      </c>
      <c r="P2280" s="25">
        <v>0</v>
      </c>
      <c r="Q2280" s="25"/>
      <c r="R2280" s="25"/>
      <c r="S2280" s="25"/>
      <c r="T2280" s="10"/>
    </row>
    <row r="2281" s="35" customFormat="1" ht="18.5" customHeight="1" spans="1:20">
      <c r="A2281" s="9"/>
      <c r="B2281" s="25"/>
      <c r="C2281" s="25"/>
      <c r="D2281" s="25"/>
      <c r="E2281" s="25"/>
      <c r="F2281" s="25"/>
      <c r="G2281" s="25"/>
      <c r="H2281" s="25"/>
      <c r="I2281" s="25"/>
      <c r="J2281" s="25"/>
      <c r="K2281" s="25"/>
      <c r="L2281" s="25"/>
      <c r="M2281" s="42" t="s">
        <v>253</v>
      </c>
      <c r="N2281" s="41">
        <v>44977</v>
      </c>
      <c r="O2281" s="25">
        <v>877</v>
      </c>
      <c r="P2281" s="25">
        <v>0</v>
      </c>
      <c r="Q2281" s="25"/>
      <c r="R2281" s="25"/>
      <c r="S2281" s="25"/>
      <c r="T2281" s="10"/>
    </row>
    <row r="2282" s="35" customFormat="1" ht="18.5" customHeight="1" spans="1:20">
      <c r="A2282" s="9"/>
      <c r="B2282" s="25"/>
      <c r="C2282" s="25"/>
      <c r="D2282" s="25"/>
      <c r="E2282" s="25"/>
      <c r="F2282" s="25"/>
      <c r="G2282" s="25"/>
      <c r="H2282" s="25"/>
      <c r="I2282" s="25"/>
      <c r="J2282" s="25"/>
      <c r="K2282" s="25"/>
      <c r="L2282" s="25"/>
      <c r="M2282" s="42" t="s">
        <v>253</v>
      </c>
      <c r="N2282" s="41">
        <v>45255</v>
      </c>
      <c r="O2282" s="25">
        <v>126</v>
      </c>
      <c r="P2282" s="25">
        <v>0</v>
      </c>
      <c r="Q2282" s="25"/>
      <c r="R2282" s="25"/>
      <c r="S2282" s="25"/>
      <c r="T2282" s="10"/>
    </row>
    <row r="2283" s="35" customFormat="1" ht="18.5" customHeight="1" spans="1:20">
      <c r="A2283" s="9"/>
      <c r="B2283" s="25"/>
      <c r="C2283" s="25"/>
      <c r="D2283" s="25"/>
      <c r="E2283" s="25"/>
      <c r="F2283" s="25"/>
      <c r="G2283" s="25"/>
      <c r="H2283" s="25"/>
      <c r="I2283" s="25"/>
      <c r="J2283" s="25"/>
      <c r="K2283" s="25"/>
      <c r="L2283" s="25"/>
      <c r="M2283" s="42" t="s">
        <v>253</v>
      </c>
      <c r="N2283" s="41">
        <v>45053</v>
      </c>
      <c r="O2283" s="25">
        <v>632</v>
      </c>
      <c r="P2283" s="25">
        <v>0</v>
      </c>
      <c r="Q2283" s="25"/>
      <c r="R2283" s="25"/>
      <c r="S2283" s="25"/>
      <c r="T2283" s="10"/>
    </row>
    <row r="2284" s="35" customFormat="1" ht="18.5" customHeight="1" spans="1:20">
      <c r="A2284" s="9"/>
      <c r="B2284" s="25"/>
      <c r="C2284" s="25"/>
      <c r="D2284" s="25"/>
      <c r="E2284" s="25"/>
      <c r="F2284" s="25"/>
      <c r="G2284" s="25"/>
      <c r="H2284" s="25"/>
      <c r="I2284" s="25"/>
      <c r="J2284" s="25"/>
      <c r="K2284" s="25"/>
      <c r="L2284" s="25"/>
      <c r="M2284" s="42" t="s">
        <v>253</v>
      </c>
      <c r="N2284" s="41">
        <v>45066</v>
      </c>
      <c r="O2284" s="25">
        <v>583</v>
      </c>
      <c r="P2284" s="25">
        <v>0</v>
      </c>
      <c r="Q2284" s="25"/>
      <c r="R2284" s="25"/>
      <c r="S2284" s="25"/>
      <c r="T2284" s="10"/>
    </row>
    <row r="2285" s="35" customFormat="1" ht="18.5" customHeight="1" spans="1:20">
      <c r="A2285" s="9"/>
      <c r="B2285" s="25"/>
      <c r="C2285" s="25"/>
      <c r="D2285" s="25"/>
      <c r="E2285" s="25"/>
      <c r="F2285" s="25"/>
      <c r="G2285" s="25"/>
      <c r="H2285" s="25"/>
      <c r="I2285" s="25"/>
      <c r="J2285" s="25"/>
      <c r="K2285" s="25"/>
      <c r="L2285" s="25"/>
      <c r="M2285" s="42" t="s">
        <v>253</v>
      </c>
      <c r="N2285" s="41">
        <v>45234</v>
      </c>
      <c r="O2285" s="25">
        <v>512</v>
      </c>
      <c r="P2285" s="25">
        <v>0</v>
      </c>
      <c r="Q2285" s="25"/>
      <c r="R2285" s="25"/>
      <c r="S2285" s="25"/>
      <c r="T2285" s="10"/>
    </row>
    <row r="2286" s="35" customFormat="1" ht="18.5" customHeight="1" spans="1:20">
      <c r="A2286" s="9"/>
      <c r="B2286" s="25"/>
      <c r="C2286" s="25"/>
      <c r="D2286" s="25"/>
      <c r="E2286" s="25"/>
      <c r="F2286" s="25"/>
      <c r="G2286" s="25"/>
      <c r="H2286" s="25"/>
      <c r="I2286" s="25"/>
      <c r="J2286" s="25"/>
      <c r="K2286" s="25"/>
      <c r="L2286" s="25"/>
      <c r="M2286" s="42" t="s">
        <v>253</v>
      </c>
      <c r="N2286" s="41">
        <v>45028</v>
      </c>
      <c r="O2286" s="25">
        <v>481</v>
      </c>
      <c r="P2286" s="25">
        <v>0</v>
      </c>
      <c r="Q2286" s="25"/>
      <c r="R2286" s="25"/>
      <c r="S2286" s="25"/>
      <c r="T2286" s="10"/>
    </row>
    <row r="2287" s="35" customFormat="1" ht="18.5" customHeight="1" spans="1:20">
      <c r="A2287" s="9"/>
      <c r="B2287" s="25"/>
      <c r="C2287" s="25"/>
      <c r="D2287" s="25"/>
      <c r="E2287" s="25"/>
      <c r="F2287" s="25"/>
      <c r="G2287" s="25"/>
      <c r="H2287" s="25"/>
      <c r="I2287" s="25"/>
      <c r="J2287" s="25"/>
      <c r="K2287" s="25"/>
      <c r="L2287" s="25"/>
      <c r="M2287" s="42" t="s">
        <v>253</v>
      </c>
      <c r="N2287" s="41">
        <v>45065</v>
      </c>
      <c r="O2287" s="25">
        <v>468</v>
      </c>
      <c r="P2287" s="25">
        <v>0</v>
      </c>
      <c r="Q2287" s="25"/>
      <c r="R2287" s="25"/>
      <c r="S2287" s="25"/>
      <c r="T2287" s="10"/>
    </row>
    <row r="2288" s="35" customFormat="1" ht="18.5" customHeight="1" spans="1:20">
      <c r="A2288" s="9"/>
      <c r="B2288" s="25"/>
      <c r="C2288" s="25"/>
      <c r="D2288" s="25"/>
      <c r="E2288" s="25"/>
      <c r="F2288" s="25"/>
      <c r="G2288" s="25"/>
      <c r="H2288" s="25"/>
      <c r="I2288" s="25"/>
      <c r="J2288" s="25"/>
      <c r="K2288" s="25"/>
      <c r="L2288" s="25"/>
      <c r="M2288" s="42" t="s">
        <v>253</v>
      </c>
      <c r="N2288" s="41">
        <v>45028</v>
      </c>
      <c r="O2288" s="25">
        <v>465</v>
      </c>
      <c r="P2288" s="25">
        <v>0</v>
      </c>
      <c r="Q2288" s="25"/>
      <c r="R2288" s="25"/>
      <c r="S2288" s="25"/>
      <c r="T2288" s="10"/>
    </row>
    <row r="2289" s="35" customFormat="1" ht="18.5" customHeight="1" spans="1:20">
      <c r="A2289" s="9"/>
      <c r="B2289" s="25"/>
      <c r="C2289" s="25"/>
      <c r="D2289" s="25"/>
      <c r="E2289" s="25"/>
      <c r="F2289" s="25"/>
      <c r="G2289" s="25"/>
      <c r="H2289" s="25"/>
      <c r="I2289" s="25"/>
      <c r="J2289" s="25"/>
      <c r="K2289" s="25"/>
      <c r="L2289" s="25"/>
      <c r="M2289" s="42" t="s">
        <v>253</v>
      </c>
      <c r="N2289" s="41">
        <v>45242</v>
      </c>
      <c r="O2289" s="25">
        <v>410</v>
      </c>
      <c r="P2289" s="25">
        <v>0</v>
      </c>
      <c r="Q2289" s="25"/>
      <c r="R2289" s="25"/>
      <c r="S2289" s="25"/>
      <c r="T2289" s="10"/>
    </row>
    <row r="2290" s="35" customFormat="1" ht="18.5" customHeight="1" spans="1:20">
      <c r="A2290" s="9"/>
      <c r="B2290" s="25"/>
      <c r="C2290" s="25"/>
      <c r="D2290" s="25"/>
      <c r="E2290" s="25"/>
      <c r="F2290" s="25"/>
      <c r="G2290" s="25"/>
      <c r="H2290" s="25"/>
      <c r="I2290" s="25"/>
      <c r="J2290" s="25"/>
      <c r="K2290" s="25"/>
      <c r="L2290" s="25"/>
      <c r="M2290" s="42" t="s">
        <v>253</v>
      </c>
      <c r="N2290" s="41">
        <v>44983</v>
      </c>
      <c r="O2290" s="25">
        <v>405</v>
      </c>
      <c r="P2290" s="25">
        <v>0</v>
      </c>
      <c r="Q2290" s="25"/>
      <c r="R2290" s="25"/>
      <c r="S2290" s="25"/>
      <c r="T2290" s="10"/>
    </row>
    <row r="2291" s="35" customFormat="1" ht="18.5" customHeight="1" spans="1:20">
      <c r="A2291" s="9"/>
      <c r="B2291" s="25"/>
      <c r="C2291" s="25"/>
      <c r="D2291" s="25"/>
      <c r="E2291" s="25"/>
      <c r="F2291" s="25"/>
      <c r="G2291" s="25"/>
      <c r="H2291" s="25"/>
      <c r="I2291" s="25"/>
      <c r="J2291" s="25"/>
      <c r="K2291" s="25"/>
      <c r="L2291" s="25"/>
      <c r="M2291" s="42" t="s">
        <v>253</v>
      </c>
      <c r="N2291" s="41">
        <v>44946</v>
      </c>
      <c r="O2291" s="25">
        <v>2226</v>
      </c>
      <c r="P2291" s="25">
        <v>0</v>
      </c>
      <c r="Q2291" s="25"/>
      <c r="R2291" s="25"/>
      <c r="S2291" s="25"/>
      <c r="T2291" s="10"/>
    </row>
    <row r="2292" s="35" customFormat="1" ht="18.5" customHeight="1" spans="1:20">
      <c r="A2292" s="9"/>
      <c r="B2292" s="25"/>
      <c r="C2292" s="25"/>
      <c r="D2292" s="25"/>
      <c r="E2292" s="25"/>
      <c r="F2292" s="25"/>
      <c r="G2292" s="25"/>
      <c r="H2292" s="25"/>
      <c r="I2292" s="25"/>
      <c r="J2292" s="25"/>
      <c r="K2292" s="25"/>
      <c r="L2292" s="25"/>
      <c r="M2292" s="42" t="s">
        <v>253</v>
      </c>
      <c r="N2292" s="41">
        <v>45031</v>
      </c>
      <c r="O2292" s="25">
        <v>372</v>
      </c>
      <c r="P2292" s="25">
        <v>0</v>
      </c>
      <c r="Q2292" s="25"/>
      <c r="R2292" s="25"/>
      <c r="S2292" s="25"/>
      <c r="T2292" s="10"/>
    </row>
    <row r="2293" s="35" customFormat="1" ht="18.5" customHeight="1" spans="1:20">
      <c r="A2293" s="9"/>
      <c r="B2293" s="25"/>
      <c r="C2293" s="25"/>
      <c r="D2293" s="25"/>
      <c r="E2293" s="25"/>
      <c r="F2293" s="25"/>
      <c r="G2293" s="25"/>
      <c r="H2293" s="25"/>
      <c r="I2293" s="25"/>
      <c r="J2293" s="25"/>
      <c r="K2293" s="25"/>
      <c r="L2293" s="25"/>
      <c r="M2293" s="42" t="s">
        <v>253</v>
      </c>
      <c r="N2293" s="41">
        <v>45239</v>
      </c>
      <c r="O2293" s="25">
        <v>360</v>
      </c>
      <c r="P2293" s="25">
        <v>0</v>
      </c>
      <c r="Q2293" s="25"/>
      <c r="R2293" s="25"/>
      <c r="S2293" s="25"/>
      <c r="T2293" s="10"/>
    </row>
    <row r="2294" s="35" customFormat="1" ht="18.5" customHeight="1" spans="1:20">
      <c r="A2294" s="9"/>
      <c r="B2294" s="25"/>
      <c r="C2294" s="25"/>
      <c r="D2294" s="25"/>
      <c r="E2294" s="25"/>
      <c r="F2294" s="25"/>
      <c r="G2294" s="25"/>
      <c r="H2294" s="25"/>
      <c r="I2294" s="25"/>
      <c r="J2294" s="25"/>
      <c r="K2294" s="25"/>
      <c r="L2294" s="25"/>
      <c r="M2294" s="42" t="s">
        <v>253</v>
      </c>
      <c r="N2294" s="41">
        <v>45212</v>
      </c>
      <c r="O2294" s="25">
        <v>360</v>
      </c>
      <c r="P2294" s="25">
        <v>0</v>
      </c>
      <c r="Q2294" s="25"/>
      <c r="R2294" s="25"/>
      <c r="S2294" s="25"/>
      <c r="T2294" s="10"/>
    </row>
    <row r="2295" s="35" customFormat="1" ht="18.5" customHeight="1" spans="1:20">
      <c r="A2295" s="9"/>
      <c r="B2295" s="25"/>
      <c r="C2295" s="25"/>
      <c r="D2295" s="25"/>
      <c r="E2295" s="25"/>
      <c r="F2295" s="25"/>
      <c r="G2295" s="25"/>
      <c r="H2295" s="25"/>
      <c r="I2295" s="25"/>
      <c r="J2295" s="25"/>
      <c r="K2295" s="25"/>
      <c r="L2295" s="25"/>
      <c r="M2295" s="42" t="s">
        <v>253</v>
      </c>
      <c r="N2295" s="41">
        <v>44927</v>
      </c>
      <c r="O2295" s="25">
        <v>313</v>
      </c>
      <c r="P2295" s="25">
        <v>0</v>
      </c>
      <c r="Q2295" s="25"/>
      <c r="R2295" s="25"/>
      <c r="S2295" s="25"/>
      <c r="T2295" s="10"/>
    </row>
    <row r="2296" s="35" customFormat="1" ht="18.5" customHeight="1" spans="1:20">
      <c r="A2296" s="9"/>
      <c r="B2296" s="25"/>
      <c r="C2296" s="25"/>
      <c r="D2296" s="25"/>
      <c r="E2296" s="25"/>
      <c r="F2296" s="25"/>
      <c r="G2296" s="25"/>
      <c r="H2296" s="25"/>
      <c r="I2296" s="25"/>
      <c r="J2296" s="25"/>
      <c r="K2296" s="25"/>
      <c r="L2296" s="25"/>
      <c r="M2296" s="42" t="s">
        <v>253</v>
      </c>
      <c r="N2296" s="41">
        <v>45211</v>
      </c>
      <c r="O2296" s="25">
        <v>312</v>
      </c>
      <c r="P2296" s="25">
        <v>0</v>
      </c>
      <c r="Q2296" s="25"/>
      <c r="R2296" s="25"/>
      <c r="S2296" s="25"/>
      <c r="T2296" s="10"/>
    </row>
    <row r="2297" s="35" customFormat="1" ht="18.5" customHeight="1" spans="1:20">
      <c r="A2297" s="9"/>
      <c r="B2297" s="25"/>
      <c r="C2297" s="25"/>
      <c r="D2297" s="25"/>
      <c r="E2297" s="25"/>
      <c r="F2297" s="25"/>
      <c r="G2297" s="25"/>
      <c r="H2297" s="25"/>
      <c r="I2297" s="25"/>
      <c r="J2297" s="25"/>
      <c r="K2297" s="25"/>
      <c r="L2297" s="25"/>
      <c r="M2297" s="42" t="s">
        <v>253</v>
      </c>
      <c r="N2297" s="41">
        <v>44964</v>
      </c>
      <c r="O2297" s="25">
        <v>277</v>
      </c>
      <c r="P2297" s="25">
        <v>0</v>
      </c>
      <c r="Q2297" s="25"/>
      <c r="R2297" s="25"/>
      <c r="S2297" s="25"/>
      <c r="T2297" s="10"/>
    </row>
    <row r="2298" s="35" customFormat="1" ht="18.5" customHeight="1" spans="1:20">
      <c r="A2298" s="9"/>
      <c r="B2298" s="25"/>
      <c r="C2298" s="25"/>
      <c r="D2298" s="25"/>
      <c r="E2298" s="25"/>
      <c r="F2298" s="25"/>
      <c r="G2298" s="25"/>
      <c r="H2298" s="25"/>
      <c r="I2298" s="25"/>
      <c r="J2298" s="25"/>
      <c r="K2298" s="25"/>
      <c r="L2298" s="25"/>
      <c r="M2298" s="42" t="s">
        <v>253</v>
      </c>
      <c r="N2298" s="41">
        <v>44932</v>
      </c>
      <c r="O2298" s="25">
        <v>221</v>
      </c>
      <c r="P2298" s="25">
        <v>0</v>
      </c>
      <c r="Q2298" s="25"/>
      <c r="R2298" s="25"/>
      <c r="S2298" s="25"/>
      <c r="T2298" s="10"/>
    </row>
    <row r="2299" s="35" customFormat="1" ht="18.5" customHeight="1" spans="1:20">
      <c r="A2299" s="9"/>
      <c r="B2299" s="25"/>
      <c r="C2299" s="25"/>
      <c r="D2299" s="25"/>
      <c r="E2299" s="25"/>
      <c r="F2299" s="25"/>
      <c r="G2299" s="25"/>
      <c r="H2299" s="25"/>
      <c r="I2299" s="25"/>
      <c r="J2299" s="25"/>
      <c r="K2299" s="25"/>
      <c r="L2299" s="25"/>
      <c r="M2299" s="42" t="s">
        <v>253</v>
      </c>
      <c r="N2299" s="41">
        <v>45143</v>
      </c>
      <c r="O2299" s="25">
        <v>1118</v>
      </c>
      <c r="P2299" s="25">
        <v>0</v>
      </c>
      <c r="Q2299" s="25"/>
      <c r="R2299" s="25"/>
      <c r="S2299" s="25"/>
      <c r="T2299" s="10"/>
    </row>
    <row r="2300" s="35" customFormat="1" ht="18.5" customHeight="1" spans="1:20">
      <c r="A2300" s="9"/>
      <c r="B2300" s="25"/>
      <c r="C2300" s="25"/>
      <c r="D2300" s="25"/>
      <c r="E2300" s="25"/>
      <c r="F2300" s="25"/>
      <c r="G2300" s="25"/>
      <c r="H2300" s="25"/>
      <c r="I2300" s="25"/>
      <c r="J2300" s="25"/>
      <c r="K2300" s="25"/>
      <c r="L2300" s="25"/>
      <c r="M2300" s="42" t="s">
        <v>253</v>
      </c>
      <c r="N2300" s="41">
        <v>45263</v>
      </c>
      <c r="O2300" s="25">
        <v>179</v>
      </c>
      <c r="P2300" s="25">
        <v>0</v>
      </c>
      <c r="Q2300" s="25"/>
      <c r="R2300" s="25"/>
      <c r="S2300" s="25"/>
      <c r="T2300" s="10"/>
    </row>
    <row r="2301" s="35" customFormat="1" ht="18.5" customHeight="1" spans="1:20">
      <c r="A2301" s="9"/>
      <c r="B2301" s="25"/>
      <c r="C2301" s="25"/>
      <c r="D2301" s="25"/>
      <c r="E2301" s="25"/>
      <c r="F2301" s="25"/>
      <c r="G2301" s="25"/>
      <c r="H2301" s="25"/>
      <c r="I2301" s="25"/>
      <c r="J2301" s="25"/>
      <c r="K2301" s="25"/>
      <c r="L2301" s="25"/>
      <c r="M2301" s="42" t="s">
        <v>253</v>
      </c>
      <c r="N2301" s="41">
        <v>45091</v>
      </c>
      <c r="O2301" s="25">
        <v>997</v>
      </c>
      <c r="P2301" s="25">
        <v>0</v>
      </c>
      <c r="Q2301" s="25"/>
      <c r="R2301" s="25"/>
      <c r="S2301" s="25"/>
      <c r="T2301" s="10"/>
    </row>
    <row r="2302" s="35" customFormat="1" ht="18.5" customHeight="1" spans="1:20">
      <c r="A2302" s="9"/>
      <c r="B2302" s="25"/>
      <c r="C2302" s="25"/>
      <c r="D2302" s="25"/>
      <c r="E2302" s="25"/>
      <c r="F2302" s="25"/>
      <c r="G2302" s="25"/>
      <c r="H2302" s="25"/>
      <c r="I2302" s="25"/>
      <c r="J2302" s="25"/>
      <c r="K2302" s="25"/>
      <c r="L2302" s="25"/>
      <c r="M2302" s="42" t="s">
        <v>253</v>
      </c>
      <c r="N2302" s="41">
        <v>45006</v>
      </c>
      <c r="O2302" s="25">
        <v>898</v>
      </c>
      <c r="P2302" s="25">
        <v>0</v>
      </c>
      <c r="Q2302" s="25"/>
      <c r="R2302" s="25"/>
      <c r="S2302" s="25"/>
      <c r="T2302" s="10"/>
    </row>
    <row r="2303" s="35" customFormat="1" ht="18.5" customHeight="1" spans="1:20">
      <c r="A2303" s="9"/>
      <c r="B2303" s="25"/>
      <c r="C2303" s="25"/>
      <c r="D2303" s="25"/>
      <c r="E2303" s="25"/>
      <c r="F2303" s="25"/>
      <c r="G2303" s="25"/>
      <c r="H2303" s="25"/>
      <c r="I2303" s="25"/>
      <c r="J2303" s="25"/>
      <c r="K2303" s="25"/>
      <c r="L2303" s="25"/>
      <c r="M2303" s="42" t="s">
        <v>253</v>
      </c>
      <c r="N2303" s="41">
        <v>45028</v>
      </c>
      <c r="O2303" s="25">
        <v>271</v>
      </c>
      <c r="P2303" s="25">
        <v>0</v>
      </c>
      <c r="Q2303" s="25"/>
      <c r="R2303" s="25"/>
      <c r="S2303" s="25"/>
      <c r="T2303" s="10"/>
    </row>
    <row r="2304" s="35" customFormat="1" ht="18.5" customHeight="1" spans="1:20">
      <c r="A2304" s="9"/>
      <c r="B2304" s="25"/>
      <c r="C2304" s="25"/>
      <c r="D2304" s="25"/>
      <c r="E2304" s="25"/>
      <c r="F2304" s="25"/>
      <c r="G2304" s="25"/>
      <c r="H2304" s="25"/>
      <c r="I2304" s="25"/>
      <c r="J2304" s="25"/>
      <c r="K2304" s="25"/>
      <c r="L2304" s="25"/>
      <c r="M2304" s="42" t="s">
        <v>253</v>
      </c>
      <c r="N2304" s="41">
        <v>44972</v>
      </c>
      <c r="O2304" s="25">
        <v>779</v>
      </c>
      <c r="P2304" s="25">
        <v>0</v>
      </c>
      <c r="Q2304" s="25"/>
      <c r="R2304" s="25"/>
      <c r="S2304" s="25"/>
      <c r="T2304" s="10"/>
    </row>
    <row r="2305" s="35" customFormat="1" ht="18.5" customHeight="1" spans="1:20">
      <c r="A2305" s="9"/>
      <c r="B2305" s="25"/>
      <c r="C2305" s="25"/>
      <c r="D2305" s="25"/>
      <c r="E2305" s="25"/>
      <c r="F2305" s="25"/>
      <c r="G2305" s="25"/>
      <c r="H2305" s="25"/>
      <c r="I2305" s="25"/>
      <c r="J2305" s="25"/>
      <c r="K2305" s="25"/>
      <c r="L2305" s="25"/>
      <c r="M2305" s="42" t="s">
        <v>253</v>
      </c>
      <c r="N2305" s="41">
        <v>45227</v>
      </c>
      <c r="O2305" s="25">
        <v>738</v>
      </c>
      <c r="P2305" s="25">
        <v>0</v>
      </c>
      <c r="Q2305" s="25"/>
      <c r="R2305" s="25"/>
      <c r="S2305" s="25"/>
      <c r="T2305" s="10"/>
    </row>
    <row r="2306" s="35" customFormat="1" ht="18.5" customHeight="1" spans="1:20">
      <c r="A2306" s="9"/>
      <c r="B2306" s="25"/>
      <c r="C2306" s="25"/>
      <c r="D2306" s="25"/>
      <c r="E2306" s="25"/>
      <c r="F2306" s="25"/>
      <c r="G2306" s="25"/>
      <c r="H2306" s="25"/>
      <c r="I2306" s="25"/>
      <c r="J2306" s="25"/>
      <c r="K2306" s="25"/>
      <c r="L2306" s="25"/>
      <c r="M2306" s="42" t="s">
        <v>253</v>
      </c>
      <c r="N2306" s="41">
        <v>44978</v>
      </c>
      <c r="O2306" s="25">
        <v>684</v>
      </c>
      <c r="P2306" s="25">
        <v>0</v>
      </c>
      <c r="Q2306" s="25"/>
      <c r="R2306" s="25"/>
      <c r="S2306" s="25"/>
      <c r="T2306" s="10"/>
    </row>
    <row r="2307" s="35" customFormat="1" ht="18.5" customHeight="1" spans="1:20">
      <c r="A2307" s="9"/>
      <c r="B2307" s="25"/>
      <c r="C2307" s="25"/>
      <c r="D2307" s="25"/>
      <c r="E2307" s="25"/>
      <c r="F2307" s="25"/>
      <c r="G2307" s="25"/>
      <c r="H2307" s="25"/>
      <c r="I2307" s="25"/>
      <c r="J2307" s="25"/>
      <c r="K2307" s="25"/>
      <c r="L2307" s="25"/>
      <c r="M2307" s="42" t="s">
        <v>253</v>
      </c>
      <c r="N2307" s="41">
        <v>44927</v>
      </c>
      <c r="O2307" s="25">
        <v>671</v>
      </c>
      <c r="P2307" s="25">
        <v>0</v>
      </c>
      <c r="Q2307" s="25"/>
      <c r="R2307" s="25"/>
      <c r="S2307" s="25"/>
      <c r="T2307" s="10"/>
    </row>
    <row r="2308" s="35" customFormat="1" ht="18.5" customHeight="1" spans="1:20">
      <c r="A2308" s="9"/>
      <c r="B2308" s="25"/>
      <c r="C2308" s="25"/>
      <c r="D2308" s="25"/>
      <c r="E2308" s="25"/>
      <c r="F2308" s="25"/>
      <c r="G2308" s="25"/>
      <c r="H2308" s="25"/>
      <c r="I2308" s="25"/>
      <c r="J2308" s="25"/>
      <c r="K2308" s="25"/>
      <c r="L2308" s="25"/>
      <c r="M2308" s="42" t="s">
        <v>253</v>
      </c>
      <c r="N2308" s="41">
        <v>45048</v>
      </c>
      <c r="O2308" s="25">
        <v>652</v>
      </c>
      <c r="P2308" s="25">
        <v>0</v>
      </c>
      <c r="Q2308" s="25"/>
      <c r="R2308" s="25"/>
      <c r="S2308" s="25"/>
      <c r="T2308" s="10"/>
    </row>
    <row r="2309" s="35" customFormat="1" ht="18.5" customHeight="1" spans="1:20">
      <c r="A2309" s="9"/>
      <c r="B2309" s="25"/>
      <c r="C2309" s="25"/>
      <c r="D2309" s="25"/>
      <c r="E2309" s="25"/>
      <c r="F2309" s="25"/>
      <c r="G2309" s="25"/>
      <c r="H2309" s="25"/>
      <c r="I2309" s="25"/>
      <c r="J2309" s="25"/>
      <c r="K2309" s="25"/>
      <c r="L2309" s="25"/>
      <c r="M2309" s="42" t="s">
        <v>253</v>
      </c>
      <c r="N2309" s="41">
        <v>45054</v>
      </c>
      <c r="O2309" s="25">
        <v>627</v>
      </c>
      <c r="P2309" s="25">
        <v>0</v>
      </c>
      <c r="Q2309" s="25"/>
      <c r="R2309" s="25"/>
      <c r="S2309" s="25"/>
      <c r="T2309" s="10"/>
    </row>
    <row r="2310" s="35" customFormat="1" ht="18.5" customHeight="1" spans="1:20">
      <c r="A2310" s="9"/>
      <c r="B2310" s="25"/>
      <c r="C2310" s="25"/>
      <c r="D2310" s="25"/>
      <c r="E2310" s="25"/>
      <c r="F2310" s="25"/>
      <c r="G2310" s="25"/>
      <c r="H2310" s="25"/>
      <c r="I2310" s="25"/>
      <c r="J2310" s="25"/>
      <c r="K2310" s="25"/>
      <c r="L2310" s="25"/>
      <c r="M2310" s="42" t="s">
        <v>253</v>
      </c>
      <c r="N2310" s="41">
        <v>45004</v>
      </c>
      <c r="O2310" s="25">
        <v>623</v>
      </c>
      <c r="P2310" s="25">
        <v>0</v>
      </c>
      <c r="Q2310" s="25"/>
      <c r="R2310" s="25"/>
      <c r="S2310" s="25"/>
      <c r="T2310" s="10"/>
    </row>
    <row r="2311" s="35" customFormat="1" ht="18.5" customHeight="1" spans="1:20">
      <c r="A2311" s="9"/>
      <c r="B2311" s="25"/>
      <c r="C2311" s="25"/>
      <c r="D2311" s="25"/>
      <c r="E2311" s="25"/>
      <c r="F2311" s="25"/>
      <c r="G2311" s="25"/>
      <c r="H2311" s="25"/>
      <c r="I2311" s="25"/>
      <c r="J2311" s="25"/>
      <c r="K2311" s="25"/>
      <c r="L2311" s="25"/>
      <c r="M2311" s="42" t="s">
        <v>253</v>
      </c>
      <c r="N2311" s="41">
        <v>45000</v>
      </c>
      <c r="O2311" s="25">
        <v>578</v>
      </c>
      <c r="P2311" s="25">
        <v>0</v>
      </c>
      <c r="Q2311" s="25"/>
      <c r="R2311" s="25"/>
      <c r="S2311" s="25"/>
      <c r="T2311" s="10"/>
    </row>
    <row r="2312" s="35" customFormat="1" ht="18.5" customHeight="1" spans="1:20">
      <c r="A2312" s="9"/>
      <c r="B2312" s="25"/>
      <c r="C2312" s="25"/>
      <c r="D2312" s="25"/>
      <c r="E2312" s="25"/>
      <c r="F2312" s="25"/>
      <c r="G2312" s="25"/>
      <c r="H2312" s="25"/>
      <c r="I2312" s="25"/>
      <c r="J2312" s="25"/>
      <c r="K2312" s="25"/>
      <c r="L2312" s="25"/>
      <c r="M2312" s="42" t="s">
        <v>253</v>
      </c>
      <c r="N2312" s="41">
        <v>45084</v>
      </c>
      <c r="O2312" s="25">
        <v>540</v>
      </c>
      <c r="P2312" s="25">
        <v>0</v>
      </c>
      <c r="Q2312" s="25"/>
      <c r="R2312" s="25"/>
      <c r="S2312" s="25"/>
      <c r="T2312" s="10"/>
    </row>
    <row r="2313" s="35" customFormat="1" ht="18.5" customHeight="1" spans="1:20">
      <c r="A2313" s="9"/>
      <c r="B2313" s="25"/>
      <c r="C2313" s="25"/>
      <c r="D2313" s="25"/>
      <c r="E2313" s="25"/>
      <c r="F2313" s="25"/>
      <c r="G2313" s="25"/>
      <c r="H2313" s="25"/>
      <c r="I2313" s="25"/>
      <c r="J2313" s="25"/>
      <c r="K2313" s="25"/>
      <c r="L2313" s="25"/>
      <c r="M2313" s="42" t="s">
        <v>253</v>
      </c>
      <c r="N2313" s="41">
        <v>45055</v>
      </c>
      <c r="O2313" s="25">
        <v>537</v>
      </c>
      <c r="P2313" s="25">
        <v>0</v>
      </c>
      <c r="Q2313" s="25"/>
      <c r="R2313" s="25"/>
      <c r="S2313" s="25"/>
      <c r="T2313" s="10"/>
    </row>
    <row r="2314" s="35" customFormat="1" ht="18.5" customHeight="1" spans="1:20">
      <c r="A2314" s="9"/>
      <c r="B2314" s="25"/>
      <c r="C2314" s="25"/>
      <c r="D2314" s="25"/>
      <c r="E2314" s="25"/>
      <c r="F2314" s="25"/>
      <c r="G2314" s="25"/>
      <c r="H2314" s="25"/>
      <c r="I2314" s="25"/>
      <c r="J2314" s="25"/>
      <c r="K2314" s="25"/>
      <c r="L2314" s="25"/>
      <c r="M2314" s="42" t="s">
        <v>253</v>
      </c>
      <c r="N2314" s="41">
        <v>45001</v>
      </c>
      <c r="O2314" s="25">
        <v>530</v>
      </c>
      <c r="P2314" s="25">
        <v>0</v>
      </c>
      <c r="Q2314" s="25"/>
      <c r="R2314" s="25"/>
      <c r="S2314" s="25"/>
      <c r="T2314" s="10"/>
    </row>
    <row r="2315" s="35" customFormat="1" ht="18.5" customHeight="1" spans="1:20">
      <c r="A2315" s="9"/>
      <c r="B2315" s="25"/>
      <c r="C2315" s="25"/>
      <c r="D2315" s="25"/>
      <c r="E2315" s="25"/>
      <c r="F2315" s="25"/>
      <c r="G2315" s="25"/>
      <c r="H2315" s="25"/>
      <c r="I2315" s="25"/>
      <c r="J2315" s="25"/>
      <c r="K2315" s="25"/>
      <c r="L2315" s="25"/>
      <c r="M2315" s="42" t="s">
        <v>253</v>
      </c>
      <c r="N2315" s="41">
        <v>44946</v>
      </c>
      <c r="O2315" s="25">
        <v>522</v>
      </c>
      <c r="P2315" s="25">
        <v>0</v>
      </c>
      <c r="Q2315" s="25"/>
      <c r="R2315" s="25"/>
      <c r="S2315" s="25"/>
      <c r="T2315" s="10"/>
    </row>
    <row r="2316" s="35" customFormat="1" ht="18.5" customHeight="1" spans="1:20">
      <c r="A2316" s="9"/>
      <c r="B2316" s="25"/>
      <c r="C2316" s="25"/>
      <c r="D2316" s="25"/>
      <c r="E2316" s="25"/>
      <c r="F2316" s="25"/>
      <c r="G2316" s="25"/>
      <c r="H2316" s="25"/>
      <c r="I2316" s="25"/>
      <c r="J2316" s="25"/>
      <c r="K2316" s="25"/>
      <c r="L2316" s="25"/>
      <c r="M2316" s="42" t="s">
        <v>253</v>
      </c>
      <c r="N2316" s="41">
        <v>44977</v>
      </c>
      <c r="O2316" s="25">
        <v>488</v>
      </c>
      <c r="P2316" s="25">
        <v>0</v>
      </c>
      <c r="Q2316" s="25"/>
      <c r="R2316" s="25"/>
      <c r="S2316" s="25"/>
      <c r="T2316" s="10"/>
    </row>
    <row r="2317" s="35" customFormat="1" ht="18.5" customHeight="1" spans="1:20">
      <c r="A2317" s="9"/>
      <c r="B2317" s="25"/>
      <c r="C2317" s="25"/>
      <c r="D2317" s="25"/>
      <c r="E2317" s="25"/>
      <c r="F2317" s="25"/>
      <c r="G2317" s="25"/>
      <c r="H2317" s="25"/>
      <c r="I2317" s="25"/>
      <c r="J2317" s="25"/>
      <c r="K2317" s="25"/>
      <c r="L2317" s="25"/>
      <c r="M2317" s="42" t="s">
        <v>253</v>
      </c>
      <c r="N2317" s="41">
        <v>45236</v>
      </c>
      <c r="O2317" s="25">
        <v>462</v>
      </c>
      <c r="P2317" s="25">
        <v>0</v>
      </c>
      <c r="Q2317" s="25"/>
      <c r="R2317" s="25"/>
      <c r="S2317" s="25"/>
      <c r="T2317" s="10"/>
    </row>
    <row r="2318" s="35" customFormat="1" ht="18.5" customHeight="1" spans="1:20">
      <c r="A2318" s="9"/>
      <c r="B2318" s="25"/>
      <c r="C2318" s="25"/>
      <c r="D2318" s="25"/>
      <c r="E2318" s="25"/>
      <c r="F2318" s="25"/>
      <c r="G2318" s="25"/>
      <c r="H2318" s="25"/>
      <c r="I2318" s="25"/>
      <c r="J2318" s="25"/>
      <c r="K2318" s="25"/>
      <c r="L2318" s="25"/>
      <c r="M2318" s="42" t="s">
        <v>253</v>
      </c>
      <c r="N2318" s="41">
        <v>45064</v>
      </c>
      <c r="O2318" s="25">
        <v>451</v>
      </c>
      <c r="P2318" s="25">
        <v>0</v>
      </c>
      <c r="Q2318" s="25"/>
      <c r="R2318" s="25"/>
      <c r="S2318" s="25"/>
      <c r="T2318" s="10"/>
    </row>
    <row r="2319" s="35" customFormat="1" ht="18.5" customHeight="1" spans="1:20">
      <c r="A2319" s="9"/>
      <c r="B2319" s="25"/>
      <c r="C2319" s="25"/>
      <c r="D2319" s="25"/>
      <c r="E2319" s="25"/>
      <c r="F2319" s="25"/>
      <c r="G2319" s="25"/>
      <c r="H2319" s="25"/>
      <c r="I2319" s="25"/>
      <c r="J2319" s="25"/>
      <c r="K2319" s="25"/>
      <c r="L2319" s="25"/>
      <c r="M2319" s="42" t="s">
        <v>253</v>
      </c>
      <c r="N2319" s="41">
        <v>44929</v>
      </c>
      <c r="O2319" s="25">
        <v>437</v>
      </c>
      <c r="P2319" s="25">
        <v>0</v>
      </c>
      <c r="Q2319" s="25"/>
      <c r="R2319" s="25"/>
      <c r="S2319" s="25"/>
      <c r="T2319" s="10"/>
    </row>
    <row r="2320" s="35" customFormat="1" ht="18.5" customHeight="1" spans="1:20">
      <c r="A2320" s="9"/>
      <c r="B2320" s="25"/>
      <c r="C2320" s="25"/>
      <c r="D2320" s="25"/>
      <c r="E2320" s="25"/>
      <c r="F2320" s="25"/>
      <c r="G2320" s="25"/>
      <c r="H2320" s="25"/>
      <c r="I2320" s="25"/>
      <c r="J2320" s="25"/>
      <c r="K2320" s="25"/>
      <c r="L2320" s="25"/>
      <c r="M2320" s="42" t="s">
        <v>253</v>
      </c>
      <c r="N2320" s="41">
        <v>45082</v>
      </c>
      <c r="O2320" s="25">
        <v>436</v>
      </c>
      <c r="P2320" s="25">
        <v>0</v>
      </c>
      <c r="Q2320" s="25"/>
      <c r="R2320" s="25"/>
      <c r="S2320" s="25"/>
      <c r="T2320" s="10"/>
    </row>
    <row r="2321" s="35" customFormat="1" ht="18.5" customHeight="1" spans="1:20">
      <c r="A2321" s="9"/>
      <c r="B2321" s="25"/>
      <c r="C2321" s="25"/>
      <c r="D2321" s="25"/>
      <c r="E2321" s="25"/>
      <c r="F2321" s="25"/>
      <c r="G2321" s="25"/>
      <c r="H2321" s="25"/>
      <c r="I2321" s="25"/>
      <c r="J2321" s="25"/>
      <c r="K2321" s="25"/>
      <c r="L2321" s="25"/>
      <c r="M2321" s="42" t="s">
        <v>253</v>
      </c>
      <c r="N2321" s="41">
        <v>44992</v>
      </c>
      <c r="O2321" s="25">
        <v>415</v>
      </c>
      <c r="P2321" s="25">
        <v>0</v>
      </c>
      <c r="Q2321" s="25"/>
      <c r="R2321" s="25"/>
      <c r="S2321" s="25"/>
      <c r="T2321" s="10"/>
    </row>
    <row r="2322" s="35" customFormat="1" ht="18.5" customHeight="1" spans="1:20">
      <c r="A2322" s="9"/>
      <c r="B2322" s="25"/>
      <c r="C2322" s="25"/>
      <c r="D2322" s="25"/>
      <c r="E2322" s="25"/>
      <c r="F2322" s="25"/>
      <c r="G2322" s="25"/>
      <c r="H2322" s="25"/>
      <c r="I2322" s="25"/>
      <c r="J2322" s="25"/>
      <c r="K2322" s="25"/>
      <c r="L2322" s="25"/>
      <c r="M2322" s="42" t="s">
        <v>253</v>
      </c>
      <c r="N2322" s="41">
        <v>45008</v>
      </c>
      <c r="O2322" s="25">
        <v>411</v>
      </c>
      <c r="P2322" s="25">
        <v>0</v>
      </c>
      <c r="Q2322" s="25"/>
      <c r="R2322" s="25"/>
      <c r="S2322" s="25"/>
      <c r="T2322" s="10"/>
    </row>
    <row r="2323" s="35" customFormat="1" ht="18.5" customHeight="1" spans="1:20">
      <c r="A2323" s="9"/>
      <c r="B2323" s="25"/>
      <c r="C2323" s="25"/>
      <c r="D2323" s="25"/>
      <c r="E2323" s="25"/>
      <c r="F2323" s="25"/>
      <c r="G2323" s="25"/>
      <c r="H2323" s="25"/>
      <c r="I2323" s="25"/>
      <c r="J2323" s="25"/>
      <c r="K2323" s="25"/>
      <c r="L2323" s="25"/>
      <c r="M2323" s="42" t="s">
        <v>253</v>
      </c>
      <c r="N2323" s="41">
        <v>45074</v>
      </c>
      <c r="O2323" s="25">
        <v>401</v>
      </c>
      <c r="P2323" s="25">
        <v>0</v>
      </c>
      <c r="Q2323" s="25"/>
      <c r="R2323" s="25"/>
      <c r="S2323" s="25"/>
      <c r="T2323" s="10"/>
    </row>
    <row r="2324" s="35" customFormat="1" ht="18.5" customHeight="1" spans="1:20">
      <c r="A2324" s="9"/>
      <c r="B2324" s="25"/>
      <c r="C2324" s="25"/>
      <c r="D2324" s="25"/>
      <c r="E2324" s="25"/>
      <c r="F2324" s="25"/>
      <c r="G2324" s="25"/>
      <c r="H2324" s="25"/>
      <c r="I2324" s="25"/>
      <c r="J2324" s="25"/>
      <c r="K2324" s="25"/>
      <c r="L2324" s="25"/>
      <c r="M2324" s="42" t="s">
        <v>253</v>
      </c>
      <c r="N2324" s="41">
        <v>44986</v>
      </c>
      <c r="O2324" s="25">
        <v>401</v>
      </c>
      <c r="P2324" s="25">
        <v>0</v>
      </c>
      <c r="Q2324" s="25"/>
      <c r="R2324" s="25"/>
      <c r="S2324" s="25"/>
      <c r="T2324" s="10"/>
    </row>
    <row r="2325" s="35" customFormat="1" ht="18.5" customHeight="1" spans="1:20">
      <c r="A2325" s="9"/>
      <c r="B2325" s="25"/>
      <c r="C2325" s="25"/>
      <c r="D2325" s="25"/>
      <c r="E2325" s="25"/>
      <c r="F2325" s="25"/>
      <c r="G2325" s="25"/>
      <c r="H2325" s="25"/>
      <c r="I2325" s="25"/>
      <c r="J2325" s="25"/>
      <c r="K2325" s="25"/>
      <c r="L2325" s="25"/>
      <c r="M2325" s="42" t="s">
        <v>253</v>
      </c>
      <c r="N2325" s="41">
        <v>44988</v>
      </c>
      <c r="O2325" s="25">
        <v>397</v>
      </c>
      <c r="P2325" s="25">
        <v>0</v>
      </c>
      <c r="Q2325" s="25"/>
      <c r="R2325" s="25"/>
      <c r="S2325" s="25"/>
      <c r="T2325" s="10"/>
    </row>
    <row r="2326" s="35" customFormat="1" ht="18.5" customHeight="1" spans="1:20">
      <c r="A2326" s="9"/>
      <c r="B2326" s="25"/>
      <c r="C2326" s="25"/>
      <c r="D2326" s="25"/>
      <c r="E2326" s="25"/>
      <c r="F2326" s="25"/>
      <c r="G2326" s="25"/>
      <c r="H2326" s="25"/>
      <c r="I2326" s="25"/>
      <c r="J2326" s="25"/>
      <c r="K2326" s="25"/>
      <c r="L2326" s="25"/>
      <c r="M2326" s="42" t="s">
        <v>253</v>
      </c>
      <c r="N2326" s="41">
        <v>44991</v>
      </c>
      <c r="O2326" s="25">
        <v>377</v>
      </c>
      <c r="P2326" s="25">
        <v>0</v>
      </c>
      <c r="Q2326" s="25"/>
      <c r="R2326" s="25"/>
      <c r="S2326" s="25"/>
      <c r="T2326" s="10"/>
    </row>
    <row r="2327" s="35" customFormat="1" ht="18.5" customHeight="1" spans="1:20">
      <c r="A2327" s="9"/>
      <c r="B2327" s="25"/>
      <c r="C2327" s="25"/>
      <c r="D2327" s="25"/>
      <c r="E2327" s="25"/>
      <c r="F2327" s="25"/>
      <c r="G2327" s="25"/>
      <c r="H2327" s="25"/>
      <c r="I2327" s="25"/>
      <c r="J2327" s="25"/>
      <c r="K2327" s="25"/>
      <c r="L2327" s="25"/>
      <c r="M2327" s="42" t="s">
        <v>253</v>
      </c>
      <c r="N2327" s="41">
        <v>45051</v>
      </c>
      <c r="O2327" s="25">
        <v>365</v>
      </c>
      <c r="P2327" s="25">
        <v>0</v>
      </c>
      <c r="Q2327" s="25"/>
      <c r="R2327" s="25"/>
      <c r="S2327" s="25"/>
      <c r="T2327" s="10"/>
    </row>
    <row r="2328" s="35" customFormat="1" ht="18.5" customHeight="1" spans="1:20">
      <c r="A2328" s="9"/>
      <c r="B2328" s="25"/>
      <c r="C2328" s="25"/>
      <c r="D2328" s="25"/>
      <c r="E2328" s="25"/>
      <c r="F2328" s="25"/>
      <c r="G2328" s="25"/>
      <c r="H2328" s="25"/>
      <c r="I2328" s="25"/>
      <c r="J2328" s="25"/>
      <c r="K2328" s="25"/>
      <c r="L2328" s="25"/>
      <c r="M2328" s="42" t="s">
        <v>253</v>
      </c>
      <c r="N2328" s="41">
        <v>45014</v>
      </c>
      <c r="O2328" s="25">
        <v>363</v>
      </c>
      <c r="P2328" s="25">
        <v>0</v>
      </c>
      <c r="Q2328" s="25"/>
      <c r="R2328" s="25"/>
      <c r="S2328" s="25"/>
      <c r="T2328" s="10"/>
    </row>
    <row r="2329" s="35" customFormat="1" ht="18.5" customHeight="1" spans="1:20">
      <c r="A2329" s="9"/>
      <c r="B2329" s="25"/>
      <c r="C2329" s="25"/>
      <c r="D2329" s="25"/>
      <c r="E2329" s="25"/>
      <c r="F2329" s="25"/>
      <c r="G2329" s="25"/>
      <c r="H2329" s="25"/>
      <c r="I2329" s="25"/>
      <c r="J2329" s="25"/>
      <c r="K2329" s="25"/>
      <c r="L2329" s="25"/>
      <c r="M2329" s="42" t="s">
        <v>253</v>
      </c>
      <c r="N2329" s="41">
        <v>45056</v>
      </c>
      <c r="O2329" s="25">
        <v>361</v>
      </c>
      <c r="P2329" s="25">
        <v>0</v>
      </c>
      <c r="Q2329" s="25"/>
      <c r="R2329" s="25"/>
      <c r="S2329" s="25"/>
      <c r="T2329" s="10"/>
    </row>
    <row r="2330" s="35" customFormat="1" ht="18.5" customHeight="1" spans="1:20">
      <c r="A2330" s="9"/>
      <c r="B2330" s="25"/>
      <c r="C2330" s="25"/>
      <c r="D2330" s="25"/>
      <c r="E2330" s="25"/>
      <c r="F2330" s="25"/>
      <c r="G2330" s="25"/>
      <c r="H2330" s="25"/>
      <c r="I2330" s="25"/>
      <c r="J2330" s="25"/>
      <c r="K2330" s="25"/>
      <c r="L2330" s="25"/>
      <c r="M2330" s="42" t="s">
        <v>253</v>
      </c>
      <c r="N2330" s="41">
        <v>45047</v>
      </c>
      <c r="O2330" s="25">
        <v>359</v>
      </c>
      <c r="P2330" s="25">
        <v>0</v>
      </c>
      <c r="Q2330" s="25"/>
      <c r="R2330" s="25"/>
      <c r="S2330" s="25"/>
      <c r="T2330" s="10"/>
    </row>
    <row r="2331" s="35" customFormat="1" ht="18.5" customHeight="1" spans="1:20">
      <c r="A2331" s="9"/>
      <c r="B2331" s="25"/>
      <c r="C2331" s="25"/>
      <c r="D2331" s="25"/>
      <c r="E2331" s="25"/>
      <c r="F2331" s="25"/>
      <c r="G2331" s="25"/>
      <c r="H2331" s="25"/>
      <c r="I2331" s="25"/>
      <c r="J2331" s="25"/>
      <c r="K2331" s="25"/>
      <c r="L2331" s="25"/>
      <c r="M2331" s="42" t="s">
        <v>253</v>
      </c>
      <c r="N2331" s="41">
        <v>45195</v>
      </c>
      <c r="O2331" s="25">
        <v>355</v>
      </c>
      <c r="P2331" s="25">
        <v>0</v>
      </c>
      <c r="Q2331" s="25"/>
      <c r="R2331" s="25"/>
      <c r="S2331" s="25"/>
      <c r="T2331" s="10"/>
    </row>
    <row r="2332" s="35" customFormat="1" ht="18.5" customHeight="1" spans="1:20">
      <c r="A2332" s="9"/>
      <c r="B2332" s="25"/>
      <c r="C2332" s="25"/>
      <c r="D2332" s="25"/>
      <c r="E2332" s="25"/>
      <c r="F2332" s="25"/>
      <c r="G2332" s="25"/>
      <c r="H2332" s="25"/>
      <c r="I2332" s="25"/>
      <c r="J2332" s="25"/>
      <c r="K2332" s="25"/>
      <c r="L2332" s="25"/>
      <c r="M2332" s="42" t="s">
        <v>253</v>
      </c>
      <c r="N2332" s="41">
        <v>45212</v>
      </c>
      <c r="O2332" s="25">
        <v>353</v>
      </c>
      <c r="P2332" s="25">
        <v>0</v>
      </c>
      <c r="Q2332" s="25"/>
      <c r="R2332" s="25"/>
      <c r="S2332" s="25"/>
      <c r="T2332" s="10"/>
    </row>
    <row r="2333" s="35" customFormat="1" ht="18.5" customHeight="1" spans="1:20">
      <c r="A2333" s="9"/>
      <c r="B2333" s="25"/>
      <c r="C2333" s="25"/>
      <c r="D2333" s="25"/>
      <c r="E2333" s="25"/>
      <c r="F2333" s="25"/>
      <c r="G2333" s="25"/>
      <c r="H2333" s="25"/>
      <c r="I2333" s="25"/>
      <c r="J2333" s="25"/>
      <c r="K2333" s="25"/>
      <c r="L2333" s="25"/>
      <c r="M2333" s="42" t="s">
        <v>253</v>
      </c>
      <c r="N2333" s="41">
        <v>44952</v>
      </c>
      <c r="O2333" s="25">
        <v>350</v>
      </c>
      <c r="P2333" s="25">
        <v>0</v>
      </c>
      <c r="Q2333" s="25"/>
      <c r="R2333" s="25"/>
      <c r="S2333" s="25"/>
      <c r="T2333" s="10"/>
    </row>
    <row r="2334" s="35" customFormat="1" ht="18.5" customHeight="1" spans="1:20">
      <c r="A2334" s="9"/>
      <c r="B2334" s="25"/>
      <c r="C2334" s="25"/>
      <c r="D2334" s="25"/>
      <c r="E2334" s="25"/>
      <c r="F2334" s="25"/>
      <c r="G2334" s="25"/>
      <c r="H2334" s="25"/>
      <c r="I2334" s="25"/>
      <c r="J2334" s="25"/>
      <c r="K2334" s="25"/>
      <c r="L2334" s="25"/>
      <c r="M2334" s="42" t="s">
        <v>253</v>
      </c>
      <c r="N2334" s="41">
        <v>45244</v>
      </c>
      <c r="O2334" s="25">
        <v>342</v>
      </c>
      <c r="P2334" s="25">
        <v>0</v>
      </c>
      <c r="Q2334" s="25"/>
      <c r="R2334" s="25"/>
      <c r="S2334" s="25"/>
      <c r="T2334" s="10"/>
    </row>
    <row r="2335" s="35" customFormat="1" ht="18.5" customHeight="1" spans="1:20">
      <c r="A2335" s="9"/>
      <c r="B2335" s="25"/>
      <c r="C2335" s="25"/>
      <c r="D2335" s="25"/>
      <c r="E2335" s="25"/>
      <c r="F2335" s="25"/>
      <c r="G2335" s="25"/>
      <c r="H2335" s="25"/>
      <c r="I2335" s="25"/>
      <c r="J2335" s="25"/>
      <c r="K2335" s="25"/>
      <c r="L2335" s="25"/>
      <c r="M2335" s="42" t="s">
        <v>253</v>
      </c>
      <c r="N2335" s="41">
        <v>44932</v>
      </c>
      <c r="O2335" s="25">
        <v>341</v>
      </c>
      <c r="P2335" s="25">
        <v>0</v>
      </c>
      <c r="Q2335" s="25"/>
      <c r="R2335" s="25"/>
      <c r="S2335" s="25"/>
      <c r="T2335" s="10"/>
    </row>
    <row r="2336" s="35" customFormat="1" ht="18.5" customHeight="1" spans="1:20">
      <c r="A2336" s="9"/>
      <c r="B2336" s="25"/>
      <c r="C2336" s="25"/>
      <c r="D2336" s="25"/>
      <c r="E2336" s="25"/>
      <c r="F2336" s="25"/>
      <c r="G2336" s="25"/>
      <c r="H2336" s="25"/>
      <c r="I2336" s="25"/>
      <c r="J2336" s="25"/>
      <c r="K2336" s="25"/>
      <c r="L2336" s="25"/>
      <c r="M2336" s="42" t="s">
        <v>253</v>
      </c>
      <c r="N2336" s="41">
        <v>45249</v>
      </c>
      <c r="O2336" s="25">
        <v>334</v>
      </c>
      <c r="P2336" s="25">
        <v>0</v>
      </c>
      <c r="Q2336" s="25"/>
      <c r="R2336" s="25"/>
      <c r="S2336" s="25"/>
      <c r="T2336" s="10"/>
    </row>
    <row r="2337" s="35" customFormat="1" ht="18.5" customHeight="1" spans="1:20">
      <c r="A2337" s="9"/>
      <c r="B2337" s="25"/>
      <c r="C2337" s="25"/>
      <c r="D2337" s="25"/>
      <c r="E2337" s="25"/>
      <c r="F2337" s="25"/>
      <c r="G2337" s="25"/>
      <c r="H2337" s="25"/>
      <c r="I2337" s="25"/>
      <c r="J2337" s="25"/>
      <c r="K2337" s="25"/>
      <c r="L2337" s="25"/>
      <c r="M2337" s="42" t="s">
        <v>253</v>
      </c>
      <c r="N2337" s="41">
        <v>45145</v>
      </c>
      <c r="O2337" s="25">
        <v>326</v>
      </c>
      <c r="P2337" s="25">
        <v>0</v>
      </c>
      <c r="Q2337" s="25"/>
      <c r="R2337" s="25"/>
      <c r="S2337" s="25"/>
      <c r="T2337" s="10"/>
    </row>
    <row r="2338" s="35" customFormat="1" ht="18.5" customHeight="1" spans="1:20">
      <c r="A2338" s="9"/>
      <c r="B2338" s="25"/>
      <c r="C2338" s="25"/>
      <c r="D2338" s="25"/>
      <c r="E2338" s="25"/>
      <c r="F2338" s="25"/>
      <c r="G2338" s="25"/>
      <c r="H2338" s="25"/>
      <c r="I2338" s="25"/>
      <c r="J2338" s="25"/>
      <c r="K2338" s="25"/>
      <c r="L2338" s="25"/>
      <c r="M2338" s="42" t="s">
        <v>253</v>
      </c>
      <c r="N2338" s="41">
        <v>45247</v>
      </c>
      <c r="O2338" s="25">
        <v>323</v>
      </c>
      <c r="P2338" s="25">
        <v>0</v>
      </c>
      <c r="Q2338" s="25"/>
      <c r="R2338" s="25"/>
      <c r="S2338" s="25"/>
      <c r="T2338" s="10"/>
    </row>
    <row r="2339" s="35" customFormat="1" ht="18.5" customHeight="1" spans="1:20">
      <c r="A2339" s="9"/>
      <c r="B2339" s="25"/>
      <c r="C2339" s="25"/>
      <c r="D2339" s="25"/>
      <c r="E2339" s="25"/>
      <c r="F2339" s="25"/>
      <c r="G2339" s="25"/>
      <c r="H2339" s="25"/>
      <c r="I2339" s="25"/>
      <c r="J2339" s="25"/>
      <c r="K2339" s="25"/>
      <c r="L2339" s="25"/>
      <c r="M2339" s="42" t="s">
        <v>253</v>
      </c>
      <c r="N2339" s="41">
        <v>45091</v>
      </c>
      <c r="O2339" s="25">
        <v>323</v>
      </c>
      <c r="P2339" s="25">
        <v>0</v>
      </c>
      <c r="Q2339" s="25"/>
      <c r="R2339" s="25"/>
      <c r="S2339" s="25"/>
      <c r="T2339" s="10"/>
    </row>
    <row r="2340" s="35" customFormat="1" ht="18.5" customHeight="1" spans="1:20">
      <c r="A2340" s="9"/>
      <c r="B2340" s="25"/>
      <c r="C2340" s="25"/>
      <c r="D2340" s="25"/>
      <c r="E2340" s="25"/>
      <c r="F2340" s="25"/>
      <c r="G2340" s="25"/>
      <c r="H2340" s="25"/>
      <c r="I2340" s="25"/>
      <c r="J2340" s="25"/>
      <c r="K2340" s="25"/>
      <c r="L2340" s="25"/>
      <c r="M2340" s="42" t="s">
        <v>253</v>
      </c>
      <c r="N2340" s="41">
        <v>45058</v>
      </c>
      <c r="O2340" s="25">
        <v>315</v>
      </c>
      <c r="P2340" s="25">
        <v>0</v>
      </c>
      <c r="Q2340" s="25"/>
      <c r="R2340" s="25"/>
      <c r="S2340" s="25"/>
      <c r="T2340" s="10"/>
    </row>
    <row r="2341" s="35" customFormat="1" ht="18.5" customHeight="1" spans="1:20">
      <c r="A2341" s="9"/>
      <c r="B2341" s="25"/>
      <c r="C2341" s="25"/>
      <c r="D2341" s="25"/>
      <c r="E2341" s="25"/>
      <c r="F2341" s="25"/>
      <c r="G2341" s="25"/>
      <c r="H2341" s="25"/>
      <c r="I2341" s="25"/>
      <c r="J2341" s="25"/>
      <c r="K2341" s="25"/>
      <c r="L2341" s="25"/>
      <c r="M2341" s="42" t="s">
        <v>253</v>
      </c>
      <c r="N2341" s="41">
        <v>44932</v>
      </c>
      <c r="O2341" s="25">
        <v>314</v>
      </c>
      <c r="P2341" s="25">
        <v>0</v>
      </c>
      <c r="Q2341" s="25"/>
      <c r="R2341" s="25"/>
      <c r="S2341" s="25"/>
      <c r="T2341" s="10"/>
    </row>
    <row r="2342" s="35" customFormat="1" ht="18.5" customHeight="1" spans="1:20">
      <c r="A2342" s="9"/>
      <c r="B2342" s="25"/>
      <c r="C2342" s="25"/>
      <c r="D2342" s="25"/>
      <c r="E2342" s="25"/>
      <c r="F2342" s="25"/>
      <c r="G2342" s="25"/>
      <c r="H2342" s="25"/>
      <c r="I2342" s="25"/>
      <c r="J2342" s="25"/>
      <c r="K2342" s="25"/>
      <c r="L2342" s="25"/>
      <c r="M2342" s="42" t="s">
        <v>253</v>
      </c>
      <c r="N2342" s="41">
        <v>45056</v>
      </c>
      <c r="O2342" s="25">
        <v>309</v>
      </c>
      <c r="P2342" s="25">
        <v>0</v>
      </c>
      <c r="Q2342" s="25"/>
      <c r="R2342" s="25"/>
      <c r="S2342" s="25"/>
      <c r="T2342" s="10"/>
    </row>
    <row r="2343" s="35" customFormat="1" ht="18.5" customHeight="1" spans="1:20">
      <c r="A2343" s="9"/>
      <c r="B2343" s="25"/>
      <c r="C2343" s="25"/>
      <c r="D2343" s="25"/>
      <c r="E2343" s="25"/>
      <c r="F2343" s="25"/>
      <c r="G2343" s="25"/>
      <c r="H2343" s="25"/>
      <c r="I2343" s="25"/>
      <c r="J2343" s="25"/>
      <c r="K2343" s="25"/>
      <c r="L2343" s="25"/>
      <c r="M2343" s="42" t="s">
        <v>253</v>
      </c>
      <c r="N2343" s="41">
        <v>45035</v>
      </c>
      <c r="O2343" s="25">
        <v>306</v>
      </c>
      <c r="P2343" s="25">
        <v>0</v>
      </c>
      <c r="Q2343" s="25"/>
      <c r="R2343" s="25"/>
      <c r="S2343" s="25"/>
      <c r="T2343" s="10"/>
    </row>
    <row r="2344" s="35" customFormat="1" ht="18.5" customHeight="1" spans="1:20">
      <c r="A2344" s="9"/>
      <c r="B2344" s="25"/>
      <c r="C2344" s="25"/>
      <c r="D2344" s="25"/>
      <c r="E2344" s="25"/>
      <c r="F2344" s="25"/>
      <c r="G2344" s="25"/>
      <c r="H2344" s="25"/>
      <c r="I2344" s="25"/>
      <c r="J2344" s="25"/>
      <c r="K2344" s="25"/>
      <c r="L2344" s="25"/>
      <c r="M2344" s="42" t="s">
        <v>253</v>
      </c>
      <c r="N2344" s="41">
        <v>45036</v>
      </c>
      <c r="O2344" s="25">
        <v>304</v>
      </c>
      <c r="P2344" s="25">
        <v>0</v>
      </c>
      <c r="Q2344" s="25"/>
      <c r="R2344" s="25"/>
      <c r="S2344" s="25"/>
      <c r="T2344" s="10"/>
    </row>
    <row r="2345" s="35" customFormat="1" ht="18.5" customHeight="1" spans="1:20">
      <c r="A2345" s="9"/>
      <c r="B2345" s="25"/>
      <c r="C2345" s="25"/>
      <c r="D2345" s="25"/>
      <c r="E2345" s="25"/>
      <c r="F2345" s="25"/>
      <c r="G2345" s="25"/>
      <c r="H2345" s="25"/>
      <c r="I2345" s="25"/>
      <c r="J2345" s="25"/>
      <c r="K2345" s="25"/>
      <c r="L2345" s="25"/>
      <c r="M2345" s="42" t="s">
        <v>253</v>
      </c>
      <c r="N2345" s="41">
        <v>45084</v>
      </c>
      <c r="O2345" s="25">
        <v>300</v>
      </c>
      <c r="P2345" s="25">
        <v>0</v>
      </c>
      <c r="Q2345" s="25"/>
      <c r="R2345" s="25"/>
      <c r="S2345" s="25"/>
      <c r="T2345" s="10"/>
    </row>
    <row r="2346" s="35" customFormat="1" ht="18.5" customHeight="1" spans="1:20">
      <c r="A2346" s="9"/>
      <c r="B2346" s="25"/>
      <c r="C2346" s="25"/>
      <c r="D2346" s="25"/>
      <c r="E2346" s="25"/>
      <c r="F2346" s="25"/>
      <c r="G2346" s="25"/>
      <c r="H2346" s="25"/>
      <c r="I2346" s="25"/>
      <c r="J2346" s="25"/>
      <c r="K2346" s="25"/>
      <c r="L2346" s="25"/>
      <c r="M2346" s="42" t="s">
        <v>253</v>
      </c>
      <c r="N2346" s="41">
        <v>44973</v>
      </c>
      <c r="O2346" s="25">
        <v>299</v>
      </c>
      <c r="P2346" s="25">
        <v>0</v>
      </c>
      <c r="Q2346" s="25"/>
      <c r="R2346" s="25"/>
      <c r="S2346" s="25"/>
      <c r="T2346" s="10"/>
    </row>
    <row r="2347" s="35" customFormat="1" ht="18.5" customHeight="1" spans="1:20">
      <c r="A2347" s="9"/>
      <c r="B2347" s="25"/>
      <c r="C2347" s="25"/>
      <c r="D2347" s="25"/>
      <c r="E2347" s="25"/>
      <c r="F2347" s="25"/>
      <c r="G2347" s="25"/>
      <c r="H2347" s="25"/>
      <c r="I2347" s="25"/>
      <c r="J2347" s="25"/>
      <c r="K2347" s="25"/>
      <c r="L2347" s="25"/>
      <c r="M2347" s="42" t="s">
        <v>253</v>
      </c>
      <c r="N2347" s="41">
        <v>44986</v>
      </c>
      <c r="O2347" s="25">
        <v>295</v>
      </c>
      <c r="P2347" s="25">
        <v>0</v>
      </c>
      <c r="Q2347" s="25"/>
      <c r="R2347" s="25"/>
      <c r="S2347" s="25"/>
      <c r="T2347" s="10"/>
    </row>
    <row r="2348" s="35" customFormat="1" ht="18.5" customHeight="1" spans="1:20">
      <c r="A2348" s="9"/>
      <c r="B2348" s="25"/>
      <c r="C2348" s="25"/>
      <c r="D2348" s="25"/>
      <c r="E2348" s="25"/>
      <c r="F2348" s="25"/>
      <c r="G2348" s="25"/>
      <c r="H2348" s="25"/>
      <c r="I2348" s="25"/>
      <c r="J2348" s="25"/>
      <c r="K2348" s="25"/>
      <c r="L2348" s="25"/>
      <c r="M2348" s="42" t="s">
        <v>253</v>
      </c>
      <c r="N2348" s="41">
        <v>45148</v>
      </c>
      <c r="O2348" s="25">
        <v>292</v>
      </c>
      <c r="P2348" s="25">
        <v>0</v>
      </c>
      <c r="Q2348" s="25"/>
      <c r="R2348" s="25"/>
      <c r="S2348" s="25"/>
      <c r="T2348" s="10"/>
    </row>
    <row r="2349" s="35" customFormat="1" ht="18.5" customHeight="1" spans="1:20">
      <c r="A2349" s="9"/>
      <c r="B2349" s="25"/>
      <c r="C2349" s="25"/>
      <c r="D2349" s="25"/>
      <c r="E2349" s="25"/>
      <c r="F2349" s="25"/>
      <c r="G2349" s="25"/>
      <c r="H2349" s="25"/>
      <c r="I2349" s="25"/>
      <c r="J2349" s="25"/>
      <c r="K2349" s="25"/>
      <c r="L2349" s="25"/>
      <c r="M2349" s="42" t="s">
        <v>253</v>
      </c>
      <c r="N2349" s="41">
        <v>45030</v>
      </c>
      <c r="O2349" s="25">
        <v>291</v>
      </c>
      <c r="P2349" s="25">
        <v>0</v>
      </c>
      <c r="Q2349" s="25"/>
      <c r="R2349" s="25"/>
      <c r="S2349" s="25"/>
      <c r="T2349" s="10"/>
    </row>
    <row r="2350" s="35" customFormat="1" ht="18.5" customHeight="1" spans="1:20">
      <c r="A2350" s="9"/>
      <c r="B2350" s="25"/>
      <c r="C2350" s="25"/>
      <c r="D2350" s="25"/>
      <c r="E2350" s="25"/>
      <c r="F2350" s="25"/>
      <c r="G2350" s="25"/>
      <c r="H2350" s="25"/>
      <c r="I2350" s="25"/>
      <c r="J2350" s="25"/>
      <c r="K2350" s="25"/>
      <c r="L2350" s="25"/>
      <c r="M2350" s="42" t="s">
        <v>253</v>
      </c>
      <c r="N2350" s="41">
        <v>44950</v>
      </c>
      <c r="O2350" s="25">
        <v>289</v>
      </c>
      <c r="P2350" s="25">
        <v>0</v>
      </c>
      <c r="Q2350" s="25"/>
      <c r="R2350" s="25"/>
      <c r="S2350" s="25"/>
      <c r="T2350" s="10"/>
    </row>
    <row r="2351" s="35" customFormat="1" ht="18.5" customHeight="1" spans="1:20">
      <c r="A2351" s="9"/>
      <c r="B2351" s="25"/>
      <c r="C2351" s="25"/>
      <c r="D2351" s="25"/>
      <c r="E2351" s="25"/>
      <c r="F2351" s="25"/>
      <c r="G2351" s="25"/>
      <c r="H2351" s="25"/>
      <c r="I2351" s="25"/>
      <c r="J2351" s="25"/>
      <c r="K2351" s="25"/>
      <c r="L2351" s="25"/>
      <c r="M2351" s="42" t="s">
        <v>253</v>
      </c>
      <c r="N2351" s="41">
        <v>45210</v>
      </c>
      <c r="O2351" s="25">
        <v>287</v>
      </c>
      <c r="P2351" s="25">
        <v>0</v>
      </c>
      <c r="Q2351" s="25"/>
      <c r="R2351" s="25"/>
      <c r="S2351" s="25"/>
      <c r="T2351" s="10"/>
    </row>
    <row r="2352" s="35" customFormat="1" ht="18.5" customHeight="1" spans="1:20">
      <c r="A2352" s="9"/>
      <c r="B2352" s="25"/>
      <c r="C2352" s="25"/>
      <c r="D2352" s="25"/>
      <c r="E2352" s="25"/>
      <c r="F2352" s="25"/>
      <c r="G2352" s="25"/>
      <c r="H2352" s="25"/>
      <c r="I2352" s="25"/>
      <c r="J2352" s="25"/>
      <c r="K2352" s="25"/>
      <c r="L2352" s="25"/>
      <c r="M2352" s="42" t="s">
        <v>253</v>
      </c>
      <c r="N2352" s="41">
        <v>45204</v>
      </c>
      <c r="O2352" s="25">
        <v>287</v>
      </c>
      <c r="P2352" s="25">
        <v>0</v>
      </c>
      <c r="Q2352" s="25"/>
      <c r="R2352" s="25"/>
      <c r="S2352" s="25"/>
      <c r="T2352" s="10"/>
    </row>
    <row r="2353" s="35" customFormat="1" ht="18.5" customHeight="1" spans="1:20">
      <c r="A2353" s="9"/>
      <c r="B2353" s="25"/>
      <c r="C2353" s="25"/>
      <c r="D2353" s="25"/>
      <c r="E2353" s="25"/>
      <c r="F2353" s="25"/>
      <c r="G2353" s="25"/>
      <c r="H2353" s="25"/>
      <c r="I2353" s="25"/>
      <c r="J2353" s="25"/>
      <c r="K2353" s="25"/>
      <c r="L2353" s="25"/>
      <c r="M2353" s="42" t="s">
        <v>253</v>
      </c>
      <c r="N2353" s="41">
        <v>45136</v>
      </c>
      <c r="O2353" s="25">
        <v>287</v>
      </c>
      <c r="P2353" s="25">
        <v>0</v>
      </c>
      <c r="Q2353" s="25"/>
      <c r="R2353" s="25"/>
      <c r="S2353" s="25"/>
      <c r="T2353" s="10"/>
    </row>
    <row r="2354" s="35" customFormat="1" ht="18.5" customHeight="1" spans="1:20">
      <c r="A2354" s="9"/>
      <c r="B2354" s="25"/>
      <c r="C2354" s="25"/>
      <c r="D2354" s="25"/>
      <c r="E2354" s="25"/>
      <c r="F2354" s="25"/>
      <c r="G2354" s="25"/>
      <c r="H2354" s="25"/>
      <c r="I2354" s="25"/>
      <c r="J2354" s="25"/>
      <c r="K2354" s="25"/>
      <c r="L2354" s="25"/>
      <c r="M2354" s="42" t="s">
        <v>253</v>
      </c>
      <c r="N2354" s="41">
        <v>45253</v>
      </c>
      <c r="O2354" s="25">
        <v>285</v>
      </c>
      <c r="P2354" s="25">
        <v>0</v>
      </c>
      <c r="Q2354" s="25"/>
      <c r="R2354" s="25"/>
      <c r="S2354" s="25"/>
      <c r="T2354" s="10"/>
    </row>
    <row r="2355" s="35" customFormat="1" ht="18.5" customHeight="1" spans="1:20">
      <c r="A2355" s="9"/>
      <c r="B2355" s="25"/>
      <c r="C2355" s="25"/>
      <c r="D2355" s="25"/>
      <c r="E2355" s="25"/>
      <c r="F2355" s="25"/>
      <c r="G2355" s="25"/>
      <c r="H2355" s="25"/>
      <c r="I2355" s="25"/>
      <c r="J2355" s="25"/>
      <c r="K2355" s="25"/>
      <c r="L2355" s="25"/>
      <c r="M2355" s="42" t="s">
        <v>253</v>
      </c>
      <c r="N2355" s="41">
        <v>44952</v>
      </c>
      <c r="O2355" s="25">
        <v>283</v>
      </c>
      <c r="P2355" s="25">
        <v>0</v>
      </c>
      <c r="Q2355" s="25"/>
      <c r="R2355" s="25"/>
      <c r="S2355" s="25"/>
      <c r="T2355" s="10"/>
    </row>
    <row r="2356" s="35" customFormat="1" ht="18.5" customHeight="1" spans="1:20">
      <c r="A2356" s="9"/>
      <c r="B2356" s="25"/>
      <c r="C2356" s="25"/>
      <c r="D2356" s="25"/>
      <c r="E2356" s="25"/>
      <c r="F2356" s="25"/>
      <c r="G2356" s="25"/>
      <c r="H2356" s="25"/>
      <c r="I2356" s="25"/>
      <c r="J2356" s="25"/>
      <c r="K2356" s="25"/>
      <c r="L2356" s="25"/>
      <c r="M2356" s="42" t="s">
        <v>253</v>
      </c>
      <c r="N2356" s="41">
        <v>44934</v>
      </c>
      <c r="O2356" s="25">
        <v>283</v>
      </c>
      <c r="P2356" s="25">
        <v>0</v>
      </c>
      <c r="Q2356" s="25"/>
      <c r="R2356" s="25"/>
      <c r="S2356" s="25"/>
      <c r="T2356" s="10"/>
    </row>
    <row r="2357" s="35" customFormat="1" ht="18.5" customHeight="1" spans="1:20">
      <c r="A2357" s="9"/>
      <c r="B2357" s="25"/>
      <c r="C2357" s="25"/>
      <c r="D2357" s="25"/>
      <c r="E2357" s="25"/>
      <c r="F2357" s="25"/>
      <c r="G2357" s="25"/>
      <c r="H2357" s="25"/>
      <c r="I2357" s="25"/>
      <c r="J2357" s="25"/>
      <c r="K2357" s="25"/>
      <c r="L2357" s="25"/>
      <c r="M2357" s="42" t="s">
        <v>253</v>
      </c>
      <c r="N2357" s="41">
        <v>45238</v>
      </c>
      <c r="O2357" s="25">
        <v>275</v>
      </c>
      <c r="P2357" s="25">
        <v>0</v>
      </c>
      <c r="Q2357" s="25"/>
      <c r="R2357" s="25"/>
      <c r="S2357" s="25"/>
      <c r="T2357" s="10"/>
    </row>
    <row r="2358" s="35" customFormat="1" ht="18.5" customHeight="1" spans="1:20">
      <c r="A2358" s="9"/>
      <c r="B2358" s="25"/>
      <c r="C2358" s="25"/>
      <c r="D2358" s="25"/>
      <c r="E2358" s="25"/>
      <c r="F2358" s="25"/>
      <c r="G2358" s="25"/>
      <c r="H2358" s="25"/>
      <c r="I2358" s="25"/>
      <c r="J2358" s="25"/>
      <c r="K2358" s="25"/>
      <c r="L2358" s="25"/>
      <c r="M2358" s="42" t="s">
        <v>253</v>
      </c>
      <c r="N2358" s="41">
        <v>45046</v>
      </c>
      <c r="O2358" s="25">
        <v>269</v>
      </c>
      <c r="P2358" s="25">
        <v>0</v>
      </c>
      <c r="Q2358" s="25"/>
      <c r="R2358" s="25"/>
      <c r="S2358" s="25"/>
      <c r="T2358" s="10"/>
    </row>
    <row r="2359" s="35" customFormat="1" ht="18.5" customHeight="1" spans="1:20">
      <c r="A2359" s="9"/>
      <c r="B2359" s="25"/>
      <c r="C2359" s="25"/>
      <c r="D2359" s="25"/>
      <c r="E2359" s="25"/>
      <c r="F2359" s="25"/>
      <c r="G2359" s="25"/>
      <c r="H2359" s="25"/>
      <c r="I2359" s="25"/>
      <c r="J2359" s="25"/>
      <c r="K2359" s="25"/>
      <c r="L2359" s="25"/>
      <c r="M2359" s="42" t="s">
        <v>253</v>
      </c>
      <c r="N2359" s="41">
        <v>45209</v>
      </c>
      <c r="O2359" s="25">
        <v>263</v>
      </c>
      <c r="P2359" s="25">
        <v>0</v>
      </c>
      <c r="Q2359" s="25"/>
      <c r="R2359" s="25"/>
      <c r="S2359" s="25"/>
      <c r="T2359" s="10"/>
    </row>
    <row r="2360" s="35" customFormat="1" ht="18.5" customHeight="1" spans="1:20">
      <c r="A2360" s="9"/>
      <c r="B2360" s="25"/>
      <c r="C2360" s="25"/>
      <c r="D2360" s="25"/>
      <c r="E2360" s="25"/>
      <c r="F2360" s="25"/>
      <c r="G2360" s="25"/>
      <c r="H2360" s="25"/>
      <c r="I2360" s="25"/>
      <c r="J2360" s="25"/>
      <c r="K2360" s="25"/>
      <c r="L2360" s="25"/>
      <c r="M2360" s="42" t="s">
        <v>253</v>
      </c>
      <c r="N2360" s="41">
        <v>45198</v>
      </c>
      <c r="O2360" s="25">
        <v>262</v>
      </c>
      <c r="P2360" s="25">
        <v>0</v>
      </c>
      <c r="Q2360" s="25"/>
      <c r="R2360" s="25"/>
      <c r="S2360" s="25"/>
      <c r="T2360" s="10"/>
    </row>
    <row r="2361" s="35" customFormat="1" ht="18.5" customHeight="1" spans="1:20">
      <c r="A2361" s="9"/>
      <c r="B2361" s="25"/>
      <c r="C2361" s="25"/>
      <c r="D2361" s="25"/>
      <c r="E2361" s="25"/>
      <c r="F2361" s="25"/>
      <c r="G2361" s="25"/>
      <c r="H2361" s="25"/>
      <c r="I2361" s="25"/>
      <c r="J2361" s="25"/>
      <c r="K2361" s="25"/>
      <c r="L2361" s="25"/>
      <c r="M2361" s="42" t="s">
        <v>253</v>
      </c>
      <c r="N2361" s="41">
        <v>45146</v>
      </c>
      <c r="O2361" s="25">
        <v>261</v>
      </c>
      <c r="P2361" s="25">
        <v>0</v>
      </c>
      <c r="Q2361" s="25"/>
      <c r="R2361" s="25"/>
      <c r="S2361" s="25"/>
      <c r="T2361" s="10"/>
    </row>
    <row r="2362" s="35" customFormat="1" ht="18.5" customHeight="1" spans="1:20">
      <c r="A2362" s="9"/>
      <c r="B2362" s="25"/>
      <c r="C2362" s="25"/>
      <c r="D2362" s="25"/>
      <c r="E2362" s="25"/>
      <c r="F2362" s="25"/>
      <c r="G2362" s="25"/>
      <c r="H2362" s="25"/>
      <c r="I2362" s="25"/>
      <c r="J2362" s="25"/>
      <c r="K2362" s="25"/>
      <c r="L2362" s="25"/>
      <c r="M2362" s="42" t="s">
        <v>253</v>
      </c>
      <c r="N2362" s="41">
        <v>45052</v>
      </c>
      <c r="O2362" s="25">
        <v>258</v>
      </c>
      <c r="P2362" s="25">
        <v>0</v>
      </c>
      <c r="Q2362" s="25"/>
      <c r="R2362" s="25"/>
      <c r="S2362" s="25"/>
      <c r="T2362" s="10"/>
    </row>
    <row r="2363" s="35" customFormat="1" ht="18.5" customHeight="1" spans="1:20">
      <c r="A2363" s="9"/>
      <c r="B2363" s="25"/>
      <c r="C2363" s="25"/>
      <c r="D2363" s="25"/>
      <c r="E2363" s="25"/>
      <c r="F2363" s="25"/>
      <c r="G2363" s="25"/>
      <c r="H2363" s="25"/>
      <c r="I2363" s="25"/>
      <c r="J2363" s="25"/>
      <c r="K2363" s="25"/>
      <c r="L2363" s="25"/>
      <c r="M2363" s="42" t="s">
        <v>253</v>
      </c>
      <c r="N2363" s="41">
        <v>44935</v>
      </c>
      <c r="O2363" s="25">
        <v>255</v>
      </c>
      <c r="P2363" s="25">
        <v>0</v>
      </c>
      <c r="Q2363" s="25"/>
      <c r="R2363" s="25"/>
      <c r="S2363" s="25"/>
      <c r="T2363" s="10"/>
    </row>
    <row r="2364" s="35" customFormat="1" ht="18.5" customHeight="1" spans="1:20">
      <c r="A2364" s="9"/>
      <c r="B2364" s="25"/>
      <c r="C2364" s="25"/>
      <c r="D2364" s="25"/>
      <c r="E2364" s="25"/>
      <c r="F2364" s="25"/>
      <c r="G2364" s="25"/>
      <c r="H2364" s="25"/>
      <c r="I2364" s="25"/>
      <c r="J2364" s="25"/>
      <c r="K2364" s="25"/>
      <c r="L2364" s="25"/>
      <c r="M2364" s="42" t="s">
        <v>253</v>
      </c>
      <c r="N2364" s="41">
        <v>45001</v>
      </c>
      <c r="O2364" s="25">
        <v>254</v>
      </c>
      <c r="P2364" s="25">
        <v>0</v>
      </c>
      <c r="Q2364" s="25"/>
      <c r="R2364" s="25"/>
      <c r="S2364" s="25"/>
      <c r="T2364" s="10"/>
    </row>
    <row r="2365" s="35" customFormat="1" ht="18.5" customHeight="1" spans="1:20">
      <c r="A2365" s="9"/>
      <c r="B2365" s="25"/>
      <c r="C2365" s="25"/>
      <c r="D2365" s="25"/>
      <c r="E2365" s="25"/>
      <c r="F2365" s="25"/>
      <c r="G2365" s="25"/>
      <c r="H2365" s="25"/>
      <c r="I2365" s="25"/>
      <c r="J2365" s="25"/>
      <c r="K2365" s="25"/>
      <c r="L2365" s="25"/>
      <c r="M2365" s="42" t="s">
        <v>253</v>
      </c>
      <c r="N2365" s="41">
        <v>44978</v>
      </c>
      <c r="O2365" s="25">
        <v>254</v>
      </c>
      <c r="P2365" s="25">
        <v>0</v>
      </c>
      <c r="Q2365" s="25"/>
      <c r="R2365" s="25"/>
      <c r="S2365" s="25"/>
      <c r="T2365" s="10"/>
    </row>
    <row r="2366" s="35" customFormat="1" ht="18.5" customHeight="1" spans="1:20">
      <c r="A2366" s="9"/>
      <c r="B2366" s="25"/>
      <c r="C2366" s="25"/>
      <c r="D2366" s="25"/>
      <c r="E2366" s="25"/>
      <c r="F2366" s="25"/>
      <c r="G2366" s="25"/>
      <c r="H2366" s="25"/>
      <c r="I2366" s="25"/>
      <c r="J2366" s="25"/>
      <c r="K2366" s="25"/>
      <c r="L2366" s="25"/>
      <c r="M2366" s="42" t="s">
        <v>253</v>
      </c>
      <c r="N2366" s="41">
        <v>45058</v>
      </c>
      <c r="O2366" s="25">
        <v>243</v>
      </c>
      <c r="P2366" s="25">
        <v>0</v>
      </c>
      <c r="Q2366" s="25"/>
      <c r="R2366" s="25"/>
      <c r="S2366" s="25"/>
      <c r="T2366" s="10"/>
    </row>
    <row r="2367" s="35" customFormat="1" ht="18.5" customHeight="1" spans="1:20">
      <c r="A2367" s="9"/>
      <c r="B2367" s="25"/>
      <c r="C2367" s="25"/>
      <c r="D2367" s="25"/>
      <c r="E2367" s="25"/>
      <c r="F2367" s="25"/>
      <c r="G2367" s="25"/>
      <c r="H2367" s="25"/>
      <c r="I2367" s="25"/>
      <c r="J2367" s="25"/>
      <c r="K2367" s="25"/>
      <c r="L2367" s="25"/>
      <c r="M2367" s="42" t="s">
        <v>253</v>
      </c>
      <c r="N2367" s="41">
        <v>44997</v>
      </c>
      <c r="O2367" s="25">
        <v>243</v>
      </c>
      <c r="P2367" s="25">
        <v>0</v>
      </c>
      <c r="Q2367" s="25"/>
      <c r="R2367" s="25"/>
      <c r="S2367" s="25"/>
      <c r="T2367" s="10"/>
    </row>
    <row r="2368" s="35" customFormat="1" ht="18.5" customHeight="1" spans="1:20">
      <c r="A2368" s="9"/>
      <c r="B2368" s="25"/>
      <c r="C2368" s="25"/>
      <c r="D2368" s="25"/>
      <c r="E2368" s="25"/>
      <c r="F2368" s="25"/>
      <c r="G2368" s="25"/>
      <c r="H2368" s="25"/>
      <c r="I2368" s="25"/>
      <c r="J2368" s="25"/>
      <c r="K2368" s="25"/>
      <c r="L2368" s="25"/>
      <c r="M2368" s="42" t="s">
        <v>253</v>
      </c>
      <c r="N2368" s="41">
        <v>45040</v>
      </c>
      <c r="O2368" s="25">
        <v>233</v>
      </c>
      <c r="P2368" s="25">
        <v>0</v>
      </c>
      <c r="Q2368" s="25"/>
      <c r="R2368" s="25"/>
      <c r="S2368" s="25"/>
      <c r="T2368" s="10"/>
    </row>
    <row r="2369" s="35" customFormat="1" ht="18.5" customHeight="1" spans="1:20">
      <c r="A2369" s="9"/>
      <c r="B2369" s="25"/>
      <c r="C2369" s="25"/>
      <c r="D2369" s="25"/>
      <c r="E2369" s="25"/>
      <c r="F2369" s="25"/>
      <c r="G2369" s="25"/>
      <c r="H2369" s="25"/>
      <c r="I2369" s="25"/>
      <c r="J2369" s="25"/>
      <c r="K2369" s="25"/>
      <c r="L2369" s="25"/>
      <c r="M2369" s="42" t="s">
        <v>253</v>
      </c>
      <c r="N2369" s="41">
        <v>44981</v>
      </c>
      <c r="O2369" s="25">
        <v>229</v>
      </c>
      <c r="P2369" s="25">
        <v>0</v>
      </c>
      <c r="Q2369" s="25"/>
      <c r="R2369" s="25"/>
      <c r="S2369" s="25"/>
      <c r="T2369" s="10"/>
    </row>
    <row r="2370" s="35" customFormat="1" ht="18.5" customHeight="1" spans="1:20">
      <c r="A2370" s="9"/>
      <c r="B2370" s="25"/>
      <c r="C2370" s="25"/>
      <c r="D2370" s="25"/>
      <c r="E2370" s="25"/>
      <c r="F2370" s="25"/>
      <c r="G2370" s="25"/>
      <c r="H2370" s="25"/>
      <c r="I2370" s="25"/>
      <c r="J2370" s="25"/>
      <c r="K2370" s="25"/>
      <c r="L2370" s="25"/>
      <c r="M2370" s="42" t="s">
        <v>253</v>
      </c>
      <c r="N2370" s="41">
        <v>45253</v>
      </c>
      <c r="O2370" s="25">
        <v>224</v>
      </c>
      <c r="P2370" s="25">
        <v>0</v>
      </c>
      <c r="Q2370" s="25"/>
      <c r="R2370" s="25"/>
      <c r="S2370" s="25"/>
      <c r="T2370" s="10"/>
    </row>
    <row r="2371" s="35" customFormat="1" ht="18.5" customHeight="1" spans="1:20">
      <c r="A2371" s="9"/>
      <c r="B2371" s="25"/>
      <c r="C2371" s="25"/>
      <c r="D2371" s="25"/>
      <c r="E2371" s="25"/>
      <c r="F2371" s="25"/>
      <c r="G2371" s="25"/>
      <c r="H2371" s="25"/>
      <c r="I2371" s="25"/>
      <c r="J2371" s="25"/>
      <c r="K2371" s="25"/>
      <c r="L2371" s="25"/>
      <c r="M2371" s="42" t="s">
        <v>253</v>
      </c>
      <c r="N2371" s="41">
        <v>45287</v>
      </c>
      <c r="O2371" s="25">
        <v>221</v>
      </c>
      <c r="P2371" s="25">
        <v>0</v>
      </c>
      <c r="Q2371" s="25"/>
      <c r="R2371" s="25"/>
      <c r="S2371" s="25"/>
      <c r="T2371" s="10"/>
    </row>
    <row r="2372" s="35" customFormat="1" ht="18.5" customHeight="1" spans="1:20">
      <c r="A2372" s="9"/>
      <c r="B2372" s="25"/>
      <c r="C2372" s="25"/>
      <c r="D2372" s="25"/>
      <c r="E2372" s="25"/>
      <c r="F2372" s="25"/>
      <c r="G2372" s="25"/>
      <c r="H2372" s="25"/>
      <c r="I2372" s="25"/>
      <c r="J2372" s="25"/>
      <c r="K2372" s="25"/>
      <c r="L2372" s="25"/>
      <c r="M2372" s="42" t="s">
        <v>253</v>
      </c>
      <c r="N2372" s="41">
        <v>44992</v>
      </c>
      <c r="O2372" s="25">
        <v>221</v>
      </c>
      <c r="P2372" s="25">
        <v>0</v>
      </c>
      <c r="Q2372" s="25"/>
      <c r="R2372" s="25"/>
      <c r="S2372" s="25"/>
      <c r="T2372" s="10"/>
    </row>
    <row r="2373" s="35" customFormat="1" ht="18.5" customHeight="1" spans="1:20">
      <c r="A2373" s="9"/>
      <c r="B2373" s="25"/>
      <c r="C2373" s="25"/>
      <c r="D2373" s="25"/>
      <c r="E2373" s="25"/>
      <c r="F2373" s="25"/>
      <c r="G2373" s="25"/>
      <c r="H2373" s="25"/>
      <c r="I2373" s="25"/>
      <c r="J2373" s="25"/>
      <c r="K2373" s="25"/>
      <c r="L2373" s="25"/>
      <c r="M2373" s="42" t="s">
        <v>253</v>
      </c>
      <c r="N2373" s="41">
        <v>44968</v>
      </c>
      <c r="O2373" s="25">
        <v>221</v>
      </c>
      <c r="P2373" s="25">
        <v>0</v>
      </c>
      <c r="Q2373" s="25"/>
      <c r="R2373" s="25"/>
      <c r="S2373" s="25"/>
      <c r="T2373" s="10"/>
    </row>
    <row r="2374" s="35" customFormat="1" ht="18.5" customHeight="1" spans="1:20">
      <c r="A2374" s="9"/>
      <c r="B2374" s="25"/>
      <c r="C2374" s="25"/>
      <c r="D2374" s="25"/>
      <c r="E2374" s="25"/>
      <c r="F2374" s="25"/>
      <c r="G2374" s="25"/>
      <c r="H2374" s="25"/>
      <c r="I2374" s="25"/>
      <c r="J2374" s="25"/>
      <c r="K2374" s="25"/>
      <c r="L2374" s="25"/>
      <c r="M2374" s="42" t="s">
        <v>253</v>
      </c>
      <c r="N2374" s="41">
        <v>45253</v>
      </c>
      <c r="O2374" s="25">
        <v>219</v>
      </c>
      <c r="P2374" s="25">
        <v>0</v>
      </c>
      <c r="Q2374" s="25"/>
      <c r="R2374" s="25"/>
      <c r="S2374" s="25"/>
      <c r="T2374" s="10"/>
    </row>
    <row r="2375" s="35" customFormat="1" ht="18.5" customHeight="1" spans="1:20">
      <c r="A2375" s="9"/>
      <c r="B2375" s="25"/>
      <c r="C2375" s="25"/>
      <c r="D2375" s="25"/>
      <c r="E2375" s="25"/>
      <c r="F2375" s="25"/>
      <c r="G2375" s="25"/>
      <c r="H2375" s="25"/>
      <c r="I2375" s="25"/>
      <c r="J2375" s="25"/>
      <c r="K2375" s="25"/>
      <c r="L2375" s="25"/>
      <c r="M2375" s="42" t="s">
        <v>253</v>
      </c>
      <c r="N2375" s="41">
        <v>45253</v>
      </c>
      <c r="O2375" s="25">
        <v>219</v>
      </c>
      <c r="P2375" s="25">
        <v>0</v>
      </c>
      <c r="Q2375" s="25"/>
      <c r="R2375" s="25"/>
      <c r="S2375" s="25"/>
      <c r="T2375" s="10"/>
    </row>
    <row r="2376" s="35" customFormat="1" ht="18.5" customHeight="1" spans="1:20">
      <c r="A2376" s="9"/>
      <c r="B2376" s="25"/>
      <c r="C2376" s="25"/>
      <c r="D2376" s="25"/>
      <c r="E2376" s="25"/>
      <c r="F2376" s="25"/>
      <c r="G2376" s="25"/>
      <c r="H2376" s="25"/>
      <c r="I2376" s="25"/>
      <c r="J2376" s="25"/>
      <c r="K2376" s="25"/>
      <c r="L2376" s="25"/>
      <c r="M2376" s="42" t="s">
        <v>253</v>
      </c>
      <c r="N2376" s="41">
        <v>45266</v>
      </c>
      <c r="O2376" s="25">
        <v>218</v>
      </c>
      <c r="P2376" s="25">
        <v>0</v>
      </c>
      <c r="Q2376" s="25"/>
      <c r="R2376" s="25"/>
      <c r="S2376" s="25"/>
      <c r="T2376" s="10"/>
    </row>
    <row r="2377" s="35" customFormat="1" ht="18.5" customHeight="1" spans="1:20">
      <c r="A2377" s="9"/>
      <c r="B2377" s="25"/>
      <c r="C2377" s="25"/>
      <c r="D2377" s="25"/>
      <c r="E2377" s="25"/>
      <c r="F2377" s="25"/>
      <c r="G2377" s="25"/>
      <c r="H2377" s="25"/>
      <c r="I2377" s="25"/>
      <c r="J2377" s="25"/>
      <c r="K2377" s="25"/>
      <c r="L2377" s="25"/>
      <c r="M2377" s="42" t="s">
        <v>253</v>
      </c>
      <c r="N2377" s="41">
        <v>45041</v>
      </c>
      <c r="O2377" s="25">
        <v>217</v>
      </c>
      <c r="P2377" s="25">
        <v>0</v>
      </c>
      <c r="Q2377" s="25"/>
      <c r="R2377" s="25"/>
      <c r="S2377" s="25"/>
      <c r="T2377" s="10"/>
    </row>
    <row r="2378" s="35" customFormat="1" ht="18.5" customHeight="1" spans="1:20">
      <c r="A2378" s="9"/>
      <c r="B2378" s="25"/>
      <c r="C2378" s="25"/>
      <c r="D2378" s="25"/>
      <c r="E2378" s="25"/>
      <c r="F2378" s="25"/>
      <c r="G2378" s="25"/>
      <c r="H2378" s="25"/>
      <c r="I2378" s="25"/>
      <c r="J2378" s="25"/>
      <c r="K2378" s="25"/>
      <c r="L2378" s="25"/>
      <c r="M2378" s="42" t="s">
        <v>253</v>
      </c>
      <c r="N2378" s="41">
        <v>45241</v>
      </c>
      <c r="O2378" s="25">
        <v>211</v>
      </c>
      <c r="P2378" s="25">
        <v>0</v>
      </c>
      <c r="Q2378" s="25"/>
      <c r="R2378" s="25"/>
      <c r="S2378" s="25"/>
      <c r="T2378" s="10"/>
    </row>
    <row r="2379" s="35" customFormat="1" ht="18.5" customHeight="1" spans="1:20">
      <c r="A2379" s="9"/>
      <c r="B2379" s="25"/>
      <c r="C2379" s="25"/>
      <c r="D2379" s="25"/>
      <c r="E2379" s="25"/>
      <c r="F2379" s="25"/>
      <c r="G2379" s="25"/>
      <c r="H2379" s="25"/>
      <c r="I2379" s="25"/>
      <c r="J2379" s="25"/>
      <c r="K2379" s="25"/>
      <c r="L2379" s="25"/>
      <c r="M2379" s="42" t="s">
        <v>253</v>
      </c>
      <c r="N2379" s="41">
        <v>45043</v>
      </c>
      <c r="O2379" s="25">
        <v>208</v>
      </c>
      <c r="P2379" s="25">
        <v>0</v>
      </c>
      <c r="Q2379" s="25"/>
      <c r="R2379" s="25"/>
      <c r="S2379" s="25"/>
      <c r="T2379" s="10"/>
    </row>
    <row r="2380" s="35" customFormat="1" ht="18.5" customHeight="1" spans="1:20">
      <c r="A2380" s="9"/>
      <c r="B2380" s="25"/>
      <c r="C2380" s="25"/>
      <c r="D2380" s="25"/>
      <c r="E2380" s="25"/>
      <c r="F2380" s="25"/>
      <c r="G2380" s="25"/>
      <c r="H2380" s="25"/>
      <c r="I2380" s="25"/>
      <c r="J2380" s="25"/>
      <c r="K2380" s="25"/>
      <c r="L2380" s="25"/>
      <c r="M2380" s="42" t="s">
        <v>253</v>
      </c>
      <c r="N2380" s="41">
        <v>45264</v>
      </c>
      <c r="O2380" s="25">
        <v>201</v>
      </c>
      <c r="P2380" s="25">
        <v>0</v>
      </c>
      <c r="Q2380" s="25"/>
      <c r="R2380" s="25"/>
      <c r="S2380" s="25"/>
      <c r="T2380" s="10"/>
    </row>
    <row r="2381" s="35" customFormat="1" ht="18.5" customHeight="1" spans="1:20">
      <c r="A2381" s="9"/>
      <c r="B2381" s="25"/>
      <c r="C2381" s="25"/>
      <c r="D2381" s="25"/>
      <c r="E2381" s="25"/>
      <c r="F2381" s="25"/>
      <c r="G2381" s="25"/>
      <c r="H2381" s="25"/>
      <c r="I2381" s="25"/>
      <c r="J2381" s="25"/>
      <c r="K2381" s="25"/>
      <c r="L2381" s="25"/>
      <c r="M2381" s="42" t="s">
        <v>253</v>
      </c>
      <c r="N2381" s="41">
        <v>45013</v>
      </c>
      <c r="O2381" s="25">
        <v>196</v>
      </c>
      <c r="P2381" s="25">
        <v>0</v>
      </c>
      <c r="Q2381" s="25"/>
      <c r="R2381" s="25"/>
      <c r="S2381" s="25"/>
      <c r="T2381" s="10"/>
    </row>
    <row r="2382" s="35" customFormat="1" ht="18.5" customHeight="1" spans="1:20">
      <c r="A2382" s="9"/>
      <c r="B2382" s="25"/>
      <c r="C2382" s="25"/>
      <c r="D2382" s="25"/>
      <c r="E2382" s="25"/>
      <c r="F2382" s="25"/>
      <c r="G2382" s="25"/>
      <c r="H2382" s="25"/>
      <c r="I2382" s="25"/>
      <c r="J2382" s="25"/>
      <c r="K2382" s="25"/>
      <c r="L2382" s="25"/>
      <c r="M2382" s="42" t="s">
        <v>253</v>
      </c>
      <c r="N2382" s="41">
        <v>44972</v>
      </c>
      <c r="O2382" s="25">
        <v>196</v>
      </c>
      <c r="P2382" s="25">
        <v>0</v>
      </c>
      <c r="Q2382" s="25"/>
      <c r="R2382" s="25"/>
      <c r="S2382" s="25"/>
      <c r="T2382" s="10"/>
    </row>
    <row r="2383" s="35" customFormat="1" ht="18.5" customHeight="1" spans="1:20">
      <c r="A2383" s="9"/>
      <c r="B2383" s="25"/>
      <c r="C2383" s="25"/>
      <c r="D2383" s="25"/>
      <c r="E2383" s="25"/>
      <c r="F2383" s="25"/>
      <c r="G2383" s="25"/>
      <c r="H2383" s="25"/>
      <c r="I2383" s="25"/>
      <c r="J2383" s="25"/>
      <c r="K2383" s="25"/>
      <c r="L2383" s="25"/>
      <c r="M2383" s="42" t="s">
        <v>253</v>
      </c>
      <c r="N2383" s="41">
        <v>45069</v>
      </c>
      <c r="O2383" s="25">
        <v>192</v>
      </c>
      <c r="P2383" s="25">
        <v>0</v>
      </c>
      <c r="Q2383" s="25"/>
      <c r="R2383" s="25"/>
      <c r="S2383" s="25"/>
      <c r="T2383" s="10"/>
    </row>
    <row r="2384" s="35" customFormat="1" ht="18.5" customHeight="1" spans="1:20">
      <c r="A2384" s="9"/>
      <c r="B2384" s="25"/>
      <c r="C2384" s="25"/>
      <c r="D2384" s="25"/>
      <c r="E2384" s="25"/>
      <c r="F2384" s="25"/>
      <c r="G2384" s="25"/>
      <c r="H2384" s="25"/>
      <c r="I2384" s="25"/>
      <c r="J2384" s="25"/>
      <c r="K2384" s="25"/>
      <c r="L2384" s="25"/>
      <c r="M2384" s="42" t="s">
        <v>253</v>
      </c>
      <c r="N2384" s="41">
        <v>44964</v>
      </c>
      <c r="O2384" s="25">
        <v>190</v>
      </c>
      <c r="P2384" s="25">
        <v>0</v>
      </c>
      <c r="Q2384" s="25"/>
      <c r="R2384" s="25"/>
      <c r="S2384" s="25"/>
      <c r="T2384" s="10"/>
    </row>
    <row r="2385" s="35" customFormat="1" ht="18.5" customHeight="1" spans="1:20">
      <c r="A2385" s="9"/>
      <c r="B2385" s="25"/>
      <c r="C2385" s="25"/>
      <c r="D2385" s="25"/>
      <c r="E2385" s="25"/>
      <c r="F2385" s="25"/>
      <c r="G2385" s="25"/>
      <c r="H2385" s="25"/>
      <c r="I2385" s="25"/>
      <c r="J2385" s="25"/>
      <c r="K2385" s="25"/>
      <c r="L2385" s="25"/>
      <c r="M2385" s="42" t="s">
        <v>253</v>
      </c>
      <c r="N2385" s="41">
        <v>44965</v>
      </c>
      <c r="O2385" s="25">
        <v>188</v>
      </c>
      <c r="P2385" s="25">
        <v>0</v>
      </c>
      <c r="Q2385" s="25"/>
      <c r="R2385" s="25"/>
      <c r="S2385" s="25"/>
      <c r="T2385" s="10"/>
    </row>
    <row r="2386" s="35" customFormat="1" ht="18.5" customHeight="1" spans="1:20">
      <c r="A2386" s="9"/>
      <c r="B2386" s="25"/>
      <c r="C2386" s="25"/>
      <c r="D2386" s="25"/>
      <c r="E2386" s="25"/>
      <c r="F2386" s="25"/>
      <c r="G2386" s="25"/>
      <c r="H2386" s="25"/>
      <c r="I2386" s="25"/>
      <c r="J2386" s="25"/>
      <c r="K2386" s="25"/>
      <c r="L2386" s="25"/>
      <c r="M2386" s="42" t="s">
        <v>253</v>
      </c>
      <c r="N2386" s="41">
        <v>45045</v>
      </c>
      <c r="O2386" s="25">
        <v>184</v>
      </c>
      <c r="P2386" s="25">
        <v>0</v>
      </c>
      <c r="Q2386" s="25"/>
      <c r="R2386" s="25"/>
      <c r="S2386" s="25"/>
      <c r="T2386" s="10"/>
    </row>
    <row r="2387" s="35" customFormat="1" ht="18.5" customHeight="1" spans="1:20">
      <c r="A2387" s="9"/>
      <c r="B2387" s="25"/>
      <c r="C2387" s="25"/>
      <c r="D2387" s="25"/>
      <c r="E2387" s="25"/>
      <c r="F2387" s="25"/>
      <c r="G2387" s="25"/>
      <c r="H2387" s="25"/>
      <c r="I2387" s="25"/>
      <c r="J2387" s="25"/>
      <c r="K2387" s="25"/>
      <c r="L2387" s="25"/>
      <c r="M2387" s="42" t="s">
        <v>253</v>
      </c>
      <c r="N2387" s="41">
        <v>45239</v>
      </c>
      <c r="O2387" s="25">
        <v>182</v>
      </c>
      <c r="P2387" s="25">
        <v>0</v>
      </c>
      <c r="Q2387" s="25"/>
      <c r="R2387" s="25"/>
      <c r="S2387" s="25"/>
      <c r="T2387" s="10"/>
    </row>
    <row r="2388" s="35" customFormat="1" ht="18.5" customHeight="1" spans="1:20">
      <c r="A2388" s="9"/>
      <c r="B2388" s="25"/>
      <c r="C2388" s="25"/>
      <c r="D2388" s="25"/>
      <c r="E2388" s="25"/>
      <c r="F2388" s="25"/>
      <c r="G2388" s="25"/>
      <c r="H2388" s="25"/>
      <c r="I2388" s="25"/>
      <c r="J2388" s="25"/>
      <c r="K2388" s="25"/>
      <c r="L2388" s="25"/>
      <c r="M2388" s="42" t="s">
        <v>253</v>
      </c>
      <c r="N2388" s="41">
        <v>45029</v>
      </c>
      <c r="O2388" s="25">
        <v>178</v>
      </c>
      <c r="P2388" s="25">
        <v>0</v>
      </c>
      <c r="Q2388" s="25"/>
      <c r="R2388" s="25"/>
      <c r="S2388" s="25"/>
      <c r="T2388" s="10"/>
    </row>
    <row r="2389" s="35" customFormat="1" ht="18.5" customHeight="1" spans="1:20">
      <c r="A2389" s="9"/>
      <c r="B2389" s="25"/>
      <c r="C2389" s="25"/>
      <c r="D2389" s="25"/>
      <c r="E2389" s="25"/>
      <c r="F2389" s="25"/>
      <c r="G2389" s="25"/>
      <c r="H2389" s="25"/>
      <c r="I2389" s="25"/>
      <c r="J2389" s="25"/>
      <c r="K2389" s="25"/>
      <c r="L2389" s="25"/>
      <c r="M2389" s="42" t="s">
        <v>253</v>
      </c>
      <c r="N2389" s="41">
        <v>45246</v>
      </c>
      <c r="O2389" s="25">
        <v>177</v>
      </c>
      <c r="P2389" s="25">
        <v>0</v>
      </c>
      <c r="Q2389" s="25"/>
      <c r="R2389" s="25"/>
      <c r="S2389" s="25"/>
      <c r="T2389" s="10"/>
    </row>
    <row r="2390" s="35" customFormat="1" ht="18.5" customHeight="1" spans="1:20">
      <c r="A2390" s="9"/>
      <c r="B2390" s="25"/>
      <c r="C2390" s="25"/>
      <c r="D2390" s="25"/>
      <c r="E2390" s="25"/>
      <c r="F2390" s="25"/>
      <c r="G2390" s="25"/>
      <c r="H2390" s="25"/>
      <c r="I2390" s="25"/>
      <c r="J2390" s="25"/>
      <c r="K2390" s="25"/>
      <c r="L2390" s="25"/>
      <c r="M2390" s="42" t="s">
        <v>253</v>
      </c>
      <c r="N2390" s="41">
        <v>45048</v>
      </c>
      <c r="O2390" s="25">
        <v>173</v>
      </c>
      <c r="P2390" s="25">
        <v>0</v>
      </c>
      <c r="Q2390" s="25"/>
      <c r="R2390" s="25"/>
      <c r="S2390" s="25"/>
      <c r="T2390" s="10"/>
    </row>
    <row r="2391" s="35" customFormat="1" ht="18.5" customHeight="1" spans="1:20">
      <c r="A2391" s="9"/>
      <c r="B2391" s="25"/>
      <c r="C2391" s="25"/>
      <c r="D2391" s="25"/>
      <c r="E2391" s="25"/>
      <c r="F2391" s="25"/>
      <c r="G2391" s="25"/>
      <c r="H2391" s="25"/>
      <c r="I2391" s="25"/>
      <c r="J2391" s="25"/>
      <c r="K2391" s="25"/>
      <c r="L2391" s="25"/>
      <c r="M2391" s="42" t="s">
        <v>253</v>
      </c>
      <c r="N2391" s="41">
        <v>45263</v>
      </c>
      <c r="O2391" s="25">
        <v>172</v>
      </c>
      <c r="P2391" s="25">
        <v>0</v>
      </c>
      <c r="Q2391" s="25"/>
      <c r="R2391" s="25"/>
      <c r="S2391" s="25"/>
      <c r="T2391" s="10"/>
    </row>
    <row r="2392" s="35" customFormat="1" ht="18.5" customHeight="1" spans="1:20">
      <c r="A2392" s="9"/>
      <c r="B2392" s="25"/>
      <c r="C2392" s="25"/>
      <c r="D2392" s="25"/>
      <c r="E2392" s="25"/>
      <c r="F2392" s="25"/>
      <c r="G2392" s="25"/>
      <c r="H2392" s="25"/>
      <c r="I2392" s="25"/>
      <c r="J2392" s="25"/>
      <c r="K2392" s="25"/>
      <c r="L2392" s="25"/>
      <c r="M2392" s="42" t="s">
        <v>253</v>
      </c>
      <c r="N2392" s="41">
        <v>45257</v>
      </c>
      <c r="O2392" s="25">
        <v>170</v>
      </c>
      <c r="P2392" s="25">
        <v>0</v>
      </c>
      <c r="Q2392" s="25"/>
      <c r="R2392" s="25"/>
      <c r="S2392" s="25"/>
      <c r="T2392" s="10"/>
    </row>
    <row r="2393" s="35" customFormat="1" ht="18.5" customHeight="1" spans="1:20">
      <c r="A2393" s="9"/>
      <c r="B2393" s="25"/>
      <c r="C2393" s="25"/>
      <c r="D2393" s="25"/>
      <c r="E2393" s="25"/>
      <c r="F2393" s="25"/>
      <c r="G2393" s="25"/>
      <c r="H2393" s="25"/>
      <c r="I2393" s="25"/>
      <c r="J2393" s="25"/>
      <c r="K2393" s="25"/>
      <c r="L2393" s="25"/>
      <c r="M2393" s="42" t="s">
        <v>253</v>
      </c>
      <c r="N2393" s="41">
        <v>45262</v>
      </c>
      <c r="O2393" s="25">
        <v>170</v>
      </c>
      <c r="P2393" s="25">
        <v>0</v>
      </c>
      <c r="Q2393" s="25"/>
      <c r="R2393" s="25"/>
      <c r="S2393" s="25"/>
      <c r="T2393" s="10"/>
    </row>
    <row r="2394" s="35" customFormat="1" ht="18.5" customHeight="1" spans="1:20">
      <c r="A2394" s="9"/>
      <c r="B2394" s="25"/>
      <c r="C2394" s="25"/>
      <c r="D2394" s="25"/>
      <c r="E2394" s="25"/>
      <c r="F2394" s="25"/>
      <c r="G2394" s="25"/>
      <c r="H2394" s="25"/>
      <c r="I2394" s="25"/>
      <c r="J2394" s="25"/>
      <c r="K2394" s="25"/>
      <c r="L2394" s="25"/>
      <c r="M2394" s="42" t="s">
        <v>253</v>
      </c>
      <c r="N2394" s="41">
        <v>45254</v>
      </c>
      <c r="O2394" s="25">
        <v>166</v>
      </c>
      <c r="P2394" s="25">
        <v>0</v>
      </c>
      <c r="Q2394" s="25"/>
      <c r="R2394" s="25"/>
      <c r="S2394" s="25"/>
      <c r="T2394" s="10"/>
    </row>
    <row r="2395" s="35" customFormat="1" ht="18.5" customHeight="1" spans="1:20">
      <c r="A2395" s="9"/>
      <c r="B2395" s="25"/>
      <c r="C2395" s="25"/>
      <c r="D2395" s="25"/>
      <c r="E2395" s="25"/>
      <c r="F2395" s="25"/>
      <c r="G2395" s="25"/>
      <c r="H2395" s="25"/>
      <c r="I2395" s="25"/>
      <c r="J2395" s="25"/>
      <c r="K2395" s="25"/>
      <c r="L2395" s="25"/>
      <c r="M2395" s="42" t="s">
        <v>253</v>
      </c>
      <c r="N2395" s="41">
        <v>45204</v>
      </c>
      <c r="O2395" s="25">
        <v>164</v>
      </c>
      <c r="P2395" s="25">
        <v>0</v>
      </c>
      <c r="Q2395" s="25"/>
      <c r="R2395" s="25"/>
      <c r="S2395" s="25"/>
      <c r="T2395" s="10"/>
    </row>
    <row r="2396" s="35" customFormat="1" ht="18.5" customHeight="1" spans="1:20">
      <c r="A2396" s="9"/>
      <c r="B2396" s="25"/>
      <c r="C2396" s="25"/>
      <c r="D2396" s="25"/>
      <c r="E2396" s="25"/>
      <c r="F2396" s="25"/>
      <c r="G2396" s="25"/>
      <c r="H2396" s="25"/>
      <c r="I2396" s="25"/>
      <c r="J2396" s="25"/>
      <c r="K2396" s="25"/>
      <c r="L2396" s="25"/>
      <c r="M2396" s="42" t="s">
        <v>253</v>
      </c>
      <c r="N2396" s="41">
        <v>45222</v>
      </c>
      <c r="O2396" s="25">
        <v>161</v>
      </c>
      <c r="P2396" s="25">
        <v>0</v>
      </c>
      <c r="Q2396" s="25"/>
      <c r="R2396" s="25"/>
      <c r="S2396" s="25"/>
      <c r="T2396" s="10"/>
    </row>
    <row r="2397" s="35" customFormat="1" ht="18.5" customHeight="1" spans="1:20">
      <c r="A2397" s="9"/>
      <c r="B2397" s="25"/>
      <c r="C2397" s="25"/>
      <c r="D2397" s="25"/>
      <c r="E2397" s="25"/>
      <c r="F2397" s="25"/>
      <c r="G2397" s="25"/>
      <c r="H2397" s="25"/>
      <c r="I2397" s="25"/>
      <c r="J2397" s="25"/>
      <c r="K2397" s="25"/>
      <c r="L2397" s="25"/>
      <c r="M2397" s="42" t="s">
        <v>253</v>
      </c>
      <c r="N2397" s="41">
        <v>45251</v>
      </c>
      <c r="O2397" s="25">
        <v>153</v>
      </c>
      <c r="P2397" s="25">
        <v>0</v>
      </c>
      <c r="Q2397" s="25"/>
      <c r="R2397" s="25"/>
      <c r="S2397" s="25"/>
      <c r="T2397" s="10"/>
    </row>
    <row r="2398" s="35" customFormat="1" ht="18.5" customHeight="1" spans="1:20">
      <c r="A2398" s="9"/>
      <c r="B2398" s="25"/>
      <c r="C2398" s="25"/>
      <c r="D2398" s="25"/>
      <c r="E2398" s="25"/>
      <c r="F2398" s="25"/>
      <c r="G2398" s="25"/>
      <c r="H2398" s="25"/>
      <c r="I2398" s="25"/>
      <c r="J2398" s="25"/>
      <c r="K2398" s="25"/>
      <c r="L2398" s="25"/>
      <c r="M2398" s="42" t="s">
        <v>253</v>
      </c>
      <c r="N2398" s="41">
        <v>44975</v>
      </c>
      <c r="O2398" s="25">
        <v>151</v>
      </c>
      <c r="P2398" s="25">
        <v>0</v>
      </c>
      <c r="Q2398" s="25"/>
      <c r="R2398" s="25"/>
      <c r="S2398" s="25"/>
      <c r="T2398" s="10"/>
    </row>
    <row r="2399" s="35" customFormat="1" ht="18.5" customHeight="1" spans="1:20">
      <c r="A2399" s="9"/>
      <c r="B2399" s="25"/>
      <c r="C2399" s="25"/>
      <c r="D2399" s="25"/>
      <c r="E2399" s="25"/>
      <c r="F2399" s="25"/>
      <c r="G2399" s="25"/>
      <c r="H2399" s="25"/>
      <c r="I2399" s="25"/>
      <c r="J2399" s="25"/>
      <c r="K2399" s="25"/>
      <c r="L2399" s="25"/>
      <c r="M2399" s="42" t="s">
        <v>253</v>
      </c>
      <c r="N2399" s="41">
        <v>45246</v>
      </c>
      <c r="O2399" s="25">
        <v>148</v>
      </c>
      <c r="P2399" s="25">
        <v>0</v>
      </c>
      <c r="Q2399" s="25"/>
      <c r="R2399" s="25"/>
      <c r="S2399" s="25"/>
      <c r="T2399" s="10"/>
    </row>
    <row r="2400" s="35" customFormat="1" ht="18.5" customHeight="1" spans="1:20">
      <c r="A2400" s="9"/>
      <c r="B2400" s="25"/>
      <c r="C2400" s="25"/>
      <c r="D2400" s="25"/>
      <c r="E2400" s="25"/>
      <c r="F2400" s="25"/>
      <c r="G2400" s="25"/>
      <c r="H2400" s="25"/>
      <c r="I2400" s="25"/>
      <c r="J2400" s="25"/>
      <c r="K2400" s="25"/>
      <c r="L2400" s="25"/>
      <c r="M2400" s="42" t="s">
        <v>253</v>
      </c>
      <c r="N2400" s="41">
        <v>45256</v>
      </c>
      <c r="O2400" s="25">
        <v>147</v>
      </c>
      <c r="P2400" s="25">
        <v>0</v>
      </c>
      <c r="Q2400" s="25"/>
      <c r="R2400" s="25"/>
      <c r="S2400" s="25"/>
      <c r="T2400" s="10"/>
    </row>
    <row r="2401" s="35" customFormat="1" ht="18.5" customHeight="1" spans="1:20">
      <c r="A2401" s="9"/>
      <c r="B2401" s="25"/>
      <c r="C2401" s="25"/>
      <c r="D2401" s="25"/>
      <c r="E2401" s="25"/>
      <c r="F2401" s="25"/>
      <c r="G2401" s="25"/>
      <c r="H2401" s="25"/>
      <c r="I2401" s="25"/>
      <c r="J2401" s="25"/>
      <c r="K2401" s="25"/>
      <c r="L2401" s="25"/>
      <c r="M2401" s="42" t="s">
        <v>253</v>
      </c>
      <c r="N2401" s="41">
        <v>45276</v>
      </c>
      <c r="O2401" s="25">
        <v>145</v>
      </c>
      <c r="P2401" s="25">
        <v>0</v>
      </c>
      <c r="Q2401" s="25"/>
      <c r="R2401" s="25"/>
      <c r="S2401" s="25"/>
      <c r="T2401" s="10"/>
    </row>
    <row r="2402" s="35" customFormat="1" ht="18.5" customHeight="1" spans="1:20">
      <c r="A2402" s="9"/>
      <c r="B2402" s="25"/>
      <c r="C2402" s="25"/>
      <c r="D2402" s="25"/>
      <c r="E2402" s="25"/>
      <c r="F2402" s="25"/>
      <c r="G2402" s="25"/>
      <c r="H2402" s="25"/>
      <c r="I2402" s="25"/>
      <c r="J2402" s="25"/>
      <c r="K2402" s="25"/>
      <c r="L2402" s="25"/>
      <c r="M2402" s="42" t="s">
        <v>253</v>
      </c>
      <c r="N2402" s="41">
        <v>44964</v>
      </c>
      <c r="O2402" s="25">
        <v>144</v>
      </c>
      <c r="P2402" s="25">
        <v>0</v>
      </c>
      <c r="Q2402" s="25"/>
      <c r="R2402" s="25"/>
      <c r="S2402" s="25"/>
      <c r="T2402" s="10"/>
    </row>
    <row r="2403" s="35" customFormat="1" ht="18.5" customHeight="1" spans="1:20">
      <c r="A2403" s="9"/>
      <c r="B2403" s="25"/>
      <c r="C2403" s="25"/>
      <c r="D2403" s="25"/>
      <c r="E2403" s="25"/>
      <c r="F2403" s="25"/>
      <c r="G2403" s="25"/>
      <c r="H2403" s="25"/>
      <c r="I2403" s="25"/>
      <c r="J2403" s="25"/>
      <c r="K2403" s="25"/>
      <c r="L2403" s="25"/>
      <c r="M2403" s="42" t="s">
        <v>253</v>
      </c>
      <c r="N2403" s="41">
        <v>45254</v>
      </c>
      <c r="O2403" s="25">
        <v>125</v>
      </c>
      <c r="P2403" s="25">
        <v>0</v>
      </c>
      <c r="Q2403" s="25"/>
      <c r="R2403" s="25"/>
      <c r="S2403" s="25"/>
      <c r="T2403" s="10"/>
    </row>
    <row r="2404" s="35" customFormat="1" ht="18.5" customHeight="1" spans="1:20">
      <c r="A2404" s="9"/>
      <c r="B2404" s="25"/>
      <c r="C2404" s="25"/>
      <c r="D2404" s="25"/>
      <c r="E2404" s="25"/>
      <c r="F2404" s="25"/>
      <c r="G2404" s="25"/>
      <c r="H2404" s="25"/>
      <c r="I2404" s="25"/>
      <c r="J2404" s="25"/>
      <c r="K2404" s="25"/>
      <c r="L2404" s="25"/>
      <c r="M2404" s="42" t="s">
        <v>253</v>
      </c>
      <c r="N2404" s="41">
        <v>45266</v>
      </c>
      <c r="O2404" s="25">
        <v>123</v>
      </c>
      <c r="P2404" s="25">
        <v>0</v>
      </c>
      <c r="Q2404" s="25"/>
      <c r="R2404" s="25"/>
      <c r="S2404" s="25"/>
      <c r="T2404" s="10"/>
    </row>
    <row r="2405" s="35" customFormat="1" ht="18.5" customHeight="1" spans="1:20">
      <c r="A2405" s="9"/>
      <c r="B2405" s="25"/>
      <c r="C2405" s="25"/>
      <c r="D2405" s="25"/>
      <c r="E2405" s="25"/>
      <c r="F2405" s="25"/>
      <c r="G2405" s="25"/>
      <c r="H2405" s="25"/>
      <c r="I2405" s="25"/>
      <c r="J2405" s="25"/>
      <c r="K2405" s="25"/>
      <c r="L2405" s="25"/>
      <c r="M2405" s="42" t="s">
        <v>253</v>
      </c>
      <c r="N2405" s="41">
        <v>45009</v>
      </c>
      <c r="O2405" s="25">
        <v>120</v>
      </c>
      <c r="P2405" s="25">
        <v>0</v>
      </c>
      <c r="Q2405" s="25"/>
      <c r="R2405" s="25"/>
      <c r="S2405" s="25"/>
      <c r="T2405" s="10"/>
    </row>
    <row r="2406" s="35" customFormat="1" ht="18.5" customHeight="1" spans="1:20">
      <c r="A2406" s="9"/>
      <c r="B2406" s="25"/>
      <c r="C2406" s="25"/>
      <c r="D2406" s="25"/>
      <c r="E2406" s="25"/>
      <c r="F2406" s="25"/>
      <c r="G2406" s="25"/>
      <c r="H2406" s="25"/>
      <c r="I2406" s="25"/>
      <c r="J2406" s="25"/>
      <c r="K2406" s="25"/>
      <c r="L2406" s="25"/>
      <c r="M2406" s="42" t="s">
        <v>253</v>
      </c>
      <c r="N2406" s="41">
        <v>45252</v>
      </c>
      <c r="O2406" s="25">
        <v>109</v>
      </c>
      <c r="P2406" s="25">
        <v>0</v>
      </c>
      <c r="Q2406" s="25"/>
      <c r="R2406" s="25"/>
      <c r="S2406" s="25"/>
      <c r="T2406" s="10"/>
    </row>
    <row r="2407" s="35" customFormat="1" ht="18.5" customHeight="1" spans="1:20">
      <c r="A2407" s="9"/>
      <c r="B2407" s="25"/>
      <c r="C2407" s="25"/>
      <c r="D2407" s="25"/>
      <c r="E2407" s="25"/>
      <c r="F2407" s="25"/>
      <c r="G2407" s="25"/>
      <c r="H2407" s="25"/>
      <c r="I2407" s="25"/>
      <c r="J2407" s="25"/>
      <c r="K2407" s="25"/>
      <c r="L2407" s="25"/>
      <c r="M2407" s="42" t="s">
        <v>253</v>
      </c>
      <c r="N2407" s="41">
        <v>45257</v>
      </c>
      <c r="O2407" s="25">
        <v>107</v>
      </c>
      <c r="P2407" s="25">
        <v>0</v>
      </c>
      <c r="Q2407" s="25"/>
      <c r="R2407" s="25"/>
      <c r="S2407" s="25"/>
      <c r="T2407" s="10"/>
    </row>
    <row r="2408" s="35" customFormat="1" ht="18.5" customHeight="1" spans="1:20">
      <c r="A2408" s="9"/>
      <c r="B2408" s="25"/>
      <c r="C2408" s="25"/>
      <c r="D2408" s="25"/>
      <c r="E2408" s="25"/>
      <c r="F2408" s="25"/>
      <c r="G2408" s="25"/>
      <c r="H2408" s="25"/>
      <c r="I2408" s="25"/>
      <c r="J2408" s="25"/>
      <c r="K2408" s="25"/>
      <c r="L2408" s="25"/>
      <c r="M2408" s="42" t="s">
        <v>253</v>
      </c>
      <c r="N2408" s="41">
        <v>45244</v>
      </c>
      <c r="O2408" s="25">
        <v>105</v>
      </c>
      <c r="P2408" s="25">
        <v>0</v>
      </c>
      <c r="Q2408" s="25"/>
      <c r="R2408" s="25"/>
      <c r="S2408" s="25"/>
      <c r="T2408" s="10"/>
    </row>
    <row r="2409" s="35" customFormat="1" ht="18.5" customHeight="1" spans="1:20">
      <c r="A2409" s="9"/>
      <c r="B2409" s="25"/>
      <c r="C2409" s="25"/>
      <c r="D2409" s="25"/>
      <c r="E2409" s="25"/>
      <c r="F2409" s="25"/>
      <c r="G2409" s="25"/>
      <c r="H2409" s="25"/>
      <c r="I2409" s="25"/>
      <c r="J2409" s="25"/>
      <c r="K2409" s="25"/>
      <c r="L2409" s="25"/>
      <c r="M2409" s="42" t="s">
        <v>253</v>
      </c>
      <c r="N2409" s="41">
        <v>45289</v>
      </c>
      <c r="O2409" s="25">
        <v>68</v>
      </c>
      <c r="P2409" s="25">
        <v>0</v>
      </c>
      <c r="Q2409" s="25"/>
      <c r="R2409" s="25"/>
      <c r="S2409" s="25"/>
      <c r="T2409" s="10"/>
    </row>
    <row r="2410" s="35" customFormat="1" ht="18.5" customHeight="1" spans="1:20">
      <c r="A2410" s="9"/>
      <c r="B2410" s="25"/>
      <c r="C2410" s="25"/>
      <c r="D2410" s="25"/>
      <c r="E2410" s="25"/>
      <c r="F2410" s="25"/>
      <c r="G2410" s="25"/>
      <c r="H2410" s="25"/>
      <c r="I2410" s="25"/>
      <c r="J2410" s="25"/>
      <c r="K2410" s="25"/>
      <c r="L2410" s="25"/>
      <c r="M2410" s="42" t="s">
        <v>253</v>
      </c>
      <c r="N2410" s="41">
        <v>45289</v>
      </c>
      <c r="O2410" s="25">
        <v>47</v>
      </c>
      <c r="P2410" s="25">
        <v>0</v>
      </c>
      <c r="Q2410" s="25"/>
      <c r="R2410" s="25"/>
      <c r="S2410" s="25"/>
      <c r="T2410" s="10"/>
    </row>
    <row r="2411" s="35" customFormat="1" ht="18.5" customHeight="1" spans="1:20">
      <c r="A2411" s="9"/>
      <c r="B2411" s="25"/>
      <c r="C2411" s="25"/>
      <c r="D2411" s="25"/>
      <c r="E2411" s="25"/>
      <c r="F2411" s="25"/>
      <c r="G2411" s="25"/>
      <c r="H2411" s="25"/>
      <c r="I2411" s="25"/>
      <c r="J2411" s="25"/>
      <c r="K2411" s="25"/>
      <c r="L2411" s="25"/>
      <c r="M2411" s="42" t="s">
        <v>253</v>
      </c>
      <c r="N2411" s="41">
        <v>45289</v>
      </c>
      <c r="O2411" s="25">
        <v>119</v>
      </c>
      <c r="P2411" s="25">
        <v>0</v>
      </c>
      <c r="Q2411" s="25"/>
      <c r="R2411" s="25"/>
      <c r="S2411" s="25"/>
      <c r="T2411" s="10"/>
    </row>
    <row r="2412" s="35" customFormat="1" ht="18.5" customHeight="1" spans="1:20">
      <c r="A2412" s="9"/>
      <c r="B2412" s="25"/>
      <c r="C2412" s="25"/>
      <c r="D2412" s="25"/>
      <c r="E2412" s="25"/>
      <c r="F2412" s="25"/>
      <c r="G2412" s="25"/>
      <c r="H2412" s="25"/>
      <c r="I2412" s="25"/>
      <c r="J2412" s="25"/>
      <c r="K2412" s="25"/>
      <c r="L2412" s="25"/>
      <c r="M2412" s="42" t="s">
        <v>253</v>
      </c>
      <c r="N2412" s="41">
        <v>45288</v>
      </c>
      <c r="O2412" s="25">
        <v>52</v>
      </c>
      <c r="P2412" s="25">
        <v>0</v>
      </c>
      <c r="Q2412" s="25"/>
      <c r="R2412" s="25"/>
      <c r="S2412" s="25"/>
      <c r="T2412" s="10"/>
    </row>
    <row r="2413" s="35" customFormat="1" ht="18.5" customHeight="1" spans="1:20">
      <c r="A2413" s="9"/>
      <c r="B2413" s="25"/>
      <c r="C2413" s="25"/>
      <c r="D2413" s="25"/>
      <c r="E2413" s="25"/>
      <c r="F2413" s="25"/>
      <c r="G2413" s="25"/>
      <c r="H2413" s="25"/>
      <c r="I2413" s="25"/>
      <c r="J2413" s="25"/>
      <c r="K2413" s="25"/>
      <c r="L2413" s="25"/>
      <c r="M2413" s="42" t="s">
        <v>253</v>
      </c>
      <c r="N2413" s="41">
        <v>45287</v>
      </c>
      <c r="O2413" s="25">
        <v>85</v>
      </c>
      <c r="P2413" s="25">
        <v>0</v>
      </c>
      <c r="Q2413" s="25"/>
      <c r="R2413" s="25"/>
      <c r="S2413" s="25"/>
      <c r="T2413" s="10"/>
    </row>
    <row r="2414" s="35" customFormat="1" ht="18.5" customHeight="1" spans="1:20">
      <c r="A2414" s="9"/>
      <c r="B2414" s="25"/>
      <c r="C2414" s="25"/>
      <c r="D2414" s="25"/>
      <c r="E2414" s="25"/>
      <c r="F2414" s="25"/>
      <c r="G2414" s="25"/>
      <c r="H2414" s="25"/>
      <c r="I2414" s="25"/>
      <c r="J2414" s="25"/>
      <c r="K2414" s="25"/>
      <c r="L2414" s="25"/>
      <c r="M2414" s="42" t="s">
        <v>253</v>
      </c>
      <c r="N2414" s="41">
        <v>45278</v>
      </c>
      <c r="O2414" s="25">
        <v>155</v>
      </c>
      <c r="P2414" s="25">
        <v>0</v>
      </c>
      <c r="Q2414" s="25"/>
      <c r="R2414" s="25"/>
      <c r="S2414" s="25"/>
      <c r="T2414" s="10"/>
    </row>
    <row r="2415" s="35" customFormat="1" ht="18.5" customHeight="1" spans="1:20">
      <c r="A2415" s="9"/>
      <c r="B2415" s="25"/>
      <c r="C2415" s="25"/>
      <c r="D2415" s="25"/>
      <c r="E2415" s="25"/>
      <c r="F2415" s="25"/>
      <c r="G2415" s="25"/>
      <c r="H2415" s="25"/>
      <c r="I2415" s="25"/>
      <c r="J2415" s="25"/>
      <c r="K2415" s="25"/>
      <c r="L2415" s="25"/>
      <c r="M2415" s="42" t="s">
        <v>253</v>
      </c>
      <c r="N2415" s="41">
        <v>45286</v>
      </c>
      <c r="O2415" s="25">
        <v>49</v>
      </c>
      <c r="P2415" s="25">
        <v>0</v>
      </c>
      <c r="Q2415" s="25"/>
      <c r="R2415" s="25"/>
      <c r="S2415" s="25"/>
      <c r="T2415" s="10"/>
    </row>
    <row r="2416" s="35" customFormat="1" ht="18.5" customHeight="1" spans="1:20">
      <c r="A2416" s="9"/>
      <c r="B2416" s="25"/>
      <c r="C2416" s="25"/>
      <c r="D2416" s="25"/>
      <c r="E2416" s="25"/>
      <c r="F2416" s="25"/>
      <c r="G2416" s="25"/>
      <c r="H2416" s="25"/>
      <c r="I2416" s="25"/>
      <c r="J2416" s="25"/>
      <c r="K2416" s="25"/>
      <c r="L2416" s="25"/>
      <c r="M2416" s="42" t="s">
        <v>253</v>
      </c>
      <c r="N2416" s="41">
        <v>45285</v>
      </c>
      <c r="O2416" s="25">
        <v>131</v>
      </c>
      <c r="P2416" s="25">
        <v>0</v>
      </c>
      <c r="Q2416" s="25"/>
      <c r="R2416" s="25"/>
      <c r="S2416" s="25"/>
      <c r="T2416" s="10"/>
    </row>
    <row r="2417" s="35" customFormat="1" ht="18.5" customHeight="1" spans="1:20">
      <c r="A2417" s="9"/>
      <c r="B2417" s="25"/>
      <c r="C2417" s="25"/>
      <c r="D2417" s="25"/>
      <c r="E2417" s="25"/>
      <c r="F2417" s="25"/>
      <c r="G2417" s="25"/>
      <c r="H2417" s="25"/>
      <c r="I2417" s="25"/>
      <c r="J2417" s="25"/>
      <c r="K2417" s="25"/>
      <c r="L2417" s="25"/>
      <c r="M2417" s="42" t="s">
        <v>253</v>
      </c>
      <c r="N2417" s="41">
        <v>45285</v>
      </c>
      <c r="O2417" s="25">
        <v>134</v>
      </c>
      <c r="P2417" s="25">
        <v>0</v>
      </c>
      <c r="Q2417" s="25"/>
      <c r="R2417" s="25"/>
      <c r="S2417" s="25"/>
      <c r="T2417" s="10"/>
    </row>
    <row r="2418" s="35" customFormat="1" ht="18.5" customHeight="1" spans="1:20">
      <c r="A2418" s="9"/>
      <c r="B2418" s="25"/>
      <c r="C2418" s="25"/>
      <c r="D2418" s="25"/>
      <c r="E2418" s="25"/>
      <c r="F2418" s="25"/>
      <c r="G2418" s="25"/>
      <c r="H2418" s="25"/>
      <c r="I2418" s="25"/>
      <c r="J2418" s="25"/>
      <c r="K2418" s="25"/>
      <c r="L2418" s="25"/>
      <c r="M2418" s="42" t="s">
        <v>253</v>
      </c>
      <c r="N2418" s="41">
        <v>45282</v>
      </c>
      <c r="O2418" s="25">
        <v>67</v>
      </c>
      <c r="P2418" s="25">
        <v>0</v>
      </c>
      <c r="Q2418" s="25"/>
      <c r="R2418" s="25"/>
      <c r="S2418" s="25"/>
      <c r="T2418" s="10"/>
    </row>
    <row r="2419" s="35" customFormat="1" ht="18.5" customHeight="1" spans="1:20">
      <c r="A2419" s="9"/>
      <c r="B2419" s="25"/>
      <c r="C2419" s="25"/>
      <c r="D2419" s="25"/>
      <c r="E2419" s="25"/>
      <c r="F2419" s="25"/>
      <c r="G2419" s="25"/>
      <c r="H2419" s="25"/>
      <c r="I2419" s="25"/>
      <c r="J2419" s="25"/>
      <c r="K2419" s="25"/>
      <c r="L2419" s="25"/>
      <c r="M2419" s="42" t="s">
        <v>253</v>
      </c>
      <c r="N2419" s="41">
        <v>45283</v>
      </c>
      <c r="O2419" s="25">
        <v>49</v>
      </c>
      <c r="P2419" s="25">
        <v>0</v>
      </c>
      <c r="Q2419" s="25"/>
      <c r="R2419" s="25"/>
      <c r="S2419" s="25"/>
      <c r="T2419" s="10"/>
    </row>
    <row r="2420" s="35" customFormat="1" ht="18.5" customHeight="1" spans="1:20">
      <c r="A2420" s="9"/>
      <c r="B2420" s="25"/>
      <c r="C2420" s="25"/>
      <c r="D2420" s="25"/>
      <c r="E2420" s="25"/>
      <c r="F2420" s="25"/>
      <c r="G2420" s="25"/>
      <c r="H2420" s="25"/>
      <c r="I2420" s="25"/>
      <c r="J2420" s="25"/>
      <c r="K2420" s="25"/>
      <c r="L2420" s="25"/>
      <c r="M2420" s="42" t="s">
        <v>253</v>
      </c>
      <c r="N2420" s="41">
        <v>45282</v>
      </c>
      <c r="O2420" s="25">
        <v>61</v>
      </c>
      <c r="P2420" s="25">
        <v>0</v>
      </c>
      <c r="Q2420" s="25"/>
      <c r="R2420" s="25"/>
      <c r="S2420" s="25"/>
      <c r="T2420" s="10"/>
    </row>
    <row r="2421" s="35" customFormat="1" ht="18.5" customHeight="1" spans="1:20">
      <c r="A2421" s="9"/>
      <c r="B2421" s="25"/>
      <c r="C2421" s="25"/>
      <c r="D2421" s="25"/>
      <c r="E2421" s="25"/>
      <c r="F2421" s="25"/>
      <c r="G2421" s="25"/>
      <c r="H2421" s="25"/>
      <c r="I2421" s="25"/>
      <c r="J2421" s="25"/>
      <c r="K2421" s="25"/>
      <c r="L2421" s="25"/>
      <c r="M2421" s="42" t="s">
        <v>253</v>
      </c>
      <c r="N2421" s="41">
        <v>45281</v>
      </c>
      <c r="O2421" s="25">
        <v>48</v>
      </c>
      <c r="P2421" s="25">
        <v>0</v>
      </c>
      <c r="Q2421" s="25"/>
      <c r="R2421" s="25"/>
      <c r="S2421" s="25"/>
      <c r="T2421" s="10"/>
    </row>
    <row r="2422" s="35" customFormat="1" ht="18.5" customHeight="1" spans="1:20">
      <c r="A2422" s="9"/>
      <c r="B2422" s="25"/>
      <c r="C2422" s="25"/>
      <c r="D2422" s="25"/>
      <c r="E2422" s="25"/>
      <c r="F2422" s="25"/>
      <c r="G2422" s="25"/>
      <c r="H2422" s="25"/>
      <c r="I2422" s="25"/>
      <c r="J2422" s="25"/>
      <c r="K2422" s="25"/>
      <c r="L2422" s="25"/>
      <c r="M2422" s="42" t="s">
        <v>253</v>
      </c>
      <c r="N2422" s="41">
        <v>45280</v>
      </c>
      <c r="O2422" s="25">
        <v>80</v>
      </c>
      <c r="P2422" s="25">
        <v>0</v>
      </c>
      <c r="Q2422" s="25"/>
      <c r="R2422" s="25"/>
      <c r="S2422" s="25"/>
      <c r="T2422" s="10"/>
    </row>
    <row r="2423" s="35" customFormat="1" ht="18.5" customHeight="1" spans="1:20">
      <c r="A2423" s="9"/>
      <c r="B2423" s="25"/>
      <c r="C2423" s="25"/>
      <c r="D2423" s="25"/>
      <c r="E2423" s="25"/>
      <c r="F2423" s="25"/>
      <c r="G2423" s="25"/>
      <c r="H2423" s="25"/>
      <c r="I2423" s="25"/>
      <c r="J2423" s="25"/>
      <c r="K2423" s="25"/>
      <c r="L2423" s="25"/>
      <c r="M2423" s="42" t="s">
        <v>253</v>
      </c>
      <c r="N2423" s="41">
        <v>45280</v>
      </c>
      <c r="O2423" s="25">
        <v>89</v>
      </c>
      <c r="P2423" s="25">
        <v>0</v>
      </c>
      <c r="Q2423" s="25"/>
      <c r="R2423" s="25"/>
      <c r="S2423" s="25"/>
      <c r="T2423" s="10"/>
    </row>
    <row r="2424" s="35" customFormat="1" ht="18.5" customHeight="1" spans="1:20">
      <c r="A2424" s="9"/>
      <c r="B2424" s="25"/>
      <c r="C2424" s="25"/>
      <c r="D2424" s="25"/>
      <c r="E2424" s="25"/>
      <c r="F2424" s="25"/>
      <c r="G2424" s="25"/>
      <c r="H2424" s="25"/>
      <c r="I2424" s="25"/>
      <c r="J2424" s="25"/>
      <c r="K2424" s="25"/>
      <c r="L2424" s="25"/>
      <c r="M2424" s="42" t="s">
        <v>253</v>
      </c>
      <c r="N2424" s="41">
        <v>45280</v>
      </c>
      <c r="O2424" s="25">
        <v>173</v>
      </c>
      <c r="P2424" s="25">
        <v>0</v>
      </c>
      <c r="Q2424" s="25"/>
      <c r="R2424" s="25"/>
      <c r="S2424" s="25"/>
      <c r="T2424" s="10"/>
    </row>
    <row r="2425" s="35" customFormat="1" ht="18.5" customHeight="1" spans="1:20">
      <c r="A2425" s="9"/>
      <c r="B2425" s="25"/>
      <c r="C2425" s="25"/>
      <c r="D2425" s="25"/>
      <c r="E2425" s="25"/>
      <c r="F2425" s="25"/>
      <c r="G2425" s="25"/>
      <c r="H2425" s="25"/>
      <c r="I2425" s="25"/>
      <c r="J2425" s="25"/>
      <c r="K2425" s="25"/>
      <c r="L2425" s="25"/>
      <c r="M2425" s="42" t="s">
        <v>253</v>
      </c>
      <c r="N2425" s="41">
        <v>45280</v>
      </c>
      <c r="O2425" s="25">
        <v>62</v>
      </c>
      <c r="P2425" s="25">
        <v>0</v>
      </c>
      <c r="Q2425" s="25"/>
      <c r="R2425" s="25"/>
      <c r="S2425" s="25"/>
      <c r="T2425" s="10"/>
    </row>
    <row r="2426" s="35" customFormat="1" ht="18.5" customHeight="1" spans="1:20">
      <c r="A2426" s="9"/>
      <c r="B2426" s="25"/>
      <c r="C2426" s="25"/>
      <c r="D2426" s="25"/>
      <c r="E2426" s="25"/>
      <c r="F2426" s="25"/>
      <c r="G2426" s="25"/>
      <c r="H2426" s="25"/>
      <c r="I2426" s="25"/>
      <c r="J2426" s="25"/>
      <c r="K2426" s="25"/>
      <c r="L2426" s="25"/>
      <c r="M2426" s="42" t="s">
        <v>253</v>
      </c>
      <c r="N2426" s="41">
        <v>45279</v>
      </c>
      <c r="O2426" s="25">
        <v>76</v>
      </c>
      <c r="P2426" s="25">
        <v>0</v>
      </c>
      <c r="Q2426" s="25"/>
      <c r="R2426" s="25"/>
      <c r="S2426" s="25"/>
      <c r="T2426" s="10"/>
    </row>
    <row r="2427" s="35" customFormat="1" ht="18.5" customHeight="1" spans="1:20">
      <c r="A2427" s="9"/>
      <c r="B2427" s="25"/>
      <c r="C2427" s="25"/>
      <c r="D2427" s="25"/>
      <c r="E2427" s="25"/>
      <c r="F2427" s="25"/>
      <c r="G2427" s="25"/>
      <c r="H2427" s="25"/>
      <c r="I2427" s="25"/>
      <c r="J2427" s="25"/>
      <c r="K2427" s="25"/>
      <c r="L2427" s="25"/>
      <c r="M2427" s="42" t="s">
        <v>253</v>
      </c>
      <c r="N2427" s="41">
        <v>45279</v>
      </c>
      <c r="O2427" s="25">
        <v>50</v>
      </c>
      <c r="P2427" s="25">
        <v>0</v>
      </c>
      <c r="Q2427" s="25"/>
      <c r="R2427" s="25"/>
      <c r="S2427" s="25"/>
      <c r="T2427" s="10"/>
    </row>
    <row r="2428" s="35" customFormat="1" ht="18.5" customHeight="1" spans="1:20">
      <c r="A2428" s="9"/>
      <c r="B2428" s="25"/>
      <c r="C2428" s="25"/>
      <c r="D2428" s="25"/>
      <c r="E2428" s="25"/>
      <c r="F2428" s="25"/>
      <c r="G2428" s="25"/>
      <c r="H2428" s="25"/>
      <c r="I2428" s="25"/>
      <c r="J2428" s="25"/>
      <c r="K2428" s="25"/>
      <c r="L2428" s="25"/>
      <c r="M2428" s="42" t="s">
        <v>253</v>
      </c>
      <c r="N2428" s="41">
        <v>45279</v>
      </c>
      <c r="O2428" s="25">
        <v>59</v>
      </c>
      <c r="P2428" s="25">
        <v>0</v>
      </c>
      <c r="Q2428" s="25"/>
      <c r="R2428" s="25"/>
      <c r="S2428" s="25"/>
      <c r="T2428" s="10"/>
    </row>
    <row r="2429" s="35" customFormat="1" ht="18.5" customHeight="1" spans="1:20">
      <c r="A2429" s="9"/>
      <c r="B2429" s="25"/>
      <c r="C2429" s="25"/>
      <c r="D2429" s="25"/>
      <c r="E2429" s="25"/>
      <c r="F2429" s="25"/>
      <c r="G2429" s="25"/>
      <c r="H2429" s="25"/>
      <c r="I2429" s="25"/>
      <c r="J2429" s="25"/>
      <c r="K2429" s="25"/>
      <c r="L2429" s="25"/>
      <c r="M2429" s="42" t="s">
        <v>253</v>
      </c>
      <c r="N2429" s="41">
        <v>45279</v>
      </c>
      <c r="O2429" s="25">
        <v>76</v>
      </c>
      <c r="P2429" s="25">
        <v>0</v>
      </c>
      <c r="Q2429" s="25"/>
      <c r="R2429" s="25"/>
      <c r="S2429" s="25"/>
      <c r="T2429" s="10"/>
    </row>
    <row r="2430" s="35" customFormat="1" ht="18.5" customHeight="1" spans="1:20">
      <c r="A2430" s="9"/>
      <c r="B2430" s="25"/>
      <c r="C2430" s="25"/>
      <c r="D2430" s="25"/>
      <c r="E2430" s="25"/>
      <c r="F2430" s="25"/>
      <c r="G2430" s="25"/>
      <c r="H2430" s="25"/>
      <c r="I2430" s="25"/>
      <c r="J2430" s="25"/>
      <c r="K2430" s="25"/>
      <c r="L2430" s="25"/>
      <c r="M2430" s="42" t="s">
        <v>253</v>
      </c>
      <c r="N2430" s="41">
        <v>45279</v>
      </c>
      <c r="O2430" s="25">
        <v>55</v>
      </c>
      <c r="P2430" s="25">
        <v>0</v>
      </c>
      <c r="Q2430" s="25"/>
      <c r="R2430" s="25"/>
      <c r="S2430" s="25"/>
      <c r="T2430" s="10"/>
    </row>
    <row r="2431" s="35" customFormat="1" ht="18.5" customHeight="1" spans="1:20">
      <c r="A2431" s="9"/>
      <c r="B2431" s="25"/>
      <c r="C2431" s="25"/>
      <c r="D2431" s="25"/>
      <c r="E2431" s="25"/>
      <c r="F2431" s="25"/>
      <c r="G2431" s="25"/>
      <c r="H2431" s="25"/>
      <c r="I2431" s="25"/>
      <c r="J2431" s="25"/>
      <c r="K2431" s="25"/>
      <c r="L2431" s="25"/>
      <c r="M2431" s="42" t="s">
        <v>253</v>
      </c>
      <c r="N2431" s="41">
        <v>45279</v>
      </c>
      <c r="O2431" s="25">
        <v>67</v>
      </c>
      <c r="P2431" s="25">
        <v>0</v>
      </c>
      <c r="Q2431" s="25"/>
      <c r="R2431" s="25"/>
      <c r="S2431" s="25"/>
      <c r="T2431" s="10"/>
    </row>
    <row r="2432" s="35" customFormat="1" ht="18.5" customHeight="1" spans="1:20">
      <c r="A2432" s="9"/>
      <c r="B2432" s="25"/>
      <c r="C2432" s="25"/>
      <c r="D2432" s="25"/>
      <c r="E2432" s="25"/>
      <c r="F2432" s="25"/>
      <c r="G2432" s="25"/>
      <c r="H2432" s="25"/>
      <c r="I2432" s="25"/>
      <c r="J2432" s="25"/>
      <c r="K2432" s="25"/>
      <c r="L2432" s="25"/>
      <c r="M2432" s="42" t="s">
        <v>253</v>
      </c>
      <c r="N2432" s="41">
        <v>45278</v>
      </c>
      <c r="O2432" s="25">
        <v>86</v>
      </c>
      <c r="P2432" s="25">
        <v>0</v>
      </c>
      <c r="Q2432" s="25"/>
      <c r="R2432" s="25"/>
      <c r="S2432" s="25"/>
      <c r="T2432" s="10"/>
    </row>
    <row r="2433" s="35" customFormat="1" ht="18.5" customHeight="1" spans="1:20">
      <c r="A2433" s="9"/>
      <c r="B2433" s="25"/>
      <c r="C2433" s="25"/>
      <c r="D2433" s="25"/>
      <c r="E2433" s="25"/>
      <c r="F2433" s="25"/>
      <c r="G2433" s="25"/>
      <c r="H2433" s="25"/>
      <c r="I2433" s="25"/>
      <c r="J2433" s="25"/>
      <c r="K2433" s="25"/>
      <c r="L2433" s="25"/>
      <c r="M2433" s="42" t="s">
        <v>253</v>
      </c>
      <c r="N2433" s="41">
        <v>45278</v>
      </c>
      <c r="O2433" s="25">
        <v>53</v>
      </c>
      <c r="P2433" s="25">
        <v>0</v>
      </c>
      <c r="Q2433" s="25"/>
      <c r="R2433" s="25"/>
      <c r="S2433" s="25"/>
      <c r="T2433" s="10"/>
    </row>
    <row r="2434" s="35" customFormat="1" ht="18.5" customHeight="1" spans="1:20">
      <c r="A2434" s="9"/>
      <c r="B2434" s="25"/>
      <c r="C2434" s="25"/>
      <c r="D2434" s="25"/>
      <c r="E2434" s="25"/>
      <c r="F2434" s="25"/>
      <c r="G2434" s="25"/>
      <c r="H2434" s="25"/>
      <c r="I2434" s="25"/>
      <c r="J2434" s="25"/>
      <c r="K2434" s="25"/>
      <c r="L2434" s="25"/>
      <c r="M2434" s="42" t="s">
        <v>253</v>
      </c>
      <c r="N2434" s="41">
        <v>45278</v>
      </c>
      <c r="O2434" s="25">
        <v>71</v>
      </c>
      <c r="P2434" s="25">
        <v>0</v>
      </c>
      <c r="Q2434" s="25"/>
      <c r="R2434" s="25"/>
      <c r="S2434" s="25"/>
      <c r="T2434" s="10"/>
    </row>
    <row r="2435" s="35" customFormat="1" ht="18.5" customHeight="1" spans="1:20">
      <c r="A2435" s="9"/>
      <c r="B2435" s="25"/>
      <c r="C2435" s="25"/>
      <c r="D2435" s="25"/>
      <c r="E2435" s="25"/>
      <c r="F2435" s="25"/>
      <c r="G2435" s="25"/>
      <c r="H2435" s="25"/>
      <c r="I2435" s="25"/>
      <c r="J2435" s="25"/>
      <c r="K2435" s="25"/>
      <c r="L2435" s="25"/>
      <c r="M2435" s="42" t="s">
        <v>253</v>
      </c>
      <c r="N2435" s="41">
        <v>45278</v>
      </c>
      <c r="O2435" s="25">
        <v>81</v>
      </c>
      <c r="P2435" s="25">
        <v>0</v>
      </c>
      <c r="Q2435" s="25"/>
      <c r="R2435" s="25"/>
      <c r="S2435" s="25"/>
      <c r="T2435" s="10"/>
    </row>
    <row r="2436" s="35" customFormat="1" ht="18.5" customHeight="1" spans="1:20">
      <c r="A2436" s="9"/>
      <c r="B2436" s="25"/>
      <c r="C2436" s="25"/>
      <c r="D2436" s="25"/>
      <c r="E2436" s="25"/>
      <c r="F2436" s="25"/>
      <c r="G2436" s="25"/>
      <c r="H2436" s="25"/>
      <c r="I2436" s="25"/>
      <c r="J2436" s="25"/>
      <c r="K2436" s="25"/>
      <c r="L2436" s="25"/>
      <c r="M2436" s="42" t="s">
        <v>253</v>
      </c>
      <c r="N2436" s="41">
        <v>45277</v>
      </c>
      <c r="O2436" s="25">
        <v>81</v>
      </c>
      <c r="P2436" s="25">
        <v>0</v>
      </c>
      <c r="Q2436" s="25"/>
      <c r="R2436" s="25"/>
      <c r="S2436" s="25"/>
      <c r="T2436" s="10"/>
    </row>
    <row r="2437" s="35" customFormat="1" ht="18.5" customHeight="1" spans="1:20">
      <c r="A2437" s="9"/>
      <c r="B2437" s="25"/>
      <c r="C2437" s="25"/>
      <c r="D2437" s="25"/>
      <c r="E2437" s="25"/>
      <c r="F2437" s="25"/>
      <c r="G2437" s="25"/>
      <c r="H2437" s="25"/>
      <c r="I2437" s="25"/>
      <c r="J2437" s="25"/>
      <c r="K2437" s="25"/>
      <c r="L2437" s="25"/>
      <c r="M2437" s="42" t="s">
        <v>253</v>
      </c>
      <c r="N2437" s="41">
        <v>45277</v>
      </c>
      <c r="O2437" s="25">
        <v>50</v>
      </c>
      <c r="P2437" s="25">
        <v>0</v>
      </c>
      <c r="Q2437" s="25"/>
      <c r="R2437" s="25"/>
      <c r="S2437" s="25"/>
      <c r="T2437" s="10"/>
    </row>
    <row r="2438" s="35" customFormat="1" ht="18.5" customHeight="1" spans="1:20">
      <c r="A2438" s="9"/>
      <c r="B2438" s="25"/>
      <c r="C2438" s="25"/>
      <c r="D2438" s="25"/>
      <c r="E2438" s="25"/>
      <c r="F2438" s="25"/>
      <c r="G2438" s="25"/>
      <c r="H2438" s="25"/>
      <c r="I2438" s="25"/>
      <c r="J2438" s="25"/>
      <c r="K2438" s="25"/>
      <c r="L2438" s="25"/>
      <c r="M2438" s="42" t="s">
        <v>253</v>
      </c>
      <c r="N2438" s="41">
        <v>45277</v>
      </c>
      <c r="O2438" s="25">
        <v>56</v>
      </c>
      <c r="P2438" s="25">
        <v>0</v>
      </c>
      <c r="Q2438" s="25"/>
      <c r="R2438" s="25"/>
      <c r="S2438" s="25"/>
      <c r="T2438" s="10"/>
    </row>
    <row r="2439" s="35" customFormat="1" ht="18.5" customHeight="1" spans="1:20">
      <c r="A2439" s="9"/>
      <c r="B2439" s="25"/>
      <c r="C2439" s="25"/>
      <c r="D2439" s="25"/>
      <c r="E2439" s="25"/>
      <c r="F2439" s="25"/>
      <c r="G2439" s="25"/>
      <c r="H2439" s="25"/>
      <c r="I2439" s="25"/>
      <c r="J2439" s="25"/>
      <c r="K2439" s="25"/>
      <c r="L2439" s="25"/>
      <c r="M2439" s="42" t="s">
        <v>253</v>
      </c>
      <c r="N2439" s="41">
        <v>45276</v>
      </c>
      <c r="O2439" s="25">
        <v>149</v>
      </c>
      <c r="P2439" s="25">
        <v>0</v>
      </c>
      <c r="Q2439" s="25"/>
      <c r="R2439" s="25"/>
      <c r="S2439" s="25"/>
      <c r="T2439" s="10"/>
    </row>
    <row r="2440" s="35" customFormat="1" ht="18.5" customHeight="1" spans="1:20">
      <c r="A2440" s="9"/>
      <c r="B2440" s="25"/>
      <c r="C2440" s="25"/>
      <c r="D2440" s="25"/>
      <c r="E2440" s="25"/>
      <c r="F2440" s="25"/>
      <c r="G2440" s="25"/>
      <c r="H2440" s="25"/>
      <c r="I2440" s="25"/>
      <c r="J2440" s="25"/>
      <c r="K2440" s="25"/>
      <c r="L2440" s="25"/>
      <c r="M2440" s="42" t="s">
        <v>253</v>
      </c>
      <c r="N2440" s="41">
        <v>45275</v>
      </c>
      <c r="O2440" s="25">
        <v>109</v>
      </c>
      <c r="P2440" s="25">
        <v>0</v>
      </c>
      <c r="Q2440" s="25"/>
      <c r="R2440" s="25"/>
      <c r="S2440" s="25"/>
      <c r="T2440" s="10"/>
    </row>
    <row r="2441" s="35" customFormat="1" ht="18.5" customHeight="1" spans="1:20">
      <c r="A2441" s="9"/>
      <c r="B2441" s="25"/>
      <c r="C2441" s="25"/>
      <c r="D2441" s="25"/>
      <c r="E2441" s="25"/>
      <c r="F2441" s="25"/>
      <c r="G2441" s="25"/>
      <c r="H2441" s="25"/>
      <c r="I2441" s="25"/>
      <c r="J2441" s="25"/>
      <c r="K2441" s="25"/>
      <c r="L2441" s="25"/>
      <c r="M2441" s="42" t="s">
        <v>253</v>
      </c>
      <c r="N2441" s="41">
        <v>45274</v>
      </c>
      <c r="O2441" s="25">
        <v>67</v>
      </c>
      <c r="P2441" s="25">
        <v>0</v>
      </c>
      <c r="Q2441" s="25"/>
      <c r="R2441" s="25"/>
      <c r="S2441" s="25"/>
      <c r="T2441" s="10"/>
    </row>
    <row r="2442" s="35" customFormat="1" ht="18.5" customHeight="1" spans="1:20">
      <c r="A2442" s="9"/>
      <c r="B2442" s="25"/>
      <c r="C2442" s="25"/>
      <c r="D2442" s="25"/>
      <c r="E2442" s="25"/>
      <c r="F2442" s="25"/>
      <c r="G2442" s="25"/>
      <c r="H2442" s="25"/>
      <c r="I2442" s="25"/>
      <c r="J2442" s="25"/>
      <c r="K2442" s="25"/>
      <c r="L2442" s="25"/>
      <c r="M2442" s="42" t="s">
        <v>253</v>
      </c>
      <c r="N2442" s="41">
        <v>45274</v>
      </c>
      <c r="O2442" s="25">
        <v>81</v>
      </c>
      <c r="P2442" s="25">
        <v>0</v>
      </c>
      <c r="Q2442" s="25"/>
      <c r="R2442" s="25"/>
      <c r="S2442" s="25"/>
      <c r="T2442" s="10"/>
    </row>
    <row r="2443" s="35" customFormat="1" ht="18.5" customHeight="1" spans="1:20">
      <c r="A2443" s="9"/>
      <c r="B2443" s="25"/>
      <c r="C2443" s="25"/>
      <c r="D2443" s="25"/>
      <c r="E2443" s="25"/>
      <c r="F2443" s="25"/>
      <c r="G2443" s="25"/>
      <c r="H2443" s="25"/>
      <c r="I2443" s="25"/>
      <c r="J2443" s="25"/>
      <c r="K2443" s="25"/>
      <c r="L2443" s="25"/>
      <c r="M2443" s="42" t="s">
        <v>253</v>
      </c>
      <c r="N2443" s="41">
        <v>45274</v>
      </c>
      <c r="O2443" s="25">
        <v>75</v>
      </c>
      <c r="P2443" s="25">
        <v>0</v>
      </c>
      <c r="Q2443" s="25"/>
      <c r="R2443" s="25"/>
      <c r="S2443" s="25"/>
      <c r="T2443" s="10"/>
    </row>
    <row r="2444" s="35" customFormat="1" ht="18.5" customHeight="1" spans="1:20">
      <c r="A2444" s="9"/>
      <c r="B2444" s="25"/>
      <c r="C2444" s="25"/>
      <c r="D2444" s="25"/>
      <c r="E2444" s="25"/>
      <c r="F2444" s="25"/>
      <c r="G2444" s="25"/>
      <c r="H2444" s="25"/>
      <c r="I2444" s="25"/>
      <c r="J2444" s="25"/>
      <c r="K2444" s="25"/>
      <c r="L2444" s="25"/>
      <c r="M2444" s="42" t="s">
        <v>253</v>
      </c>
      <c r="N2444" s="41">
        <v>45273</v>
      </c>
      <c r="O2444" s="25">
        <v>77</v>
      </c>
      <c r="P2444" s="25">
        <v>0</v>
      </c>
      <c r="Q2444" s="25"/>
      <c r="R2444" s="25"/>
      <c r="S2444" s="25"/>
      <c r="T2444" s="10"/>
    </row>
    <row r="2445" s="35" customFormat="1" ht="18.5" customHeight="1" spans="1:20">
      <c r="A2445" s="9"/>
      <c r="B2445" s="25"/>
      <c r="C2445" s="25"/>
      <c r="D2445" s="25"/>
      <c r="E2445" s="25"/>
      <c r="F2445" s="25"/>
      <c r="G2445" s="25"/>
      <c r="H2445" s="25"/>
      <c r="I2445" s="25"/>
      <c r="J2445" s="25"/>
      <c r="K2445" s="25"/>
      <c r="L2445" s="25"/>
      <c r="M2445" s="42" t="s">
        <v>253</v>
      </c>
      <c r="N2445" s="41">
        <v>45273</v>
      </c>
      <c r="O2445" s="25">
        <v>71</v>
      </c>
      <c r="P2445" s="25">
        <v>0</v>
      </c>
      <c r="Q2445" s="25"/>
      <c r="R2445" s="25"/>
      <c r="S2445" s="25"/>
      <c r="T2445" s="10"/>
    </row>
    <row r="2446" s="35" customFormat="1" ht="18.5" customHeight="1" spans="1:20">
      <c r="A2446" s="9"/>
      <c r="B2446" s="25"/>
      <c r="C2446" s="25"/>
      <c r="D2446" s="25"/>
      <c r="E2446" s="25"/>
      <c r="F2446" s="25"/>
      <c r="G2446" s="25"/>
      <c r="H2446" s="25"/>
      <c r="I2446" s="25"/>
      <c r="J2446" s="25"/>
      <c r="K2446" s="25"/>
      <c r="L2446" s="25"/>
      <c r="M2446" s="42" t="s">
        <v>253</v>
      </c>
      <c r="N2446" s="41">
        <v>45272</v>
      </c>
      <c r="O2446" s="25">
        <v>96</v>
      </c>
      <c r="P2446" s="25">
        <v>0</v>
      </c>
      <c r="Q2446" s="25"/>
      <c r="R2446" s="25"/>
      <c r="S2446" s="25"/>
      <c r="T2446" s="10"/>
    </row>
    <row r="2447" s="35" customFormat="1" ht="18.5" customHeight="1" spans="1:20">
      <c r="A2447" s="9"/>
      <c r="B2447" s="25"/>
      <c r="C2447" s="25"/>
      <c r="D2447" s="25"/>
      <c r="E2447" s="25"/>
      <c r="F2447" s="25"/>
      <c r="G2447" s="25"/>
      <c r="H2447" s="25"/>
      <c r="I2447" s="25"/>
      <c r="J2447" s="25"/>
      <c r="K2447" s="25"/>
      <c r="L2447" s="25"/>
      <c r="M2447" s="42" t="s">
        <v>253</v>
      </c>
      <c r="N2447" s="41">
        <v>45271</v>
      </c>
      <c r="O2447" s="25">
        <v>149</v>
      </c>
      <c r="P2447" s="25">
        <v>0</v>
      </c>
      <c r="Q2447" s="25"/>
      <c r="R2447" s="25"/>
      <c r="S2447" s="25"/>
      <c r="T2447" s="10"/>
    </row>
    <row r="2448" s="35" customFormat="1" ht="18.5" customHeight="1" spans="1:20">
      <c r="A2448" s="9"/>
      <c r="B2448" s="25"/>
      <c r="C2448" s="25"/>
      <c r="D2448" s="25"/>
      <c r="E2448" s="25"/>
      <c r="F2448" s="25"/>
      <c r="G2448" s="25"/>
      <c r="H2448" s="25"/>
      <c r="I2448" s="25"/>
      <c r="J2448" s="25"/>
      <c r="K2448" s="25"/>
      <c r="L2448" s="25"/>
      <c r="M2448" s="42" t="s">
        <v>253</v>
      </c>
      <c r="N2448" s="41">
        <v>45271</v>
      </c>
      <c r="O2448" s="25">
        <v>63</v>
      </c>
      <c r="P2448" s="25">
        <v>0</v>
      </c>
      <c r="Q2448" s="25"/>
      <c r="R2448" s="25"/>
      <c r="S2448" s="25"/>
      <c r="T2448" s="10"/>
    </row>
    <row r="2449" s="35" customFormat="1" ht="18.5" customHeight="1" spans="1:20">
      <c r="A2449" s="9"/>
      <c r="B2449" s="25"/>
      <c r="C2449" s="25"/>
      <c r="D2449" s="25"/>
      <c r="E2449" s="25"/>
      <c r="F2449" s="25"/>
      <c r="G2449" s="25"/>
      <c r="H2449" s="25"/>
      <c r="I2449" s="25"/>
      <c r="J2449" s="25"/>
      <c r="K2449" s="25"/>
      <c r="L2449" s="25"/>
      <c r="M2449" s="42" t="s">
        <v>253</v>
      </c>
      <c r="N2449" s="41">
        <v>45271</v>
      </c>
      <c r="O2449" s="25">
        <v>90</v>
      </c>
      <c r="P2449" s="25">
        <v>0</v>
      </c>
      <c r="Q2449" s="25"/>
      <c r="R2449" s="25"/>
      <c r="S2449" s="25"/>
      <c r="T2449" s="10"/>
    </row>
    <row r="2450" s="35" customFormat="1" ht="18.5" customHeight="1" spans="1:20">
      <c r="A2450" s="9"/>
      <c r="B2450" s="25"/>
      <c r="C2450" s="25"/>
      <c r="D2450" s="25"/>
      <c r="E2450" s="25"/>
      <c r="F2450" s="25"/>
      <c r="G2450" s="25"/>
      <c r="H2450" s="25"/>
      <c r="I2450" s="25"/>
      <c r="J2450" s="25"/>
      <c r="K2450" s="25"/>
      <c r="L2450" s="25"/>
      <c r="M2450" s="42" t="s">
        <v>253</v>
      </c>
      <c r="N2450" s="41">
        <v>45270</v>
      </c>
      <c r="O2450" s="25">
        <v>61</v>
      </c>
      <c r="P2450" s="25">
        <v>0</v>
      </c>
      <c r="Q2450" s="25"/>
      <c r="R2450" s="25"/>
      <c r="S2450" s="25"/>
      <c r="T2450" s="10"/>
    </row>
    <row r="2451" s="35" customFormat="1" ht="18.5" customHeight="1" spans="1:20">
      <c r="A2451" s="9"/>
      <c r="B2451" s="25"/>
      <c r="C2451" s="25"/>
      <c r="D2451" s="25"/>
      <c r="E2451" s="25"/>
      <c r="F2451" s="25"/>
      <c r="G2451" s="25"/>
      <c r="H2451" s="25"/>
      <c r="I2451" s="25"/>
      <c r="J2451" s="25"/>
      <c r="K2451" s="25"/>
      <c r="L2451" s="25"/>
      <c r="M2451" s="42" t="s">
        <v>253</v>
      </c>
      <c r="N2451" s="41">
        <v>45269</v>
      </c>
      <c r="O2451" s="25">
        <v>98</v>
      </c>
      <c r="P2451" s="25">
        <v>0</v>
      </c>
      <c r="Q2451" s="25"/>
      <c r="R2451" s="25"/>
      <c r="S2451" s="25"/>
      <c r="T2451" s="10"/>
    </row>
    <row r="2452" s="35" customFormat="1" ht="18.5" customHeight="1" spans="1:20">
      <c r="A2452" s="9"/>
      <c r="B2452" s="25"/>
      <c r="C2452" s="25"/>
      <c r="D2452" s="25"/>
      <c r="E2452" s="25"/>
      <c r="F2452" s="25"/>
      <c r="G2452" s="25"/>
      <c r="H2452" s="25"/>
      <c r="I2452" s="25"/>
      <c r="J2452" s="25"/>
      <c r="K2452" s="25"/>
      <c r="L2452" s="25"/>
      <c r="M2452" s="42" t="s">
        <v>253</v>
      </c>
      <c r="N2452" s="41">
        <v>45269</v>
      </c>
      <c r="O2452" s="25">
        <v>61</v>
      </c>
      <c r="P2452" s="25">
        <v>0</v>
      </c>
      <c r="Q2452" s="25"/>
      <c r="R2452" s="25"/>
      <c r="S2452" s="25"/>
      <c r="T2452" s="10"/>
    </row>
    <row r="2453" s="35" customFormat="1" ht="18.5" customHeight="1" spans="1:20">
      <c r="A2453" s="9"/>
      <c r="B2453" s="25"/>
      <c r="C2453" s="25"/>
      <c r="D2453" s="25"/>
      <c r="E2453" s="25"/>
      <c r="F2453" s="25"/>
      <c r="G2453" s="25"/>
      <c r="H2453" s="25"/>
      <c r="I2453" s="25"/>
      <c r="J2453" s="25"/>
      <c r="K2453" s="25"/>
      <c r="L2453" s="25"/>
      <c r="M2453" s="42" t="s">
        <v>253</v>
      </c>
      <c r="N2453" s="41">
        <v>45268</v>
      </c>
      <c r="O2453" s="25">
        <v>45</v>
      </c>
      <c r="P2453" s="25">
        <v>0</v>
      </c>
      <c r="Q2453" s="25"/>
      <c r="R2453" s="25"/>
      <c r="S2453" s="25"/>
      <c r="T2453" s="10"/>
    </row>
    <row r="2454" s="35" customFormat="1" ht="18.5" customHeight="1" spans="1:20">
      <c r="A2454" s="9"/>
      <c r="B2454" s="25"/>
      <c r="C2454" s="25"/>
      <c r="D2454" s="25"/>
      <c r="E2454" s="25"/>
      <c r="F2454" s="25"/>
      <c r="G2454" s="25"/>
      <c r="H2454" s="25"/>
      <c r="I2454" s="25"/>
      <c r="J2454" s="25"/>
      <c r="K2454" s="25"/>
      <c r="L2454" s="25"/>
      <c r="M2454" s="42" t="s">
        <v>253</v>
      </c>
      <c r="N2454" s="41">
        <v>45268</v>
      </c>
      <c r="O2454" s="25">
        <v>172</v>
      </c>
      <c r="P2454" s="25">
        <v>0</v>
      </c>
      <c r="Q2454" s="25"/>
      <c r="R2454" s="25"/>
      <c r="S2454" s="25"/>
      <c r="T2454" s="10"/>
    </row>
    <row r="2455" s="35" customFormat="1" ht="18.5" customHeight="1" spans="1:20">
      <c r="A2455" s="9"/>
      <c r="B2455" s="25"/>
      <c r="C2455" s="25"/>
      <c r="D2455" s="25"/>
      <c r="E2455" s="25"/>
      <c r="F2455" s="25"/>
      <c r="G2455" s="25"/>
      <c r="H2455" s="25"/>
      <c r="I2455" s="25"/>
      <c r="J2455" s="25"/>
      <c r="K2455" s="25"/>
      <c r="L2455" s="25"/>
      <c r="M2455" s="42" t="s">
        <v>253</v>
      </c>
      <c r="N2455" s="41">
        <v>45268</v>
      </c>
      <c r="O2455" s="25">
        <v>309</v>
      </c>
      <c r="P2455" s="25">
        <v>0</v>
      </c>
      <c r="Q2455" s="25"/>
      <c r="R2455" s="25"/>
      <c r="S2455" s="25"/>
      <c r="T2455" s="10"/>
    </row>
    <row r="2456" s="35" customFormat="1" ht="18.5" customHeight="1" spans="1:20">
      <c r="A2456" s="9"/>
      <c r="B2456" s="25"/>
      <c r="C2456" s="25"/>
      <c r="D2456" s="25"/>
      <c r="E2456" s="25"/>
      <c r="F2456" s="25"/>
      <c r="G2456" s="25"/>
      <c r="H2456" s="25"/>
      <c r="I2456" s="25"/>
      <c r="J2456" s="25"/>
      <c r="K2456" s="25"/>
      <c r="L2456" s="25"/>
      <c r="M2456" s="42" t="s">
        <v>253</v>
      </c>
      <c r="N2456" s="41">
        <v>45268</v>
      </c>
      <c r="O2456" s="25">
        <v>67</v>
      </c>
      <c r="P2456" s="25">
        <v>0</v>
      </c>
      <c r="Q2456" s="25"/>
      <c r="R2456" s="25"/>
      <c r="S2456" s="25"/>
      <c r="T2456" s="10"/>
    </row>
    <row r="2457" s="35" customFormat="1" ht="18.5" customHeight="1" spans="1:20">
      <c r="A2457" s="9"/>
      <c r="B2457" s="25"/>
      <c r="C2457" s="25"/>
      <c r="D2457" s="25"/>
      <c r="E2457" s="25"/>
      <c r="F2457" s="25"/>
      <c r="G2457" s="25"/>
      <c r="H2457" s="25"/>
      <c r="I2457" s="25"/>
      <c r="J2457" s="25"/>
      <c r="K2457" s="25"/>
      <c r="L2457" s="25"/>
      <c r="M2457" s="42" t="s">
        <v>253</v>
      </c>
      <c r="N2457" s="41">
        <v>45268</v>
      </c>
      <c r="O2457" s="25">
        <v>39</v>
      </c>
      <c r="P2457" s="25">
        <v>0</v>
      </c>
      <c r="Q2457" s="25"/>
      <c r="R2457" s="25"/>
      <c r="S2457" s="25"/>
      <c r="T2457" s="10"/>
    </row>
    <row r="2458" s="35" customFormat="1" ht="18.5" customHeight="1" spans="1:20">
      <c r="A2458" s="9"/>
      <c r="B2458" s="25"/>
      <c r="C2458" s="25"/>
      <c r="D2458" s="25"/>
      <c r="E2458" s="25"/>
      <c r="F2458" s="25"/>
      <c r="G2458" s="25"/>
      <c r="H2458" s="25"/>
      <c r="I2458" s="25"/>
      <c r="J2458" s="25"/>
      <c r="K2458" s="25"/>
      <c r="L2458" s="25"/>
      <c r="M2458" s="42" t="s">
        <v>253</v>
      </c>
      <c r="N2458" s="41">
        <v>45268</v>
      </c>
      <c r="O2458" s="25">
        <v>76</v>
      </c>
      <c r="P2458" s="25">
        <v>0</v>
      </c>
      <c r="Q2458" s="25"/>
      <c r="R2458" s="25"/>
      <c r="S2458" s="25"/>
      <c r="T2458" s="10"/>
    </row>
    <row r="2459" s="35" customFormat="1" ht="18.5" customHeight="1" spans="1:20">
      <c r="A2459" s="9"/>
      <c r="B2459" s="25"/>
      <c r="C2459" s="25"/>
      <c r="D2459" s="25"/>
      <c r="E2459" s="25"/>
      <c r="F2459" s="25"/>
      <c r="G2459" s="25"/>
      <c r="H2459" s="25"/>
      <c r="I2459" s="25"/>
      <c r="J2459" s="25"/>
      <c r="K2459" s="25"/>
      <c r="L2459" s="25"/>
      <c r="M2459" s="42" t="s">
        <v>253</v>
      </c>
      <c r="N2459" s="41">
        <v>45268</v>
      </c>
      <c r="O2459" s="25">
        <v>70</v>
      </c>
      <c r="P2459" s="25">
        <v>0</v>
      </c>
      <c r="Q2459" s="25"/>
      <c r="R2459" s="25"/>
      <c r="S2459" s="25"/>
      <c r="T2459" s="10"/>
    </row>
    <row r="2460" s="35" customFormat="1" ht="18.5" customHeight="1" spans="1:20">
      <c r="A2460" s="9"/>
      <c r="B2460" s="25"/>
      <c r="C2460" s="25"/>
      <c r="D2460" s="25"/>
      <c r="E2460" s="25"/>
      <c r="F2460" s="25"/>
      <c r="G2460" s="25"/>
      <c r="H2460" s="25"/>
      <c r="I2460" s="25"/>
      <c r="J2460" s="25"/>
      <c r="K2460" s="25"/>
      <c r="L2460" s="25"/>
      <c r="M2460" s="42" t="s">
        <v>253</v>
      </c>
      <c r="N2460" s="41">
        <v>45267</v>
      </c>
      <c r="O2460" s="25">
        <v>68</v>
      </c>
      <c r="P2460" s="25">
        <v>0</v>
      </c>
      <c r="Q2460" s="25"/>
      <c r="R2460" s="25"/>
      <c r="S2460" s="25"/>
      <c r="T2460" s="10"/>
    </row>
    <row r="2461" s="35" customFormat="1" ht="18.5" customHeight="1" spans="1:20">
      <c r="A2461" s="9"/>
      <c r="B2461" s="25"/>
      <c r="C2461" s="25"/>
      <c r="D2461" s="25"/>
      <c r="E2461" s="25"/>
      <c r="F2461" s="25"/>
      <c r="G2461" s="25"/>
      <c r="H2461" s="25"/>
      <c r="I2461" s="25"/>
      <c r="J2461" s="25"/>
      <c r="K2461" s="25"/>
      <c r="L2461" s="25"/>
      <c r="M2461" s="42" t="s">
        <v>253</v>
      </c>
      <c r="N2461" s="41">
        <v>45267</v>
      </c>
      <c r="O2461" s="25">
        <v>62</v>
      </c>
      <c r="P2461" s="25">
        <v>0</v>
      </c>
      <c r="Q2461" s="25"/>
      <c r="R2461" s="25"/>
      <c r="S2461" s="25"/>
      <c r="T2461" s="10"/>
    </row>
    <row r="2462" s="35" customFormat="1" ht="18.5" customHeight="1" spans="1:20">
      <c r="A2462" s="9"/>
      <c r="B2462" s="25"/>
      <c r="C2462" s="25"/>
      <c r="D2462" s="25"/>
      <c r="E2462" s="25"/>
      <c r="F2462" s="25"/>
      <c r="G2462" s="25"/>
      <c r="H2462" s="25"/>
      <c r="I2462" s="25"/>
      <c r="J2462" s="25"/>
      <c r="K2462" s="25"/>
      <c r="L2462" s="25"/>
      <c r="M2462" s="42" t="s">
        <v>253</v>
      </c>
      <c r="N2462" s="41">
        <v>45267</v>
      </c>
      <c r="O2462" s="25">
        <v>57</v>
      </c>
      <c r="P2462" s="25">
        <v>0</v>
      </c>
      <c r="Q2462" s="25"/>
      <c r="R2462" s="25"/>
      <c r="S2462" s="25"/>
      <c r="T2462" s="10"/>
    </row>
    <row r="2463" s="35" customFormat="1" ht="18.5" customHeight="1" spans="1:20">
      <c r="A2463" s="9"/>
      <c r="B2463" s="25"/>
      <c r="C2463" s="25"/>
      <c r="D2463" s="25"/>
      <c r="E2463" s="25"/>
      <c r="F2463" s="25"/>
      <c r="G2463" s="25"/>
      <c r="H2463" s="25"/>
      <c r="I2463" s="25"/>
      <c r="J2463" s="25"/>
      <c r="K2463" s="25"/>
      <c r="L2463" s="25"/>
      <c r="M2463" s="42" t="s">
        <v>253</v>
      </c>
      <c r="N2463" s="41">
        <v>45267</v>
      </c>
      <c r="O2463" s="25">
        <v>113</v>
      </c>
      <c r="P2463" s="25">
        <v>0</v>
      </c>
      <c r="Q2463" s="25"/>
      <c r="R2463" s="25"/>
      <c r="S2463" s="25"/>
      <c r="T2463" s="10"/>
    </row>
    <row r="2464" s="35" customFormat="1" ht="18.5" customHeight="1" spans="1:20">
      <c r="A2464" s="9"/>
      <c r="B2464" s="25"/>
      <c r="C2464" s="25"/>
      <c r="D2464" s="25"/>
      <c r="E2464" s="25"/>
      <c r="F2464" s="25"/>
      <c r="G2464" s="25"/>
      <c r="H2464" s="25"/>
      <c r="I2464" s="25"/>
      <c r="J2464" s="25"/>
      <c r="K2464" s="25"/>
      <c r="L2464" s="25"/>
      <c r="M2464" s="42" t="s">
        <v>253</v>
      </c>
      <c r="N2464" s="41">
        <v>45267</v>
      </c>
      <c r="O2464" s="25">
        <v>97</v>
      </c>
      <c r="P2464" s="25">
        <v>0</v>
      </c>
      <c r="Q2464" s="25"/>
      <c r="R2464" s="25"/>
      <c r="S2464" s="25"/>
      <c r="T2464" s="10"/>
    </row>
    <row r="2465" s="35" customFormat="1" ht="18.5" customHeight="1" spans="1:20">
      <c r="A2465" s="9"/>
      <c r="B2465" s="25"/>
      <c r="C2465" s="25"/>
      <c r="D2465" s="25"/>
      <c r="E2465" s="25"/>
      <c r="F2465" s="25"/>
      <c r="G2465" s="25"/>
      <c r="H2465" s="25"/>
      <c r="I2465" s="25"/>
      <c r="J2465" s="25"/>
      <c r="K2465" s="25"/>
      <c r="L2465" s="25"/>
      <c r="M2465" s="42" t="s">
        <v>253</v>
      </c>
      <c r="N2465" s="41">
        <v>45267</v>
      </c>
      <c r="O2465" s="25">
        <v>67</v>
      </c>
      <c r="P2465" s="25">
        <v>0</v>
      </c>
      <c r="Q2465" s="25"/>
      <c r="R2465" s="25"/>
      <c r="S2465" s="25"/>
      <c r="T2465" s="10"/>
    </row>
    <row r="2466" s="35" customFormat="1" ht="18.5" customHeight="1" spans="1:20">
      <c r="A2466" s="9"/>
      <c r="B2466" s="25"/>
      <c r="C2466" s="25"/>
      <c r="D2466" s="25"/>
      <c r="E2466" s="25"/>
      <c r="F2466" s="25"/>
      <c r="G2466" s="25"/>
      <c r="H2466" s="25"/>
      <c r="I2466" s="25"/>
      <c r="J2466" s="25"/>
      <c r="K2466" s="25"/>
      <c r="L2466" s="25"/>
      <c r="M2466" s="42" t="s">
        <v>253</v>
      </c>
      <c r="N2466" s="41">
        <v>45267</v>
      </c>
      <c r="O2466" s="25">
        <v>71</v>
      </c>
      <c r="P2466" s="25">
        <v>0</v>
      </c>
      <c r="Q2466" s="25"/>
      <c r="R2466" s="25"/>
      <c r="S2466" s="25"/>
      <c r="T2466" s="10"/>
    </row>
    <row r="2467" s="35" customFormat="1" ht="18.5" customHeight="1" spans="1:20">
      <c r="A2467" s="9"/>
      <c r="B2467" s="25"/>
      <c r="C2467" s="25"/>
      <c r="D2467" s="25"/>
      <c r="E2467" s="25"/>
      <c r="F2467" s="25"/>
      <c r="G2467" s="25"/>
      <c r="H2467" s="25"/>
      <c r="I2467" s="25"/>
      <c r="J2467" s="25"/>
      <c r="K2467" s="25"/>
      <c r="L2467" s="25"/>
      <c r="M2467" s="42" t="s">
        <v>253</v>
      </c>
      <c r="N2467" s="41">
        <v>45267</v>
      </c>
      <c r="O2467" s="25">
        <v>123</v>
      </c>
      <c r="P2467" s="25">
        <v>0</v>
      </c>
      <c r="Q2467" s="25"/>
      <c r="R2467" s="25"/>
      <c r="S2467" s="25"/>
      <c r="T2467" s="10"/>
    </row>
    <row r="2468" s="35" customFormat="1" ht="18.5" customHeight="1" spans="1:20">
      <c r="A2468" s="9"/>
      <c r="B2468" s="25"/>
      <c r="C2468" s="25"/>
      <c r="D2468" s="25"/>
      <c r="E2468" s="25"/>
      <c r="F2468" s="25"/>
      <c r="G2468" s="25"/>
      <c r="H2468" s="25"/>
      <c r="I2468" s="25"/>
      <c r="J2468" s="25"/>
      <c r="K2468" s="25"/>
      <c r="L2468" s="25"/>
      <c r="M2468" s="42" t="s">
        <v>253</v>
      </c>
      <c r="N2468" s="41">
        <v>45266</v>
      </c>
      <c r="O2468" s="25">
        <v>215</v>
      </c>
      <c r="P2468" s="25">
        <v>0</v>
      </c>
      <c r="Q2468" s="25"/>
      <c r="R2468" s="25"/>
      <c r="S2468" s="25"/>
      <c r="T2468" s="10"/>
    </row>
    <row r="2469" s="35" customFormat="1" ht="18.5" customHeight="1" spans="1:20">
      <c r="A2469" s="9"/>
      <c r="B2469" s="25"/>
      <c r="C2469" s="25"/>
      <c r="D2469" s="25"/>
      <c r="E2469" s="25"/>
      <c r="F2469" s="25"/>
      <c r="G2469" s="25"/>
      <c r="H2469" s="25"/>
      <c r="I2469" s="25"/>
      <c r="J2469" s="25"/>
      <c r="K2469" s="25"/>
      <c r="L2469" s="25"/>
      <c r="M2469" s="42" t="s">
        <v>253</v>
      </c>
      <c r="N2469" s="41">
        <v>45266</v>
      </c>
      <c r="O2469" s="25">
        <v>64</v>
      </c>
      <c r="P2469" s="25">
        <v>0</v>
      </c>
      <c r="Q2469" s="25"/>
      <c r="R2469" s="25"/>
      <c r="S2469" s="25"/>
      <c r="T2469" s="10"/>
    </row>
    <row r="2470" s="35" customFormat="1" ht="18.5" customHeight="1" spans="1:20">
      <c r="A2470" s="9"/>
      <c r="B2470" s="25"/>
      <c r="C2470" s="25"/>
      <c r="D2470" s="25"/>
      <c r="E2470" s="25"/>
      <c r="F2470" s="25"/>
      <c r="G2470" s="25"/>
      <c r="H2470" s="25"/>
      <c r="I2470" s="25"/>
      <c r="J2470" s="25"/>
      <c r="K2470" s="25"/>
      <c r="L2470" s="25"/>
      <c r="M2470" s="42" t="s">
        <v>253</v>
      </c>
      <c r="N2470" s="41">
        <v>45266</v>
      </c>
      <c r="O2470" s="25">
        <v>56</v>
      </c>
      <c r="P2470" s="25">
        <v>0</v>
      </c>
      <c r="Q2470" s="25"/>
      <c r="R2470" s="25"/>
      <c r="S2470" s="25"/>
      <c r="T2470" s="10"/>
    </row>
    <row r="2471" s="35" customFormat="1" ht="18.5" customHeight="1" spans="1:20">
      <c r="A2471" s="9"/>
      <c r="B2471" s="25"/>
      <c r="C2471" s="25"/>
      <c r="D2471" s="25"/>
      <c r="E2471" s="25"/>
      <c r="F2471" s="25"/>
      <c r="G2471" s="25"/>
      <c r="H2471" s="25"/>
      <c r="I2471" s="25"/>
      <c r="J2471" s="25"/>
      <c r="K2471" s="25"/>
      <c r="L2471" s="25"/>
      <c r="M2471" s="42" t="s">
        <v>253</v>
      </c>
      <c r="N2471" s="41">
        <v>45266</v>
      </c>
      <c r="O2471" s="25">
        <v>453</v>
      </c>
      <c r="P2471" s="25">
        <v>0</v>
      </c>
      <c r="Q2471" s="25"/>
      <c r="R2471" s="25"/>
      <c r="S2471" s="25"/>
      <c r="T2471" s="10"/>
    </row>
    <row r="2472" s="35" customFormat="1" ht="18.5" customHeight="1" spans="1:20">
      <c r="A2472" s="9"/>
      <c r="B2472" s="25"/>
      <c r="C2472" s="25"/>
      <c r="D2472" s="25"/>
      <c r="E2472" s="25"/>
      <c r="F2472" s="25"/>
      <c r="G2472" s="25"/>
      <c r="H2472" s="25"/>
      <c r="I2472" s="25"/>
      <c r="J2472" s="25"/>
      <c r="K2472" s="25"/>
      <c r="L2472" s="25"/>
      <c r="M2472" s="42" t="s">
        <v>253</v>
      </c>
      <c r="N2472" s="41">
        <v>45266</v>
      </c>
      <c r="O2472" s="25">
        <v>96</v>
      </c>
      <c r="P2472" s="25">
        <v>0</v>
      </c>
      <c r="Q2472" s="25"/>
      <c r="R2472" s="25"/>
      <c r="S2472" s="25"/>
      <c r="T2472" s="10"/>
    </row>
    <row r="2473" s="35" customFormat="1" ht="18.5" customHeight="1" spans="1:20">
      <c r="A2473" s="9"/>
      <c r="B2473" s="25"/>
      <c r="C2473" s="25"/>
      <c r="D2473" s="25"/>
      <c r="E2473" s="25"/>
      <c r="F2473" s="25"/>
      <c r="G2473" s="25"/>
      <c r="H2473" s="25"/>
      <c r="I2473" s="25"/>
      <c r="J2473" s="25"/>
      <c r="K2473" s="25"/>
      <c r="L2473" s="25"/>
      <c r="M2473" s="42" t="s">
        <v>253</v>
      </c>
      <c r="N2473" s="41">
        <v>45266</v>
      </c>
      <c r="O2473" s="25">
        <v>53</v>
      </c>
      <c r="P2473" s="25">
        <v>0</v>
      </c>
      <c r="Q2473" s="25"/>
      <c r="R2473" s="25"/>
      <c r="S2473" s="25"/>
      <c r="T2473" s="10"/>
    </row>
    <row r="2474" s="35" customFormat="1" ht="18.5" customHeight="1" spans="1:20">
      <c r="A2474" s="9"/>
      <c r="B2474" s="25"/>
      <c r="C2474" s="25"/>
      <c r="D2474" s="25"/>
      <c r="E2474" s="25"/>
      <c r="F2474" s="25"/>
      <c r="G2474" s="25"/>
      <c r="H2474" s="25"/>
      <c r="I2474" s="25"/>
      <c r="J2474" s="25"/>
      <c r="K2474" s="25"/>
      <c r="L2474" s="25"/>
      <c r="M2474" s="42" t="s">
        <v>253</v>
      </c>
      <c r="N2474" s="41">
        <v>45266</v>
      </c>
      <c r="O2474" s="25">
        <v>72</v>
      </c>
      <c r="P2474" s="25">
        <v>0</v>
      </c>
      <c r="Q2474" s="25"/>
      <c r="R2474" s="25"/>
      <c r="S2474" s="25"/>
      <c r="T2474" s="10"/>
    </row>
    <row r="2475" s="35" customFormat="1" ht="18.5" customHeight="1" spans="1:20">
      <c r="A2475" s="9"/>
      <c r="B2475" s="25"/>
      <c r="C2475" s="25"/>
      <c r="D2475" s="25"/>
      <c r="E2475" s="25"/>
      <c r="F2475" s="25"/>
      <c r="G2475" s="25"/>
      <c r="H2475" s="25"/>
      <c r="I2475" s="25"/>
      <c r="J2475" s="25"/>
      <c r="K2475" s="25"/>
      <c r="L2475" s="25"/>
      <c r="M2475" s="42" t="s">
        <v>253</v>
      </c>
      <c r="N2475" s="41">
        <v>45266</v>
      </c>
      <c r="O2475" s="25">
        <v>297</v>
      </c>
      <c r="P2475" s="25">
        <v>0</v>
      </c>
      <c r="Q2475" s="25"/>
      <c r="R2475" s="25"/>
      <c r="S2475" s="25"/>
      <c r="T2475" s="10"/>
    </row>
    <row r="2476" s="35" customFormat="1" ht="18.5" customHeight="1" spans="1:20">
      <c r="A2476" s="9"/>
      <c r="B2476" s="25"/>
      <c r="C2476" s="25"/>
      <c r="D2476" s="25"/>
      <c r="E2476" s="25"/>
      <c r="F2476" s="25"/>
      <c r="G2476" s="25"/>
      <c r="H2476" s="25"/>
      <c r="I2476" s="25"/>
      <c r="J2476" s="25"/>
      <c r="K2476" s="25"/>
      <c r="L2476" s="25"/>
      <c r="M2476" s="42" t="s">
        <v>253</v>
      </c>
      <c r="N2476" s="41">
        <v>45266</v>
      </c>
      <c r="O2476" s="25">
        <v>65</v>
      </c>
      <c r="P2476" s="25">
        <v>0</v>
      </c>
      <c r="Q2476" s="25"/>
      <c r="R2476" s="25"/>
      <c r="S2476" s="25"/>
      <c r="T2476" s="10"/>
    </row>
    <row r="2477" s="35" customFormat="1" ht="18.5" customHeight="1" spans="1:20">
      <c r="A2477" s="9"/>
      <c r="B2477" s="25"/>
      <c r="C2477" s="25"/>
      <c r="D2477" s="25"/>
      <c r="E2477" s="25"/>
      <c r="F2477" s="25"/>
      <c r="G2477" s="25"/>
      <c r="H2477" s="25"/>
      <c r="I2477" s="25"/>
      <c r="J2477" s="25"/>
      <c r="K2477" s="25"/>
      <c r="L2477" s="25"/>
      <c r="M2477" s="42" t="s">
        <v>253</v>
      </c>
      <c r="N2477" s="41">
        <v>45265</v>
      </c>
      <c r="O2477" s="25">
        <v>57</v>
      </c>
      <c r="P2477" s="25">
        <v>0</v>
      </c>
      <c r="Q2477" s="25"/>
      <c r="R2477" s="25"/>
      <c r="S2477" s="25"/>
      <c r="T2477" s="10"/>
    </row>
    <row r="2478" s="35" customFormat="1" ht="18.5" customHeight="1" spans="1:20">
      <c r="A2478" s="9"/>
      <c r="B2478" s="25"/>
      <c r="C2478" s="25"/>
      <c r="D2478" s="25"/>
      <c r="E2478" s="25"/>
      <c r="F2478" s="25"/>
      <c r="G2478" s="25"/>
      <c r="H2478" s="25"/>
      <c r="I2478" s="25"/>
      <c r="J2478" s="25"/>
      <c r="K2478" s="25"/>
      <c r="L2478" s="25"/>
      <c r="M2478" s="42" t="s">
        <v>253</v>
      </c>
      <c r="N2478" s="41">
        <v>45265</v>
      </c>
      <c r="O2478" s="25">
        <v>75</v>
      </c>
      <c r="P2478" s="25">
        <v>0</v>
      </c>
      <c r="Q2478" s="25"/>
      <c r="R2478" s="25"/>
      <c r="S2478" s="25"/>
      <c r="T2478" s="10"/>
    </row>
    <row r="2479" s="35" customFormat="1" ht="18.5" customHeight="1" spans="1:20">
      <c r="A2479" s="9"/>
      <c r="B2479" s="25"/>
      <c r="C2479" s="25"/>
      <c r="D2479" s="25"/>
      <c r="E2479" s="25"/>
      <c r="F2479" s="25"/>
      <c r="G2479" s="25"/>
      <c r="H2479" s="25"/>
      <c r="I2479" s="25"/>
      <c r="J2479" s="25"/>
      <c r="K2479" s="25"/>
      <c r="L2479" s="25"/>
      <c r="M2479" s="42" t="s">
        <v>253</v>
      </c>
      <c r="N2479" s="41">
        <v>45265</v>
      </c>
      <c r="O2479" s="25">
        <v>52</v>
      </c>
      <c r="P2479" s="25">
        <v>0</v>
      </c>
      <c r="Q2479" s="25"/>
      <c r="R2479" s="25"/>
      <c r="S2479" s="25"/>
      <c r="T2479" s="10"/>
    </row>
    <row r="2480" s="35" customFormat="1" ht="18.5" customHeight="1" spans="1:20">
      <c r="A2480" s="9"/>
      <c r="B2480" s="25"/>
      <c r="C2480" s="25"/>
      <c r="D2480" s="25"/>
      <c r="E2480" s="25"/>
      <c r="F2480" s="25"/>
      <c r="G2480" s="25"/>
      <c r="H2480" s="25"/>
      <c r="I2480" s="25"/>
      <c r="J2480" s="25"/>
      <c r="K2480" s="25"/>
      <c r="L2480" s="25"/>
      <c r="M2480" s="42" t="s">
        <v>253</v>
      </c>
      <c r="N2480" s="41">
        <v>45245</v>
      </c>
      <c r="O2480" s="25">
        <v>113</v>
      </c>
      <c r="P2480" s="25">
        <v>0</v>
      </c>
      <c r="Q2480" s="25"/>
      <c r="R2480" s="25"/>
      <c r="S2480" s="25"/>
      <c r="T2480" s="10"/>
    </row>
    <row r="2481" s="35" customFormat="1" ht="18.5" customHeight="1" spans="1:20">
      <c r="A2481" s="9"/>
      <c r="B2481" s="25"/>
      <c r="C2481" s="25"/>
      <c r="D2481" s="25"/>
      <c r="E2481" s="25"/>
      <c r="F2481" s="25"/>
      <c r="G2481" s="25"/>
      <c r="H2481" s="25"/>
      <c r="I2481" s="25"/>
      <c r="J2481" s="25"/>
      <c r="K2481" s="25"/>
      <c r="L2481" s="25"/>
      <c r="M2481" s="42" t="s">
        <v>253</v>
      </c>
      <c r="N2481" s="41">
        <v>45265</v>
      </c>
      <c r="O2481" s="25">
        <v>516</v>
      </c>
      <c r="P2481" s="25">
        <v>0</v>
      </c>
      <c r="Q2481" s="25"/>
      <c r="R2481" s="25"/>
      <c r="S2481" s="25"/>
      <c r="T2481" s="10"/>
    </row>
    <row r="2482" s="35" customFormat="1" ht="18.5" customHeight="1" spans="1:20">
      <c r="A2482" s="9"/>
      <c r="B2482" s="25"/>
      <c r="C2482" s="25"/>
      <c r="D2482" s="25"/>
      <c r="E2482" s="25"/>
      <c r="F2482" s="25"/>
      <c r="G2482" s="25"/>
      <c r="H2482" s="25"/>
      <c r="I2482" s="25"/>
      <c r="J2482" s="25"/>
      <c r="K2482" s="25"/>
      <c r="L2482" s="25"/>
      <c r="M2482" s="42" t="s">
        <v>253</v>
      </c>
      <c r="N2482" s="41">
        <v>45265</v>
      </c>
      <c r="O2482" s="25">
        <v>99</v>
      </c>
      <c r="P2482" s="25">
        <v>0</v>
      </c>
      <c r="Q2482" s="25"/>
      <c r="R2482" s="25"/>
      <c r="S2482" s="25"/>
      <c r="T2482" s="10"/>
    </row>
    <row r="2483" s="35" customFormat="1" ht="18.5" customHeight="1" spans="1:20">
      <c r="A2483" s="9"/>
      <c r="B2483" s="25"/>
      <c r="C2483" s="25"/>
      <c r="D2483" s="25"/>
      <c r="E2483" s="25"/>
      <c r="F2483" s="25"/>
      <c r="G2483" s="25"/>
      <c r="H2483" s="25"/>
      <c r="I2483" s="25"/>
      <c r="J2483" s="25"/>
      <c r="K2483" s="25"/>
      <c r="L2483" s="25"/>
      <c r="M2483" s="42" t="s">
        <v>253</v>
      </c>
      <c r="N2483" s="41">
        <v>45265</v>
      </c>
      <c r="O2483" s="25">
        <v>100</v>
      </c>
      <c r="P2483" s="25">
        <v>0</v>
      </c>
      <c r="Q2483" s="25"/>
      <c r="R2483" s="25"/>
      <c r="S2483" s="25"/>
      <c r="T2483" s="10"/>
    </row>
    <row r="2484" s="35" customFormat="1" ht="18.5" customHeight="1" spans="1:20">
      <c r="A2484" s="9"/>
      <c r="B2484" s="25"/>
      <c r="C2484" s="25"/>
      <c r="D2484" s="25"/>
      <c r="E2484" s="25"/>
      <c r="F2484" s="25"/>
      <c r="G2484" s="25"/>
      <c r="H2484" s="25"/>
      <c r="I2484" s="25"/>
      <c r="J2484" s="25"/>
      <c r="K2484" s="25"/>
      <c r="L2484" s="25"/>
      <c r="M2484" s="42" t="s">
        <v>253</v>
      </c>
      <c r="N2484" s="41">
        <v>45265</v>
      </c>
      <c r="O2484" s="25">
        <v>47</v>
      </c>
      <c r="P2484" s="25">
        <v>0</v>
      </c>
      <c r="Q2484" s="25"/>
      <c r="R2484" s="25"/>
      <c r="S2484" s="25"/>
      <c r="T2484" s="10"/>
    </row>
    <row r="2485" s="35" customFormat="1" ht="18.5" customHeight="1" spans="1:20">
      <c r="A2485" s="9"/>
      <c r="B2485" s="25"/>
      <c r="C2485" s="25"/>
      <c r="D2485" s="25"/>
      <c r="E2485" s="25"/>
      <c r="F2485" s="25"/>
      <c r="G2485" s="25"/>
      <c r="H2485" s="25"/>
      <c r="I2485" s="25"/>
      <c r="J2485" s="25"/>
      <c r="K2485" s="25"/>
      <c r="L2485" s="25"/>
      <c r="M2485" s="42" t="s">
        <v>253</v>
      </c>
      <c r="N2485" s="41">
        <v>45265</v>
      </c>
      <c r="O2485" s="25">
        <v>74</v>
      </c>
      <c r="P2485" s="25">
        <v>0</v>
      </c>
      <c r="Q2485" s="25"/>
      <c r="R2485" s="25"/>
      <c r="S2485" s="25"/>
      <c r="T2485" s="10"/>
    </row>
    <row r="2486" s="35" customFormat="1" ht="18.5" customHeight="1" spans="1:20">
      <c r="A2486" s="9"/>
      <c r="B2486" s="25"/>
      <c r="C2486" s="25"/>
      <c r="D2486" s="25"/>
      <c r="E2486" s="25"/>
      <c r="F2486" s="25"/>
      <c r="G2486" s="25"/>
      <c r="H2486" s="25"/>
      <c r="I2486" s="25"/>
      <c r="J2486" s="25"/>
      <c r="K2486" s="25"/>
      <c r="L2486" s="25"/>
      <c r="M2486" s="42" t="s">
        <v>253</v>
      </c>
      <c r="N2486" s="41">
        <v>45265</v>
      </c>
      <c r="O2486" s="25">
        <v>225</v>
      </c>
      <c r="P2486" s="25">
        <v>0</v>
      </c>
      <c r="Q2486" s="25"/>
      <c r="R2486" s="25"/>
      <c r="S2486" s="25"/>
      <c r="T2486" s="10"/>
    </row>
    <row r="2487" s="35" customFormat="1" ht="18.5" customHeight="1" spans="1:20">
      <c r="A2487" s="9"/>
      <c r="B2487" s="25"/>
      <c r="C2487" s="25"/>
      <c r="D2487" s="25"/>
      <c r="E2487" s="25"/>
      <c r="F2487" s="25"/>
      <c r="G2487" s="25"/>
      <c r="H2487" s="25"/>
      <c r="I2487" s="25"/>
      <c r="J2487" s="25"/>
      <c r="K2487" s="25"/>
      <c r="L2487" s="25"/>
      <c r="M2487" s="42" t="s">
        <v>253</v>
      </c>
      <c r="N2487" s="41">
        <v>45265</v>
      </c>
      <c r="O2487" s="25">
        <v>61</v>
      </c>
      <c r="P2487" s="25">
        <v>0</v>
      </c>
      <c r="Q2487" s="25"/>
      <c r="R2487" s="25"/>
      <c r="S2487" s="25"/>
      <c r="T2487" s="10"/>
    </row>
    <row r="2488" s="35" customFormat="1" ht="18.5" customHeight="1" spans="1:20">
      <c r="A2488" s="9"/>
      <c r="B2488" s="25"/>
      <c r="C2488" s="25"/>
      <c r="D2488" s="25"/>
      <c r="E2488" s="25"/>
      <c r="F2488" s="25"/>
      <c r="G2488" s="25"/>
      <c r="H2488" s="25"/>
      <c r="I2488" s="25"/>
      <c r="J2488" s="25"/>
      <c r="K2488" s="25"/>
      <c r="L2488" s="25"/>
      <c r="M2488" s="42" t="s">
        <v>253</v>
      </c>
      <c r="N2488" s="41">
        <v>45264</v>
      </c>
      <c r="O2488" s="25">
        <v>43</v>
      </c>
      <c r="P2488" s="25">
        <v>0</v>
      </c>
      <c r="Q2488" s="25"/>
      <c r="R2488" s="25"/>
      <c r="S2488" s="25"/>
      <c r="T2488" s="10"/>
    </row>
    <row r="2489" s="35" customFormat="1" ht="18.5" customHeight="1" spans="1:20">
      <c r="A2489" s="9"/>
      <c r="B2489" s="25"/>
      <c r="C2489" s="25"/>
      <c r="D2489" s="25"/>
      <c r="E2489" s="25"/>
      <c r="F2489" s="25"/>
      <c r="G2489" s="25"/>
      <c r="H2489" s="25"/>
      <c r="I2489" s="25"/>
      <c r="J2489" s="25"/>
      <c r="K2489" s="25"/>
      <c r="L2489" s="25"/>
      <c r="M2489" s="42" t="s">
        <v>253</v>
      </c>
      <c r="N2489" s="41">
        <v>45264</v>
      </c>
      <c r="O2489" s="25">
        <v>54</v>
      </c>
      <c r="P2489" s="25">
        <v>0</v>
      </c>
      <c r="Q2489" s="25"/>
      <c r="R2489" s="25"/>
      <c r="S2489" s="25"/>
      <c r="T2489" s="10"/>
    </row>
    <row r="2490" s="35" customFormat="1" ht="18.5" customHeight="1" spans="1:20">
      <c r="A2490" s="9"/>
      <c r="B2490" s="25"/>
      <c r="C2490" s="25"/>
      <c r="D2490" s="25"/>
      <c r="E2490" s="25"/>
      <c r="F2490" s="25"/>
      <c r="G2490" s="25"/>
      <c r="H2490" s="25"/>
      <c r="I2490" s="25"/>
      <c r="J2490" s="25"/>
      <c r="K2490" s="25"/>
      <c r="L2490" s="25"/>
      <c r="M2490" s="42" t="s">
        <v>253</v>
      </c>
      <c r="N2490" s="41">
        <v>45264</v>
      </c>
      <c r="O2490" s="25">
        <v>148</v>
      </c>
      <c r="P2490" s="25">
        <v>0</v>
      </c>
      <c r="Q2490" s="25"/>
      <c r="R2490" s="25"/>
      <c r="S2490" s="25"/>
      <c r="T2490" s="10"/>
    </row>
    <row r="2491" s="35" customFormat="1" ht="18.5" customHeight="1" spans="1:20">
      <c r="A2491" s="9"/>
      <c r="B2491" s="25"/>
      <c r="C2491" s="25"/>
      <c r="D2491" s="25"/>
      <c r="E2491" s="25"/>
      <c r="F2491" s="25"/>
      <c r="G2491" s="25"/>
      <c r="H2491" s="25"/>
      <c r="I2491" s="25"/>
      <c r="J2491" s="25"/>
      <c r="K2491" s="25"/>
      <c r="L2491" s="25"/>
      <c r="M2491" s="42" t="s">
        <v>253</v>
      </c>
      <c r="N2491" s="41">
        <v>45264</v>
      </c>
      <c r="O2491" s="25">
        <v>73</v>
      </c>
      <c r="P2491" s="25">
        <v>0</v>
      </c>
      <c r="Q2491" s="25"/>
      <c r="R2491" s="25"/>
      <c r="S2491" s="25"/>
      <c r="T2491" s="10"/>
    </row>
    <row r="2492" s="35" customFormat="1" ht="18.5" customHeight="1" spans="1:20">
      <c r="A2492" s="9"/>
      <c r="B2492" s="25"/>
      <c r="C2492" s="25"/>
      <c r="D2492" s="25"/>
      <c r="E2492" s="25"/>
      <c r="F2492" s="25"/>
      <c r="G2492" s="25"/>
      <c r="H2492" s="25"/>
      <c r="I2492" s="25"/>
      <c r="J2492" s="25"/>
      <c r="K2492" s="25"/>
      <c r="L2492" s="25"/>
      <c r="M2492" s="42" t="s">
        <v>253</v>
      </c>
      <c r="N2492" s="41">
        <v>45264</v>
      </c>
      <c r="O2492" s="25">
        <v>47</v>
      </c>
      <c r="P2492" s="25">
        <v>0</v>
      </c>
      <c r="Q2492" s="25"/>
      <c r="R2492" s="25"/>
      <c r="S2492" s="25"/>
      <c r="T2492" s="10"/>
    </row>
    <row r="2493" s="35" customFormat="1" ht="18.5" customHeight="1" spans="1:20">
      <c r="A2493" s="9"/>
      <c r="B2493" s="25"/>
      <c r="C2493" s="25"/>
      <c r="D2493" s="25"/>
      <c r="E2493" s="25"/>
      <c r="F2493" s="25"/>
      <c r="G2493" s="25"/>
      <c r="H2493" s="25"/>
      <c r="I2493" s="25"/>
      <c r="J2493" s="25"/>
      <c r="K2493" s="25"/>
      <c r="L2493" s="25"/>
      <c r="M2493" s="42" t="s">
        <v>253</v>
      </c>
      <c r="N2493" s="41">
        <v>45228</v>
      </c>
      <c r="O2493" s="25">
        <v>267</v>
      </c>
      <c r="P2493" s="25">
        <v>0</v>
      </c>
      <c r="Q2493" s="25"/>
      <c r="R2493" s="25"/>
      <c r="S2493" s="25"/>
      <c r="T2493" s="10"/>
    </row>
    <row r="2494" s="35" customFormat="1" ht="18.5" customHeight="1" spans="1:20">
      <c r="A2494" s="9"/>
      <c r="B2494" s="25"/>
      <c r="C2494" s="25"/>
      <c r="D2494" s="25"/>
      <c r="E2494" s="25"/>
      <c r="F2494" s="25"/>
      <c r="G2494" s="25"/>
      <c r="H2494" s="25"/>
      <c r="I2494" s="25"/>
      <c r="J2494" s="25"/>
      <c r="K2494" s="25"/>
      <c r="L2494" s="25"/>
      <c r="M2494" s="42" t="s">
        <v>253</v>
      </c>
      <c r="N2494" s="41">
        <v>45233</v>
      </c>
      <c r="O2494" s="25">
        <v>243</v>
      </c>
      <c r="P2494" s="25">
        <v>0</v>
      </c>
      <c r="Q2494" s="25"/>
      <c r="R2494" s="25"/>
      <c r="S2494" s="25"/>
      <c r="T2494" s="10"/>
    </row>
    <row r="2495" s="35" customFormat="1" ht="18.5" customHeight="1" spans="1:20">
      <c r="A2495" s="9"/>
      <c r="B2495" s="25"/>
      <c r="C2495" s="25"/>
      <c r="D2495" s="25"/>
      <c r="E2495" s="25"/>
      <c r="F2495" s="25"/>
      <c r="G2495" s="25"/>
      <c r="H2495" s="25"/>
      <c r="I2495" s="25"/>
      <c r="J2495" s="25"/>
      <c r="K2495" s="25"/>
      <c r="L2495" s="25"/>
      <c r="M2495" s="42" t="s">
        <v>253</v>
      </c>
      <c r="N2495" s="41">
        <v>45264</v>
      </c>
      <c r="O2495" s="25">
        <v>60</v>
      </c>
      <c r="P2495" s="25">
        <v>0</v>
      </c>
      <c r="Q2495" s="25"/>
      <c r="R2495" s="25"/>
      <c r="S2495" s="25"/>
      <c r="T2495" s="10"/>
    </row>
    <row r="2496" s="35" customFormat="1" ht="18.5" customHeight="1" spans="1:20">
      <c r="A2496" s="9"/>
      <c r="B2496" s="25"/>
      <c r="C2496" s="25"/>
      <c r="D2496" s="25"/>
      <c r="E2496" s="25"/>
      <c r="F2496" s="25"/>
      <c r="G2496" s="25"/>
      <c r="H2496" s="25"/>
      <c r="I2496" s="25"/>
      <c r="J2496" s="25"/>
      <c r="K2496" s="25"/>
      <c r="L2496" s="25"/>
      <c r="M2496" s="42" t="s">
        <v>253</v>
      </c>
      <c r="N2496" s="41">
        <v>45261</v>
      </c>
      <c r="O2496" s="25">
        <v>124</v>
      </c>
      <c r="P2496" s="25">
        <v>0</v>
      </c>
      <c r="Q2496" s="25"/>
      <c r="R2496" s="25"/>
      <c r="S2496" s="25"/>
      <c r="T2496" s="10"/>
    </row>
    <row r="2497" s="35" customFormat="1" ht="18.5" customHeight="1" spans="1:20">
      <c r="A2497" s="9"/>
      <c r="B2497" s="25"/>
      <c r="C2497" s="25"/>
      <c r="D2497" s="25"/>
      <c r="E2497" s="25"/>
      <c r="F2497" s="25"/>
      <c r="G2497" s="25"/>
      <c r="H2497" s="25"/>
      <c r="I2497" s="25"/>
      <c r="J2497" s="25"/>
      <c r="K2497" s="25"/>
      <c r="L2497" s="25"/>
      <c r="M2497" s="42" t="s">
        <v>253</v>
      </c>
      <c r="N2497" s="41">
        <v>45240</v>
      </c>
      <c r="O2497" s="25">
        <v>166</v>
      </c>
      <c r="P2497" s="25">
        <v>0</v>
      </c>
      <c r="Q2497" s="25"/>
      <c r="R2497" s="25"/>
      <c r="S2497" s="25"/>
      <c r="T2497" s="10"/>
    </row>
    <row r="2498" s="35" customFormat="1" ht="18.5" customHeight="1" spans="1:20">
      <c r="A2498" s="9"/>
      <c r="B2498" s="25"/>
      <c r="C2498" s="25"/>
      <c r="D2498" s="25"/>
      <c r="E2498" s="25"/>
      <c r="F2498" s="25"/>
      <c r="G2498" s="25"/>
      <c r="H2498" s="25"/>
      <c r="I2498" s="25"/>
      <c r="J2498" s="25"/>
      <c r="K2498" s="25"/>
      <c r="L2498" s="25"/>
      <c r="M2498" s="42" t="s">
        <v>253</v>
      </c>
      <c r="N2498" s="41">
        <v>45263</v>
      </c>
      <c r="O2498" s="25">
        <v>142</v>
      </c>
      <c r="P2498" s="25">
        <v>0</v>
      </c>
      <c r="Q2498" s="25"/>
      <c r="R2498" s="25"/>
      <c r="S2498" s="25"/>
      <c r="T2498" s="10"/>
    </row>
    <row r="2499" s="35" customFormat="1" ht="18.5" customHeight="1" spans="1:20">
      <c r="A2499" s="9"/>
      <c r="B2499" s="25"/>
      <c r="C2499" s="25"/>
      <c r="D2499" s="25"/>
      <c r="E2499" s="25"/>
      <c r="F2499" s="25"/>
      <c r="G2499" s="25"/>
      <c r="H2499" s="25"/>
      <c r="I2499" s="25"/>
      <c r="J2499" s="25"/>
      <c r="K2499" s="25"/>
      <c r="L2499" s="25"/>
      <c r="M2499" s="42" t="s">
        <v>253</v>
      </c>
      <c r="N2499" s="41">
        <v>45263</v>
      </c>
      <c r="O2499" s="25">
        <v>165</v>
      </c>
      <c r="P2499" s="25">
        <v>0</v>
      </c>
      <c r="Q2499" s="25"/>
      <c r="R2499" s="25"/>
      <c r="S2499" s="25"/>
      <c r="T2499" s="10"/>
    </row>
    <row r="2500" s="35" customFormat="1" ht="18.5" customHeight="1" spans="1:20">
      <c r="A2500" s="9"/>
      <c r="B2500" s="25"/>
      <c r="C2500" s="25"/>
      <c r="D2500" s="25"/>
      <c r="E2500" s="25"/>
      <c r="F2500" s="25"/>
      <c r="G2500" s="25"/>
      <c r="H2500" s="25"/>
      <c r="I2500" s="25"/>
      <c r="J2500" s="25"/>
      <c r="K2500" s="25"/>
      <c r="L2500" s="25"/>
      <c r="M2500" s="42" t="s">
        <v>253</v>
      </c>
      <c r="N2500" s="41">
        <v>45263</v>
      </c>
      <c r="O2500" s="25">
        <v>116</v>
      </c>
      <c r="P2500" s="25">
        <v>0</v>
      </c>
      <c r="Q2500" s="25"/>
      <c r="R2500" s="25"/>
      <c r="S2500" s="25"/>
      <c r="T2500" s="10"/>
    </row>
    <row r="2501" s="35" customFormat="1" ht="18.5" customHeight="1" spans="1:20">
      <c r="A2501" s="9"/>
      <c r="B2501" s="25"/>
      <c r="C2501" s="25"/>
      <c r="D2501" s="25"/>
      <c r="E2501" s="25"/>
      <c r="F2501" s="25"/>
      <c r="G2501" s="25"/>
      <c r="H2501" s="25"/>
      <c r="I2501" s="25"/>
      <c r="J2501" s="25"/>
      <c r="K2501" s="25"/>
      <c r="L2501" s="25"/>
      <c r="M2501" s="42" t="s">
        <v>253</v>
      </c>
      <c r="N2501" s="41">
        <v>45263</v>
      </c>
      <c r="O2501" s="25">
        <v>77</v>
      </c>
      <c r="P2501" s="25">
        <v>0</v>
      </c>
      <c r="Q2501" s="25"/>
      <c r="R2501" s="25"/>
      <c r="S2501" s="25"/>
      <c r="T2501" s="10"/>
    </row>
    <row r="2502" s="35" customFormat="1" ht="18.5" customHeight="1" spans="1:20">
      <c r="A2502" s="9"/>
      <c r="B2502" s="25"/>
      <c r="C2502" s="25"/>
      <c r="D2502" s="25"/>
      <c r="E2502" s="25"/>
      <c r="F2502" s="25"/>
      <c r="G2502" s="25"/>
      <c r="H2502" s="25"/>
      <c r="I2502" s="25"/>
      <c r="J2502" s="25"/>
      <c r="K2502" s="25"/>
      <c r="L2502" s="25"/>
      <c r="M2502" s="42" t="s">
        <v>253</v>
      </c>
      <c r="N2502" s="41">
        <v>45263</v>
      </c>
      <c r="O2502" s="25">
        <v>80</v>
      </c>
      <c r="P2502" s="25">
        <v>0</v>
      </c>
      <c r="Q2502" s="25"/>
      <c r="R2502" s="25"/>
      <c r="S2502" s="25"/>
      <c r="T2502" s="10"/>
    </row>
    <row r="2503" s="35" customFormat="1" ht="18.5" customHeight="1" spans="1:20">
      <c r="A2503" s="9"/>
      <c r="B2503" s="25"/>
      <c r="C2503" s="25"/>
      <c r="D2503" s="25"/>
      <c r="E2503" s="25"/>
      <c r="F2503" s="25"/>
      <c r="G2503" s="25"/>
      <c r="H2503" s="25"/>
      <c r="I2503" s="25"/>
      <c r="J2503" s="25"/>
      <c r="K2503" s="25"/>
      <c r="L2503" s="25"/>
      <c r="M2503" s="42" t="s">
        <v>253</v>
      </c>
      <c r="N2503" s="41">
        <v>45263</v>
      </c>
      <c r="O2503" s="25">
        <v>79</v>
      </c>
      <c r="P2503" s="25">
        <v>0</v>
      </c>
      <c r="Q2503" s="25"/>
      <c r="R2503" s="25"/>
      <c r="S2503" s="25"/>
      <c r="T2503" s="10"/>
    </row>
    <row r="2504" s="35" customFormat="1" ht="18.5" customHeight="1" spans="1:20">
      <c r="A2504" s="9"/>
      <c r="B2504" s="25"/>
      <c r="C2504" s="25"/>
      <c r="D2504" s="25"/>
      <c r="E2504" s="25"/>
      <c r="F2504" s="25"/>
      <c r="G2504" s="25"/>
      <c r="H2504" s="25"/>
      <c r="I2504" s="25"/>
      <c r="J2504" s="25"/>
      <c r="K2504" s="25"/>
      <c r="L2504" s="25"/>
      <c r="M2504" s="42" t="s">
        <v>253</v>
      </c>
      <c r="N2504" s="41">
        <v>45263</v>
      </c>
      <c r="O2504" s="25">
        <v>68</v>
      </c>
      <c r="P2504" s="25">
        <v>0</v>
      </c>
      <c r="Q2504" s="25"/>
      <c r="R2504" s="25"/>
      <c r="S2504" s="25"/>
      <c r="T2504" s="10"/>
    </row>
    <row r="2505" s="35" customFormat="1" ht="18.5" customHeight="1" spans="1:20">
      <c r="A2505" s="9"/>
      <c r="B2505" s="25"/>
      <c r="C2505" s="25"/>
      <c r="D2505" s="25"/>
      <c r="E2505" s="25"/>
      <c r="F2505" s="25"/>
      <c r="G2505" s="25"/>
      <c r="H2505" s="25"/>
      <c r="I2505" s="25"/>
      <c r="J2505" s="25"/>
      <c r="K2505" s="25"/>
      <c r="L2505" s="25"/>
      <c r="M2505" s="42" t="s">
        <v>253</v>
      </c>
      <c r="N2505" s="41">
        <v>45263</v>
      </c>
      <c r="O2505" s="25">
        <v>142</v>
      </c>
      <c r="P2505" s="25">
        <v>0</v>
      </c>
      <c r="Q2505" s="25"/>
      <c r="R2505" s="25"/>
      <c r="S2505" s="25"/>
      <c r="T2505" s="10"/>
    </row>
    <row r="2506" s="35" customFormat="1" ht="18.5" customHeight="1" spans="1:20">
      <c r="A2506" s="9"/>
      <c r="B2506" s="25"/>
      <c r="C2506" s="25"/>
      <c r="D2506" s="25"/>
      <c r="E2506" s="25"/>
      <c r="F2506" s="25"/>
      <c r="G2506" s="25"/>
      <c r="H2506" s="25"/>
      <c r="I2506" s="25"/>
      <c r="J2506" s="25"/>
      <c r="K2506" s="25"/>
      <c r="L2506" s="25"/>
      <c r="M2506" s="42" t="s">
        <v>253</v>
      </c>
      <c r="N2506" s="41">
        <v>45263</v>
      </c>
      <c r="O2506" s="25">
        <v>131</v>
      </c>
      <c r="P2506" s="25">
        <v>0</v>
      </c>
      <c r="Q2506" s="25"/>
      <c r="R2506" s="25"/>
      <c r="S2506" s="25"/>
      <c r="T2506" s="10"/>
    </row>
    <row r="2507" s="35" customFormat="1" ht="18.5" customHeight="1" spans="1:20">
      <c r="A2507" s="9"/>
      <c r="B2507" s="25"/>
      <c r="C2507" s="25"/>
      <c r="D2507" s="25"/>
      <c r="E2507" s="25"/>
      <c r="F2507" s="25"/>
      <c r="G2507" s="25"/>
      <c r="H2507" s="25"/>
      <c r="I2507" s="25"/>
      <c r="J2507" s="25"/>
      <c r="K2507" s="25"/>
      <c r="L2507" s="25"/>
      <c r="M2507" s="42" t="s">
        <v>253</v>
      </c>
      <c r="N2507" s="41">
        <v>45262</v>
      </c>
      <c r="O2507" s="25">
        <v>62</v>
      </c>
      <c r="P2507" s="25">
        <v>0</v>
      </c>
      <c r="Q2507" s="25"/>
      <c r="R2507" s="25"/>
      <c r="S2507" s="25"/>
      <c r="T2507" s="10"/>
    </row>
    <row r="2508" s="35" customFormat="1" ht="18.5" customHeight="1" spans="1:20">
      <c r="A2508" s="9"/>
      <c r="B2508" s="25"/>
      <c r="C2508" s="25"/>
      <c r="D2508" s="25"/>
      <c r="E2508" s="25"/>
      <c r="F2508" s="25"/>
      <c r="G2508" s="25"/>
      <c r="H2508" s="25"/>
      <c r="I2508" s="25"/>
      <c r="J2508" s="25"/>
      <c r="K2508" s="25"/>
      <c r="L2508" s="25"/>
      <c r="M2508" s="42" t="s">
        <v>253</v>
      </c>
      <c r="N2508" s="41">
        <v>45262</v>
      </c>
      <c r="O2508" s="25">
        <v>277</v>
      </c>
      <c r="P2508" s="25">
        <v>0</v>
      </c>
      <c r="Q2508" s="25"/>
      <c r="R2508" s="25"/>
      <c r="S2508" s="25"/>
      <c r="T2508" s="10"/>
    </row>
    <row r="2509" s="35" customFormat="1" ht="18.5" customHeight="1" spans="1:20">
      <c r="A2509" s="9"/>
      <c r="B2509" s="25"/>
      <c r="C2509" s="25"/>
      <c r="D2509" s="25"/>
      <c r="E2509" s="25"/>
      <c r="F2509" s="25"/>
      <c r="G2509" s="25"/>
      <c r="H2509" s="25"/>
      <c r="I2509" s="25"/>
      <c r="J2509" s="25"/>
      <c r="K2509" s="25"/>
      <c r="L2509" s="25"/>
      <c r="M2509" s="42" t="s">
        <v>253</v>
      </c>
      <c r="N2509" s="41">
        <v>45262</v>
      </c>
      <c r="O2509" s="25">
        <v>97</v>
      </c>
      <c r="P2509" s="25">
        <v>0</v>
      </c>
      <c r="Q2509" s="25"/>
      <c r="R2509" s="25"/>
      <c r="S2509" s="25"/>
      <c r="T2509" s="10"/>
    </row>
    <row r="2510" s="35" customFormat="1" ht="18.5" customHeight="1" spans="1:20">
      <c r="A2510" s="9"/>
      <c r="B2510" s="25"/>
      <c r="C2510" s="25"/>
      <c r="D2510" s="25"/>
      <c r="E2510" s="25"/>
      <c r="F2510" s="25"/>
      <c r="G2510" s="25"/>
      <c r="H2510" s="25"/>
      <c r="I2510" s="25"/>
      <c r="J2510" s="25"/>
      <c r="K2510" s="25"/>
      <c r="L2510" s="25"/>
      <c r="M2510" s="42" t="s">
        <v>253</v>
      </c>
      <c r="N2510" s="41">
        <v>45262</v>
      </c>
      <c r="O2510" s="25">
        <v>129</v>
      </c>
      <c r="P2510" s="25">
        <v>0</v>
      </c>
      <c r="Q2510" s="25"/>
      <c r="R2510" s="25"/>
      <c r="S2510" s="25"/>
      <c r="T2510" s="10"/>
    </row>
    <row r="2511" s="35" customFormat="1" ht="18.5" customHeight="1" spans="1:20">
      <c r="A2511" s="9"/>
      <c r="B2511" s="25"/>
      <c r="C2511" s="25"/>
      <c r="D2511" s="25"/>
      <c r="E2511" s="25"/>
      <c r="F2511" s="25"/>
      <c r="G2511" s="25"/>
      <c r="H2511" s="25"/>
      <c r="I2511" s="25"/>
      <c r="J2511" s="25"/>
      <c r="K2511" s="25"/>
      <c r="L2511" s="25"/>
      <c r="M2511" s="42" t="s">
        <v>253</v>
      </c>
      <c r="N2511" s="41">
        <v>45262</v>
      </c>
      <c r="O2511" s="25">
        <v>63</v>
      </c>
      <c r="P2511" s="25">
        <v>0</v>
      </c>
      <c r="Q2511" s="25"/>
      <c r="R2511" s="25"/>
      <c r="S2511" s="25"/>
      <c r="T2511" s="10"/>
    </row>
    <row r="2512" s="35" customFormat="1" ht="18.5" customHeight="1" spans="1:20">
      <c r="A2512" s="9"/>
      <c r="B2512" s="25"/>
      <c r="C2512" s="25"/>
      <c r="D2512" s="25"/>
      <c r="E2512" s="25"/>
      <c r="F2512" s="25"/>
      <c r="G2512" s="25"/>
      <c r="H2512" s="25"/>
      <c r="I2512" s="25"/>
      <c r="J2512" s="25"/>
      <c r="K2512" s="25"/>
      <c r="L2512" s="25"/>
      <c r="M2512" s="42" t="s">
        <v>253</v>
      </c>
      <c r="N2512" s="41">
        <v>45262</v>
      </c>
      <c r="O2512" s="25">
        <v>53</v>
      </c>
      <c r="P2512" s="25">
        <v>0</v>
      </c>
      <c r="Q2512" s="25"/>
      <c r="R2512" s="25"/>
      <c r="S2512" s="25"/>
      <c r="T2512" s="10"/>
    </row>
    <row r="2513" s="35" customFormat="1" ht="18.5" customHeight="1" spans="1:20">
      <c r="A2513" s="9"/>
      <c r="B2513" s="25"/>
      <c r="C2513" s="25"/>
      <c r="D2513" s="25"/>
      <c r="E2513" s="25"/>
      <c r="F2513" s="25"/>
      <c r="G2513" s="25"/>
      <c r="H2513" s="25"/>
      <c r="I2513" s="25"/>
      <c r="J2513" s="25"/>
      <c r="K2513" s="25"/>
      <c r="L2513" s="25"/>
      <c r="M2513" s="42" t="s">
        <v>253</v>
      </c>
      <c r="N2513" s="41">
        <v>45262</v>
      </c>
      <c r="O2513" s="25">
        <v>39</v>
      </c>
      <c r="P2513" s="25">
        <v>0</v>
      </c>
      <c r="Q2513" s="25"/>
      <c r="R2513" s="25"/>
      <c r="S2513" s="25"/>
      <c r="T2513" s="10"/>
    </row>
    <row r="2514" s="35" customFormat="1" ht="18.5" customHeight="1" spans="1:20">
      <c r="A2514" s="9"/>
      <c r="B2514" s="25"/>
      <c r="C2514" s="25"/>
      <c r="D2514" s="25"/>
      <c r="E2514" s="25"/>
      <c r="F2514" s="25"/>
      <c r="G2514" s="25"/>
      <c r="H2514" s="25"/>
      <c r="I2514" s="25"/>
      <c r="J2514" s="25"/>
      <c r="K2514" s="25"/>
      <c r="L2514" s="25"/>
      <c r="M2514" s="42" t="s">
        <v>253</v>
      </c>
      <c r="N2514" s="41">
        <v>45261</v>
      </c>
      <c r="O2514" s="25">
        <v>57</v>
      </c>
      <c r="P2514" s="25">
        <v>0</v>
      </c>
      <c r="Q2514" s="25"/>
      <c r="R2514" s="25"/>
      <c r="S2514" s="25"/>
      <c r="T2514" s="10"/>
    </row>
    <row r="2515" s="35" customFormat="1" ht="18.5" customHeight="1" spans="1:20">
      <c r="A2515" s="9"/>
      <c r="B2515" s="25"/>
      <c r="C2515" s="25"/>
      <c r="D2515" s="25"/>
      <c r="E2515" s="25"/>
      <c r="F2515" s="25"/>
      <c r="G2515" s="25"/>
      <c r="H2515" s="25"/>
      <c r="I2515" s="25"/>
      <c r="J2515" s="25"/>
      <c r="K2515" s="25"/>
      <c r="L2515" s="25"/>
      <c r="M2515" s="42" t="s">
        <v>253</v>
      </c>
      <c r="N2515" s="41">
        <v>45261</v>
      </c>
      <c r="O2515" s="25">
        <v>160</v>
      </c>
      <c r="P2515" s="25">
        <v>0</v>
      </c>
      <c r="Q2515" s="25"/>
      <c r="R2515" s="25"/>
      <c r="S2515" s="25"/>
      <c r="T2515" s="10"/>
    </row>
    <row r="2516" s="35" customFormat="1" ht="18.5" customHeight="1" spans="1:20">
      <c r="A2516" s="9"/>
      <c r="B2516" s="25"/>
      <c r="C2516" s="25"/>
      <c r="D2516" s="25"/>
      <c r="E2516" s="25"/>
      <c r="F2516" s="25"/>
      <c r="G2516" s="25"/>
      <c r="H2516" s="25"/>
      <c r="I2516" s="25"/>
      <c r="J2516" s="25"/>
      <c r="K2516" s="25"/>
      <c r="L2516" s="25"/>
      <c r="M2516" s="42" t="s">
        <v>253</v>
      </c>
      <c r="N2516" s="41">
        <v>45261</v>
      </c>
      <c r="O2516" s="25">
        <v>126</v>
      </c>
      <c r="P2516" s="25">
        <v>0</v>
      </c>
      <c r="Q2516" s="25"/>
      <c r="R2516" s="25"/>
      <c r="S2516" s="25"/>
      <c r="T2516" s="10"/>
    </row>
    <row r="2517" s="35" customFormat="1" ht="18.5" customHeight="1" spans="1:20">
      <c r="A2517" s="9"/>
      <c r="B2517" s="25"/>
      <c r="C2517" s="25"/>
      <c r="D2517" s="25"/>
      <c r="E2517" s="25"/>
      <c r="F2517" s="25"/>
      <c r="G2517" s="25"/>
      <c r="H2517" s="25"/>
      <c r="I2517" s="25"/>
      <c r="J2517" s="25"/>
      <c r="K2517" s="25"/>
      <c r="L2517" s="25"/>
      <c r="M2517" s="42" t="s">
        <v>253</v>
      </c>
      <c r="N2517" s="41">
        <v>45260</v>
      </c>
      <c r="O2517" s="25">
        <v>91</v>
      </c>
      <c r="P2517" s="25">
        <v>0</v>
      </c>
      <c r="Q2517" s="25"/>
      <c r="R2517" s="25"/>
      <c r="S2517" s="25"/>
      <c r="T2517" s="10"/>
    </row>
    <row r="2518" s="35" customFormat="1" ht="18.5" customHeight="1" spans="1:20">
      <c r="A2518" s="9"/>
      <c r="B2518" s="25"/>
      <c r="C2518" s="25"/>
      <c r="D2518" s="25"/>
      <c r="E2518" s="25"/>
      <c r="F2518" s="25"/>
      <c r="G2518" s="25"/>
      <c r="H2518" s="25"/>
      <c r="I2518" s="25"/>
      <c r="J2518" s="25"/>
      <c r="K2518" s="25"/>
      <c r="L2518" s="25"/>
      <c r="M2518" s="42" t="s">
        <v>253</v>
      </c>
      <c r="N2518" s="41">
        <v>45260</v>
      </c>
      <c r="O2518" s="25">
        <v>76</v>
      </c>
      <c r="P2518" s="25">
        <v>0</v>
      </c>
      <c r="Q2518" s="25"/>
      <c r="R2518" s="25"/>
      <c r="S2518" s="25"/>
      <c r="T2518" s="10"/>
    </row>
    <row r="2519" s="35" customFormat="1" ht="18.5" customHeight="1" spans="1:20">
      <c r="A2519" s="9"/>
      <c r="B2519" s="25"/>
      <c r="C2519" s="25"/>
      <c r="D2519" s="25"/>
      <c r="E2519" s="25"/>
      <c r="F2519" s="25"/>
      <c r="G2519" s="25"/>
      <c r="H2519" s="25"/>
      <c r="I2519" s="25"/>
      <c r="J2519" s="25"/>
      <c r="K2519" s="25"/>
      <c r="L2519" s="25"/>
      <c r="M2519" s="42" t="s">
        <v>253</v>
      </c>
      <c r="N2519" s="41">
        <v>45260</v>
      </c>
      <c r="O2519" s="25">
        <v>86</v>
      </c>
      <c r="P2519" s="25">
        <v>0</v>
      </c>
      <c r="Q2519" s="25"/>
      <c r="R2519" s="25"/>
      <c r="S2519" s="25"/>
      <c r="T2519" s="10"/>
    </row>
    <row r="2520" s="35" customFormat="1" ht="18.5" customHeight="1" spans="1:20">
      <c r="A2520" s="9"/>
      <c r="B2520" s="25"/>
      <c r="C2520" s="25"/>
      <c r="D2520" s="25"/>
      <c r="E2520" s="25"/>
      <c r="F2520" s="25"/>
      <c r="G2520" s="25"/>
      <c r="H2520" s="25"/>
      <c r="I2520" s="25"/>
      <c r="J2520" s="25"/>
      <c r="K2520" s="25"/>
      <c r="L2520" s="25"/>
      <c r="M2520" s="42" t="s">
        <v>253</v>
      </c>
      <c r="N2520" s="41">
        <v>45260</v>
      </c>
      <c r="O2520" s="25">
        <v>117</v>
      </c>
      <c r="P2520" s="25">
        <v>0</v>
      </c>
      <c r="Q2520" s="25"/>
      <c r="R2520" s="25"/>
      <c r="S2520" s="25"/>
      <c r="T2520" s="10"/>
    </row>
    <row r="2521" s="35" customFormat="1" ht="18.5" customHeight="1" spans="1:20">
      <c r="A2521" s="9"/>
      <c r="B2521" s="25"/>
      <c r="C2521" s="25"/>
      <c r="D2521" s="25"/>
      <c r="E2521" s="25"/>
      <c r="F2521" s="25"/>
      <c r="G2521" s="25"/>
      <c r="H2521" s="25"/>
      <c r="I2521" s="25"/>
      <c r="J2521" s="25"/>
      <c r="K2521" s="25"/>
      <c r="L2521" s="25"/>
      <c r="M2521" s="42" t="s">
        <v>253</v>
      </c>
      <c r="N2521" s="41">
        <v>45239</v>
      </c>
      <c r="O2521" s="25">
        <v>104</v>
      </c>
      <c r="P2521" s="25">
        <v>0</v>
      </c>
      <c r="Q2521" s="25"/>
      <c r="R2521" s="25"/>
      <c r="S2521" s="25"/>
      <c r="T2521" s="10"/>
    </row>
    <row r="2522" s="35" customFormat="1" ht="18.5" customHeight="1" spans="1:20">
      <c r="A2522" s="9"/>
      <c r="B2522" s="25"/>
      <c r="C2522" s="25"/>
      <c r="D2522" s="25"/>
      <c r="E2522" s="25"/>
      <c r="F2522" s="25"/>
      <c r="G2522" s="25"/>
      <c r="H2522" s="25"/>
      <c r="I2522" s="25"/>
      <c r="J2522" s="25"/>
      <c r="K2522" s="25"/>
      <c r="L2522" s="25"/>
      <c r="M2522" s="42" t="s">
        <v>253</v>
      </c>
      <c r="N2522" s="41">
        <v>45260</v>
      </c>
      <c r="O2522" s="25">
        <v>55</v>
      </c>
      <c r="P2522" s="25">
        <v>0</v>
      </c>
      <c r="Q2522" s="25"/>
      <c r="R2522" s="25"/>
      <c r="S2522" s="25"/>
      <c r="T2522" s="10"/>
    </row>
    <row r="2523" s="35" customFormat="1" ht="18.5" customHeight="1" spans="1:20">
      <c r="A2523" s="9"/>
      <c r="B2523" s="25"/>
      <c r="C2523" s="25"/>
      <c r="D2523" s="25"/>
      <c r="E2523" s="25"/>
      <c r="F2523" s="25"/>
      <c r="G2523" s="25"/>
      <c r="H2523" s="25"/>
      <c r="I2523" s="25"/>
      <c r="J2523" s="25"/>
      <c r="K2523" s="25"/>
      <c r="L2523" s="25"/>
      <c r="M2523" s="42" t="s">
        <v>253</v>
      </c>
      <c r="N2523" s="41">
        <v>45260</v>
      </c>
      <c r="O2523" s="25">
        <v>72</v>
      </c>
      <c r="P2523" s="25">
        <v>0</v>
      </c>
      <c r="Q2523" s="25"/>
      <c r="R2523" s="25"/>
      <c r="S2523" s="25"/>
      <c r="T2523" s="10"/>
    </row>
    <row r="2524" s="35" customFormat="1" ht="18.5" customHeight="1" spans="1:20">
      <c r="A2524" s="9"/>
      <c r="B2524" s="25"/>
      <c r="C2524" s="25"/>
      <c r="D2524" s="25"/>
      <c r="E2524" s="25"/>
      <c r="F2524" s="25"/>
      <c r="G2524" s="25"/>
      <c r="H2524" s="25"/>
      <c r="I2524" s="25"/>
      <c r="J2524" s="25"/>
      <c r="K2524" s="25"/>
      <c r="L2524" s="25"/>
      <c r="M2524" s="42" t="s">
        <v>253</v>
      </c>
      <c r="N2524" s="41">
        <v>45260</v>
      </c>
      <c r="O2524" s="25">
        <v>46</v>
      </c>
      <c r="P2524" s="25">
        <v>0</v>
      </c>
      <c r="Q2524" s="25"/>
      <c r="R2524" s="25"/>
      <c r="S2524" s="25"/>
      <c r="T2524" s="10"/>
    </row>
    <row r="2525" s="35" customFormat="1" ht="18.5" customHeight="1" spans="1:20">
      <c r="A2525" s="9"/>
      <c r="B2525" s="25"/>
      <c r="C2525" s="25"/>
      <c r="D2525" s="25"/>
      <c r="E2525" s="25"/>
      <c r="F2525" s="25"/>
      <c r="G2525" s="25"/>
      <c r="H2525" s="25"/>
      <c r="I2525" s="25"/>
      <c r="J2525" s="25"/>
      <c r="K2525" s="25"/>
      <c r="L2525" s="25"/>
      <c r="M2525" s="42" t="s">
        <v>253</v>
      </c>
      <c r="N2525" s="41">
        <v>45260</v>
      </c>
      <c r="O2525" s="25">
        <v>459</v>
      </c>
      <c r="P2525" s="25">
        <v>0</v>
      </c>
      <c r="Q2525" s="25"/>
      <c r="R2525" s="25"/>
      <c r="S2525" s="25"/>
      <c r="T2525" s="10"/>
    </row>
    <row r="2526" s="35" customFormat="1" ht="18.5" customHeight="1" spans="1:20">
      <c r="A2526" s="9"/>
      <c r="B2526" s="25"/>
      <c r="C2526" s="25"/>
      <c r="D2526" s="25"/>
      <c r="E2526" s="25"/>
      <c r="F2526" s="25"/>
      <c r="G2526" s="25"/>
      <c r="H2526" s="25"/>
      <c r="I2526" s="25"/>
      <c r="J2526" s="25"/>
      <c r="K2526" s="25"/>
      <c r="L2526" s="25"/>
      <c r="M2526" s="42" t="s">
        <v>253</v>
      </c>
      <c r="N2526" s="41">
        <v>45260</v>
      </c>
      <c r="O2526" s="25">
        <v>95</v>
      </c>
      <c r="P2526" s="25">
        <v>0</v>
      </c>
      <c r="Q2526" s="25"/>
      <c r="R2526" s="25"/>
      <c r="S2526" s="25"/>
      <c r="T2526" s="10"/>
    </row>
    <row r="2527" s="35" customFormat="1" ht="18.5" customHeight="1" spans="1:20">
      <c r="A2527" s="9"/>
      <c r="B2527" s="25"/>
      <c r="C2527" s="25"/>
      <c r="D2527" s="25"/>
      <c r="E2527" s="25"/>
      <c r="F2527" s="25"/>
      <c r="G2527" s="25"/>
      <c r="H2527" s="25"/>
      <c r="I2527" s="25"/>
      <c r="J2527" s="25"/>
      <c r="K2527" s="25"/>
      <c r="L2527" s="25"/>
      <c r="M2527" s="42" t="s">
        <v>253</v>
      </c>
      <c r="N2527" s="41">
        <v>45259</v>
      </c>
      <c r="O2527" s="25">
        <v>67</v>
      </c>
      <c r="P2527" s="25">
        <v>0</v>
      </c>
      <c r="Q2527" s="25"/>
      <c r="R2527" s="25"/>
      <c r="S2527" s="25"/>
      <c r="T2527" s="10"/>
    </row>
    <row r="2528" s="35" customFormat="1" ht="18.5" customHeight="1" spans="1:20">
      <c r="A2528" s="9"/>
      <c r="B2528" s="25"/>
      <c r="C2528" s="25"/>
      <c r="D2528" s="25"/>
      <c r="E2528" s="25"/>
      <c r="F2528" s="25"/>
      <c r="G2528" s="25"/>
      <c r="H2528" s="25"/>
      <c r="I2528" s="25"/>
      <c r="J2528" s="25"/>
      <c r="K2528" s="25"/>
      <c r="L2528" s="25"/>
      <c r="M2528" s="42" t="s">
        <v>253</v>
      </c>
      <c r="N2528" s="41">
        <v>45259</v>
      </c>
      <c r="O2528" s="25">
        <v>42</v>
      </c>
      <c r="P2528" s="25">
        <v>0</v>
      </c>
      <c r="Q2528" s="25"/>
      <c r="R2528" s="25"/>
      <c r="S2528" s="25"/>
      <c r="T2528" s="10"/>
    </row>
    <row r="2529" s="35" customFormat="1" ht="18.5" customHeight="1" spans="1:20">
      <c r="A2529" s="9"/>
      <c r="B2529" s="25"/>
      <c r="C2529" s="25"/>
      <c r="D2529" s="25"/>
      <c r="E2529" s="25"/>
      <c r="F2529" s="25"/>
      <c r="G2529" s="25"/>
      <c r="H2529" s="25"/>
      <c r="I2529" s="25"/>
      <c r="J2529" s="25"/>
      <c r="K2529" s="25"/>
      <c r="L2529" s="25"/>
      <c r="M2529" s="42" t="s">
        <v>253</v>
      </c>
      <c r="N2529" s="41">
        <v>45259</v>
      </c>
      <c r="O2529" s="25">
        <v>103</v>
      </c>
      <c r="P2529" s="25">
        <v>0</v>
      </c>
      <c r="Q2529" s="25"/>
      <c r="R2529" s="25"/>
      <c r="S2529" s="25"/>
      <c r="T2529" s="10"/>
    </row>
    <row r="2530" s="35" customFormat="1" ht="18.5" customHeight="1" spans="1:20">
      <c r="A2530" s="9"/>
      <c r="B2530" s="25"/>
      <c r="C2530" s="25"/>
      <c r="D2530" s="25"/>
      <c r="E2530" s="25"/>
      <c r="F2530" s="25"/>
      <c r="G2530" s="25"/>
      <c r="H2530" s="25"/>
      <c r="I2530" s="25"/>
      <c r="J2530" s="25"/>
      <c r="K2530" s="25"/>
      <c r="L2530" s="25"/>
      <c r="M2530" s="42" t="s">
        <v>253</v>
      </c>
      <c r="N2530" s="41">
        <v>45259</v>
      </c>
      <c r="O2530" s="25">
        <v>46</v>
      </c>
      <c r="P2530" s="25">
        <v>0</v>
      </c>
      <c r="Q2530" s="25"/>
      <c r="R2530" s="25"/>
      <c r="S2530" s="25"/>
      <c r="T2530" s="10"/>
    </row>
    <row r="2531" s="35" customFormat="1" ht="18.5" customHeight="1" spans="1:20">
      <c r="A2531" s="9"/>
      <c r="B2531" s="25"/>
      <c r="C2531" s="25"/>
      <c r="D2531" s="25"/>
      <c r="E2531" s="25"/>
      <c r="F2531" s="25"/>
      <c r="G2531" s="25"/>
      <c r="H2531" s="25"/>
      <c r="I2531" s="25"/>
      <c r="J2531" s="25"/>
      <c r="K2531" s="25"/>
      <c r="L2531" s="25"/>
      <c r="M2531" s="42" t="s">
        <v>253</v>
      </c>
      <c r="N2531" s="41">
        <v>45259</v>
      </c>
      <c r="O2531" s="25">
        <v>459</v>
      </c>
      <c r="P2531" s="25">
        <v>0</v>
      </c>
      <c r="Q2531" s="25"/>
      <c r="R2531" s="25"/>
      <c r="S2531" s="25"/>
      <c r="T2531" s="10"/>
    </row>
    <row r="2532" s="35" customFormat="1" ht="18.5" customHeight="1" spans="1:20">
      <c r="A2532" s="9"/>
      <c r="B2532" s="25"/>
      <c r="C2532" s="25"/>
      <c r="D2532" s="25"/>
      <c r="E2532" s="25"/>
      <c r="F2532" s="25"/>
      <c r="G2532" s="25"/>
      <c r="H2532" s="25"/>
      <c r="I2532" s="25"/>
      <c r="J2532" s="25"/>
      <c r="K2532" s="25"/>
      <c r="L2532" s="25"/>
      <c r="M2532" s="42" t="s">
        <v>253</v>
      </c>
      <c r="N2532" s="41">
        <v>45259</v>
      </c>
      <c r="O2532" s="25">
        <v>60</v>
      </c>
      <c r="P2532" s="25">
        <v>0</v>
      </c>
      <c r="Q2532" s="25"/>
      <c r="R2532" s="25"/>
      <c r="S2532" s="25"/>
      <c r="T2532" s="10"/>
    </row>
    <row r="2533" s="35" customFormat="1" ht="18.5" customHeight="1" spans="1:20">
      <c r="A2533" s="9"/>
      <c r="B2533" s="25"/>
      <c r="C2533" s="25"/>
      <c r="D2533" s="25"/>
      <c r="E2533" s="25"/>
      <c r="F2533" s="25"/>
      <c r="G2533" s="25"/>
      <c r="H2533" s="25"/>
      <c r="I2533" s="25"/>
      <c r="J2533" s="25"/>
      <c r="K2533" s="25"/>
      <c r="L2533" s="25"/>
      <c r="M2533" s="42" t="s">
        <v>253</v>
      </c>
      <c r="N2533" s="41">
        <v>45259</v>
      </c>
      <c r="O2533" s="25">
        <v>193</v>
      </c>
      <c r="P2533" s="25">
        <v>0</v>
      </c>
      <c r="Q2533" s="25"/>
      <c r="R2533" s="25"/>
      <c r="S2533" s="25"/>
      <c r="T2533" s="10"/>
    </row>
    <row r="2534" s="35" customFormat="1" ht="18.5" customHeight="1" spans="1:20">
      <c r="A2534" s="9"/>
      <c r="B2534" s="25"/>
      <c r="C2534" s="25"/>
      <c r="D2534" s="25"/>
      <c r="E2534" s="25"/>
      <c r="F2534" s="25"/>
      <c r="G2534" s="25"/>
      <c r="H2534" s="25"/>
      <c r="I2534" s="25"/>
      <c r="J2534" s="25"/>
      <c r="K2534" s="25"/>
      <c r="L2534" s="25"/>
      <c r="M2534" s="42" t="s">
        <v>253</v>
      </c>
      <c r="N2534" s="41">
        <v>45258</v>
      </c>
      <c r="O2534" s="25">
        <v>80</v>
      </c>
      <c r="P2534" s="25">
        <v>0</v>
      </c>
      <c r="Q2534" s="25"/>
      <c r="R2534" s="25"/>
      <c r="S2534" s="25"/>
      <c r="T2534" s="10"/>
    </row>
    <row r="2535" s="35" customFormat="1" ht="18.5" customHeight="1" spans="1:20">
      <c r="A2535" s="9"/>
      <c r="B2535" s="25"/>
      <c r="C2535" s="25"/>
      <c r="D2535" s="25"/>
      <c r="E2535" s="25"/>
      <c r="F2535" s="25"/>
      <c r="G2535" s="25"/>
      <c r="H2535" s="25"/>
      <c r="I2535" s="25"/>
      <c r="J2535" s="25"/>
      <c r="K2535" s="25"/>
      <c r="L2535" s="25"/>
      <c r="M2535" s="42" t="s">
        <v>253</v>
      </c>
      <c r="N2535" s="41">
        <v>45258</v>
      </c>
      <c r="O2535" s="25">
        <v>64</v>
      </c>
      <c r="P2535" s="25">
        <v>0</v>
      </c>
      <c r="Q2535" s="25"/>
      <c r="R2535" s="25"/>
      <c r="S2535" s="25"/>
      <c r="T2535" s="10"/>
    </row>
    <row r="2536" s="35" customFormat="1" ht="18.5" customHeight="1" spans="1:20">
      <c r="A2536" s="9"/>
      <c r="B2536" s="25"/>
      <c r="C2536" s="25"/>
      <c r="D2536" s="25"/>
      <c r="E2536" s="25"/>
      <c r="F2536" s="25"/>
      <c r="G2536" s="25"/>
      <c r="H2536" s="25"/>
      <c r="I2536" s="25"/>
      <c r="J2536" s="25"/>
      <c r="K2536" s="25"/>
      <c r="L2536" s="25"/>
      <c r="M2536" s="42" t="s">
        <v>253</v>
      </c>
      <c r="N2536" s="41">
        <v>45258</v>
      </c>
      <c r="O2536" s="25">
        <v>92</v>
      </c>
      <c r="P2536" s="25">
        <v>0</v>
      </c>
      <c r="Q2536" s="25"/>
      <c r="R2536" s="25"/>
      <c r="S2536" s="25"/>
      <c r="T2536" s="10"/>
    </row>
    <row r="2537" s="35" customFormat="1" ht="18.5" customHeight="1" spans="1:20">
      <c r="A2537" s="9"/>
      <c r="B2537" s="25"/>
      <c r="C2537" s="25"/>
      <c r="D2537" s="25"/>
      <c r="E2537" s="25"/>
      <c r="F2537" s="25"/>
      <c r="G2537" s="25"/>
      <c r="H2537" s="25"/>
      <c r="I2537" s="25"/>
      <c r="J2537" s="25"/>
      <c r="K2537" s="25"/>
      <c r="L2537" s="25"/>
      <c r="M2537" s="42" t="s">
        <v>253</v>
      </c>
      <c r="N2537" s="41">
        <v>45258</v>
      </c>
      <c r="O2537" s="25">
        <v>66</v>
      </c>
      <c r="P2537" s="25">
        <v>0</v>
      </c>
      <c r="Q2537" s="25"/>
      <c r="R2537" s="25"/>
      <c r="S2537" s="25"/>
      <c r="T2537" s="10"/>
    </row>
    <row r="2538" s="35" customFormat="1" ht="18.5" customHeight="1" spans="1:20">
      <c r="A2538" s="9"/>
      <c r="B2538" s="25"/>
      <c r="C2538" s="25"/>
      <c r="D2538" s="25"/>
      <c r="E2538" s="25"/>
      <c r="F2538" s="25"/>
      <c r="G2538" s="25"/>
      <c r="H2538" s="25"/>
      <c r="I2538" s="25"/>
      <c r="J2538" s="25"/>
      <c r="K2538" s="25"/>
      <c r="L2538" s="25"/>
      <c r="M2538" s="42" t="s">
        <v>253</v>
      </c>
      <c r="N2538" s="41">
        <v>45258</v>
      </c>
      <c r="O2538" s="25">
        <v>68</v>
      </c>
      <c r="P2538" s="25">
        <v>0</v>
      </c>
      <c r="Q2538" s="25"/>
      <c r="R2538" s="25"/>
      <c r="S2538" s="25"/>
      <c r="T2538" s="10"/>
    </row>
    <row r="2539" s="35" customFormat="1" ht="18.5" customHeight="1" spans="1:20">
      <c r="A2539" s="9"/>
      <c r="B2539" s="25"/>
      <c r="C2539" s="25"/>
      <c r="D2539" s="25"/>
      <c r="E2539" s="25"/>
      <c r="F2539" s="25"/>
      <c r="G2539" s="25"/>
      <c r="H2539" s="25"/>
      <c r="I2539" s="25"/>
      <c r="J2539" s="25"/>
      <c r="K2539" s="25"/>
      <c r="L2539" s="25"/>
      <c r="M2539" s="42" t="s">
        <v>253</v>
      </c>
      <c r="N2539" s="41">
        <v>45258</v>
      </c>
      <c r="O2539" s="25">
        <v>65</v>
      </c>
      <c r="P2539" s="25">
        <v>0</v>
      </c>
      <c r="Q2539" s="25"/>
      <c r="R2539" s="25"/>
      <c r="S2539" s="25"/>
      <c r="T2539" s="10"/>
    </row>
    <row r="2540" s="35" customFormat="1" ht="18.5" customHeight="1" spans="1:20">
      <c r="A2540" s="9"/>
      <c r="B2540" s="25"/>
      <c r="C2540" s="25"/>
      <c r="D2540" s="25"/>
      <c r="E2540" s="25"/>
      <c r="F2540" s="25"/>
      <c r="G2540" s="25"/>
      <c r="H2540" s="25"/>
      <c r="I2540" s="25"/>
      <c r="J2540" s="25"/>
      <c r="K2540" s="25"/>
      <c r="L2540" s="25"/>
      <c r="M2540" s="42" t="s">
        <v>253</v>
      </c>
      <c r="N2540" s="41">
        <v>45258</v>
      </c>
      <c r="O2540" s="25">
        <v>79</v>
      </c>
      <c r="P2540" s="25">
        <v>0</v>
      </c>
      <c r="Q2540" s="25"/>
      <c r="R2540" s="25"/>
      <c r="S2540" s="25"/>
      <c r="T2540" s="10"/>
    </row>
    <row r="2541" s="35" customFormat="1" ht="18.5" customHeight="1" spans="1:20">
      <c r="A2541" s="9"/>
      <c r="B2541" s="25"/>
      <c r="C2541" s="25"/>
      <c r="D2541" s="25"/>
      <c r="E2541" s="25"/>
      <c r="F2541" s="25"/>
      <c r="G2541" s="25"/>
      <c r="H2541" s="25"/>
      <c r="I2541" s="25"/>
      <c r="J2541" s="25"/>
      <c r="K2541" s="25"/>
      <c r="L2541" s="25"/>
      <c r="M2541" s="42" t="s">
        <v>253</v>
      </c>
      <c r="N2541" s="41">
        <v>45258</v>
      </c>
      <c r="O2541" s="25">
        <v>60</v>
      </c>
      <c r="P2541" s="25">
        <v>0</v>
      </c>
      <c r="Q2541" s="25"/>
      <c r="R2541" s="25"/>
      <c r="S2541" s="25"/>
      <c r="T2541" s="10"/>
    </row>
    <row r="2542" s="35" customFormat="1" ht="18.5" customHeight="1" spans="1:20">
      <c r="A2542" s="9"/>
      <c r="B2542" s="25"/>
      <c r="C2542" s="25"/>
      <c r="D2542" s="25"/>
      <c r="E2542" s="25"/>
      <c r="F2542" s="25"/>
      <c r="G2542" s="25"/>
      <c r="H2542" s="25"/>
      <c r="I2542" s="25"/>
      <c r="J2542" s="25"/>
      <c r="K2542" s="25"/>
      <c r="L2542" s="25"/>
      <c r="M2542" s="42" t="s">
        <v>253</v>
      </c>
      <c r="N2542" s="41">
        <v>45258</v>
      </c>
      <c r="O2542" s="25">
        <v>133</v>
      </c>
      <c r="P2542" s="25">
        <v>0</v>
      </c>
      <c r="Q2542" s="25"/>
      <c r="R2542" s="25"/>
      <c r="S2542" s="25"/>
      <c r="T2542" s="10"/>
    </row>
    <row r="2543" s="35" customFormat="1" ht="18.5" customHeight="1" spans="1:20">
      <c r="A2543" s="9"/>
      <c r="B2543" s="25"/>
      <c r="C2543" s="25"/>
      <c r="D2543" s="25"/>
      <c r="E2543" s="25"/>
      <c r="F2543" s="25"/>
      <c r="G2543" s="25"/>
      <c r="H2543" s="25"/>
      <c r="I2543" s="25"/>
      <c r="J2543" s="25"/>
      <c r="K2543" s="25"/>
      <c r="L2543" s="25"/>
      <c r="M2543" s="42" t="s">
        <v>253</v>
      </c>
      <c r="N2543" s="41">
        <v>45258</v>
      </c>
      <c r="O2543" s="25">
        <v>335</v>
      </c>
      <c r="P2543" s="25">
        <v>0</v>
      </c>
      <c r="Q2543" s="25"/>
      <c r="R2543" s="25"/>
      <c r="S2543" s="25"/>
      <c r="T2543" s="10"/>
    </row>
    <row r="2544" s="35" customFormat="1" ht="18.5" customHeight="1" spans="1:20">
      <c r="A2544" s="9"/>
      <c r="B2544" s="25"/>
      <c r="C2544" s="25"/>
      <c r="D2544" s="25"/>
      <c r="E2544" s="25"/>
      <c r="F2544" s="25"/>
      <c r="G2544" s="25"/>
      <c r="H2544" s="25"/>
      <c r="I2544" s="25"/>
      <c r="J2544" s="25"/>
      <c r="K2544" s="25"/>
      <c r="L2544" s="25"/>
      <c r="M2544" s="42" t="s">
        <v>253</v>
      </c>
      <c r="N2544" s="41">
        <v>45258</v>
      </c>
      <c r="O2544" s="25">
        <v>111</v>
      </c>
      <c r="P2544" s="25">
        <v>0</v>
      </c>
      <c r="Q2544" s="25"/>
      <c r="R2544" s="25"/>
      <c r="S2544" s="25"/>
      <c r="T2544" s="10"/>
    </row>
    <row r="2545" s="35" customFormat="1" ht="18.5" customHeight="1" spans="1:20">
      <c r="A2545" s="9"/>
      <c r="B2545" s="25"/>
      <c r="C2545" s="25"/>
      <c r="D2545" s="25"/>
      <c r="E2545" s="25"/>
      <c r="F2545" s="25"/>
      <c r="G2545" s="25"/>
      <c r="H2545" s="25"/>
      <c r="I2545" s="25"/>
      <c r="J2545" s="25"/>
      <c r="K2545" s="25"/>
      <c r="L2545" s="25"/>
      <c r="M2545" s="42" t="s">
        <v>253</v>
      </c>
      <c r="N2545" s="41">
        <v>45257</v>
      </c>
      <c r="O2545" s="25">
        <v>77</v>
      </c>
      <c r="P2545" s="25">
        <v>0</v>
      </c>
      <c r="Q2545" s="25"/>
      <c r="R2545" s="25"/>
      <c r="S2545" s="25"/>
      <c r="T2545" s="10"/>
    </row>
    <row r="2546" s="35" customFormat="1" ht="18.5" customHeight="1" spans="1:20">
      <c r="A2546" s="9"/>
      <c r="B2546" s="25"/>
      <c r="C2546" s="25"/>
      <c r="D2546" s="25"/>
      <c r="E2546" s="25"/>
      <c r="F2546" s="25"/>
      <c r="G2546" s="25"/>
      <c r="H2546" s="25"/>
      <c r="I2546" s="25"/>
      <c r="J2546" s="25"/>
      <c r="K2546" s="25"/>
      <c r="L2546" s="25"/>
      <c r="M2546" s="42" t="s">
        <v>253</v>
      </c>
      <c r="N2546" s="41">
        <v>45257</v>
      </c>
      <c r="O2546" s="25">
        <v>146</v>
      </c>
      <c r="P2546" s="25">
        <v>0</v>
      </c>
      <c r="Q2546" s="25"/>
      <c r="R2546" s="25"/>
      <c r="S2546" s="25"/>
      <c r="T2546" s="10"/>
    </row>
    <row r="2547" s="35" customFormat="1" ht="18.5" customHeight="1" spans="1:20">
      <c r="A2547" s="9"/>
      <c r="B2547" s="25"/>
      <c r="C2547" s="25"/>
      <c r="D2547" s="25"/>
      <c r="E2547" s="25"/>
      <c r="F2547" s="25"/>
      <c r="G2547" s="25"/>
      <c r="H2547" s="25"/>
      <c r="I2547" s="25"/>
      <c r="J2547" s="25"/>
      <c r="K2547" s="25"/>
      <c r="L2547" s="25"/>
      <c r="M2547" s="42" t="s">
        <v>253</v>
      </c>
      <c r="N2547" s="41">
        <v>45257</v>
      </c>
      <c r="O2547" s="25">
        <v>140</v>
      </c>
      <c r="P2547" s="25">
        <v>0</v>
      </c>
      <c r="Q2547" s="25"/>
      <c r="R2547" s="25"/>
      <c r="S2547" s="25"/>
      <c r="T2547" s="10"/>
    </row>
    <row r="2548" s="35" customFormat="1" ht="18.5" customHeight="1" spans="1:20">
      <c r="A2548" s="9"/>
      <c r="B2548" s="25"/>
      <c r="C2548" s="25"/>
      <c r="D2548" s="25"/>
      <c r="E2548" s="25"/>
      <c r="F2548" s="25"/>
      <c r="G2548" s="25"/>
      <c r="H2548" s="25"/>
      <c r="I2548" s="25"/>
      <c r="J2548" s="25"/>
      <c r="K2548" s="25"/>
      <c r="L2548" s="25"/>
      <c r="M2548" s="42" t="s">
        <v>253</v>
      </c>
      <c r="N2548" s="41">
        <v>45257</v>
      </c>
      <c r="O2548" s="25">
        <v>93</v>
      </c>
      <c r="P2548" s="25">
        <v>0</v>
      </c>
      <c r="Q2548" s="25"/>
      <c r="R2548" s="25"/>
      <c r="S2548" s="25"/>
      <c r="T2548" s="10"/>
    </row>
    <row r="2549" s="35" customFormat="1" ht="18.5" customHeight="1" spans="1:20">
      <c r="A2549" s="9"/>
      <c r="B2549" s="25"/>
      <c r="C2549" s="25"/>
      <c r="D2549" s="25"/>
      <c r="E2549" s="25"/>
      <c r="F2549" s="25"/>
      <c r="G2549" s="25"/>
      <c r="H2549" s="25"/>
      <c r="I2549" s="25"/>
      <c r="J2549" s="25"/>
      <c r="K2549" s="25"/>
      <c r="L2549" s="25"/>
      <c r="M2549" s="42" t="s">
        <v>253</v>
      </c>
      <c r="N2549" s="41">
        <v>45252</v>
      </c>
      <c r="O2549" s="25">
        <v>163</v>
      </c>
      <c r="P2549" s="25">
        <v>0</v>
      </c>
      <c r="Q2549" s="25"/>
      <c r="R2549" s="25"/>
      <c r="S2549" s="25"/>
      <c r="T2549" s="10"/>
    </row>
    <row r="2550" s="35" customFormat="1" ht="18.5" customHeight="1" spans="1:20">
      <c r="A2550" s="9"/>
      <c r="B2550" s="25"/>
      <c r="C2550" s="25"/>
      <c r="D2550" s="25"/>
      <c r="E2550" s="25"/>
      <c r="F2550" s="25"/>
      <c r="G2550" s="25"/>
      <c r="H2550" s="25"/>
      <c r="I2550" s="25"/>
      <c r="J2550" s="25"/>
      <c r="K2550" s="25"/>
      <c r="L2550" s="25"/>
      <c r="M2550" s="42" t="s">
        <v>253</v>
      </c>
      <c r="N2550" s="41">
        <v>45257</v>
      </c>
      <c r="O2550" s="25">
        <v>147</v>
      </c>
      <c r="P2550" s="25">
        <v>0</v>
      </c>
      <c r="Q2550" s="25"/>
      <c r="R2550" s="25"/>
      <c r="S2550" s="25"/>
      <c r="T2550" s="10"/>
    </row>
    <row r="2551" s="35" customFormat="1" ht="18.5" customHeight="1" spans="1:20">
      <c r="A2551" s="9"/>
      <c r="B2551" s="25"/>
      <c r="C2551" s="25"/>
      <c r="D2551" s="25"/>
      <c r="E2551" s="25"/>
      <c r="F2551" s="25"/>
      <c r="G2551" s="25"/>
      <c r="H2551" s="25"/>
      <c r="I2551" s="25"/>
      <c r="J2551" s="25"/>
      <c r="K2551" s="25"/>
      <c r="L2551" s="25"/>
      <c r="M2551" s="42" t="s">
        <v>253</v>
      </c>
      <c r="N2551" s="41">
        <v>45257</v>
      </c>
      <c r="O2551" s="25">
        <v>194</v>
      </c>
      <c r="P2551" s="25">
        <v>0</v>
      </c>
      <c r="Q2551" s="25"/>
      <c r="R2551" s="25"/>
      <c r="S2551" s="25"/>
      <c r="T2551" s="10"/>
    </row>
    <row r="2552" s="35" customFormat="1" ht="18.5" customHeight="1" spans="1:20">
      <c r="A2552" s="9"/>
      <c r="B2552" s="25"/>
      <c r="C2552" s="25"/>
      <c r="D2552" s="25"/>
      <c r="E2552" s="25"/>
      <c r="F2552" s="25"/>
      <c r="G2552" s="25"/>
      <c r="H2552" s="25"/>
      <c r="I2552" s="25"/>
      <c r="J2552" s="25"/>
      <c r="K2552" s="25"/>
      <c r="L2552" s="25"/>
      <c r="M2552" s="42" t="s">
        <v>253</v>
      </c>
      <c r="N2552" s="41">
        <v>45256</v>
      </c>
      <c r="O2552" s="25">
        <v>197</v>
      </c>
      <c r="P2552" s="25">
        <v>0</v>
      </c>
      <c r="Q2552" s="25"/>
      <c r="R2552" s="25"/>
      <c r="S2552" s="25"/>
      <c r="T2552" s="10"/>
    </row>
    <row r="2553" s="35" customFormat="1" ht="18.5" customHeight="1" spans="1:20">
      <c r="A2553" s="9"/>
      <c r="B2553" s="25"/>
      <c r="C2553" s="25"/>
      <c r="D2553" s="25"/>
      <c r="E2553" s="25"/>
      <c r="F2553" s="25"/>
      <c r="G2553" s="25"/>
      <c r="H2553" s="25"/>
      <c r="I2553" s="25"/>
      <c r="J2553" s="25"/>
      <c r="K2553" s="25"/>
      <c r="L2553" s="25"/>
      <c r="M2553" s="42" t="s">
        <v>253</v>
      </c>
      <c r="N2553" s="41">
        <v>45256</v>
      </c>
      <c r="O2553" s="25">
        <v>126</v>
      </c>
      <c r="P2553" s="25">
        <v>0</v>
      </c>
      <c r="Q2553" s="25"/>
      <c r="R2553" s="25"/>
      <c r="S2553" s="25"/>
      <c r="T2553" s="10"/>
    </row>
    <row r="2554" s="35" customFormat="1" ht="18.5" customHeight="1" spans="1:20">
      <c r="A2554" s="9"/>
      <c r="B2554" s="25"/>
      <c r="C2554" s="25"/>
      <c r="D2554" s="25"/>
      <c r="E2554" s="25"/>
      <c r="F2554" s="25"/>
      <c r="G2554" s="25"/>
      <c r="H2554" s="25"/>
      <c r="I2554" s="25"/>
      <c r="J2554" s="25"/>
      <c r="K2554" s="25"/>
      <c r="L2554" s="25"/>
      <c r="M2554" s="42" t="s">
        <v>253</v>
      </c>
      <c r="N2554" s="41">
        <v>45256</v>
      </c>
      <c r="O2554" s="25">
        <v>111</v>
      </c>
      <c r="P2554" s="25">
        <v>0</v>
      </c>
      <c r="Q2554" s="25"/>
      <c r="R2554" s="25"/>
      <c r="S2554" s="25"/>
      <c r="T2554" s="10"/>
    </row>
    <row r="2555" s="35" customFormat="1" ht="18.5" customHeight="1" spans="1:20">
      <c r="A2555" s="9"/>
      <c r="B2555" s="25"/>
      <c r="C2555" s="25"/>
      <c r="D2555" s="25"/>
      <c r="E2555" s="25"/>
      <c r="F2555" s="25"/>
      <c r="G2555" s="25"/>
      <c r="H2555" s="25"/>
      <c r="I2555" s="25"/>
      <c r="J2555" s="25"/>
      <c r="K2555" s="25"/>
      <c r="L2555" s="25"/>
      <c r="M2555" s="42" t="s">
        <v>253</v>
      </c>
      <c r="N2555" s="41">
        <v>45256</v>
      </c>
      <c r="O2555" s="25">
        <v>91</v>
      </c>
      <c r="P2555" s="25">
        <v>0</v>
      </c>
      <c r="Q2555" s="25"/>
      <c r="R2555" s="25"/>
      <c r="S2555" s="25"/>
      <c r="T2555" s="10"/>
    </row>
    <row r="2556" s="35" customFormat="1" ht="18.5" customHeight="1" spans="1:20">
      <c r="A2556" s="9"/>
      <c r="B2556" s="25"/>
      <c r="C2556" s="25"/>
      <c r="D2556" s="25"/>
      <c r="E2556" s="25"/>
      <c r="F2556" s="25"/>
      <c r="G2556" s="25"/>
      <c r="H2556" s="25"/>
      <c r="I2556" s="25"/>
      <c r="J2556" s="25"/>
      <c r="K2556" s="25"/>
      <c r="L2556" s="25"/>
      <c r="M2556" s="42" t="s">
        <v>253</v>
      </c>
      <c r="N2556" s="41">
        <v>45255</v>
      </c>
      <c r="O2556" s="25">
        <v>107</v>
      </c>
      <c r="P2556" s="25">
        <v>0</v>
      </c>
      <c r="Q2556" s="25"/>
      <c r="R2556" s="25"/>
      <c r="S2556" s="25"/>
      <c r="T2556" s="10"/>
    </row>
    <row r="2557" s="35" customFormat="1" ht="18.5" customHeight="1" spans="1:20">
      <c r="A2557" s="9"/>
      <c r="B2557" s="25"/>
      <c r="C2557" s="25"/>
      <c r="D2557" s="25"/>
      <c r="E2557" s="25"/>
      <c r="F2557" s="25"/>
      <c r="G2557" s="25"/>
      <c r="H2557" s="25"/>
      <c r="I2557" s="25"/>
      <c r="J2557" s="25"/>
      <c r="K2557" s="25"/>
      <c r="L2557" s="25"/>
      <c r="M2557" s="42" t="s">
        <v>253</v>
      </c>
      <c r="N2557" s="41">
        <v>45255</v>
      </c>
      <c r="O2557" s="25">
        <v>89</v>
      </c>
      <c r="P2557" s="25">
        <v>0</v>
      </c>
      <c r="Q2557" s="25"/>
      <c r="R2557" s="25"/>
      <c r="S2557" s="25"/>
      <c r="T2557" s="10"/>
    </row>
    <row r="2558" s="35" customFormat="1" ht="18.5" customHeight="1" spans="1:20">
      <c r="A2558" s="9"/>
      <c r="B2558" s="25"/>
      <c r="C2558" s="25"/>
      <c r="D2558" s="25"/>
      <c r="E2558" s="25"/>
      <c r="F2558" s="25"/>
      <c r="G2558" s="25"/>
      <c r="H2558" s="25"/>
      <c r="I2558" s="25"/>
      <c r="J2558" s="25"/>
      <c r="K2558" s="25"/>
      <c r="L2558" s="25"/>
      <c r="M2558" s="42" t="s">
        <v>253</v>
      </c>
      <c r="N2558" s="41">
        <v>45255</v>
      </c>
      <c r="O2558" s="25">
        <v>88</v>
      </c>
      <c r="P2558" s="25">
        <v>0</v>
      </c>
      <c r="Q2558" s="25"/>
      <c r="R2558" s="25"/>
      <c r="S2558" s="25"/>
      <c r="T2558" s="10"/>
    </row>
    <row r="2559" s="35" customFormat="1" ht="18.5" customHeight="1" spans="1:20">
      <c r="A2559" s="9"/>
      <c r="B2559" s="25"/>
      <c r="C2559" s="25"/>
      <c r="D2559" s="25"/>
      <c r="E2559" s="25"/>
      <c r="F2559" s="25"/>
      <c r="G2559" s="25"/>
      <c r="H2559" s="25"/>
      <c r="I2559" s="25"/>
      <c r="J2559" s="25"/>
      <c r="K2559" s="25"/>
      <c r="L2559" s="25"/>
      <c r="M2559" s="42" t="s">
        <v>253</v>
      </c>
      <c r="N2559" s="41">
        <v>45254</v>
      </c>
      <c r="O2559" s="25">
        <v>104</v>
      </c>
      <c r="P2559" s="25">
        <v>0</v>
      </c>
      <c r="Q2559" s="25"/>
      <c r="R2559" s="25"/>
      <c r="S2559" s="25"/>
      <c r="T2559" s="10"/>
    </row>
    <row r="2560" s="35" customFormat="1" ht="18.5" customHeight="1" spans="1:20">
      <c r="A2560" s="9"/>
      <c r="B2560" s="25"/>
      <c r="C2560" s="25"/>
      <c r="D2560" s="25"/>
      <c r="E2560" s="25"/>
      <c r="F2560" s="25"/>
      <c r="G2560" s="25"/>
      <c r="H2560" s="25"/>
      <c r="I2560" s="25"/>
      <c r="J2560" s="25"/>
      <c r="K2560" s="25"/>
      <c r="L2560" s="25"/>
      <c r="M2560" s="42" t="s">
        <v>253</v>
      </c>
      <c r="N2560" s="41">
        <v>45254</v>
      </c>
      <c r="O2560" s="25">
        <v>164</v>
      </c>
      <c r="P2560" s="25">
        <v>0</v>
      </c>
      <c r="Q2560" s="25"/>
      <c r="R2560" s="25"/>
      <c r="S2560" s="25"/>
      <c r="T2560" s="10"/>
    </row>
    <row r="2561" s="35" customFormat="1" ht="18.5" customHeight="1" spans="1:20">
      <c r="A2561" s="9"/>
      <c r="B2561" s="25"/>
      <c r="C2561" s="25"/>
      <c r="D2561" s="25"/>
      <c r="E2561" s="25"/>
      <c r="F2561" s="25"/>
      <c r="G2561" s="25"/>
      <c r="H2561" s="25"/>
      <c r="I2561" s="25"/>
      <c r="J2561" s="25"/>
      <c r="K2561" s="25"/>
      <c r="L2561" s="25"/>
      <c r="M2561" s="42" t="s">
        <v>253</v>
      </c>
      <c r="N2561" s="41">
        <v>45254</v>
      </c>
      <c r="O2561" s="25">
        <v>103</v>
      </c>
      <c r="P2561" s="25">
        <v>0</v>
      </c>
      <c r="Q2561" s="25"/>
      <c r="R2561" s="25"/>
      <c r="S2561" s="25"/>
      <c r="T2561" s="10"/>
    </row>
    <row r="2562" s="35" customFormat="1" ht="18.5" customHeight="1" spans="1:20">
      <c r="A2562" s="9"/>
      <c r="B2562" s="25"/>
      <c r="C2562" s="25"/>
      <c r="D2562" s="25"/>
      <c r="E2562" s="25"/>
      <c r="F2562" s="25"/>
      <c r="G2562" s="25"/>
      <c r="H2562" s="25"/>
      <c r="I2562" s="25"/>
      <c r="J2562" s="25"/>
      <c r="K2562" s="25"/>
      <c r="L2562" s="25"/>
      <c r="M2562" s="42" t="s">
        <v>253</v>
      </c>
      <c r="N2562" s="41">
        <v>45254</v>
      </c>
      <c r="O2562" s="25">
        <v>70</v>
      </c>
      <c r="P2562" s="25">
        <v>0</v>
      </c>
      <c r="Q2562" s="25"/>
      <c r="R2562" s="25"/>
      <c r="S2562" s="25"/>
      <c r="T2562" s="10"/>
    </row>
    <row r="2563" s="35" customFormat="1" ht="18.5" customHeight="1" spans="1:20">
      <c r="A2563" s="9"/>
      <c r="B2563" s="25"/>
      <c r="C2563" s="25"/>
      <c r="D2563" s="25"/>
      <c r="E2563" s="25"/>
      <c r="F2563" s="25"/>
      <c r="G2563" s="25"/>
      <c r="H2563" s="25"/>
      <c r="I2563" s="25"/>
      <c r="J2563" s="25"/>
      <c r="K2563" s="25"/>
      <c r="L2563" s="25"/>
      <c r="M2563" s="42" t="s">
        <v>253</v>
      </c>
      <c r="N2563" s="41">
        <v>45254</v>
      </c>
      <c r="O2563" s="25">
        <v>53</v>
      </c>
      <c r="P2563" s="25">
        <v>0</v>
      </c>
      <c r="Q2563" s="25"/>
      <c r="R2563" s="25"/>
      <c r="S2563" s="25"/>
      <c r="T2563" s="10"/>
    </row>
    <row r="2564" s="35" customFormat="1" ht="18.5" customHeight="1" spans="1:20">
      <c r="A2564" s="9"/>
      <c r="B2564" s="25"/>
      <c r="C2564" s="25"/>
      <c r="D2564" s="25"/>
      <c r="E2564" s="25"/>
      <c r="F2564" s="25"/>
      <c r="G2564" s="25"/>
      <c r="H2564" s="25"/>
      <c r="I2564" s="25"/>
      <c r="J2564" s="25"/>
      <c r="K2564" s="25"/>
      <c r="L2564" s="25"/>
      <c r="M2564" s="42" t="s">
        <v>253</v>
      </c>
      <c r="N2564" s="41">
        <v>45254</v>
      </c>
      <c r="O2564" s="25">
        <v>70</v>
      </c>
      <c r="P2564" s="25">
        <v>0</v>
      </c>
      <c r="Q2564" s="25"/>
      <c r="R2564" s="25"/>
      <c r="S2564" s="25"/>
      <c r="T2564" s="10"/>
    </row>
    <row r="2565" s="35" customFormat="1" ht="18.5" customHeight="1" spans="1:20">
      <c r="A2565" s="9"/>
      <c r="B2565" s="25"/>
      <c r="C2565" s="25"/>
      <c r="D2565" s="25"/>
      <c r="E2565" s="25"/>
      <c r="F2565" s="25"/>
      <c r="G2565" s="25"/>
      <c r="H2565" s="25"/>
      <c r="I2565" s="25"/>
      <c r="J2565" s="25"/>
      <c r="K2565" s="25"/>
      <c r="L2565" s="25"/>
      <c r="M2565" s="42" t="s">
        <v>253</v>
      </c>
      <c r="N2565" s="41">
        <v>45254</v>
      </c>
      <c r="O2565" s="25">
        <v>49</v>
      </c>
      <c r="P2565" s="25">
        <v>0</v>
      </c>
      <c r="Q2565" s="25"/>
      <c r="R2565" s="25"/>
      <c r="S2565" s="25"/>
      <c r="T2565" s="10"/>
    </row>
    <row r="2566" s="35" customFormat="1" ht="18.5" customHeight="1" spans="1:20">
      <c r="A2566" s="9"/>
      <c r="B2566" s="25"/>
      <c r="C2566" s="25"/>
      <c r="D2566" s="25"/>
      <c r="E2566" s="25"/>
      <c r="F2566" s="25"/>
      <c r="G2566" s="25"/>
      <c r="H2566" s="25"/>
      <c r="I2566" s="25"/>
      <c r="J2566" s="25"/>
      <c r="K2566" s="25"/>
      <c r="L2566" s="25"/>
      <c r="M2566" s="42" t="s">
        <v>253</v>
      </c>
      <c r="N2566" s="41">
        <v>45253</v>
      </c>
      <c r="O2566" s="25">
        <v>62</v>
      </c>
      <c r="P2566" s="25">
        <v>0</v>
      </c>
      <c r="Q2566" s="25"/>
      <c r="R2566" s="25"/>
      <c r="S2566" s="25"/>
      <c r="T2566" s="10"/>
    </row>
    <row r="2567" s="35" customFormat="1" ht="18.5" customHeight="1" spans="1:20">
      <c r="A2567" s="9"/>
      <c r="B2567" s="25"/>
      <c r="C2567" s="25"/>
      <c r="D2567" s="25"/>
      <c r="E2567" s="25"/>
      <c r="F2567" s="25"/>
      <c r="G2567" s="25"/>
      <c r="H2567" s="25"/>
      <c r="I2567" s="25"/>
      <c r="J2567" s="25"/>
      <c r="K2567" s="25"/>
      <c r="L2567" s="25"/>
      <c r="M2567" s="42" t="s">
        <v>253</v>
      </c>
      <c r="N2567" s="41">
        <v>45253</v>
      </c>
      <c r="O2567" s="25">
        <v>145</v>
      </c>
      <c r="P2567" s="25">
        <v>0</v>
      </c>
      <c r="Q2567" s="25"/>
      <c r="R2567" s="25"/>
      <c r="S2567" s="25"/>
      <c r="T2567" s="10"/>
    </row>
    <row r="2568" s="35" customFormat="1" ht="18.5" customHeight="1" spans="1:20">
      <c r="A2568" s="9"/>
      <c r="B2568" s="25"/>
      <c r="C2568" s="25"/>
      <c r="D2568" s="25"/>
      <c r="E2568" s="25"/>
      <c r="F2568" s="25"/>
      <c r="G2568" s="25"/>
      <c r="H2568" s="25"/>
      <c r="I2568" s="25"/>
      <c r="J2568" s="25"/>
      <c r="K2568" s="25"/>
      <c r="L2568" s="25"/>
      <c r="M2568" s="42" t="s">
        <v>253</v>
      </c>
      <c r="N2568" s="41">
        <v>45253</v>
      </c>
      <c r="O2568" s="25">
        <v>110</v>
      </c>
      <c r="P2568" s="25">
        <v>0</v>
      </c>
      <c r="Q2568" s="25"/>
      <c r="R2568" s="25"/>
      <c r="S2568" s="25"/>
      <c r="T2568" s="10"/>
    </row>
    <row r="2569" s="35" customFormat="1" ht="18.5" customHeight="1" spans="1:20">
      <c r="A2569" s="9"/>
      <c r="B2569" s="25"/>
      <c r="C2569" s="25"/>
      <c r="D2569" s="25"/>
      <c r="E2569" s="25"/>
      <c r="F2569" s="25"/>
      <c r="G2569" s="25"/>
      <c r="H2569" s="25"/>
      <c r="I2569" s="25"/>
      <c r="J2569" s="25"/>
      <c r="K2569" s="25"/>
      <c r="L2569" s="25"/>
      <c r="M2569" s="42" t="s">
        <v>253</v>
      </c>
      <c r="N2569" s="41">
        <v>45253</v>
      </c>
      <c r="O2569" s="25">
        <v>186</v>
      </c>
      <c r="P2569" s="25">
        <v>0</v>
      </c>
      <c r="Q2569" s="25"/>
      <c r="R2569" s="25"/>
      <c r="S2569" s="25"/>
      <c r="T2569" s="10"/>
    </row>
    <row r="2570" s="35" customFormat="1" ht="18.5" customHeight="1" spans="1:20">
      <c r="A2570" s="9"/>
      <c r="B2570" s="25"/>
      <c r="C2570" s="25"/>
      <c r="D2570" s="25"/>
      <c r="E2570" s="25"/>
      <c r="F2570" s="25"/>
      <c r="G2570" s="25"/>
      <c r="H2570" s="25"/>
      <c r="I2570" s="25"/>
      <c r="J2570" s="25"/>
      <c r="K2570" s="25"/>
      <c r="L2570" s="25"/>
      <c r="M2570" s="42" t="s">
        <v>253</v>
      </c>
      <c r="N2570" s="41">
        <v>45253</v>
      </c>
      <c r="O2570" s="25">
        <v>179</v>
      </c>
      <c r="P2570" s="25">
        <v>0</v>
      </c>
      <c r="Q2570" s="25"/>
      <c r="R2570" s="25"/>
      <c r="S2570" s="25"/>
      <c r="T2570" s="10"/>
    </row>
    <row r="2571" s="35" customFormat="1" ht="18.5" customHeight="1" spans="1:20">
      <c r="A2571" s="9"/>
      <c r="B2571" s="25"/>
      <c r="C2571" s="25"/>
      <c r="D2571" s="25"/>
      <c r="E2571" s="25"/>
      <c r="F2571" s="25"/>
      <c r="G2571" s="25"/>
      <c r="H2571" s="25"/>
      <c r="I2571" s="25"/>
      <c r="J2571" s="25"/>
      <c r="K2571" s="25"/>
      <c r="L2571" s="25"/>
      <c r="M2571" s="42" t="s">
        <v>253</v>
      </c>
      <c r="N2571" s="41">
        <v>45252</v>
      </c>
      <c r="O2571" s="25">
        <v>187</v>
      </c>
      <c r="P2571" s="25">
        <v>0</v>
      </c>
      <c r="Q2571" s="25"/>
      <c r="R2571" s="25"/>
      <c r="S2571" s="25"/>
      <c r="T2571" s="10"/>
    </row>
    <row r="2572" s="35" customFormat="1" ht="18.5" customHeight="1" spans="1:20">
      <c r="A2572" s="9"/>
      <c r="B2572" s="25"/>
      <c r="C2572" s="25"/>
      <c r="D2572" s="25"/>
      <c r="E2572" s="25"/>
      <c r="F2572" s="25"/>
      <c r="G2572" s="25"/>
      <c r="H2572" s="25"/>
      <c r="I2572" s="25"/>
      <c r="J2572" s="25"/>
      <c r="K2572" s="25"/>
      <c r="L2572" s="25"/>
      <c r="M2572" s="42" t="s">
        <v>253</v>
      </c>
      <c r="N2572" s="41">
        <v>45252</v>
      </c>
      <c r="O2572" s="25">
        <v>121</v>
      </c>
      <c r="P2572" s="25">
        <v>0</v>
      </c>
      <c r="Q2572" s="25"/>
      <c r="R2572" s="25"/>
      <c r="S2572" s="25"/>
      <c r="T2572" s="10"/>
    </row>
    <row r="2573" s="35" customFormat="1" ht="18.5" customHeight="1" spans="1:20">
      <c r="A2573" s="9"/>
      <c r="B2573" s="25"/>
      <c r="C2573" s="25"/>
      <c r="D2573" s="25"/>
      <c r="E2573" s="25"/>
      <c r="F2573" s="25"/>
      <c r="G2573" s="25"/>
      <c r="H2573" s="25"/>
      <c r="I2573" s="25"/>
      <c r="J2573" s="25"/>
      <c r="K2573" s="25"/>
      <c r="L2573" s="25"/>
      <c r="M2573" s="42" t="s">
        <v>253</v>
      </c>
      <c r="N2573" s="41">
        <v>45252</v>
      </c>
      <c r="O2573" s="25">
        <v>137</v>
      </c>
      <c r="P2573" s="25">
        <v>0</v>
      </c>
      <c r="Q2573" s="25"/>
      <c r="R2573" s="25"/>
      <c r="S2573" s="25"/>
      <c r="T2573" s="10"/>
    </row>
    <row r="2574" s="35" customFormat="1" ht="18.5" customHeight="1" spans="1:20">
      <c r="A2574" s="9"/>
      <c r="B2574" s="25"/>
      <c r="C2574" s="25"/>
      <c r="D2574" s="25"/>
      <c r="E2574" s="25"/>
      <c r="F2574" s="25"/>
      <c r="G2574" s="25"/>
      <c r="H2574" s="25"/>
      <c r="I2574" s="25"/>
      <c r="J2574" s="25"/>
      <c r="K2574" s="25"/>
      <c r="L2574" s="25"/>
      <c r="M2574" s="42" t="s">
        <v>253</v>
      </c>
      <c r="N2574" s="41">
        <v>45252</v>
      </c>
      <c r="O2574" s="25">
        <v>46</v>
      </c>
      <c r="P2574" s="25">
        <v>0</v>
      </c>
      <c r="Q2574" s="25"/>
      <c r="R2574" s="25"/>
      <c r="S2574" s="25"/>
      <c r="T2574" s="10"/>
    </row>
    <row r="2575" s="35" customFormat="1" ht="18.5" customHeight="1" spans="1:20">
      <c r="A2575" s="9"/>
      <c r="B2575" s="25"/>
      <c r="C2575" s="25"/>
      <c r="D2575" s="25"/>
      <c r="E2575" s="25"/>
      <c r="F2575" s="25"/>
      <c r="G2575" s="25"/>
      <c r="H2575" s="25"/>
      <c r="I2575" s="25"/>
      <c r="J2575" s="25"/>
      <c r="K2575" s="25"/>
      <c r="L2575" s="25"/>
      <c r="M2575" s="42" t="s">
        <v>253</v>
      </c>
      <c r="N2575" s="41">
        <v>45252</v>
      </c>
      <c r="O2575" s="25">
        <v>168</v>
      </c>
      <c r="P2575" s="25">
        <v>0</v>
      </c>
      <c r="Q2575" s="25"/>
      <c r="R2575" s="25"/>
      <c r="S2575" s="25"/>
      <c r="T2575" s="10"/>
    </row>
    <row r="2576" s="35" customFormat="1" ht="18.5" customHeight="1" spans="1:20">
      <c r="A2576" s="9"/>
      <c r="B2576" s="25"/>
      <c r="C2576" s="25"/>
      <c r="D2576" s="25"/>
      <c r="E2576" s="25"/>
      <c r="F2576" s="25"/>
      <c r="G2576" s="25"/>
      <c r="H2576" s="25"/>
      <c r="I2576" s="25"/>
      <c r="J2576" s="25"/>
      <c r="K2576" s="25"/>
      <c r="L2576" s="25"/>
      <c r="M2576" s="42" t="s">
        <v>253</v>
      </c>
      <c r="N2576" s="41">
        <v>45251</v>
      </c>
      <c r="O2576" s="25">
        <v>61</v>
      </c>
      <c r="P2576" s="25">
        <v>0</v>
      </c>
      <c r="Q2576" s="25"/>
      <c r="R2576" s="25"/>
      <c r="S2576" s="25"/>
      <c r="T2576" s="10"/>
    </row>
    <row r="2577" s="35" customFormat="1" ht="18.5" customHeight="1" spans="1:20">
      <c r="A2577" s="9"/>
      <c r="B2577" s="25"/>
      <c r="C2577" s="25"/>
      <c r="D2577" s="25"/>
      <c r="E2577" s="25"/>
      <c r="F2577" s="25"/>
      <c r="G2577" s="25"/>
      <c r="H2577" s="25"/>
      <c r="I2577" s="25"/>
      <c r="J2577" s="25"/>
      <c r="K2577" s="25"/>
      <c r="L2577" s="25"/>
      <c r="M2577" s="42" t="s">
        <v>253</v>
      </c>
      <c r="N2577" s="41">
        <v>45251</v>
      </c>
      <c r="O2577" s="25">
        <v>54</v>
      </c>
      <c r="P2577" s="25">
        <v>0</v>
      </c>
      <c r="Q2577" s="25"/>
      <c r="R2577" s="25"/>
      <c r="S2577" s="25"/>
      <c r="T2577" s="10"/>
    </row>
    <row r="2578" s="35" customFormat="1" ht="18.5" customHeight="1" spans="1:20">
      <c r="A2578" s="9"/>
      <c r="B2578" s="25"/>
      <c r="C2578" s="25"/>
      <c r="D2578" s="25"/>
      <c r="E2578" s="25"/>
      <c r="F2578" s="25"/>
      <c r="G2578" s="25"/>
      <c r="H2578" s="25"/>
      <c r="I2578" s="25"/>
      <c r="J2578" s="25"/>
      <c r="K2578" s="25"/>
      <c r="L2578" s="25"/>
      <c r="M2578" s="42" t="s">
        <v>253</v>
      </c>
      <c r="N2578" s="41">
        <v>45251</v>
      </c>
      <c r="O2578" s="25">
        <v>73</v>
      </c>
      <c r="P2578" s="25">
        <v>0</v>
      </c>
      <c r="Q2578" s="25"/>
      <c r="R2578" s="25"/>
      <c r="S2578" s="25"/>
      <c r="T2578" s="10"/>
    </row>
    <row r="2579" s="35" customFormat="1" ht="18.5" customHeight="1" spans="1:20">
      <c r="A2579" s="9"/>
      <c r="B2579" s="25"/>
      <c r="C2579" s="25"/>
      <c r="D2579" s="25"/>
      <c r="E2579" s="25"/>
      <c r="F2579" s="25"/>
      <c r="G2579" s="25"/>
      <c r="H2579" s="25"/>
      <c r="I2579" s="25"/>
      <c r="J2579" s="25"/>
      <c r="K2579" s="25"/>
      <c r="L2579" s="25"/>
      <c r="M2579" s="42" t="s">
        <v>253</v>
      </c>
      <c r="N2579" s="41">
        <v>45251</v>
      </c>
      <c r="O2579" s="25">
        <v>83</v>
      </c>
      <c r="P2579" s="25">
        <v>0</v>
      </c>
      <c r="Q2579" s="25"/>
      <c r="R2579" s="25"/>
      <c r="S2579" s="25"/>
      <c r="T2579" s="10"/>
    </row>
    <row r="2580" s="35" customFormat="1" ht="18.5" customHeight="1" spans="1:20">
      <c r="A2580" s="9"/>
      <c r="B2580" s="25"/>
      <c r="C2580" s="25"/>
      <c r="D2580" s="25"/>
      <c r="E2580" s="25"/>
      <c r="F2580" s="25"/>
      <c r="G2580" s="25"/>
      <c r="H2580" s="25"/>
      <c r="I2580" s="25"/>
      <c r="J2580" s="25"/>
      <c r="K2580" s="25"/>
      <c r="L2580" s="25"/>
      <c r="M2580" s="42" t="s">
        <v>253</v>
      </c>
      <c r="N2580" s="41">
        <v>45251</v>
      </c>
      <c r="O2580" s="25">
        <v>121</v>
      </c>
      <c r="P2580" s="25">
        <v>0</v>
      </c>
      <c r="Q2580" s="25"/>
      <c r="R2580" s="25"/>
      <c r="S2580" s="25"/>
      <c r="T2580" s="10"/>
    </row>
    <row r="2581" s="35" customFormat="1" ht="18.5" customHeight="1" spans="1:20">
      <c r="A2581" s="9"/>
      <c r="B2581" s="25"/>
      <c r="C2581" s="25"/>
      <c r="D2581" s="25"/>
      <c r="E2581" s="25"/>
      <c r="F2581" s="25"/>
      <c r="G2581" s="25"/>
      <c r="H2581" s="25"/>
      <c r="I2581" s="25"/>
      <c r="J2581" s="25"/>
      <c r="K2581" s="25"/>
      <c r="L2581" s="25"/>
      <c r="M2581" s="42" t="s">
        <v>253</v>
      </c>
      <c r="N2581" s="41">
        <v>45251</v>
      </c>
      <c r="O2581" s="25">
        <v>115</v>
      </c>
      <c r="P2581" s="25">
        <v>0</v>
      </c>
      <c r="Q2581" s="25"/>
      <c r="R2581" s="25"/>
      <c r="S2581" s="25"/>
      <c r="T2581" s="10"/>
    </row>
    <row r="2582" s="35" customFormat="1" ht="18.5" customHeight="1" spans="1:20">
      <c r="A2582" s="9"/>
      <c r="B2582" s="25"/>
      <c r="C2582" s="25"/>
      <c r="D2582" s="25"/>
      <c r="E2582" s="25"/>
      <c r="F2582" s="25"/>
      <c r="G2582" s="25"/>
      <c r="H2582" s="25"/>
      <c r="I2582" s="25"/>
      <c r="J2582" s="25"/>
      <c r="K2582" s="25"/>
      <c r="L2582" s="25"/>
      <c r="M2582" s="42" t="s">
        <v>253</v>
      </c>
      <c r="N2582" s="41">
        <v>45251</v>
      </c>
      <c r="O2582" s="25">
        <v>82</v>
      </c>
      <c r="P2582" s="25">
        <v>0</v>
      </c>
      <c r="Q2582" s="25"/>
      <c r="R2582" s="25"/>
      <c r="S2582" s="25"/>
      <c r="T2582" s="10"/>
    </row>
    <row r="2583" s="35" customFormat="1" ht="18.5" customHeight="1" spans="1:20">
      <c r="A2583" s="9"/>
      <c r="B2583" s="25"/>
      <c r="C2583" s="25"/>
      <c r="D2583" s="25"/>
      <c r="E2583" s="25"/>
      <c r="F2583" s="25"/>
      <c r="G2583" s="25"/>
      <c r="H2583" s="25"/>
      <c r="I2583" s="25"/>
      <c r="J2583" s="25"/>
      <c r="K2583" s="25"/>
      <c r="L2583" s="25"/>
      <c r="M2583" s="42" t="s">
        <v>253</v>
      </c>
      <c r="N2583" s="41">
        <v>45251</v>
      </c>
      <c r="O2583" s="25">
        <v>116</v>
      </c>
      <c r="P2583" s="25">
        <v>0</v>
      </c>
      <c r="Q2583" s="25"/>
      <c r="R2583" s="25"/>
      <c r="S2583" s="25"/>
      <c r="T2583" s="10"/>
    </row>
    <row r="2584" s="35" customFormat="1" ht="18.5" customHeight="1" spans="1:20">
      <c r="A2584" s="9"/>
      <c r="B2584" s="25"/>
      <c r="C2584" s="25"/>
      <c r="D2584" s="25"/>
      <c r="E2584" s="25"/>
      <c r="F2584" s="25"/>
      <c r="G2584" s="25"/>
      <c r="H2584" s="25"/>
      <c r="I2584" s="25"/>
      <c r="J2584" s="25"/>
      <c r="K2584" s="25"/>
      <c r="L2584" s="25"/>
      <c r="M2584" s="42" t="s">
        <v>253</v>
      </c>
      <c r="N2584" s="41">
        <v>45251</v>
      </c>
      <c r="O2584" s="25">
        <v>430</v>
      </c>
      <c r="P2584" s="25">
        <v>0</v>
      </c>
      <c r="Q2584" s="25"/>
      <c r="R2584" s="25"/>
      <c r="S2584" s="25"/>
      <c r="T2584" s="10"/>
    </row>
    <row r="2585" s="35" customFormat="1" ht="18.5" customHeight="1" spans="1:20">
      <c r="A2585" s="9"/>
      <c r="B2585" s="25"/>
      <c r="C2585" s="25"/>
      <c r="D2585" s="25"/>
      <c r="E2585" s="25"/>
      <c r="F2585" s="25"/>
      <c r="G2585" s="25"/>
      <c r="H2585" s="25"/>
      <c r="I2585" s="25"/>
      <c r="J2585" s="25"/>
      <c r="K2585" s="25"/>
      <c r="L2585" s="25"/>
      <c r="M2585" s="42" t="s">
        <v>253</v>
      </c>
      <c r="N2585" s="41">
        <v>45251</v>
      </c>
      <c r="O2585" s="25">
        <v>93</v>
      </c>
      <c r="P2585" s="25">
        <v>0</v>
      </c>
      <c r="Q2585" s="25"/>
      <c r="R2585" s="25"/>
      <c r="S2585" s="25"/>
      <c r="T2585" s="10"/>
    </row>
    <row r="2586" s="35" customFormat="1" ht="18.5" customHeight="1" spans="1:20">
      <c r="A2586" s="9"/>
      <c r="B2586" s="25"/>
      <c r="C2586" s="25"/>
      <c r="D2586" s="25"/>
      <c r="E2586" s="25"/>
      <c r="F2586" s="25"/>
      <c r="G2586" s="25"/>
      <c r="H2586" s="25"/>
      <c r="I2586" s="25"/>
      <c r="J2586" s="25"/>
      <c r="K2586" s="25"/>
      <c r="L2586" s="25"/>
      <c r="M2586" s="42" t="s">
        <v>253</v>
      </c>
      <c r="N2586" s="41">
        <v>45250</v>
      </c>
      <c r="O2586" s="25">
        <v>67</v>
      </c>
      <c r="P2586" s="25">
        <v>0</v>
      </c>
      <c r="Q2586" s="25"/>
      <c r="R2586" s="25"/>
      <c r="S2586" s="25"/>
      <c r="T2586" s="10"/>
    </row>
    <row r="2587" s="35" customFormat="1" ht="18.5" customHeight="1" spans="1:20">
      <c r="A2587" s="9"/>
      <c r="B2587" s="25"/>
      <c r="C2587" s="25"/>
      <c r="D2587" s="25"/>
      <c r="E2587" s="25"/>
      <c r="F2587" s="25"/>
      <c r="G2587" s="25"/>
      <c r="H2587" s="25"/>
      <c r="I2587" s="25"/>
      <c r="J2587" s="25"/>
      <c r="K2587" s="25"/>
      <c r="L2587" s="25"/>
      <c r="M2587" s="42" t="s">
        <v>253</v>
      </c>
      <c r="N2587" s="41">
        <v>45250</v>
      </c>
      <c r="O2587" s="25">
        <v>75</v>
      </c>
      <c r="P2587" s="25">
        <v>0</v>
      </c>
      <c r="Q2587" s="25"/>
      <c r="R2587" s="25"/>
      <c r="S2587" s="25"/>
      <c r="T2587" s="10"/>
    </row>
    <row r="2588" s="35" customFormat="1" ht="18.5" customHeight="1" spans="1:20">
      <c r="A2588" s="9"/>
      <c r="B2588" s="25"/>
      <c r="C2588" s="25"/>
      <c r="D2588" s="25"/>
      <c r="E2588" s="25"/>
      <c r="F2588" s="25"/>
      <c r="G2588" s="25"/>
      <c r="H2588" s="25"/>
      <c r="I2588" s="25"/>
      <c r="J2588" s="25"/>
      <c r="K2588" s="25"/>
      <c r="L2588" s="25"/>
      <c r="M2588" s="42" t="s">
        <v>253</v>
      </c>
      <c r="N2588" s="41">
        <v>45250</v>
      </c>
      <c r="O2588" s="25">
        <v>75</v>
      </c>
      <c r="P2588" s="25">
        <v>0</v>
      </c>
      <c r="Q2588" s="25"/>
      <c r="R2588" s="25"/>
      <c r="S2588" s="25"/>
      <c r="T2588" s="10"/>
    </row>
    <row r="2589" s="35" customFormat="1" ht="18.5" customHeight="1" spans="1:20">
      <c r="A2589" s="9"/>
      <c r="B2589" s="25"/>
      <c r="C2589" s="25"/>
      <c r="D2589" s="25"/>
      <c r="E2589" s="25"/>
      <c r="F2589" s="25"/>
      <c r="G2589" s="25"/>
      <c r="H2589" s="25"/>
      <c r="I2589" s="25"/>
      <c r="J2589" s="25"/>
      <c r="K2589" s="25"/>
      <c r="L2589" s="25"/>
      <c r="M2589" s="42" t="s">
        <v>253</v>
      </c>
      <c r="N2589" s="41">
        <v>45250</v>
      </c>
      <c r="O2589" s="25">
        <v>67</v>
      </c>
      <c r="P2589" s="25">
        <v>0</v>
      </c>
      <c r="Q2589" s="25"/>
      <c r="R2589" s="25"/>
      <c r="S2589" s="25"/>
      <c r="T2589" s="10"/>
    </row>
    <row r="2590" s="35" customFormat="1" ht="18.5" customHeight="1" spans="1:20">
      <c r="A2590" s="9"/>
      <c r="B2590" s="25"/>
      <c r="C2590" s="25"/>
      <c r="D2590" s="25"/>
      <c r="E2590" s="25"/>
      <c r="F2590" s="25"/>
      <c r="G2590" s="25"/>
      <c r="H2590" s="25"/>
      <c r="I2590" s="25"/>
      <c r="J2590" s="25"/>
      <c r="K2590" s="25"/>
      <c r="L2590" s="25"/>
      <c r="M2590" s="42" t="s">
        <v>253</v>
      </c>
      <c r="N2590" s="41">
        <v>45250</v>
      </c>
      <c r="O2590" s="25">
        <v>85</v>
      </c>
      <c r="P2590" s="25">
        <v>0</v>
      </c>
      <c r="Q2590" s="25"/>
      <c r="R2590" s="25"/>
      <c r="S2590" s="25"/>
      <c r="T2590" s="10"/>
    </row>
    <row r="2591" s="35" customFormat="1" ht="18.5" customHeight="1" spans="1:20">
      <c r="A2591" s="9"/>
      <c r="B2591" s="25"/>
      <c r="C2591" s="25"/>
      <c r="D2591" s="25"/>
      <c r="E2591" s="25"/>
      <c r="F2591" s="25"/>
      <c r="G2591" s="25"/>
      <c r="H2591" s="25"/>
      <c r="I2591" s="25"/>
      <c r="J2591" s="25"/>
      <c r="K2591" s="25"/>
      <c r="L2591" s="25"/>
      <c r="M2591" s="42" t="s">
        <v>253</v>
      </c>
      <c r="N2591" s="41">
        <v>45250</v>
      </c>
      <c r="O2591" s="25">
        <v>64</v>
      </c>
      <c r="P2591" s="25">
        <v>0</v>
      </c>
      <c r="Q2591" s="25"/>
      <c r="R2591" s="25"/>
      <c r="S2591" s="25"/>
      <c r="T2591" s="10"/>
    </row>
    <row r="2592" s="35" customFormat="1" ht="18.5" customHeight="1" spans="1:20">
      <c r="A2592" s="9"/>
      <c r="B2592" s="25"/>
      <c r="C2592" s="25"/>
      <c r="D2592" s="25"/>
      <c r="E2592" s="25"/>
      <c r="F2592" s="25"/>
      <c r="G2592" s="25"/>
      <c r="H2592" s="25"/>
      <c r="I2592" s="25"/>
      <c r="J2592" s="25"/>
      <c r="K2592" s="25"/>
      <c r="L2592" s="25"/>
      <c r="M2592" s="42" t="s">
        <v>253</v>
      </c>
      <c r="N2592" s="41">
        <v>45250</v>
      </c>
      <c r="O2592" s="25">
        <v>80</v>
      </c>
      <c r="P2592" s="25">
        <v>0</v>
      </c>
      <c r="Q2592" s="25"/>
      <c r="R2592" s="25"/>
      <c r="S2592" s="25"/>
      <c r="T2592" s="10"/>
    </row>
    <row r="2593" s="35" customFormat="1" ht="18.5" customHeight="1" spans="1:20">
      <c r="A2593" s="9"/>
      <c r="B2593" s="25"/>
      <c r="C2593" s="25"/>
      <c r="D2593" s="25"/>
      <c r="E2593" s="25"/>
      <c r="F2593" s="25"/>
      <c r="G2593" s="25"/>
      <c r="H2593" s="25"/>
      <c r="I2593" s="25"/>
      <c r="J2593" s="25"/>
      <c r="K2593" s="25"/>
      <c r="L2593" s="25"/>
      <c r="M2593" s="42" t="s">
        <v>253</v>
      </c>
      <c r="N2593" s="41">
        <v>45249</v>
      </c>
      <c r="O2593" s="25">
        <v>141</v>
      </c>
      <c r="P2593" s="25">
        <v>0</v>
      </c>
      <c r="Q2593" s="25"/>
      <c r="R2593" s="25"/>
      <c r="S2593" s="25"/>
      <c r="T2593" s="10"/>
    </row>
    <row r="2594" s="35" customFormat="1" ht="18.5" customHeight="1" spans="1:20">
      <c r="A2594" s="9"/>
      <c r="B2594" s="25"/>
      <c r="C2594" s="25"/>
      <c r="D2594" s="25"/>
      <c r="E2594" s="25"/>
      <c r="F2594" s="25"/>
      <c r="G2594" s="25"/>
      <c r="H2594" s="25"/>
      <c r="I2594" s="25"/>
      <c r="J2594" s="25"/>
      <c r="K2594" s="25"/>
      <c r="L2594" s="25"/>
      <c r="M2594" s="42" t="s">
        <v>253</v>
      </c>
      <c r="N2594" s="41">
        <v>45249</v>
      </c>
      <c r="O2594" s="25">
        <v>80</v>
      </c>
      <c r="P2594" s="25">
        <v>0</v>
      </c>
      <c r="Q2594" s="25"/>
      <c r="R2594" s="25"/>
      <c r="S2594" s="25"/>
      <c r="T2594" s="10"/>
    </row>
    <row r="2595" s="35" customFormat="1" ht="18.5" customHeight="1" spans="1:20">
      <c r="A2595" s="9"/>
      <c r="B2595" s="25"/>
      <c r="C2595" s="25"/>
      <c r="D2595" s="25"/>
      <c r="E2595" s="25"/>
      <c r="F2595" s="25"/>
      <c r="G2595" s="25"/>
      <c r="H2595" s="25"/>
      <c r="I2595" s="25"/>
      <c r="J2595" s="25"/>
      <c r="K2595" s="25"/>
      <c r="L2595" s="25"/>
      <c r="M2595" s="42" t="s">
        <v>253</v>
      </c>
      <c r="N2595" s="41">
        <v>45249</v>
      </c>
      <c r="O2595" s="25">
        <v>101</v>
      </c>
      <c r="P2595" s="25">
        <v>0</v>
      </c>
      <c r="Q2595" s="25"/>
      <c r="R2595" s="25"/>
      <c r="S2595" s="25"/>
      <c r="T2595" s="10"/>
    </row>
    <row r="2596" s="35" customFormat="1" ht="18.5" customHeight="1" spans="1:20">
      <c r="A2596" s="9"/>
      <c r="B2596" s="25"/>
      <c r="C2596" s="25"/>
      <c r="D2596" s="25"/>
      <c r="E2596" s="25"/>
      <c r="F2596" s="25"/>
      <c r="G2596" s="25"/>
      <c r="H2596" s="25"/>
      <c r="I2596" s="25"/>
      <c r="J2596" s="25"/>
      <c r="K2596" s="25"/>
      <c r="L2596" s="25"/>
      <c r="M2596" s="42" t="s">
        <v>253</v>
      </c>
      <c r="N2596" s="41">
        <v>45249</v>
      </c>
      <c r="O2596" s="25">
        <v>111</v>
      </c>
      <c r="P2596" s="25">
        <v>0</v>
      </c>
      <c r="Q2596" s="25"/>
      <c r="R2596" s="25"/>
      <c r="S2596" s="25"/>
      <c r="T2596" s="10"/>
    </row>
    <row r="2597" s="35" customFormat="1" ht="18.5" customHeight="1" spans="1:20">
      <c r="A2597" s="9"/>
      <c r="B2597" s="25"/>
      <c r="C2597" s="25"/>
      <c r="D2597" s="25"/>
      <c r="E2597" s="25"/>
      <c r="F2597" s="25"/>
      <c r="G2597" s="25"/>
      <c r="H2597" s="25"/>
      <c r="I2597" s="25"/>
      <c r="J2597" s="25"/>
      <c r="K2597" s="25"/>
      <c r="L2597" s="25"/>
      <c r="M2597" s="42" t="s">
        <v>253</v>
      </c>
      <c r="N2597" s="41">
        <v>45249</v>
      </c>
      <c r="O2597" s="25">
        <v>121</v>
      </c>
      <c r="P2597" s="25">
        <v>0</v>
      </c>
      <c r="Q2597" s="25"/>
      <c r="R2597" s="25"/>
      <c r="S2597" s="25"/>
      <c r="T2597" s="10"/>
    </row>
    <row r="2598" s="35" customFormat="1" ht="18.5" customHeight="1" spans="1:20">
      <c r="A2598" s="9"/>
      <c r="B2598" s="25"/>
      <c r="C2598" s="25"/>
      <c r="D2598" s="25"/>
      <c r="E2598" s="25"/>
      <c r="F2598" s="25"/>
      <c r="G2598" s="25"/>
      <c r="H2598" s="25"/>
      <c r="I2598" s="25"/>
      <c r="J2598" s="25"/>
      <c r="K2598" s="25"/>
      <c r="L2598" s="25"/>
      <c r="M2598" s="42" t="s">
        <v>253</v>
      </c>
      <c r="N2598" s="41">
        <v>45249</v>
      </c>
      <c r="O2598" s="25">
        <v>70</v>
      </c>
      <c r="P2598" s="25">
        <v>0</v>
      </c>
      <c r="Q2598" s="25"/>
      <c r="R2598" s="25"/>
      <c r="S2598" s="25"/>
      <c r="T2598" s="10"/>
    </row>
    <row r="2599" s="35" customFormat="1" ht="18.5" customHeight="1" spans="1:20">
      <c r="A2599" s="9"/>
      <c r="B2599" s="25"/>
      <c r="C2599" s="25"/>
      <c r="D2599" s="25"/>
      <c r="E2599" s="25"/>
      <c r="F2599" s="25"/>
      <c r="G2599" s="25"/>
      <c r="H2599" s="25"/>
      <c r="I2599" s="25"/>
      <c r="J2599" s="25"/>
      <c r="K2599" s="25"/>
      <c r="L2599" s="25"/>
      <c r="M2599" s="42" t="s">
        <v>253</v>
      </c>
      <c r="N2599" s="41">
        <v>45249</v>
      </c>
      <c r="O2599" s="25">
        <v>140</v>
      </c>
      <c r="P2599" s="25">
        <v>0</v>
      </c>
      <c r="Q2599" s="25"/>
      <c r="R2599" s="25"/>
      <c r="S2599" s="25"/>
      <c r="T2599" s="10"/>
    </row>
    <row r="2600" s="35" customFormat="1" ht="18.5" customHeight="1" spans="1:20">
      <c r="A2600" s="9"/>
      <c r="B2600" s="25"/>
      <c r="C2600" s="25"/>
      <c r="D2600" s="25"/>
      <c r="E2600" s="25"/>
      <c r="F2600" s="25"/>
      <c r="G2600" s="25"/>
      <c r="H2600" s="25"/>
      <c r="I2600" s="25"/>
      <c r="J2600" s="25"/>
      <c r="K2600" s="25"/>
      <c r="L2600" s="25"/>
      <c r="M2600" s="42" t="s">
        <v>253</v>
      </c>
      <c r="N2600" s="41">
        <v>45249</v>
      </c>
      <c r="O2600" s="25">
        <v>87</v>
      </c>
      <c r="P2600" s="25">
        <v>0</v>
      </c>
      <c r="Q2600" s="25"/>
      <c r="R2600" s="25"/>
      <c r="S2600" s="25"/>
      <c r="T2600" s="10"/>
    </row>
    <row r="2601" s="35" customFormat="1" ht="18.5" customHeight="1" spans="1:20">
      <c r="A2601" s="9"/>
      <c r="B2601" s="25"/>
      <c r="C2601" s="25"/>
      <c r="D2601" s="25"/>
      <c r="E2601" s="25"/>
      <c r="F2601" s="25"/>
      <c r="G2601" s="25"/>
      <c r="H2601" s="25"/>
      <c r="I2601" s="25"/>
      <c r="J2601" s="25"/>
      <c r="K2601" s="25"/>
      <c r="L2601" s="25"/>
      <c r="M2601" s="42" t="s">
        <v>253</v>
      </c>
      <c r="N2601" s="41">
        <v>45249</v>
      </c>
      <c r="O2601" s="25">
        <v>86</v>
      </c>
      <c r="P2601" s="25">
        <v>0</v>
      </c>
      <c r="Q2601" s="25"/>
      <c r="R2601" s="25"/>
      <c r="S2601" s="25"/>
      <c r="T2601" s="10"/>
    </row>
    <row r="2602" s="35" customFormat="1" ht="18.5" customHeight="1" spans="1:20">
      <c r="A2602" s="9"/>
      <c r="B2602" s="25"/>
      <c r="C2602" s="25"/>
      <c r="D2602" s="25"/>
      <c r="E2602" s="25"/>
      <c r="F2602" s="25"/>
      <c r="G2602" s="25"/>
      <c r="H2602" s="25"/>
      <c r="I2602" s="25"/>
      <c r="J2602" s="25"/>
      <c r="K2602" s="25"/>
      <c r="L2602" s="25"/>
      <c r="M2602" s="42" t="s">
        <v>253</v>
      </c>
      <c r="N2602" s="41">
        <v>45249</v>
      </c>
      <c r="O2602" s="25">
        <v>122</v>
      </c>
      <c r="P2602" s="25">
        <v>0</v>
      </c>
      <c r="Q2602" s="25"/>
      <c r="R2602" s="25"/>
      <c r="S2602" s="25"/>
      <c r="T2602" s="10"/>
    </row>
    <row r="2603" s="35" customFormat="1" ht="18.5" customHeight="1" spans="1:20">
      <c r="A2603" s="9"/>
      <c r="B2603" s="25"/>
      <c r="C2603" s="25"/>
      <c r="D2603" s="25"/>
      <c r="E2603" s="25"/>
      <c r="F2603" s="25"/>
      <c r="G2603" s="25"/>
      <c r="H2603" s="25"/>
      <c r="I2603" s="25"/>
      <c r="J2603" s="25"/>
      <c r="K2603" s="25"/>
      <c r="L2603" s="25"/>
      <c r="M2603" s="42" t="s">
        <v>253</v>
      </c>
      <c r="N2603" s="41">
        <v>45249</v>
      </c>
      <c r="O2603" s="25">
        <v>89</v>
      </c>
      <c r="P2603" s="25">
        <v>0</v>
      </c>
      <c r="Q2603" s="25"/>
      <c r="R2603" s="25"/>
      <c r="S2603" s="25"/>
      <c r="T2603" s="10"/>
    </row>
    <row r="2604" s="35" customFormat="1" ht="18.5" customHeight="1" spans="1:20">
      <c r="A2604" s="9"/>
      <c r="B2604" s="25"/>
      <c r="C2604" s="25"/>
      <c r="D2604" s="25"/>
      <c r="E2604" s="25"/>
      <c r="F2604" s="25"/>
      <c r="G2604" s="25"/>
      <c r="H2604" s="25"/>
      <c r="I2604" s="25"/>
      <c r="J2604" s="25"/>
      <c r="K2604" s="25"/>
      <c r="L2604" s="25"/>
      <c r="M2604" s="42" t="s">
        <v>253</v>
      </c>
      <c r="N2604" s="41">
        <v>45248</v>
      </c>
      <c r="O2604" s="25">
        <v>74</v>
      </c>
      <c r="P2604" s="25">
        <v>0</v>
      </c>
      <c r="Q2604" s="25"/>
      <c r="R2604" s="25"/>
      <c r="S2604" s="25"/>
      <c r="T2604" s="10"/>
    </row>
    <row r="2605" s="35" customFormat="1" ht="18.5" customHeight="1" spans="1:20">
      <c r="A2605" s="9"/>
      <c r="B2605" s="25"/>
      <c r="C2605" s="25"/>
      <c r="D2605" s="25"/>
      <c r="E2605" s="25"/>
      <c r="F2605" s="25"/>
      <c r="G2605" s="25"/>
      <c r="H2605" s="25"/>
      <c r="I2605" s="25"/>
      <c r="J2605" s="25"/>
      <c r="K2605" s="25"/>
      <c r="L2605" s="25"/>
      <c r="M2605" s="42" t="s">
        <v>253</v>
      </c>
      <c r="N2605" s="41">
        <v>45248</v>
      </c>
      <c r="O2605" s="25">
        <v>147</v>
      </c>
      <c r="P2605" s="25">
        <v>0</v>
      </c>
      <c r="Q2605" s="25"/>
      <c r="R2605" s="25"/>
      <c r="S2605" s="25"/>
      <c r="T2605" s="10"/>
    </row>
    <row r="2606" s="35" customFormat="1" ht="18.5" customHeight="1" spans="1:20">
      <c r="A2606" s="9"/>
      <c r="B2606" s="25"/>
      <c r="C2606" s="25"/>
      <c r="D2606" s="25"/>
      <c r="E2606" s="25"/>
      <c r="F2606" s="25"/>
      <c r="G2606" s="25"/>
      <c r="H2606" s="25"/>
      <c r="I2606" s="25"/>
      <c r="J2606" s="25"/>
      <c r="K2606" s="25"/>
      <c r="L2606" s="25"/>
      <c r="M2606" s="42" t="s">
        <v>253</v>
      </c>
      <c r="N2606" s="41">
        <v>45248</v>
      </c>
      <c r="O2606" s="25">
        <v>69</v>
      </c>
      <c r="P2606" s="25">
        <v>0</v>
      </c>
      <c r="Q2606" s="25"/>
      <c r="R2606" s="25"/>
      <c r="S2606" s="25"/>
      <c r="T2606" s="10"/>
    </row>
    <row r="2607" s="35" customFormat="1" ht="18.5" customHeight="1" spans="1:20">
      <c r="A2607" s="9"/>
      <c r="B2607" s="25"/>
      <c r="C2607" s="25"/>
      <c r="D2607" s="25"/>
      <c r="E2607" s="25"/>
      <c r="F2607" s="25"/>
      <c r="G2607" s="25"/>
      <c r="H2607" s="25"/>
      <c r="I2607" s="25"/>
      <c r="J2607" s="25"/>
      <c r="K2607" s="25"/>
      <c r="L2607" s="25"/>
      <c r="M2607" s="42" t="s">
        <v>253</v>
      </c>
      <c r="N2607" s="41">
        <v>45248</v>
      </c>
      <c r="O2607" s="25">
        <v>109</v>
      </c>
      <c r="P2607" s="25">
        <v>0</v>
      </c>
      <c r="Q2607" s="25"/>
      <c r="R2607" s="25"/>
      <c r="S2607" s="25"/>
      <c r="T2607" s="10"/>
    </row>
    <row r="2608" s="35" customFormat="1" ht="18.5" customHeight="1" spans="1:20">
      <c r="A2608" s="9"/>
      <c r="B2608" s="25"/>
      <c r="C2608" s="25"/>
      <c r="D2608" s="25"/>
      <c r="E2608" s="25"/>
      <c r="F2608" s="25"/>
      <c r="G2608" s="25"/>
      <c r="H2608" s="25"/>
      <c r="I2608" s="25"/>
      <c r="J2608" s="25"/>
      <c r="K2608" s="25"/>
      <c r="L2608" s="25"/>
      <c r="M2608" s="42" t="s">
        <v>253</v>
      </c>
      <c r="N2608" s="41">
        <v>45248</v>
      </c>
      <c r="O2608" s="25">
        <v>84</v>
      </c>
      <c r="P2608" s="25">
        <v>0</v>
      </c>
      <c r="Q2608" s="25"/>
      <c r="R2608" s="25"/>
      <c r="S2608" s="25"/>
      <c r="T2608" s="10"/>
    </row>
    <row r="2609" s="35" customFormat="1" ht="18.5" customHeight="1" spans="1:20">
      <c r="A2609" s="9"/>
      <c r="B2609" s="25"/>
      <c r="C2609" s="25"/>
      <c r="D2609" s="25"/>
      <c r="E2609" s="25"/>
      <c r="F2609" s="25"/>
      <c r="G2609" s="25"/>
      <c r="H2609" s="25"/>
      <c r="I2609" s="25"/>
      <c r="J2609" s="25"/>
      <c r="K2609" s="25"/>
      <c r="L2609" s="25"/>
      <c r="M2609" s="42" t="s">
        <v>253</v>
      </c>
      <c r="N2609" s="41">
        <v>45248</v>
      </c>
      <c r="O2609" s="25">
        <v>109</v>
      </c>
      <c r="P2609" s="25">
        <v>0</v>
      </c>
      <c r="Q2609" s="25"/>
      <c r="R2609" s="25"/>
      <c r="S2609" s="25"/>
      <c r="T2609" s="10"/>
    </row>
    <row r="2610" s="35" customFormat="1" ht="18.5" customHeight="1" spans="1:20">
      <c r="A2610" s="9"/>
      <c r="B2610" s="25"/>
      <c r="C2610" s="25"/>
      <c r="D2610" s="25"/>
      <c r="E2610" s="25"/>
      <c r="F2610" s="25"/>
      <c r="G2610" s="25"/>
      <c r="H2610" s="25"/>
      <c r="I2610" s="25"/>
      <c r="J2610" s="25"/>
      <c r="K2610" s="25"/>
      <c r="L2610" s="25"/>
      <c r="M2610" s="42" t="s">
        <v>253</v>
      </c>
      <c r="N2610" s="41">
        <v>45248</v>
      </c>
      <c r="O2610" s="25">
        <v>130</v>
      </c>
      <c r="P2610" s="25">
        <v>0</v>
      </c>
      <c r="Q2610" s="25"/>
      <c r="R2610" s="25"/>
      <c r="S2610" s="25"/>
      <c r="T2610" s="10"/>
    </row>
    <row r="2611" s="35" customFormat="1" ht="18.5" customHeight="1" spans="1:20">
      <c r="A2611" s="9"/>
      <c r="B2611" s="25"/>
      <c r="C2611" s="25"/>
      <c r="D2611" s="25"/>
      <c r="E2611" s="25"/>
      <c r="F2611" s="25"/>
      <c r="G2611" s="25"/>
      <c r="H2611" s="25"/>
      <c r="I2611" s="25"/>
      <c r="J2611" s="25"/>
      <c r="K2611" s="25"/>
      <c r="L2611" s="25"/>
      <c r="M2611" s="42" t="s">
        <v>253</v>
      </c>
      <c r="N2611" s="41">
        <v>45247</v>
      </c>
      <c r="O2611" s="25">
        <v>148</v>
      </c>
      <c r="P2611" s="25">
        <v>0</v>
      </c>
      <c r="Q2611" s="25"/>
      <c r="R2611" s="25"/>
      <c r="S2611" s="25"/>
      <c r="T2611" s="10"/>
    </row>
    <row r="2612" s="35" customFormat="1" ht="18.5" customHeight="1" spans="1:20">
      <c r="A2612" s="9"/>
      <c r="B2612" s="25"/>
      <c r="C2612" s="25"/>
      <c r="D2612" s="25"/>
      <c r="E2612" s="25"/>
      <c r="F2612" s="25"/>
      <c r="G2612" s="25"/>
      <c r="H2612" s="25"/>
      <c r="I2612" s="25"/>
      <c r="J2612" s="25"/>
      <c r="K2612" s="25"/>
      <c r="L2612" s="25"/>
      <c r="M2612" s="42" t="s">
        <v>253</v>
      </c>
      <c r="N2612" s="41">
        <v>45248</v>
      </c>
      <c r="O2612" s="25">
        <v>100</v>
      </c>
      <c r="P2612" s="25">
        <v>0</v>
      </c>
      <c r="Q2612" s="25"/>
      <c r="R2612" s="25"/>
      <c r="S2612" s="25"/>
      <c r="T2612" s="10"/>
    </row>
    <row r="2613" s="35" customFormat="1" ht="18.5" customHeight="1" spans="1:20">
      <c r="A2613" s="9"/>
      <c r="B2613" s="25"/>
      <c r="C2613" s="25"/>
      <c r="D2613" s="25"/>
      <c r="E2613" s="25"/>
      <c r="F2613" s="25"/>
      <c r="G2613" s="25"/>
      <c r="H2613" s="25"/>
      <c r="I2613" s="25"/>
      <c r="J2613" s="25"/>
      <c r="K2613" s="25"/>
      <c r="L2613" s="25"/>
      <c r="M2613" s="42" t="s">
        <v>253</v>
      </c>
      <c r="N2613" s="41">
        <v>45248</v>
      </c>
      <c r="O2613" s="25">
        <v>121</v>
      </c>
      <c r="P2613" s="25">
        <v>0</v>
      </c>
      <c r="Q2613" s="25"/>
      <c r="R2613" s="25"/>
      <c r="S2613" s="25"/>
      <c r="T2613" s="10"/>
    </row>
    <row r="2614" s="35" customFormat="1" ht="18.5" customHeight="1" spans="1:20">
      <c r="A2614" s="9"/>
      <c r="B2614" s="25"/>
      <c r="C2614" s="25"/>
      <c r="D2614" s="25"/>
      <c r="E2614" s="25"/>
      <c r="F2614" s="25"/>
      <c r="G2614" s="25"/>
      <c r="H2614" s="25"/>
      <c r="I2614" s="25"/>
      <c r="J2614" s="25"/>
      <c r="K2614" s="25"/>
      <c r="L2614" s="25"/>
      <c r="M2614" s="42" t="s">
        <v>253</v>
      </c>
      <c r="N2614" s="41">
        <v>45248</v>
      </c>
      <c r="O2614" s="25">
        <v>200</v>
      </c>
      <c r="P2614" s="25">
        <v>0</v>
      </c>
      <c r="Q2614" s="25"/>
      <c r="R2614" s="25"/>
      <c r="S2614" s="25"/>
      <c r="T2614" s="10"/>
    </row>
    <row r="2615" s="35" customFormat="1" ht="18.5" customHeight="1" spans="1:20">
      <c r="A2615" s="9"/>
      <c r="B2615" s="25"/>
      <c r="C2615" s="25"/>
      <c r="D2615" s="25"/>
      <c r="E2615" s="25"/>
      <c r="F2615" s="25"/>
      <c r="G2615" s="25"/>
      <c r="H2615" s="25"/>
      <c r="I2615" s="25"/>
      <c r="J2615" s="25"/>
      <c r="K2615" s="25"/>
      <c r="L2615" s="25"/>
      <c r="M2615" s="42" t="s">
        <v>253</v>
      </c>
      <c r="N2615" s="41">
        <v>45247</v>
      </c>
      <c r="O2615" s="25">
        <v>383</v>
      </c>
      <c r="P2615" s="25">
        <v>0</v>
      </c>
      <c r="Q2615" s="25"/>
      <c r="R2615" s="25"/>
      <c r="S2615" s="25"/>
      <c r="T2615" s="10"/>
    </row>
    <row r="2616" s="35" customFormat="1" ht="18.5" customHeight="1" spans="1:20">
      <c r="A2616" s="9"/>
      <c r="B2616" s="25"/>
      <c r="C2616" s="25"/>
      <c r="D2616" s="25"/>
      <c r="E2616" s="25"/>
      <c r="F2616" s="25"/>
      <c r="G2616" s="25"/>
      <c r="H2616" s="25"/>
      <c r="I2616" s="25"/>
      <c r="J2616" s="25"/>
      <c r="K2616" s="25"/>
      <c r="L2616" s="25"/>
      <c r="M2616" s="42" t="s">
        <v>253</v>
      </c>
      <c r="N2616" s="41">
        <v>45247</v>
      </c>
      <c r="O2616" s="25">
        <v>132</v>
      </c>
      <c r="P2616" s="25">
        <v>0</v>
      </c>
      <c r="Q2616" s="25"/>
      <c r="R2616" s="25"/>
      <c r="S2616" s="25"/>
      <c r="T2616" s="10"/>
    </row>
    <row r="2617" s="35" customFormat="1" ht="18.5" customHeight="1" spans="1:20">
      <c r="A2617" s="9"/>
      <c r="B2617" s="25"/>
      <c r="C2617" s="25"/>
      <c r="D2617" s="25"/>
      <c r="E2617" s="25"/>
      <c r="F2617" s="25"/>
      <c r="G2617" s="25"/>
      <c r="H2617" s="25"/>
      <c r="I2617" s="25"/>
      <c r="J2617" s="25"/>
      <c r="K2617" s="25"/>
      <c r="L2617" s="25"/>
      <c r="M2617" s="42" t="s">
        <v>253</v>
      </c>
      <c r="N2617" s="41">
        <v>45247</v>
      </c>
      <c r="O2617" s="25">
        <v>53</v>
      </c>
      <c r="P2617" s="25">
        <v>0</v>
      </c>
      <c r="Q2617" s="25"/>
      <c r="R2617" s="25"/>
      <c r="S2617" s="25"/>
      <c r="T2617" s="10"/>
    </row>
    <row r="2618" s="35" customFormat="1" ht="18.5" customHeight="1" spans="1:20">
      <c r="A2618" s="9"/>
      <c r="B2618" s="25"/>
      <c r="C2618" s="25"/>
      <c r="D2618" s="25"/>
      <c r="E2618" s="25"/>
      <c r="F2618" s="25"/>
      <c r="G2618" s="25"/>
      <c r="H2618" s="25"/>
      <c r="I2618" s="25"/>
      <c r="J2618" s="25"/>
      <c r="K2618" s="25"/>
      <c r="L2618" s="25"/>
      <c r="M2618" s="42" t="s">
        <v>253</v>
      </c>
      <c r="N2618" s="41">
        <v>45247</v>
      </c>
      <c r="O2618" s="25">
        <v>70</v>
      </c>
      <c r="P2618" s="25">
        <v>0</v>
      </c>
      <c r="Q2618" s="25"/>
      <c r="R2618" s="25"/>
      <c r="S2618" s="25"/>
      <c r="T2618" s="10"/>
    </row>
    <row r="2619" s="35" customFormat="1" ht="18.5" customHeight="1" spans="1:20">
      <c r="A2619" s="9"/>
      <c r="B2619" s="25"/>
      <c r="C2619" s="25"/>
      <c r="D2619" s="25"/>
      <c r="E2619" s="25"/>
      <c r="F2619" s="25"/>
      <c r="G2619" s="25"/>
      <c r="H2619" s="25"/>
      <c r="I2619" s="25"/>
      <c r="J2619" s="25"/>
      <c r="K2619" s="25"/>
      <c r="L2619" s="25"/>
      <c r="M2619" s="42" t="s">
        <v>253</v>
      </c>
      <c r="N2619" s="41">
        <v>45247</v>
      </c>
      <c r="O2619" s="25">
        <v>69</v>
      </c>
      <c r="P2619" s="25">
        <v>0</v>
      </c>
      <c r="Q2619" s="25"/>
      <c r="R2619" s="25"/>
      <c r="S2619" s="25"/>
      <c r="T2619" s="10"/>
    </row>
    <row r="2620" s="35" customFormat="1" ht="18.5" customHeight="1" spans="1:20">
      <c r="A2620" s="9"/>
      <c r="B2620" s="25"/>
      <c r="C2620" s="25"/>
      <c r="D2620" s="25"/>
      <c r="E2620" s="25"/>
      <c r="F2620" s="25"/>
      <c r="G2620" s="25"/>
      <c r="H2620" s="25"/>
      <c r="I2620" s="25"/>
      <c r="J2620" s="25"/>
      <c r="K2620" s="25"/>
      <c r="L2620" s="25"/>
      <c r="M2620" s="42" t="s">
        <v>253</v>
      </c>
      <c r="N2620" s="41">
        <v>45247</v>
      </c>
      <c r="O2620" s="25">
        <v>129</v>
      </c>
      <c r="P2620" s="25">
        <v>0</v>
      </c>
      <c r="Q2620" s="25"/>
      <c r="R2620" s="25"/>
      <c r="S2620" s="25"/>
      <c r="T2620" s="10"/>
    </row>
    <row r="2621" s="35" customFormat="1" ht="18.5" customHeight="1" spans="1:20">
      <c r="A2621" s="9"/>
      <c r="B2621" s="25"/>
      <c r="C2621" s="25"/>
      <c r="D2621" s="25"/>
      <c r="E2621" s="25"/>
      <c r="F2621" s="25"/>
      <c r="G2621" s="25"/>
      <c r="H2621" s="25"/>
      <c r="I2621" s="25"/>
      <c r="J2621" s="25"/>
      <c r="K2621" s="25"/>
      <c r="L2621" s="25"/>
      <c r="M2621" s="42" t="s">
        <v>253</v>
      </c>
      <c r="N2621" s="41">
        <v>45247</v>
      </c>
      <c r="O2621" s="25">
        <v>51</v>
      </c>
      <c r="P2621" s="25">
        <v>0</v>
      </c>
      <c r="Q2621" s="25"/>
      <c r="R2621" s="25"/>
      <c r="S2621" s="25"/>
      <c r="T2621" s="10"/>
    </row>
    <row r="2622" s="35" customFormat="1" ht="18.5" customHeight="1" spans="1:20">
      <c r="A2622" s="9"/>
      <c r="B2622" s="25"/>
      <c r="C2622" s="25"/>
      <c r="D2622" s="25"/>
      <c r="E2622" s="25"/>
      <c r="F2622" s="25"/>
      <c r="G2622" s="25"/>
      <c r="H2622" s="25"/>
      <c r="I2622" s="25"/>
      <c r="J2622" s="25"/>
      <c r="K2622" s="25"/>
      <c r="L2622" s="25"/>
      <c r="M2622" s="42" t="s">
        <v>253</v>
      </c>
      <c r="N2622" s="41">
        <v>45247</v>
      </c>
      <c r="O2622" s="25">
        <v>78</v>
      </c>
      <c r="P2622" s="25">
        <v>0</v>
      </c>
      <c r="Q2622" s="25"/>
      <c r="R2622" s="25"/>
      <c r="S2622" s="25"/>
      <c r="T2622" s="10"/>
    </row>
    <row r="2623" s="35" customFormat="1" ht="18.5" customHeight="1" spans="1:20">
      <c r="A2623" s="9"/>
      <c r="B2623" s="25"/>
      <c r="C2623" s="25"/>
      <c r="D2623" s="25"/>
      <c r="E2623" s="25"/>
      <c r="F2623" s="25"/>
      <c r="G2623" s="25"/>
      <c r="H2623" s="25"/>
      <c r="I2623" s="25"/>
      <c r="J2623" s="25"/>
      <c r="K2623" s="25"/>
      <c r="L2623" s="25"/>
      <c r="M2623" s="42" t="s">
        <v>253</v>
      </c>
      <c r="N2623" s="41">
        <v>45247</v>
      </c>
      <c r="O2623" s="25">
        <v>56</v>
      </c>
      <c r="P2623" s="25">
        <v>0</v>
      </c>
      <c r="Q2623" s="25"/>
      <c r="R2623" s="25"/>
      <c r="S2623" s="25"/>
      <c r="T2623" s="10"/>
    </row>
    <row r="2624" s="35" customFormat="1" ht="18.5" customHeight="1" spans="1:20">
      <c r="A2624" s="9"/>
      <c r="B2624" s="25"/>
      <c r="C2624" s="25"/>
      <c r="D2624" s="25"/>
      <c r="E2624" s="25"/>
      <c r="F2624" s="25"/>
      <c r="G2624" s="25"/>
      <c r="H2624" s="25"/>
      <c r="I2624" s="25"/>
      <c r="J2624" s="25"/>
      <c r="K2624" s="25"/>
      <c r="L2624" s="25"/>
      <c r="M2624" s="42" t="s">
        <v>253</v>
      </c>
      <c r="N2624" s="41">
        <v>45247</v>
      </c>
      <c r="O2624" s="25">
        <v>74</v>
      </c>
      <c r="P2624" s="25">
        <v>0</v>
      </c>
      <c r="Q2624" s="25"/>
      <c r="R2624" s="25"/>
      <c r="S2624" s="25"/>
      <c r="T2624" s="10"/>
    </row>
    <row r="2625" s="35" customFormat="1" ht="18.5" customHeight="1" spans="1:20">
      <c r="A2625" s="9"/>
      <c r="B2625" s="25"/>
      <c r="C2625" s="25"/>
      <c r="D2625" s="25"/>
      <c r="E2625" s="25"/>
      <c r="F2625" s="25"/>
      <c r="G2625" s="25"/>
      <c r="H2625" s="25"/>
      <c r="I2625" s="25"/>
      <c r="J2625" s="25"/>
      <c r="K2625" s="25"/>
      <c r="L2625" s="25"/>
      <c r="M2625" s="42" t="s">
        <v>253</v>
      </c>
      <c r="N2625" s="41">
        <v>45247</v>
      </c>
      <c r="O2625" s="25">
        <v>92</v>
      </c>
      <c r="P2625" s="25">
        <v>0</v>
      </c>
      <c r="Q2625" s="25"/>
      <c r="R2625" s="25"/>
      <c r="S2625" s="25"/>
      <c r="T2625" s="10"/>
    </row>
    <row r="2626" s="35" customFormat="1" ht="18.5" customHeight="1" spans="1:20">
      <c r="A2626" s="9"/>
      <c r="B2626" s="25"/>
      <c r="C2626" s="25"/>
      <c r="D2626" s="25"/>
      <c r="E2626" s="25"/>
      <c r="F2626" s="25"/>
      <c r="G2626" s="25"/>
      <c r="H2626" s="25"/>
      <c r="I2626" s="25"/>
      <c r="J2626" s="25"/>
      <c r="K2626" s="25"/>
      <c r="L2626" s="25"/>
      <c r="M2626" s="42" t="s">
        <v>253</v>
      </c>
      <c r="N2626" s="41">
        <v>45247</v>
      </c>
      <c r="O2626" s="25">
        <v>273</v>
      </c>
      <c r="P2626" s="25">
        <v>0</v>
      </c>
      <c r="Q2626" s="25"/>
      <c r="R2626" s="25"/>
      <c r="S2626" s="25"/>
      <c r="T2626" s="10"/>
    </row>
    <row r="2627" s="35" customFormat="1" ht="18.5" customHeight="1" spans="1:20">
      <c r="A2627" s="9"/>
      <c r="B2627" s="25"/>
      <c r="C2627" s="25"/>
      <c r="D2627" s="25"/>
      <c r="E2627" s="25"/>
      <c r="F2627" s="25"/>
      <c r="G2627" s="25"/>
      <c r="H2627" s="25"/>
      <c r="I2627" s="25"/>
      <c r="J2627" s="25"/>
      <c r="K2627" s="25"/>
      <c r="L2627" s="25"/>
      <c r="M2627" s="42" t="s">
        <v>253</v>
      </c>
      <c r="N2627" s="41">
        <v>45246</v>
      </c>
      <c r="O2627" s="25">
        <v>90</v>
      </c>
      <c r="P2627" s="25">
        <v>0</v>
      </c>
      <c r="Q2627" s="25"/>
      <c r="R2627" s="25"/>
      <c r="S2627" s="25"/>
      <c r="T2627" s="10"/>
    </row>
    <row r="2628" s="35" customFormat="1" ht="18.5" customHeight="1" spans="1:20">
      <c r="A2628" s="9"/>
      <c r="B2628" s="25"/>
      <c r="C2628" s="25"/>
      <c r="D2628" s="25"/>
      <c r="E2628" s="25"/>
      <c r="F2628" s="25"/>
      <c r="G2628" s="25"/>
      <c r="H2628" s="25"/>
      <c r="I2628" s="25"/>
      <c r="J2628" s="25"/>
      <c r="K2628" s="25"/>
      <c r="L2628" s="25"/>
      <c r="M2628" s="42" t="s">
        <v>253</v>
      </c>
      <c r="N2628" s="41">
        <v>45246</v>
      </c>
      <c r="O2628" s="25">
        <v>176</v>
      </c>
      <c r="P2628" s="25">
        <v>0</v>
      </c>
      <c r="Q2628" s="25"/>
      <c r="R2628" s="25"/>
      <c r="S2628" s="25"/>
      <c r="T2628" s="10"/>
    </row>
    <row r="2629" s="35" customFormat="1" ht="18.5" customHeight="1" spans="1:20">
      <c r="A2629" s="9"/>
      <c r="B2629" s="25"/>
      <c r="C2629" s="25"/>
      <c r="D2629" s="25"/>
      <c r="E2629" s="25"/>
      <c r="F2629" s="25"/>
      <c r="G2629" s="25"/>
      <c r="H2629" s="25"/>
      <c r="I2629" s="25"/>
      <c r="J2629" s="25"/>
      <c r="K2629" s="25"/>
      <c r="L2629" s="25"/>
      <c r="M2629" s="42" t="s">
        <v>253</v>
      </c>
      <c r="N2629" s="41">
        <v>45246</v>
      </c>
      <c r="O2629" s="25">
        <v>101</v>
      </c>
      <c r="P2629" s="25">
        <v>0</v>
      </c>
      <c r="Q2629" s="25"/>
      <c r="R2629" s="25"/>
      <c r="S2629" s="25"/>
      <c r="T2629" s="10"/>
    </row>
    <row r="2630" s="35" customFormat="1" ht="18.5" customHeight="1" spans="1:20">
      <c r="A2630" s="9"/>
      <c r="B2630" s="25"/>
      <c r="C2630" s="25"/>
      <c r="D2630" s="25"/>
      <c r="E2630" s="25"/>
      <c r="F2630" s="25"/>
      <c r="G2630" s="25"/>
      <c r="H2630" s="25"/>
      <c r="I2630" s="25"/>
      <c r="J2630" s="25"/>
      <c r="K2630" s="25"/>
      <c r="L2630" s="25"/>
      <c r="M2630" s="42" t="s">
        <v>253</v>
      </c>
      <c r="N2630" s="41">
        <v>45246</v>
      </c>
      <c r="O2630" s="25">
        <v>74</v>
      </c>
      <c r="P2630" s="25">
        <v>0</v>
      </c>
      <c r="Q2630" s="25"/>
      <c r="R2630" s="25"/>
      <c r="S2630" s="25"/>
      <c r="T2630" s="10"/>
    </row>
    <row r="2631" s="35" customFormat="1" ht="18.5" customHeight="1" spans="1:20">
      <c r="A2631" s="9"/>
      <c r="B2631" s="25"/>
      <c r="C2631" s="25"/>
      <c r="D2631" s="25"/>
      <c r="E2631" s="25"/>
      <c r="F2631" s="25"/>
      <c r="G2631" s="25"/>
      <c r="H2631" s="25"/>
      <c r="I2631" s="25"/>
      <c r="J2631" s="25"/>
      <c r="K2631" s="25"/>
      <c r="L2631" s="25"/>
      <c r="M2631" s="42" t="s">
        <v>253</v>
      </c>
      <c r="N2631" s="41">
        <v>45246</v>
      </c>
      <c r="O2631" s="25">
        <v>149</v>
      </c>
      <c r="P2631" s="25">
        <v>0</v>
      </c>
      <c r="Q2631" s="25"/>
      <c r="R2631" s="25"/>
      <c r="S2631" s="25"/>
      <c r="T2631" s="10"/>
    </row>
    <row r="2632" s="35" customFormat="1" ht="18.5" customHeight="1" spans="1:20">
      <c r="A2632" s="9"/>
      <c r="B2632" s="25"/>
      <c r="C2632" s="25"/>
      <c r="D2632" s="25"/>
      <c r="E2632" s="25"/>
      <c r="F2632" s="25"/>
      <c r="G2632" s="25"/>
      <c r="H2632" s="25"/>
      <c r="I2632" s="25"/>
      <c r="J2632" s="25"/>
      <c r="K2632" s="25"/>
      <c r="L2632" s="25"/>
      <c r="M2632" s="42" t="s">
        <v>253</v>
      </c>
      <c r="N2632" s="41">
        <v>45246</v>
      </c>
      <c r="O2632" s="25">
        <v>64</v>
      </c>
      <c r="P2632" s="25">
        <v>0</v>
      </c>
      <c r="Q2632" s="25"/>
      <c r="R2632" s="25"/>
      <c r="S2632" s="25"/>
      <c r="T2632" s="10"/>
    </row>
    <row r="2633" s="35" customFormat="1" ht="18.5" customHeight="1" spans="1:20">
      <c r="A2633" s="9"/>
      <c r="B2633" s="25"/>
      <c r="C2633" s="25"/>
      <c r="D2633" s="25"/>
      <c r="E2633" s="25"/>
      <c r="F2633" s="25"/>
      <c r="G2633" s="25"/>
      <c r="H2633" s="25"/>
      <c r="I2633" s="25"/>
      <c r="J2633" s="25"/>
      <c r="K2633" s="25"/>
      <c r="L2633" s="25"/>
      <c r="M2633" s="42" t="s">
        <v>253</v>
      </c>
      <c r="N2633" s="41">
        <v>45246</v>
      </c>
      <c r="O2633" s="25">
        <v>63</v>
      </c>
      <c r="P2633" s="25">
        <v>0</v>
      </c>
      <c r="Q2633" s="25"/>
      <c r="R2633" s="25"/>
      <c r="S2633" s="25"/>
      <c r="T2633" s="10"/>
    </row>
    <row r="2634" s="35" customFormat="1" ht="18.5" customHeight="1" spans="1:20">
      <c r="A2634" s="9"/>
      <c r="B2634" s="25"/>
      <c r="C2634" s="25"/>
      <c r="D2634" s="25"/>
      <c r="E2634" s="25"/>
      <c r="F2634" s="25"/>
      <c r="G2634" s="25"/>
      <c r="H2634" s="25"/>
      <c r="I2634" s="25"/>
      <c r="J2634" s="25"/>
      <c r="K2634" s="25"/>
      <c r="L2634" s="25"/>
      <c r="M2634" s="42" t="s">
        <v>253</v>
      </c>
      <c r="N2634" s="41">
        <v>45246</v>
      </c>
      <c r="O2634" s="25">
        <v>100</v>
      </c>
      <c r="P2634" s="25">
        <v>0</v>
      </c>
      <c r="Q2634" s="25"/>
      <c r="R2634" s="25"/>
      <c r="S2634" s="25"/>
      <c r="T2634" s="10"/>
    </row>
    <row r="2635" s="35" customFormat="1" ht="18.5" customHeight="1" spans="1:20">
      <c r="A2635" s="9"/>
      <c r="B2635" s="25"/>
      <c r="C2635" s="25"/>
      <c r="D2635" s="25"/>
      <c r="E2635" s="25"/>
      <c r="F2635" s="25"/>
      <c r="G2635" s="25"/>
      <c r="H2635" s="25"/>
      <c r="I2635" s="25"/>
      <c r="J2635" s="25"/>
      <c r="K2635" s="25"/>
      <c r="L2635" s="25"/>
      <c r="M2635" s="42" t="s">
        <v>253</v>
      </c>
      <c r="N2635" s="41">
        <v>45246</v>
      </c>
      <c r="O2635" s="25">
        <v>83</v>
      </c>
      <c r="P2635" s="25">
        <v>0</v>
      </c>
      <c r="Q2635" s="25"/>
      <c r="R2635" s="25"/>
      <c r="S2635" s="25"/>
      <c r="T2635" s="10"/>
    </row>
    <row r="2636" s="35" customFormat="1" ht="18.5" customHeight="1" spans="1:20">
      <c r="A2636" s="9"/>
      <c r="B2636" s="25"/>
      <c r="C2636" s="25"/>
      <c r="D2636" s="25"/>
      <c r="E2636" s="25"/>
      <c r="F2636" s="25"/>
      <c r="G2636" s="25"/>
      <c r="H2636" s="25"/>
      <c r="I2636" s="25"/>
      <c r="J2636" s="25"/>
      <c r="K2636" s="25"/>
      <c r="L2636" s="25"/>
      <c r="M2636" s="42" t="s">
        <v>253</v>
      </c>
      <c r="N2636" s="41">
        <v>45246</v>
      </c>
      <c r="O2636" s="25">
        <v>3954</v>
      </c>
      <c r="P2636" s="25">
        <v>0</v>
      </c>
      <c r="Q2636" s="25"/>
      <c r="R2636" s="25"/>
      <c r="S2636" s="25"/>
      <c r="T2636" s="10"/>
    </row>
    <row r="2637" s="35" customFormat="1" ht="18.5" customHeight="1" spans="1:20">
      <c r="A2637" s="9"/>
      <c r="B2637" s="25"/>
      <c r="C2637" s="25"/>
      <c r="D2637" s="25"/>
      <c r="E2637" s="25"/>
      <c r="F2637" s="25"/>
      <c r="G2637" s="25"/>
      <c r="H2637" s="25"/>
      <c r="I2637" s="25"/>
      <c r="J2637" s="25"/>
      <c r="K2637" s="25"/>
      <c r="L2637" s="25"/>
      <c r="M2637" s="42" t="s">
        <v>253</v>
      </c>
      <c r="N2637" s="41">
        <v>45246</v>
      </c>
      <c r="O2637" s="25">
        <v>96</v>
      </c>
      <c r="P2637" s="25">
        <v>0</v>
      </c>
      <c r="Q2637" s="25"/>
      <c r="R2637" s="25"/>
      <c r="S2637" s="25"/>
      <c r="T2637" s="10"/>
    </row>
    <row r="2638" s="35" customFormat="1" ht="18.5" customHeight="1" spans="1:20">
      <c r="A2638" s="9"/>
      <c r="B2638" s="25"/>
      <c r="C2638" s="25"/>
      <c r="D2638" s="25"/>
      <c r="E2638" s="25"/>
      <c r="F2638" s="25"/>
      <c r="G2638" s="25"/>
      <c r="H2638" s="25"/>
      <c r="I2638" s="25"/>
      <c r="J2638" s="25"/>
      <c r="K2638" s="25"/>
      <c r="L2638" s="25"/>
      <c r="M2638" s="42" t="s">
        <v>253</v>
      </c>
      <c r="N2638" s="41">
        <v>45246</v>
      </c>
      <c r="O2638" s="25">
        <v>77</v>
      </c>
      <c r="P2638" s="25">
        <v>0</v>
      </c>
      <c r="Q2638" s="25"/>
      <c r="R2638" s="25"/>
      <c r="S2638" s="25"/>
      <c r="T2638" s="10"/>
    </row>
    <row r="2639" s="35" customFormat="1" ht="18.5" customHeight="1" spans="1:20">
      <c r="A2639" s="9"/>
      <c r="B2639" s="25"/>
      <c r="C2639" s="25"/>
      <c r="D2639" s="25"/>
      <c r="E2639" s="25"/>
      <c r="F2639" s="25"/>
      <c r="G2639" s="25"/>
      <c r="H2639" s="25"/>
      <c r="I2639" s="25"/>
      <c r="J2639" s="25"/>
      <c r="K2639" s="25"/>
      <c r="L2639" s="25"/>
      <c r="M2639" s="42" t="s">
        <v>253</v>
      </c>
      <c r="N2639" s="41">
        <v>45246</v>
      </c>
      <c r="O2639" s="25">
        <v>63</v>
      </c>
      <c r="P2639" s="25">
        <v>0</v>
      </c>
      <c r="Q2639" s="25"/>
      <c r="R2639" s="25"/>
      <c r="S2639" s="25"/>
      <c r="T2639" s="10"/>
    </row>
    <row r="2640" s="35" customFormat="1" ht="18.5" customHeight="1" spans="1:20">
      <c r="A2640" s="9"/>
      <c r="B2640" s="25"/>
      <c r="C2640" s="25"/>
      <c r="D2640" s="25"/>
      <c r="E2640" s="25"/>
      <c r="F2640" s="25"/>
      <c r="G2640" s="25"/>
      <c r="H2640" s="25"/>
      <c r="I2640" s="25"/>
      <c r="J2640" s="25"/>
      <c r="K2640" s="25"/>
      <c r="L2640" s="25"/>
      <c r="M2640" s="42" t="s">
        <v>253</v>
      </c>
      <c r="N2640" s="41">
        <v>45246</v>
      </c>
      <c r="O2640" s="25">
        <v>135</v>
      </c>
      <c r="P2640" s="25">
        <v>0</v>
      </c>
      <c r="Q2640" s="25"/>
      <c r="R2640" s="25"/>
      <c r="S2640" s="25"/>
      <c r="T2640" s="10"/>
    </row>
    <row r="2641" s="35" customFormat="1" ht="18.5" customHeight="1" spans="1:20">
      <c r="A2641" s="9"/>
      <c r="B2641" s="25"/>
      <c r="C2641" s="25"/>
      <c r="D2641" s="25"/>
      <c r="E2641" s="25"/>
      <c r="F2641" s="25"/>
      <c r="G2641" s="25"/>
      <c r="H2641" s="25"/>
      <c r="I2641" s="25"/>
      <c r="J2641" s="25"/>
      <c r="K2641" s="25"/>
      <c r="L2641" s="25"/>
      <c r="M2641" s="42" t="s">
        <v>253</v>
      </c>
      <c r="N2641" s="41">
        <v>45245</v>
      </c>
      <c r="O2641" s="25">
        <v>91</v>
      </c>
      <c r="P2641" s="25">
        <v>0</v>
      </c>
      <c r="Q2641" s="25"/>
      <c r="R2641" s="25"/>
      <c r="S2641" s="25"/>
      <c r="T2641" s="10"/>
    </row>
    <row r="2642" s="35" customFormat="1" ht="18.5" customHeight="1" spans="1:20">
      <c r="A2642" s="9"/>
      <c r="B2642" s="25"/>
      <c r="C2642" s="25"/>
      <c r="D2642" s="25"/>
      <c r="E2642" s="25"/>
      <c r="F2642" s="25"/>
      <c r="G2642" s="25"/>
      <c r="H2642" s="25"/>
      <c r="I2642" s="25"/>
      <c r="J2642" s="25"/>
      <c r="K2642" s="25"/>
      <c r="L2642" s="25"/>
      <c r="M2642" s="42" t="s">
        <v>253</v>
      </c>
      <c r="N2642" s="41">
        <v>45245</v>
      </c>
      <c r="O2642" s="25">
        <v>64</v>
      </c>
      <c r="P2642" s="25">
        <v>0</v>
      </c>
      <c r="Q2642" s="25"/>
      <c r="R2642" s="25"/>
      <c r="S2642" s="25"/>
      <c r="T2642" s="10"/>
    </row>
    <row r="2643" s="35" customFormat="1" ht="18.5" customHeight="1" spans="1:20">
      <c r="A2643" s="9"/>
      <c r="B2643" s="25"/>
      <c r="C2643" s="25"/>
      <c r="D2643" s="25"/>
      <c r="E2643" s="25"/>
      <c r="F2643" s="25"/>
      <c r="G2643" s="25"/>
      <c r="H2643" s="25"/>
      <c r="I2643" s="25"/>
      <c r="J2643" s="25"/>
      <c r="K2643" s="25"/>
      <c r="L2643" s="25"/>
      <c r="M2643" s="42" t="s">
        <v>253</v>
      </c>
      <c r="N2643" s="41">
        <v>45245</v>
      </c>
      <c r="O2643" s="25">
        <v>191</v>
      </c>
      <c r="P2643" s="25">
        <v>0</v>
      </c>
      <c r="Q2643" s="25"/>
      <c r="R2643" s="25"/>
      <c r="S2643" s="25"/>
      <c r="T2643" s="10"/>
    </row>
    <row r="2644" s="35" customFormat="1" ht="18.5" customHeight="1" spans="1:20">
      <c r="A2644" s="9"/>
      <c r="B2644" s="25"/>
      <c r="C2644" s="25"/>
      <c r="D2644" s="25"/>
      <c r="E2644" s="25"/>
      <c r="F2644" s="25"/>
      <c r="G2644" s="25"/>
      <c r="H2644" s="25"/>
      <c r="I2644" s="25"/>
      <c r="J2644" s="25"/>
      <c r="K2644" s="25"/>
      <c r="L2644" s="25"/>
      <c r="M2644" s="42" t="s">
        <v>253</v>
      </c>
      <c r="N2644" s="41">
        <v>45245</v>
      </c>
      <c r="O2644" s="25">
        <v>112</v>
      </c>
      <c r="P2644" s="25">
        <v>0</v>
      </c>
      <c r="Q2644" s="25"/>
      <c r="R2644" s="25"/>
      <c r="S2644" s="25"/>
      <c r="T2644" s="10"/>
    </row>
    <row r="2645" s="35" customFormat="1" ht="18.5" customHeight="1" spans="1:20">
      <c r="A2645" s="9"/>
      <c r="B2645" s="25"/>
      <c r="C2645" s="25"/>
      <c r="D2645" s="25"/>
      <c r="E2645" s="25"/>
      <c r="F2645" s="25"/>
      <c r="G2645" s="25"/>
      <c r="H2645" s="25"/>
      <c r="I2645" s="25"/>
      <c r="J2645" s="25"/>
      <c r="K2645" s="25"/>
      <c r="L2645" s="25"/>
      <c r="M2645" s="42" t="s">
        <v>253</v>
      </c>
      <c r="N2645" s="41">
        <v>45245</v>
      </c>
      <c r="O2645" s="25">
        <v>167</v>
      </c>
      <c r="P2645" s="25">
        <v>0</v>
      </c>
      <c r="Q2645" s="25"/>
      <c r="R2645" s="25"/>
      <c r="S2645" s="25"/>
      <c r="T2645" s="10"/>
    </row>
    <row r="2646" s="35" customFormat="1" ht="18.5" customHeight="1" spans="1:20">
      <c r="A2646" s="9"/>
      <c r="B2646" s="25"/>
      <c r="C2646" s="25"/>
      <c r="D2646" s="25"/>
      <c r="E2646" s="25"/>
      <c r="F2646" s="25"/>
      <c r="G2646" s="25"/>
      <c r="H2646" s="25"/>
      <c r="I2646" s="25"/>
      <c r="J2646" s="25"/>
      <c r="K2646" s="25"/>
      <c r="L2646" s="25"/>
      <c r="M2646" s="42" t="s">
        <v>253</v>
      </c>
      <c r="N2646" s="41">
        <v>45245</v>
      </c>
      <c r="O2646" s="25">
        <v>82</v>
      </c>
      <c r="P2646" s="25">
        <v>0</v>
      </c>
      <c r="Q2646" s="25"/>
      <c r="R2646" s="25"/>
      <c r="S2646" s="25"/>
      <c r="T2646" s="10"/>
    </row>
    <row r="2647" s="35" customFormat="1" ht="18.5" customHeight="1" spans="1:20">
      <c r="A2647" s="9"/>
      <c r="B2647" s="25"/>
      <c r="C2647" s="25"/>
      <c r="D2647" s="25"/>
      <c r="E2647" s="25"/>
      <c r="F2647" s="25"/>
      <c r="G2647" s="25"/>
      <c r="H2647" s="25"/>
      <c r="I2647" s="25"/>
      <c r="J2647" s="25"/>
      <c r="K2647" s="25"/>
      <c r="L2647" s="25"/>
      <c r="M2647" s="42" t="s">
        <v>253</v>
      </c>
      <c r="N2647" s="41">
        <v>45245</v>
      </c>
      <c r="O2647" s="25">
        <v>98</v>
      </c>
      <c r="P2647" s="25">
        <v>0</v>
      </c>
      <c r="Q2647" s="25"/>
      <c r="R2647" s="25"/>
      <c r="S2647" s="25"/>
      <c r="T2647" s="10"/>
    </row>
    <row r="2648" s="35" customFormat="1" ht="18.5" customHeight="1" spans="1:20">
      <c r="A2648" s="9"/>
      <c r="B2648" s="25"/>
      <c r="C2648" s="25"/>
      <c r="D2648" s="25"/>
      <c r="E2648" s="25"/>
      <c r="F2648" s="25"/>
      <c r="G2648" s="25"/>
      <c r="H2648" s="25"/>
      <c r="I2648" s="25"/>
      <c r="J2648" s="25"/>
      <c r="K2648" s="25"/>
      <c r="L2648" s="25"/>
      <c r="M2648" s="42" t="s">
        <v>253</v>
      </c>
      <c r="N2648" s="41">
        <v>45245</v>
      </c>
      <c r="O2648" s="25">
        <v>105</v>
      </c>
      <c r="P2648" s="25">
        <v>0</v>
      </c>
      <c r="Q2648" s="25"/>
      <c r="R2648" s="25"/>
      <c r="S2648" s="25"/>
      <c r="T2648" s="10"/>
    </row>
    <row r="2649" s="35" customFormat="1" ht="18.5" customHeight="1" spans="1:20">
      <c r="A2649" s="9"/>
      <c r="B2649" s="25"/>
      <c r="C2649" s="25"/>
      <c r="D2649" s="25"/>
      <c r="E2649" s="25"/>
      <c r="F2649" s="25"/>
      <c r="G2649" s="25"/>
      <c r="H2649" s="25"/>
      <c r="I2649" s="25"/>
      <c r="J2649" s="25"/>
      <c r="K2649" s="25"/>
      <c r="L2649" s="25"/>
      <c r="M2649" s="42" t="s">
        <v>253</v>
      </c>
      <c r="N2649" s="41">
        <v>45245</v>
      </c>
      <c r="O2649" s="25">
        <v>74</v>
      </c>
      <c r="P2649" s="25">
        <v>0</v>
      </c>
      <c r="Q2649" s="25"/>
      <c r="R2649" s="25"/>
      <c r="S2649" s="25"/>
      <c r="T2649" s="10"/>
    </row>
    <row r="2650" s="35" customFormat="1" ht="18.5" customHeight="1" spans="1:20">
      <c r="A2650" s="9"/>
      <c r="B2650" s="25"/>
      <c r="C2650" s="25"/>
      <c r="D2650" s="25"/>
      <c r="E2650" s="25"/>
      <c r="F2650" s="25"/>
      <c r="G2650" s="25"/>
      <c r="H2650" s="25"/>
      <c r="I2650" s="25"/>
      <c r="J2650" s="25"/>
      <c r="K2650" s="25"/>
      <c r="L2650" s="25"/>
      <c r="M2650" s="42" t="s">
        <v>253</v>
      </c>
      <c r="N2650" s="41">
        <v>45245</v>
      </c>
      <c r="O2650" s="25">
        <v>78</v>
      </c>
      <c r="P2650" s="25">
        <v>0</v>
      </c>
      <c r="Q2650" s="25"/>
      <c r="R2650" s="25"/>
      <c r="S2650" s="25"/>
      <c r="T2650" s="10"/>
    </row>
    <row r="2651" s="35" customFormat="1" ht="18.5" customHeight="1" spans="1:20">
      <c r="A2651" s="9"/>
      <c r="B2651" s="25"/>
      <c r="C2651" s="25"/>
      <c r="D2651" s="25"/>
      <c r="E2651" s="25"/>
      <c r="F2651" s="25"/>
      <c r="G2651" s="25"/>
      <c r="H2651" s="25"/>
      <c r="I2651" s="25"/>
      <c r="J2651" s="25"/>
      <c r="K2651" s="25"/>
      <c r="L2651" s="25"/>
      <c r="M2651" s="42" t="s">
        <v>253</v>
      </c>
      <c r="N2651" s="41">
        <v>45245</v>
      </c>
      <c r="O2651" s="25">
        <v>87</v>
      </c>
      <c r="P2651" s="25">
        <v>0</v>
      </c>
      <c r="Q2651" s="25"/>
      <c r="R2651" s="25"/>
      <c r="S2651" s="25"/>
      <c r="T2651" s="10"/>
    </row>
    <row r="2652" s="35" customFormat="1" ht="18.5" customHeight="1" spans="1:20">
      <c r="A2652" s="9"/>
      <c r="B2652" s="25"/>
      <c r="C2652" s="25"/>
      <c r="D2652" s="25"/>
      <c r="E2652" s="25"/>
      <c r="F2652" s="25"/>
      <c r="G2652" s="25"/>
      <c r="H2652" s="25"/>
      <c r="I2652" s="25"/>
      <c r="J2652" s="25"/>
      <c r="K2652" s="25"/>
      <c r="L2652" s="25"/>
      <c r="M2652" s="42" t="s">
        <v>253</v>
      </c>
      <c r="N2652" s="41">
        <v>45245</v>
      </c>
      <c r="O2652" s="25">
        <v>69</v>
      </c>
      <c r="P2652" s="25">
        <v>0</v>
      </c>
      <c r="Q2652" s="25"/>
      <c r="R2652" s="25"/>
      <c r="S2652" s="25"/>
      <c r="T2652" s="10"/>
    </row>
    <row r="2653" s="35" customFormat="1" ht="18.5" customHeight="1" spans="1:20">
      <c r="A2653" s="9"/>
      <c r="B2653" s="25"/>
      <c r="C2653" s="25"/>
      <c r="D2653" s="25"/>
      <c r="E2653" s="25"/>
      <c r="F2653" s="25"/>
      <c r="G2653" s="25"/>
      <c r="H2653" s="25"/>
      <c r="I2653" s="25"/>
      <c r="J2653" s="25"/>
      <c r="K2653" s="25"/>
      <c r="L2653" s="25"/>
      <c r="M2653" s="42" t="s">
        <v>253</v>
      </c>
      <c r="N2653" s="41">
        <v>45244</v>
      </c>
      <c r="O2653" s="25">
        <v>74</v>
      </c>
      <c r="P2653" s="25">
        <v>0</v>
      </c>
      <c r="Q2653" s="25"/>
      <c r="R2653" s="25"/>
      <c r="S2653" s="25"/>
      <c r="T2653" s="10"/>
    </row>
    <row r="2654" s="35" customFormat="1" ht="18.5" customHeight="1" spans="1:20">
      <c r="A2654" s="9"/>
      <c r="B2654" s="25"/>
      <c r="C2654" s="25"/>
      <c r="D2654" s="25"/>
      <c r="E2654" s="25"/>
      <c r="F2654" s="25"/>
      <c r="G2654" s="25"/>
      <c r="H2654" s="25"/>
      <c r="I2654" s="25"/>
      <c r="J2654" s="25"/>
      <c r="K2654" s="25"/>
      <c r="L2654" s="25"/>
      <c r="M2654" s="42" t="s">
        <v>253</v>
      </c>
      <c r="N2654" s="41">
        <v>45241</v>
      </c>
      <c r="O2654" s="25">
        <v>105</v>
      </c>
      <c r="P2654" s="25">
        <v>0</v>
      </c>
      <c r="Q2654" s="25"/>
      <c r="R2654" s="25"/>
      <c r="S2654" s="25"/>
      <c r="T2654" s="10"/>
    </row>
    <row r="2655" s="35" customFormat="1" ht="18.5" customHeight="1" spans="1:20">
      <c r="A2655" s="9"/>
      <c r="B2655" s="25"/>
      <c r="C2655" s="25"/>
      <c r="D2655" s="25"/>
      <c r="E2655" s="25"/>
      <c r="F2655" s="25"/>
      <c r="G2655" s="25"/>
      <c r="H2655" s="25"/>
      <c r="I2655" s="25"/>
      <c r="J2655" s="25"/>
      <c r="K2655" s="25"/>
      <c r="L2655" s="25"/>
      <c r="M2655" s="42" t="s">
        <v>253</v>
      </c>
      <c r="N2655" s="41">
        <v>45244</v>
      </c>
      <c r="O2655" s="25">
        <v>125</v>
      </c>
      <c r="P2655" s="25">
        <v>0</v>
      </c>
      <c r="Q2655" s="25"/>
      <c r="R2655" s="25"/>
      <c r="S2655" s="25"/>
      <c r="T2655" s="10"/>
    </row>
    <row r="2656" s="35" customFormat="1" ht="18.5" customHeight="1" spans="1:20">
      <c r="A2656" s="9"/>
      <c r="B2656" s="25"/>
      <c r="C2656" s="25"/>
      <c r="D2656" s="25"/>
      <c r="E2656" s="25"/>
      <c r="F2656" s="25"/>
      <c r="G2656" s="25"/>
      <c r="H2656" s="25"/>
      <c r="I2656" s="25"/>
      <c r="J2656" s="25"/>
      <c r="K2656" s="25"/>
      <c r="L2656" s="25"/>
      <c r="M2656" s="42" t="s">
        <v>253</v>
      </c>
      <c r="N2656" s="41">
        <v>45244</v>
      </c>
      <c r="O2656" s="25">
        <v>65</v>
      </c>
      <c r="P2656" s="25">
        <v>0</v>
      </c>
      <c r="Q2656" s="25"/>
      <c r="R2656" s="25"/>
      <c r="S2656" s="25"/>
      <c r="T2656" s="10"/>
    </row>
    <row r="2657" s="35" customFormat="1" ht="18.5" customHeight="1" spans="1:20">
      <c r="A2657" s="9"/>
      <c r="B2657" s="25"/>
      <c r="C2657" s="25"/>
      <c r="D2657" s="25"/>
      <c r="E2657" s="25"/>
      <c r="F2657" s="25"/>
      <c r="G2657" s="25"/>
      <c r="H2657" s="25"/>
      <c r="I2657" s="25"/>
      <c r="J2657" s="25"/>
      <c r="K2657" s="25"/>
      <c r="L2657" s="25"/>
      <c r="M2657" s="42" t="s">
        <v>253</v>
      </c>
      <c r="N2657" s="41">
        <v>45244</v>
      </c>
      <c r="O2657" s="25">
        <v>91</v>
      </c>
      <c r="P2657" s="25">
        <v>0</v>
      </c>
      <c r="Q2657" s="25"/>
      <c r="R2657" s="25"/>
      <c r="S2657" s="25"/>
      <c r="T2657" s="10"/>
    </row>
    <row r="2658" s="35" customFormat="1" ht="18.5" customHeight="1" spans="1:20">
      <c r="A2658" s="9"/>
      <c r="B2658" s="25"/>
      <c r="C2658" s="25"/>
      <c r="D2658" s="25"/>
      <c r="E2658" s="25"/>
      <c r="F2658" s="25"/>
      <c r="G2658" s="25"/>
      <c r="H2658" s="25"/>
      <c r="I2658" s="25"/>
      <c r="J2658" s="25"/>
      <c r="K2658" s="25"/>
      <c r="L2658" s="25"/>
      <c r="M2658" s="42" t="s">
        <v>253</v>
      </c>
      <c r="N2658" s="41">
        <v>45244</v>
      </c>
      <c r="O2658" s="25">
        <v>166</v>
      </c>
      <c r="P2658" s="25">
        <v>0</v>
      </c>
      <c r="Q2658" s="25"/>
      <c r="R2658" s="25"/>
      <c r="S2658" s="25"/>
      <c r="T2658" s="10"/>
    </row>
    <row r="2659" s="35" customFormat="1" ht="18.5" customHeight="1" spans="1:20">
      <c r="A2659" s="9"/>
      <c r="B2659" s="25"/>
      <c r="C2659" s="25"/>
      <c r="D2659" s="25"/>
      <c r="E2659" s="25"/>
      <c r="F2659" s="25"/>
      <c r="G2659" s="25"/>
      <c r="H2659" s="25"/>
      <c r="I2659" s="25"/>
      <c r="J2659" s="25"/>
      <c r="K2659" s="25"/>
      <c r="L2659" s="25"/>
      <c r="M2659" s="42" t="s">
        <v>253</v>
      </c>
      <c r="N2659" s="41">
        <v>45244</v>
      </c>
      <c r="O2659" s="25">
        <v>55</v>
      </c>
      <c r="P2659" s="25">
        <v>0</v>
      </c>
      <c r="Q2659" s="25"/>
      <c r="R2659" s="25"/>
      <c r="S2659" s="25"/>
      <c r="T2659" s="10"/>
    </row>
    <row r="2660" s="35" customFormat="1" ht="18.5" customHeight="1" spans="1:20">
      <c r="A2660" s="9"/>
      <c r="B2660" s="25"/>
      <c r="C2660" s="25"/>
      <c r="D2660" s="25"/>
      <c r="E2660" s="25"/>
      <c r="F2660" s="25"/>
      <c r="G2660" s="25"/>
      <c r="H2660" s="25"/>
      <c r="I2660" s="25"/>
      <c r="J2660" s="25"/>
      <c r="K2660" s="25"/>
      <c r="L2660" s="25"/>
      <c r="M2660" s="42" t="s">
        <v>253</v>
      </c>
      <c r="N2660" s="41">
        <v>45244</v>
      </c>
      <c r="O2660" s="25">
        <v>75</v>
      </c>
      <c r="P2660" s="25">
        <v>0</v>
      </c>
      <c r="Q2660" s="25"/>
      <c r="R2660" s="25"/>
      <c r="S2660" s="25"/>
      <c r="T2660" s="10"/>
    </row>
    <row r="2661" s="35" customFormat="1" ht="18.5" customHeight="1" spans="1:20">
      <c r="A2661" s="9"/>
      <c r="B2661" s="25"/>
      <c r="C2661" s="25"/>
      <c r="D2661" s="25"/>
      <c r="E2661" s="25"/>
      <c r="F2661" s="25"/>
      <c r="G2661" s="25"/>
      <c r="H2661" s="25"/>
      <c r="I2661" s="25"/>
      <c r="J2661" s="25"/>
      <c r="K2661" s="25"/>
      <c r="L2661" s="25"/>
      <c r="M2661" s="42" t="s">
        <v>253</v>
      </c>
      <c r="N2661" s="41">
        <v>45244</v>
      </c>
      <c r="O2661" s="25">
        <v>112</v>
      </c>
      <c r="P2661" s="25">
        <v>0</v>
      </c>
      <c r="Q2661" s="25"/>
      <c r="R2661" s="25"/>
      <c r="S2661" s="25"/>
      <c r="T2661" s="10"/>
    </row>
    <row r="2662" s="35" customFormat="1" ht="18.5" customHeight="1" spans="1:20">
      <c r="A2662" s="9"/>
      <c r="B2662" s="25"/>
      <c r="C2662" s="25"/>
      <c r="D2662" s="25"/>
      <c r="E2662" s="25"/>
      <c r="F2662" s="25"/>
      <c r="G2662" s="25"/>
      <c r="H2662" s="25"/>
      <c r="I2662" s="25"/>
      <c r="J2662" s="25"/>
      <c r="K2662" s="25"/>
      <c r="L2662" s="25"/>
      <c r="M2662" s="42" t="s">
        <v>253</v>
      </c>
      <c r="N2662" s="41">
        <v>45244</v>
      </c>
      <c r="O2662" s="25">
        <v>61</v>
      </c>
      <c r="P2662" s="25">
        <v>0</v>
      </c>
      <c r="Q2662" s="25"/>
      <c r="R2662" s="25"/>
      <c r="S2662" s="25"/>
      <c r="T2662" s="10"/>
    </row>
    <row r="2663" s="35" customFormat="1" ht="18.5" customHeight="1" spans="1:20">
      <c r="A2663" s="9"/>
      <c r="B2663" s="25"/>
      <c r="C2663" s="25"/>
      <c r="D2663" s="25"/>
      <c r="E2663" s="25"/>
      <c r="F2663" s="25"/>
      <c r="G2663" s="25"/>
      <c r="H2663" s="25"/>
      <c r="I2663" s="25"/>
      <c r="J2663" s="25"/>
      <c r="K2663" s="25"/>
      <c r="L2663" s="25"/>
      <c r="M2663" s="42" t="s">
        <v>253</v>
      </c>
      <c r="N2663" s="41">
        <v>45244</v>
      </c>
      <c r="O2663" s="25">
        <v>61</v>
      </c>
      <c r="P2663" s="25">
        <v>0</v>
      </c>
      <c r="Q2663" s="25"/>
      <c r="R2663" s="25"/>
      <c r="S2663" s="25"/>
      <c r="T2663" s="10"/>
    </row>
    <row r="2664" s="35" customFormat="1" ht="18.5" customHeight="1" spans="1:20">
      <c r="A2664" s="9"/>
      <c r="B2664" s="25"/>
      <c r="C2664" s="25"/>
      <c r="D2664" s="25"/>
      <c r="E2664" s="25"/>
      <c r="F2664" s="25"/>
      <c r="G2664" s="25"/>
      <c r="H2664" s="25"/>
      <c r="I2664" s="25"/>
      <c r="J2664" s="25"/>
      <c r="K2664" s="25"/>
      <c r="L2664" s="25"/>
      <c r="M2664" s="42" t="s">
        <v>253</v>
      </c>
      <c r="N2664" s="41">
        <v>45243</v>
      </c>
      <c r="O2664" s="25">
        <v>229</v>
      </c>
      <c r="P2664" s="25">
        <v>0</v>
      </c>
      <c r="Q2664" s="25"/>
      <c r="R2664" s="25"/>
      <c r="S2664" s="25"/>
      <c r="T2664" s="10"/>
    </row>
    <row r="2665" s="35" customFormat="1" ht="18.5" customHeight="1" spans="1:20">
      <c r="A2665" s="9"/>
      <c r="B2665" s="25"/>
      <c r="C2665" s="25"/>
      <c r="D2665" s="25"/>
      <c r="E2665" s="25"/>
      <c r="F2665" s="25"/>
      <c r="G2665" s="25"/>
      <c r="H2665" s="25"/>
      <c r="I2665" s="25"/>
      <c r="J2665" s="25"/>
      <c r="K2665" s="25"/>
      <c r="L2665" s="25"/>
      <c r="M2665" s="42" t="s">
        <v>253</v>
      </c>
      <c r="N2665" s="41">
        <v>45243</v>
      </c>
      <c r="O2665" s="25">
        <v>60</v>
      </c>
      <c r="P2665" s="25">
        <v>0</v>
      </c>
      <c r="Q2665" s="25"/>
      <c r="R2665" s="25"/>
      <c r="S2665" s="25"/>
      <c r="T2665" s="10"/>
    </row>
    <row r="2666" s="35" customFormat="1" ht="18.5" customHeight="1" spans="1:20">
      <c r="A2666" s="9"/>
      <c r="B2666" s="25"/>
      <c r="C2666" s="25"/>
      <c r="D2666" s="25"/>
      <c r="E2666" s="25"/>
      <c r="F2666" s="25"/>
      <c r="G2666" s="25"/>
      <c r="H2666" s="25"/>
      <c r="I2666" s="25"/>
      <c r="J2666" s="25"/>
      <c r="K2666" s="25"/>
      <c r="L2666" s="25"/>
      <c r="M2666" s="42" t="s">
        <v>253</v>
      </c>
      <c r="N2666" s="41">
        <v>45243</v>
      </c>
      <c r="O2666" s="25">
        <v>71</v>
      </c>
      <c r="P2666" s="25">
        <v>0</v>
      </c>
      <c r="Q2666" s="25"/>
      <c r="R2666" s="25"/>
      <c r="S2666" s="25"/>
      <c r="T2666" s="10"/>
    </row>
    <row r="2667" s="35" customFormat="1" ht="18.5" customHeight="1" spans="1:20">
      <c r="A2667" s="9"/>
      <c r="B2667" s="25"/>
      <c r="C2667" s="25"/>
      <c r="D2667" s="25"/>
      <c r="E2667" s="25"/>
      <c r="F2667" s="25"/>
      <c r="G2667" s="25"/>
      <c r="H2667" s="25"/>
      <c r="I2667" s="25"/>
      <c r="J2667" s="25"/>
      <c r="K2667" s="25"/>
      <c r="L2667" s="25"/>
      <c r="M2667" s="42" t="s">
        <v>253</v>
      </c>
      <c r="N2667" s="41">
        <v>45243</v>
      </c>
      <c r="O2667" s="25">
        <v>172</v>
      </c>
      <c r="P2667" s="25">
        <v>0</v>
      </c>
      <c r="Q2667" s="25"/>
      <c r="R2667" s="25"/>
      <c r="S2667" s="25"/>
      <c r="T2667" s="10"/>
    </row>
    <row r="2668" s="35" customFormat="1" ht="18.5" customHeight="1" spans="1:20">
      <c r="A2668" s="9"/>
      <c r="B2668" s="25"/>
      <c r="C2668" s="25"/>
      <c r="D2668" s="25"/>
      <c r="E2668" s="25"/>
      <c r="F2668" s="25"/>
      <c r="G2668" s="25"/>
      <c r="H2668" s="25"/>
      <c r="I2668" s="25"/>
      <c r="J2668" s="25"/>
      <c r="K2668" s="25"/>
      <c r="L2668" s="25"/>
      <c r="M2668" s="42" t="s">
        <v>253</v>
      </c>
      <c r="N2668" s="41">
        <v>45243</v>
      </c>
      <c r="O2668" s="25">
        <v>86</v>
      </c>
      <c r="P2668" s="25">
        <v>0</v>
      </c>
      <c r="Q2668" s="25"/>
      <c r="R2668" s="25"/>
      <c r="S2668" s="25"/>
      <c r="T2668" s="10"/>
    </row>
    <row r="2669" s="35" customFormat="1" ht="18.5" customHeight="1" spans="1:20">
      <c r="A2669" s="9"/>
      <c r="B2669" s="25"/>
      <c r="C2669" s="25"/>
      <c r="D2669" s="25"/>
      <c r="E2669" s="25"/>
      <c r="F2669" s="25"/>
      <c r="G2669" s="25"/>
      <c r="H2669" s="25"/>
      <c r="I2669" s="25"/>
      <c r="J2669" s="25"/>
      <c r="K2669" s="25"/>
      <c r="L2669" s="25"/>
      <c r="M2669" s="42" t="s">
        <v>253</v>
      </c>
      <c r="N2669" s="41">
        <v>45243</v>
      </c>
      <c r="O2669" s="25">
        <v>285</v>
      </c>
      <c r="P2669" s="25">
        <v>0</v>
      </c>
      <c r="Q2669" s="25"/>
      <c r="R2669" s="25"/>
      <c r="S2669" s="25"/>
      <c r="T2669" s="10"/>
    </row>
    <row r="2670" s="35" customFormat="1" ht="18.5" customHeight="1" spans="1:20">
      <c r="A2670" s="9"/>
      <c r="B2670" s="25"/>
      <c r="C2670" s="25"/>
      <c r="D2670" s="25"/>
      <c r="E2670" s="25"/>
      <c r="F2670" s="25"/>
      <c r="G2670" s="25"/>
      <c r="H2670" s="25"/>
      <c r="I2670" s="25"/>
      <c r="J2670" s="25"/>
      <c r="K2670" s="25"/>
      <c r="L2670" s="25"/>
      <c r="M2670" s="42" t="s">
        <v>253</v>
      </c>
      <c r="N2670" s="41">
        <v>45243</v>
      </c>
      <c r="O2670" s="25">
        <v>85</v>
      </c>
      <c r="P2670" s="25">
        <v>0</v>
      </c>
      <c r="Q2670" s="25"/>
      <c r="R2670" s="25"/>
      <c r="S2670" s="25"/>
      <c r="T2670" s="10"/>
    </row>
    <row r="2671" s="35" customFormat="1" ht="18.5" customHeight="1" spans="1:20">
      <c r="A2671" s="9"/>
      <c r="B2671" s="25"/>
      <c r="C2671" s="25"/>
      <c r="D2671" s="25"/>
      <c r="E2671" s="25"/>
      <c r="F2671" s="25"/>
      <c r="G2671" s="25"/>
      <c r="H2671" s="25"/>
      <c r="I2671" s="25"/>
      <c r="J2671" s="25"/>
      <c r="K2671" s="25"/>
      <c r="L2671" s="25"/>
      <c r="M2671" s="42" t="s">
        <v>253</v>
      </c>
      <c r="N2671" s="41">
        <v>45243</v>
      </c>
      <c r="O2671" s="25">
        <v>111</v>
      </c>
      <c r="P2671" s="25">
        <v>0</v>
      </c>
      <c r="Q2671" s="25"/>
      <c r="R2671" s="25"/>
      <c r="S2671" s="25"/>
      <c r="T2671" s="10"/>
    </row>
    <row r="2672" s="35" customFormat="1" ht="18.5" customHeight="1" spans="1:20">
      <c r="A2672" s="9"/>
      <c r="B2672" s="25"/>
      <c r="C2672" s="25"/>
      <c r="D2672" s="25"/>
      <c r="E2672" s="25"/>
      <c r="F2672" s="25"/>
      <c r="G2672" s="25"/>
      <c r="H2672" s="25"/>
      <c r="I2672" s="25"/>
      <c r="J2672" s="25"/>
      <c r="K2672" s="25"/>
      <c r="L2672" s="25"/>
      <c r="M2672" s="42" t="s">
        <v>253</v>
      </c>
      <c r="N2672" s="41">
        <v>45243</v>
      </c>
      <c r="O2672" s="25">
        <v>320</v>
      </c>
      <c r="P2672" s="25">
        <v>0</v>
      </c>
      <c r="Q2672" s="25"/>
      <c r="R2672" s="25"/>
      <c r="S2672" s="25"/>
      <c r="T2672" s="10"/>
    </row>
    <row r="2673" s="35" customFormat="1" ht="18.5" customHeight="1" spans="1:20">
      <c r="A2673" s="9"/>
      <c r="B2673" s="25"/>
      <c r="C2673" s="25"/>
      <c r="D2673" s="25"/>
      <c r="E2673" s="25"/>
      <c r="F2673" s="25"/>
      <c r="G2673" s="25"/>
      <c r="H2673" s="25"/>
      <c r="I2673" s="25"/>
      <c r="J2673" s="25"/>
      <c r="K2673" s="25"/>
      <c r="L2673" s="25"/>
      <c r="M2673" s="42" t="s">
        <v>253</v>
      </c>
      <c r="N2673" s="41">
        <v>45243</v>
      </c>
      <c r="O2673" s="25">
        <v>84</v>
      </c>
      <c r="P2673" s="25">
        <v>0</v>
      </c>
      <c r="Q2673" s="25"/>
      <c r="R2673" s="25"/>
      <c r="S2673" s="25"/>
      <c r="T2673" s="10"/>
    </row>
    <row r="2674" s="35" customFormat="1" ht="18.5" customHeight="1" spans="1:20">
      <c r="A2674" s="9"/>
      <c r="B2674" s="25"/>
      <c r="C2674" s="25"/>
      <c r="D2674" s="25"/>
      <c r="E2674" s="25"/>
      <c r="F2674" s="25"/>
      <c r="G2674" s="25"/>
      <c r="H2674" s="25"/>
      <c r="I2674" s="25"/>
      <c r="J2674" s="25"/>
      <c r="K2674" s="25"/>
      <c r="L2674" s="25"/>
      <c r="M2674" s="42" t="s">
        <v>253</v>
      </c>
      <c r="N2674" s="41">
        <v>45243</v>
      </c>
      <c r="O2674" s="25">
        <v>126</v>
      </c>
      <c r="P2674" s="25">
        <v>0</v>
      </c>
      <c r="Q2674" s="25"/>
      <c r="R2674" s="25"/>
      <c r="S2674" s="25"/>
      <c r="T2674" s="10"/>
    </row>
    <row r="2675" s="35" customFormat="1" ht="18.5" customHeight="1" spans="1:20">
      <c r="A2675" s="9"/>
      <c r="B2675" s="25"/>
      <c r="C2675" s="25"/>
      <c r="D2675" s="25"/>
      <c r="E2675" s="25"/>
      <c r="F2675" s="25"/>
      <c r="G2675" s="25"/>
      <c r="H2675" s="25"/>
      <c r="I2675" s="25"/>
      <c r="J2675" s="25"/>
      <c r="K2675" s="25"/>
      <c r="L2675" s="25"/>
      <c r="M2675" s="42" t="s">
        <v>253</v>
      </c>
      <c r="N2675" s="41">
        <v>45243</v>
      </c>
      <c r="O2675" s="25">
        <v>64</v>
      </c>
      <c r="P2675" s="25">
        <v>0</v>
      </c>
      <c r="Q2675" s="25"/>
      <c r="R2675" s="25"/>
      <c r="S2675" s="25"/>
      <c r="T2675" s="10"/>
    </row>
    <row r="2676" s="35" customFormat="1" ht="18.5" customHeight="1" spans="1:20">
      <c r="A2676" s="9"/>
      <c r="B2676" s="25"/>
      <c r="C2676" s="25"/>
      <c r="D2676" s="25"/>
      <c r="E2676" s="25"/>
      <c r="F2676" s="25"/>
      <c r="G2676" s="25"/>
      <c r="H2676" s="25"/>
      <c r="I2676" s="25"/>
      <c r="J2676" s="25"/>
      <c r="K2676" s="25"/>
      <c r="L2676" s="25"/>
      <c r="M2676" s="42" t="s">
        <v>253</v>
      </c>
      <c r="N2676" s="41">
        <v>45243</v>
      </c>
      <c r="O2676" s="25">
        <v>83</v>
      </c>
      <c r="P2676" s="25">
        <v>0</v>
      </c>
      <c r="Q2676" s="25"/>
      <c r="R2676" s="25"/>
      <c r="S2676" s="25"/>
      <c r="T2676" s="10"/>
    </row>
    <row r="2677" s="35" customFormat="1" ht="18.5" customHeight="1" spans="1:20">
      <c r="A2677" s="9"/>
      <c r="B2677" s="25"/>
      <c r="C2677" s="25"/>
      <c r="D2677" s="25"/>
      <c r="E2677" s="25"/>
      <c r="F2677" s="25"/>
      <c r="G2677" s="25"/>
      <c r="H2677" s="25"/>
      <c r="I2677" s="25"/>
      <c r="J2677" s="25"/>
      <c r="K2677" s="25"/>
      <c r="L2677" s="25"/>
      <c r="M2677" s="42" t="s">
        <v>253</v>
      </c>
      <c r="N2677" s="41">
        <v>45243</v>
      </c>
      <c r="O2677" s="25">
        <v>110</v>
      </c>
      <c r="P2677" s="25">
        <v>0</v>
      </c>
      <c r="Q2677" s="25"/>
      <c r="R2677" s="25"/>
      <c r="S2677" s="25"/>
      <c r="T2677" s="10"/>
    </row>
    <row r="2678" s="35" customFormat="1" ht="18.5" customHeight="1" spans="1:20">
      <c r="A2678" s="9"/>
      <c r="B2678" s="25"/>
      <c r="C2678" s="25"/>
      <c r="D2678" s="25"/>
      <c r="E2678" s="25"/>
      <c r="F2678" s="25"/>
      <c r="G2678" s="25"/>
      <c r="H2678" s="25"/>
      <c r="I2678" s="25"/>
      <c r="J2678" s="25"/>
      <c r="K2678" s="25"/>
      <c r="L2678" s="25"/>
      <c r="M2678" s="42" t="s">
        <v>253</v>
      </c>
      <c r="N2678" s="41">
        <v>45243</v>
      </c>
      <c r="O2678" s="25">
        <v>134</v>
      </c>
      <c r="P2678" s="25">
        <v>0</v>
      </c>
      <c r="Q2678" s="25"/>
      <c r="R2678" s="25"/>
      <c r="S2678" s="25"/>
      <c r="T2678" s="10"/>
    </row>
    <row r="2679" s="35" customFormat="1" ht="18.5" customHeight="1" spans="1:20">
      <c r="A2679" s="9"/>
      <c r="B2679" s="25"/>
      <c r="C2679" s="25"/>
      <c r="D2679" s="25"/>
      <c r="E2679" s="25"/>
      <c r="F2679" s="25"/>
      <c r="G2679" s="25"/>
      <c r="H2679" s="25"/>
      <c r="I2679" s="25"/>
      <c r="J2679" s="25"/>
      <c r="K2679" s="25"/>
      <c r="L2679" s="25"/>
      <c r="M2679" s="42" t="s">
        <v>253</v>
      </c>
      <c r="N2679" s="41">
        <v>45243</v>
      </c>
      <c r="O2679" s="25">
        <v>278</v>
      </c>
      <c r="P2679" s="25">
        <v>0</v>
      </c>
      <c r="Q2679" s="25"/>
      <c r="R2679" s="25"/>
      <c r="S2679" s="25"/>
      <c r="T2679" s="10"/>
    </row>
    <row r="2680" s="35" customFormat="1" ht="18.5" customHeight="1" spans="1:20">
      <c r="A2680" s="9"/>
      <c r="B2680" s="25"/>
      <c r="C2680" s="25"/>
      <c r="D2680" s="25"/>
      <c r="E2680" s="25"/>
      <c r="F2680" s="25"/>
      <c r="G2680" s="25"/>
      <c r="H2680" s="25"/>
      <c r="I2680" s="25"/>
      <c r="J2680" s="25"/>
      <c r="K2680" s="25"/>
      <c r="L2680" s="25"/>
      <c r="M2680" s="42" t="s">
        <v>253</v>
      </c>
      <c r="N2680" s="41">
        <v>45243</v>
      </c>
      <c r="O2680" s="25">
        <v>222</v>
      </c>
      <c r="P2680" s="25">
        <v>0</v>
      </c>
      <c r="Q2680" s="25"/>
      <c r="R2680" s="25"/>
      <c r="S2680" s="25"/>
      <c r="T2680" s="10"/>
    </row>
    <row r="2681" s="35" customFormat="1" ht="18.5" customHeight="1" spans="1:20">
      <c r="A2681" s="9"/>
      <c r="B2681" s="25"/>
      <c r="C2681" s="25"/>
      <c r="D2681" s="25"/>
      <c r="E2681" s="25"/>
      <c r="F2681" s="25"/>
      <c r="G2681" s="25"/>
      <c r="H2681" s="25"/>
      <c r="I2681" s="25"/>
      <c r="J2681" s="25"/>
      <c r="K2681" s="25"/>
      <c r="L2681" s="25"/>
      <c r="M2681" s="42" t="s">
        <v>253</v>
      </c>
      <c r="N2681" s="41">
        <v>45243</v>
      </c>
      <c r="O2681" s="25">
        <v>54</v>
      </c>
      <c r="P2681" s="25">
        <v>0</v>
      </c>
      <c r="Q2681" s="25"/>
      <c r="R2681" s="25"/>
      <c r="S2681" s="25"/>
      <c r="T2681" s="10"/>
    </row>
    <row r="2682" s="35" customFormat="1" ht="18.5" customHeight="1" spans="1:20">
      <c r="A2682" s="9"/>
      <c r="B2682" s="25"/>
      <c r="C2682" s="25"/>
      <c r="D2682" s="25"/>
      <c r="E2682" s="25"/>
      <c r="F2682" s="25"/>
      <c r="G2682" s="25"/>
      <c r="H2682" s="25"/>
      <c r="I2682" s="25"/>
      <c r="J2682" s="25"/>
      <c r="K2682" s="25"/>
      <c r="L2682" s="25"/>
      <c r="M2682" s="42" t="s">
        <v>253</v>
      </c>
      <c r="N2682" s="41">
        <v>45243</v>
      </c>
      <c r="O2682" s="25">
        <v>189</v>
      </c>
      <c r="P2682" s="25">
        <v>0</v>
      </c>
      <c r="Q2682" s="25"/>
      <c r="R2682" s="25"/>
      <c r="S2682" s="25"/>
      <c r="T2682" s="10"/>
    </row>
    <row r="2683" s="35" customFormat="1" ht="18.5" customHeight="1" spans="1:20">
      <c r="A2683" s="9"/>
      <c r="B2683" s="25"/>
      <c r="C2683" s="25"/>
      <c r="D2683" s="25"/>
      <c r="E2683" s="25"/>
      <c r="F2683" s="25"/>
      <c r="G2683" s="25"/>
      <c r="H2683" s="25"/>
      <c r="I2683" s="25"/>
      <c r="J2683" s="25"/>
      <c r="K2683" s="25"/>
      <c r="L2683" s="25"/>
      <c r="M2683" s="42" t="s">
        <v>253</v>
      </c>
      <c r="N2683" s="41">
        <v>45242</v>
      </c>
      <c r="O2683" s="25">
        <v>126</v>
      </c>
      <c r="P2683" s="25">
        <v>0</v>
      </c>
      <c r="Q2683" s="25"/>
      <c r="R2683" s="25"/>
      <c r="S2683" s="25"/>
      <c r="T2683" s="10"/>
    </row>
    <row r="2684" s="35" customFormat="1" ht="18.5" customHeight="1" spans="1:20">
      <c r="A2684" s="9"/>
      <c r="B2684" s="25"/>
      <c r="C2684" s="25"/>
      <c r="D2684" s="25"/>
      <c r="E2684" s="25"/>
      <c r="F2684" s="25"/>
      <c r="G2684" s="25"/>
      <c r="H2684" s="25"/>
      <c r="I2684" s="25"/>
      <c r="J2684" s="25"/>
      <c r="K2684" s="25"/>
      <c r="L2684" s="25"/>
      <c r="M2684" s="42" t="s">
        <v>253</v>
      </c>
      <c r="N2684" s="41">
        <v>45242</v>
      </c>
      <c r="O2684" s="25">
        <v>178</v>
      </c>
      <c r="P2684" s="25">
        <v>0</v>
      </c>
      <c r="Q2684" s="25"/>
      <c r="R2684" s="25"/>
      <c r="S2684" s="25"/>
      <c r="T2684" s="10"/>
    </row>
    <row r="2685" s="35" customFormat="1" ht="18.5" customHeight="1" spans="1:20">
      <c r="A2685" s="9"/>
      <c r="B2685" s="25"/>
      <c r="C2685" s="25"/>
      <c r="D2685" s="25"/>
      <c r="E2685" s="25"/>
      <c r="F2685" s="25"/>
      <c r="G2685" s="25"/>
      <c r="H2685" s="25"/>
      <c r="I2685" s="25"/>
      <c r="J2685" s="25"/>
      <c r="K2685" s="25"/>
      <c r="L2685" s="25"/>
      <c r="M2685" s="42" t="s">
        <v>253</v>
      </c>
      <c r="N2685" s="41">
        <v>45242</v>
      </c>
      <c r="O2685" s="25">
        <v>133</v>
      </c>
      <c r="P2685" s="25">
        <v>0</v>
      </c>
      <c r="Q2685" s="25"/>
      <c r="R2685" s="25"/>
      <c r="S2685" s="25"/>
      <c r="T2685" s="10"/>
    </row>
    <row r="2686" s="35" customFormat="1" ht="18.5" customHeight="1" spans="1:20">
      <c r="A2686" s="9"/>
      <c r="B2686" s="25"/>
      <c r="C2686" s="25"/>
      <c r="D2686" s="25"/>
      <c r="E2686" s="25"/>
      <c r="F2686" s="25"/>
      <c r="G2686" s="25"/>
      <c r="H2686" s="25"/>
      <c r="I2686" s="25"/>
      <c r="J2686" s="25"/>
      <c r="K2686" s="25"/>
      <c r="L2686" s="25"/>
      <c r="M2686" s="42" t="s">
        <v>253</v>
      </c>
      <c r="N2686" s="41">
        <v>45242</v>
      </c>
      <c r="O2686" s="25">
        <v>218</v>
      </c>
      <c r="P2686" s="25">
        <v>0</v>
      </c>
      <c r="Q2686" s="25"/>
      <c r="R2686" s="25"/>
      <c r="S2686" s="25"/>
      <c r="T2686" s="10"/>
    </row>
    <row r="2687" s="35" customFormat="1" ht="18.5" customHeight="1" spans="1:20">
      <c r="A2687" s="9"/>
      <c r="B2687" s="25"/>
      <c r="C2687" s="25"/>
      <c r="D2687" s="25"/>
      <c r="E2687" s="25"/>
      <c r="F2687" s="25"/>
      <c r="G2687" s="25"/>
      <c r="H2687" s="25"/>
      <c r="I2687" s="25"/>
      <c r="J2687" s="25"/>
      <c r="K2687" s="25"/>
      <c r="L2687" s="25"/>
      <c r="M2687" s="42" t="s">
        <v>253</v>
      </c>
      <c r="N2687" s="41">
        <v>45242</v>
      </c>
      <c r="O2687" s="25">
        <v>147</v>
      </c>
      <c r="P2687" s="25">
        <v>0</v>
      </c>
      <c r="Q2687" s="25"/>
      <c r="R2687" s="25"/>
      <c r="S2687" s="25"/>
      <c r="T2687" s="10"/>
    </row>
    <row r="2688" s="35" customFormat="1" ht="18.5" customHeight="1" spans="1:20">
      <c r="A2688" s="9"/>
      <c r="B2688" s="25"/>
      <c r="C2688" s="25"/>
      <c r="D2688" s="25"/>
      <c r="E2688" s="25"/>
      <c r="F2688" s="25"/>
      <c r="G2688" s="25"/>
      <c r="H2688" s="25"/>
      <c r="I2688" s="25"/>
      <c r="J2688" s="25"/>
      <c r="K2688" s="25"/>
      <c r="L2688" s="25"/>
      <c r="M2688" s="42" t="s">
        <v>253</v>
      </c>
      <c r="N2688" s="41">
        <v>45242</v>
      </c>
      <c r="O2688" s="25">
        <v>69</v>
      </c>
      <c r="P2688" s="25">
        <v>0</v>
      </c>
      <c r="Q2688" s="25"/>
      <c r="R2688" s="25"/>
      <c r="S2688" s="25"/>
      <c r="T2688" s="10"/>
    </row>
    <row r="2689" s="35" customFormat="1" ht="18.5" customHeight="1" spans="1:20">
      <c r="A2689" s="9"/>
      <c r="B2689" s="25"/>
      <c r="C2689" s="25"/>
      <c r="D2689" s="25"/>
      <c r="E2689" s="25"/>
      <c r="F2689" s="25"/>
      <c r="G2689" s="25"/>
      <c r="H2689" s="25"/>
      <c r="I2689" s="25"/>
      <c r="J2689" s="25"/>
      <c r="K2689" s="25"/>
      <c r="L2689" s="25"/>
      <c r="M2689" s="42" t="s">
        <v>253</v>
      </c>
      <c r="N2689" s="41">
        <v>45242</v>
      </c>
      <c r="O2689" s="25">
        <v>155</v>
      </c>
      <c r="P2689" s="25">
        <v>0</v>
      </c>
      <c r="Q2689" s="25"/>
      <c r="R2689" s="25"/>
      <c r="S2689" s="25"/>
      <c r="T2689" s="10"/>
    </row>
    <row r="2690" s="35" customFormat="1" ht="18.5" customHeight="1" spans="1:20">
      <c r="A2690" s="9"/>
      <c r="B2690" s="25"/>
      <c r="C2690" s="25"/>
      <c r="D2690" s="25"/>
      <c r="E2690" s="25"/>
      <c r="F2690" s="25"/>
      <c r="G2690" s="25"/>
      <c r="H2690" s="25"/>
      <c r="I2690" s="25"/>
      <c r="J2690" s="25"/>
      <c r="K2690" s="25"/>
      <c r="L2690" s="25"/>
      <c r="M2690" s="42" t="s">
        <v>253</v>
      </c>
      <c r="N2690" s="41">
        <v>45242</v>
      </c>
      <c r="O2690" s="25">
        <v>838</v>
      </c>
      <c r="P2690" s="25">
        <v>0</v>
      </c>
      <c r="Q2690" s="25"/>
      <c r="R2690" s="25"/>
      <c r="S2690" s="25"/>
      <c r="T2690" s="10"/>
    </row>
    <row r="2691" s="35" customFormat="1" ht="18.5" customHeight="1" spans="1:20">
      <c r="A2691" s="9"/>
      <c r="B2691" s="25"/>
      <c r="C2691" s="25"/>
      <c r="D2691" s="25"/>
      <c r="E2691" s="25"/>
      <c r="F2691" s="25"/>
      <c r="G2691" s="25"/>
      <c r="H2691" s="25"/>
      <c r="I2691" s="25"/>
      <c r="J2691" s="25"/>
      <c r="K2691" s="25"/>
      <c r="L2691" s="25"/>
      <c r="M2691" s="42" t="s">
        <v>253</v>
      </c>
      <c r="N2691" s="41">
        <v>45242</v>
      </c>
      <c r="O2691" s="25">
        <v>102</v>
      </c>
      <c r="P2691" s="25">
        <v>0</v>
      </c>
      <c r="Q2691" s="25"/>
      <c r="R2691" s="25"/>
      <c r="S2691" s="25"/>
      <c r="T2691" s="10"/>
    </row>
    <row r="2692" s="35" customFormat="1" ht="18.5" customHeight="1" spans="1:20">
      <c r="A2692" s="9"/>
      <c r="B2692" s="25"/>
      <c r="C2692" s="25"/>
      <c r="D2692" s="25"/>
      <c r="E2692" s="25"/>
      <c r="F2692" s="25"/>
      <c r="G2692" s="25"/>
      <c r="H2692" s="25"/>
      <c r="I2692" s="25"/>
      <c r="J2692" s="25"/>
      <c r="K2692" s="25"/>
      <c r="L2692" s="25"/>
      <c r="M2692" s="42" t="s">
        <v>253</v>
      </c>
      <c r="N2692" s="41">
        <v>45242</v>
      </c>
      <c r="O2692" s="25">
        <v>101</v>
      </c>
      <c r="P2692" s="25">
        <v>0</v>
      </c>
      <c r="Q2692" s="25"/>
      <c r="R2692" s="25"/>
      <c r="S2692" s="25"/>
      <c r="T2692" s="10"/>
    </row>
    <row r="2693" s="35" customFormat="1" ht="18.5" customHeight="1" spans="1:20">
      <c r="A2693" s="9"/>
      <c r="B2693" s="25"/>
      <c r="C2693" s="25"/>
      <c r="D2693" s="25"/>
      <c r="E2693" s="25"/>
      <c r="F2693" s="25"/>
      <c r="G2693" s="25"/>
      <c r="H2693" s="25"/>
      <c r="I2693" s="25"/>
      <c r="J2693" s="25"/>
      <c r="K2693" s="25"/>
      <c r="L2693" s="25"/>
      <c r="M2693" s="42" t="s">
        <v>253</v>
      </c>
      <c r="N2693" s="41">
        <v>45242</v>
      </c>
      <c r="O2693" s="25">
        <v>59</v>
      </c>
      <c r="P2693" s="25">
        <v>0</v>
      </c>
      <c r="Q2693" s="25"/>
      <c r="R2693" s="25"/>
      <c r="S2693" s="25"/>
      <c r="T2693" s="10"/>
    </row>
    <row r="2694" s="35" customFormat="1" ht="18.5" customHeight="1" spans="1:20">
      <c r="A2694" s="9"/>
      <c r="B2694" s="25"/>
      <c r="C2694" s="25"/>
      <c r="D2694" s="25"/>
      <c r="E2694" s="25"/>
      <c r="F2694" s="25"/>
      <c r="G2694" s="25"/>
      <c r="H2694" s="25"/>
      <c r="I2694" s="25"/>
      <c r="J2694" s="25"/>
      <c r="K2694" s="25"/>
      <c r="L2694" s="25"/>
      <c r="M2694" s="42" t="s">
        <v>253</v>
      </c>
      <c r="N2694" s="41">
        <v>45242</v>
      </c>
      <c r="O2694" s="25">
        <v>154</v>
      </c>
      <c r="P2694" s="25">
        <v>0</v>
      </c>
      <c r="Q2694" s="25"/>
      <c r="R2694" s="25"/>
      <c r="S2694" s="25"/>
      <c r="T2694" s="10"/>
    </row>
    <row r="2695" s="35" customFormat="1" ht="18.5" customHeight="1" spans="1:20">
      <c r="A2695" s="9"/>
      <c r="B2695" s="25"/>
      <c r="C2695" s="25"/>
      <c r="D2695" s="25"/>
      <c r="E2695" s="25"/>
      <c r="F2695" s="25"/>
      <c r="G2695" s="25"/>
      <c r="H2695" s="25"/>
      <c r="I2695" s="25"/>
      <c r="J2695" s="25"/>
      <c r="K2695" s="25"/>
      <c r="L2695" s="25"/>
      <c r="M2695" s="42" t="s">
        <v>253</v>
      </c>
      <c r="N2695" s="41">
        <v>45241</v>
      </c>
      <c r="O2695" s="25">
        <v>145</v>
      </c>
      <c r="P2695" s="25">
        <v>0</v>
      </c>
      <c r="Q2695" s="25"/>
      <c r="R2695" s="25"/>
      <c r="S2695" s="25"/>
      <c r="T2695" s="10"/>
    </row>
    <row r="2696" s="35" customFormat="1" ht="18.5" customHeight="1" spans="1:20">
      <c r="A2696" s="9"/>
      <c r="B2696" s="25"/>
      <c r="C2696" s="25"/>
      <c r="D2696" s="25"/>
      <c r="E2696" s="25"/>
      <c r="F2696" s="25"/>
      <c r="G2696" s="25"/>
      <c r="H2696" s="25"/>
      <c r="I2696" s="25"/>
      <c r="J2696" s="25"/>
      <c r="K2696" s="25"/>
      <c r="L2696" s="25"/>
      <c r="M2696" s="42" t="s">
        <v>253</v>
      </c>
      <c r="N2696" s="41">
        <v>45241</v>
      </c>
      <c r="O2696" s="25">
        <v>112</v>
      </c>
      <c r="P2696" s="25">
        <v>0</v>
      </c>
      <c r="Q2696" s="25"/>
      <c r="R2696" s="25"/>
      <c r="S2696" s="25"/>
      <c r="T2696" s="10"/>
    </row>
    <row r="2697" s="35" customFormat="1" ht="18.5" customHeight="1" spans="1:20">
      <c r="A2697" s="9"/>
      <c r="B2697" s="25"/>
      <c r="C2697" s="25"/>
      <c r="D2697" s="25"/>
      <c r="E2697" s="25"/>
      <c r="F2697" s="25"/>
      <c r="G2697" s="25"/>
      <c r="H2697" s="25"/>
      <c r="I2697" s="25"/>
      <c r="J2697" s="25"/>
      <c r="K2697" s="25"/>
      <c r="L2697" s="25"/>
      <c r="M2697" s="42" t="s">
        <v>253</v>
      </c>
      <c r="N2697" s="41">
        <v>45241</v>
      </c>
      <c r="O2697" s="25">
        <v>126</v>
      </c>
      <c r="P2697" s="25">
        <v>0</v>
      </c>
      <c r="Q2697" s="25"/>
      <c r="R2697" s="25"/>
      <c r="S2697" s="25"/>
      <c r="T2697" s="10"/>
    </row>
    <row r="2698" s="35" customFormat="1" ht="18.5" customHeight="1" spans="1:20">
      <c r="A2698" s="9"/>
      <c r="B2698" s="25"/>
      <c r="C2698" s="25"/>
      <c r="D2698" s="25"/>
      <c r="E2698" s="25"/>
      <c r="F2698" s="25"/>
      <c r="G2698" s="25"/>
      <c r="H2698" s="25"/>
      <c r="I2698" s="25"/>
      <c r="J2698" s="25"/>
      <c r="K2698" s="25"/>
      <c r="L2698" s="25"/>
      <c r="M2698" s="42" t="s">
        <v>253</v>
      </c>
      <c r="N2698" s="41">
        <v>45241</v>
      </c>
      <c r="O2698" s="25">
        <v>31</v>
      </c>
      <c r="P2698" s="25">
        <v>0</v>
      </c>
      <c r="Q2698" s="25"/>
      <c r="R2698" s="25"/>
      <c r="S2698" s="25"/>
      <c r="T2698" s="10"/>
    </row>
    <row r="2699" s="35" customFormat="1" ht="18.5" customHeight="1" spans="1:20">
      <c r="A2699" s="9"/>
      <c r="B2699" s="25"/>
      <c r="C2699" s="25"/>
      <c r="D2699" s="25"/>
      <c r="E2699" s="25"/>
      <c r="F2699" s="25"/>
      <c r="G2699" s="25"/>
      <c r="H2699" s="25"/>
      <c r="I2699" s="25"/>
      <c r="J2699" s="25"/>
      <c r="K2699" s="25"/>
      <c r="L2699" s="25"/>
      <c r="M2699" s="42" t="s">
        <v>253</v>
      </c>
      <c r="N2699" s="41">
        <v>45240</v>
      </c>
      <c r="O2699" s="25">
        <v>82</v>
      </c>
      <c r="P2699" s="25">
        <v>0</v>
      </c>
      <c r="Q2699" s="25"/>
      <c r="R2699" s="25"/>
      <c r="S2699" s="25"/>
      <c r="T2699" s="10"/>
    </row>
    <row r="2700" s="35" customFormat="1" ht="18.5" customHeight="1" spans="1:20">
      <c r="A2700" s="9"/>
      <c r="B2700" s="25"/>
      <c r="C2700" s="25"/>
      <c r="D2700" s="25"/>
      <c r="E2700" s="25"/>
      <c r="F2700" s="25"/>
      <c r="G2700" s="25"/>
      <c r="H2700" s="25"/>
      <c r="I2700" s="25"/>
      <c r="J2700" s="25"/>
      <c r="K2700" s="25"/>
      <c r="L2700" s="25"/>
      <c r="M2700" s="42" t="s">
        <v>253</v>
      </c>
      <c r="N2700" s="41">
        <v>45240</v>
      </c>
      <c r="O2700" s="25">
        <v>61</v>
      </c>
      <c r="P2700" s="25">
        <v>0</v>
      </c>
      <c r="Q2700" s="25"/>
      <c r="R2700" s="25"/>
      <c r="S2700" s="25"/>
      <c r="T2700" s="10"/>
    </row>
    <row r="2701" s="35" customFormat="1" ht="18.5" customHeight="1" spans="1:20">
      <c r="A2701" s="9"/>
      <c r="B2701" s="25"/>
      <c r="C2701" s="25"/>
      <c r="D2701" s="25"/>
      <c r="E2701" s="25"/>
      <c r="F2701" s="25"/>
      <c r="G2701" s="25"/>
      <c r="H2701" s="25"/>
      <c r="I2701" s="25"/>
      <c r="J2701" s="25"/>
      <c r="K2701" s="25"/>
      <c r="L2701" s="25"/>
      <c r="M2701" s="42" t="s">
        <v>253</v>
      </c>
      <c r="N2701" s="41">
        <v>45240</v>
      </c>
      <c r="O2701" s="25">
        <v>270</v>
      </c>
      <c r="P2701" s="25">
        <v>0</v>
      </c>
      <c r="Q2701" s="25"/>
      <c r="R2701" s="25"/>
      <c r="S2701" s="25"/>
      <c r="T2701" s="10"/>
    </row>
    <row r="2702" s="35" customFormat="1" ht="18.5" customHeight="1" spans="1:20">
      <c r="A2702" s="9"/>
      <c r="B2702" s="25"/>
      <c r="C2702" s="25"/>
      <c r="D2702" s="25"/>
      <c r="E2702" s="25"/>
      <c r="F2702" s="25"/>
      <c r="G2702" s="25"/>
      <c r="H2702" s="25"/>
      <c r="I2702" s="25"/>
      <c r="J2702" s="25"/>
      <c r="K2702" s="25"/>
      <c r="L2702" s="25"/>
      <c r="M2702" s="42" t="s">
        <v>253</v>
      </c>
      <c r="N2702" s="41">
        <v>45240</v>
      </c>
      <c r="O2702" s="25">
        <v>232</v>
      </c>
      <c r="P2702" s="25">
        <v>0</v>
      </c>
      <c r="Q2702" s="25"/>
      <c r="R2702" s="25"/>
      <c r="S2702" s="25"/>
      <c r="T2702" s="10"/>
    </row>
    <row r="2703" s="35" customFormat="1" ht="18.5" customHeight="1" spans="1:20">
      <c r="A2703" s="9"/>
      <c r="B2703" s="25"/>
      <c r="C2703" s="25"/>
      <c r="D2703" s="25"/>
      <c r="E2703" s="25"/>
      <c r="F2703" s="25"/>
      <c r="G2703" s="25"/>
      <c r="H2703" s="25"/>
      <c r="I2703" s="25"/>
      <c r="J2703" s="25"/>
      <c r="K2703" s="25"/>
      <c r="L2703" s="25"/>
      <c r="M2703" s="42" t="s">
        <v>253</v>
      </c>
      <c r="N2703" s="41">
        <v>45240</v>
      </c>
      <c r="O2703" s="25">
        <v>111</v>
      </c>
      <c r="P2703" s="25">
        <v>0</v>
      </c>
      <c r="Q2703" s="25"/>
      <c r="R2703" s="25"/>
      <c r="S2703" s="25"/>
      <c r="T2703" s="10"/>
    </row>
    <row r="2704" s="35" customFormat="1" ht="18.5" customHeight="1" spans="1:20">
      <c r="A2704" s="9"/>
      <c r="B2704" s="25"/>
      <c r="C2704" s="25"/>
      <c r="D2704" s="25"/>
      <c r="E2704" s="25"/>
      <c r="F2704" s="25"/>
      <c r="G2704" s="25"/>
      <c r="H2704" s="25"/>
      <c r="I2704" s="25"/>
      <c r="J2704" s="25"/>
      <c r="K2704" s="25"/>
      <c r="L2704" s="25"/>
      <c r="M2704" s="42" t="s">
        <v>253</v>
      </c>
      <c r="N2704" s="41">
        <v>45240</v>
      </c>
      <c r="O2704" s="25">
        <v>61</v>
      </c>
      <c r="P2704" s="25">
        <v>0</v>
      </c>
      <c r="Q2704" s="25"/>
      <c r="R2704" s="25"/>
      <c r="S2704" s="25"/>
      <c r="T2704" s="10"/>
    </row>
    <row r="2705" s="35" customFormat="1" ht="18.5" customHeight="1" spans="1:20">
      <c r="A2705" s="9"/>
      <c r="B2705" s="25"/>
      <c r="C2705" s="25"/>
      <c r="D2705" s="25"/>
      <c r="E2705" s="25"/>
      <c r="F2705" s="25"/>
      <c r="G2705" s="25"/>
      <c r="H2705" s="25"/>
      <c r="I2705" s="25"/>
      <c r="J2705" s="25"/>
      <c r="K2705" s="25"/>
      <c r="L2705" s="25"/>
      <c r="M2705" s="42" t="s">
        <v>253</v>
      </c>
      <c r="N2705" s="41">
        <v>45240</v>
      </c>
      <c r="O2705" s="25">
        <v>111</v>
      </c>
      <c r="P2705" s="25">
        <v>0</v>
      </c>
      <c r="Q2705" s="25"/>
      <c r="R2705" s="25"/>
      <c r="S2705" s="25"/>
      <c r="T2705" s="10"/>
    </row>
    <row r="2706" s="35" customFormat="1" ht="18.5" customHeight="1" spans="1:20">
      <c r="A2706" s="9"/>
      <c r="B2706" s="25"/>
      <c r="C2706" s="25"/>
      <c r="D2706" s="25"/>
      <c r="E2706" s="25"/>
      <c r="F2706" s="25"/>
      <c r="G2706" s="25"/>
      <c r="H2706" s="25"/>
      <c r="I2706" s="25"/>
      <c r="J2706" s="25"/>
      <c r="K2706" s="25"/>
      <c r="L2706" s="25"/>
      <c r="M2706" s="42" t="s">
        <v>253</v>
      </c>
      <c r="N2706" s="41">
        <v>45240</v>
      </c>
      <c r="O2706" s="25">
        <v>358</v>
      </c>
      <c r="P2706" s="25">
        <v>0</v>
      </c>
      <c r="Q2706" s="25"/>
      <c r="R2706" s="25"/>
      <c r="S2706" s="25"/>
      <c r="T2706" s="10"/>
    </row>
    <row r="2707" s="35" customFormat="1" ht="18.5" customHeight="1" spans="1:20">
      <c r="A2707" s="9"/>
      <c r="B2707" s="25"/>
      <c r="C2707" s="25"/>
      <c r="D2707" s="25"/>
      <c r="E2707" s="25"/>
      <c r="F2707" s="25"/>
      <c r="G2707" s="25"/>
      <c r="H2707" s="25"/>
      <c r="I2707" s="25"/>
      <c r="J2707" s="25"/>
      <c r="K2707" s="25"/>
      <c r="L2707" s="25"/>
      <c r="M2707" s="42" t="s">
        <v>253</v>
      </c>
      <c r="N2707" s="41">
        <v>45240</v>
      </c>
      <c r="O2707" s="25">
        <v>77</v>
      </c>
      <c r="P2707" s="25">
        <v>0</v>
      </c>
      <c r="Q2707" s="25"/>
      <c r="R2707" s="25"/>
      <c r="S2707" s="25"/>
      <c r="T2707" s="10"/>
    </row>
    <row r="2708" s="35" customFormat="1" ht="18.5" customHeight="1" spans="1:20">
      <c r="A2708" s="9"/>
      <c r="B2708" s="25"/>
      <c r="C2708" s="25"/>
      <c r="D2708" s="25"/>
      <c r="E2708" s="25"/>
      <c r="F2708" s="25"/>
      <c r="G2708" s="25"/>
      <c r="H2708" s="25"/>
      <c r="I2708" s="25"/>
      <c r="J2708" s="25"/>
      <c r="K2708" s="25"/>
      <c r="L2708" s="25"/>
      <c r="M2708" s="42" t="s">
        <v>253</v>
      </c>
      <c r="N2708" s="41">
        <v>45240</v>
      </c>
      <c r="O2708" s="25">
        <v>83</v>
      </c>
      <c r="P2708" s="25">
        <v>0</v>
      </c>
      <c r="Q2708" s="25"/>
      <c r="R2708" s="25"/>
      <c r="S2708" s="25"/>
      <c r="T2708" s="10"/>
    </row>
    <row r="2709" s="35" customFormat="1" ht="18.5" customHeight="1" spans="1:20">
      <c r="A2709" s="9"/>
      <c r="B2709" s="25"/>
      <c r="C2709" s="25"/>
      <c r="D2709" s="25"/>
      <c r="E2709" s="25"/>
      <c r="F2709" s="25"/>
      <c r="G2709" s="25"/>
      <c r="H2709" s="25"/>
      <c r="I2709" s="25"/>
      <c r="J2709" s="25"/>
      <c r="K2709" s="25"/>
      <c r="L2709" s="25"/>
      <c r="M2709" s="42" t="s">
        <v>253</v>
      </c>
      <c r="N2709" s="41">
        <v>45240</v>
      </c>
      <c r="O2709" s="25">
        <v>62</v>
      </c>
      <c r="P2709" s="25">
        <v>0</v>
      </c>
      <c r="Q2709" s="25"/>
      <c r="R2709" s="25"/>
      <c r="S2709" s="25"/>
      <c r="T2709" s="10"/>
    </row>
    <row r="2710" s="35" customFormat="1" ht="18.5" customHeight="1" spans="1:20">
      <c r="A2710" s="9"/>
      <c r="B2710" s="25"/>
      <c r="C2710" s="25"/>
      <c r="D2710" s="25"/>
      <c r="E2710" s="25"/>
      <c r="F2710" s="25"/>
      <c r="G2710" s="25"/>
      <c r="H2710" s="25"/>
      <c r="I2710" s="25"/>
      <c r="J2710" s="25"/>
      <c r="K2710" s="25"/>
      <c r="L2710" s="25"/>
      <c r="M2710" s="42" t="s">
        <v>253</v>
      </c>
      <c r="N2710" s="41">
        <v>45240</v>
      </c>
      <c r="O2710" s="25">
        <v>83</v>
      </c>
      <c r="P2710" s="25">
        <v>0</v>
      </c>
      <c r="Q2710" s="25"/>
      <c r="R2710" s="25"/>
      <c r="S2710" s="25"/>
      <c r="T2710" s="10"/>
    </row>
    <row r="2711" s="35" customFormat="1" ht="18.5" customHeight="1" spans="1:20">
      <c r="A2711" s="9"/>
      <c r="B2711" s="25"/>
      <c r="C2711" s="25"/>
      <c r="D2711" s="25"/>
      <c r="E2711" s="25"/>
      <c r="F2711" s="25"/>
      <c r="G2711" s="25"/>
      <c r="H2711" s="25"/>
      <c r="I2711" s="25"/>
      <c r="J2711" s="25"/>
      <c r="K2711" s="25"/>
      <c r="L2711" s="25"/>
      <c r="M2711" s="42" t="s">
        <v>253</v>
      </c>
      <c r="N2711" s="41">
        <v>45240</v>
      </c>
      <c r="O2711" s="25">
        <v>41</v>
      </c>
      <c r="P2711" s="25">
        <v>0</v>
      </c>
      <c r="Q2711" s="25"/>
      <c r="R2711" s="25"/>
      <c r="S2711" s="25"/>
      <c r="T2711" s="10"/>
    </row>
    <row r="2712" s="35" customFormat="1" ht="18.5" customHeight="1" spans="1:20">
      <c r="A2712" s="9"/>
      <c r="B2712" s="25"/>
      <c r="C2712" s="25"/>
      <c r="D2712" s="25"/>
      <c r="E2712" s="25"/>
      <c r="F2712" s="25"/>
      <c r="G2712" s="25"/>
      <c r="H2712" s="25"/>
      <c r="I2712" s="25"/>
      <c r="J2712" s="25"/>
      <c r="K2712" s="25"/>
      <c r="L2712" s="25"/>
      <c r="M2712" s="42" t="s">
        <v>253</v>
      </c>
      <c r="N2712" s="41">
        <v>45240</v>
      </c>
      <c r="O2712" s="25">
        <v>161</v>
      </c>
      <c r="P2712" s="25">
        <v>0</v>
      </c>
      <c r="Q2712" s="25"/>
      <c r="R2712" s="25"/>
      <c r="S2712" s="25"/>
      <c r="T2712" s="10"/>
    </row>
    <row r="2713" s="35" customFormat="1" ht="18.5" customHeight="1" spans="1:20">
      <c r="A2713" s="9"/>
      <c r="B2713" s="25"/>
      <c r="C2713" s="25"/>
      <c r="D2713" s="25"/>
      <c r="E2713" s="25"/>
      <c r="F2713" s="25"/>
      <c r="G2713" s="25"/>
      <c r="H2713" s="25"/>
      <c r="I2713" s="25"/>
      <c r="J2713" s="25"/>
      <c r="K2713" s="25"/>
      <c r="L2713" s="25"/>
      <c r="M2713" s="42" t="s">
        <v>253</v>
      </c>
      <c r="N2713" s="41">
        <v>45240</v>
      </c>
      <c r="O2713" s="25">
        <v>92</v>
      </c>
      <c r="P2713" s="25">
        <v>0</v>
      </c>
      <c r="Q2713" s="25"/>
      <c r="R2713" s="25"/>
      <c r="S2713" s="25"/>
      <c r="T2713" s="10"/>
    </row>
    <row r="2714" s="35" customFormat="1" ht="18.5" customHeight="1" spans="1:20">
      <c r="A2714" s="9"/>
      <c r="B2714" s="25"/>
      <c r="C2714" s="25"/>
      <c r="D2714" s="25"/>
      <c r="E2714" s="25"/>
      <c r="F2714" s="25"/>
      <c r="G2714" s="25"/>
      <c r="H2714" s="25"/>
      <c r="I2714" s="25"/>
      <c r="J2714" s="25"/>
      <c r="K2714" s="25"/>
      <c r="L2714" s="25"/>
      <c r="M2714" s="42" t="s">
        <v>253</v>
      </c>
      <c r="N2714" s="41">
        <v>45240</v>
      </c>
      <c r="O2714" s="25">
        <v>86</v>
      </c>
      <c r="P2714" s="25">
        <v>0</v>
      </c>
      <c r="Q2714" s="25"/>
      <c r="R2714" s="25"/>
      <c r="S2714" s="25"/>
      <c r="T2714" s="10"/>
    </row>
    <row r="2715" s="35" customFormat="1" ht="18.5" customHeight="1" spans="1:20">
      <c r="A2715" s="9"/>
      <c r="B2715" s="25"/>
      <c r="C2715" s="25"/>
      <c r="D2715" s="25"/>
      <c r="E2715" s="25"/>
      <c r="F2715" s="25"/>
      <c r="G2715" s="25"/>
      <c r="H2715" s="25"/>
      <c r="I2715" s="25"/>
      <c r="J2715" s="25"/>
      <c r="K2715" s="25"/>
      <c r="L2715" s="25"/>
      <c r="M2715" s="42" t="s">
        <v>253</v>
      </c>
      <c r="N2715" s="41">
        <v>45240</v>
      </c>
      <c r="O2715" s="25">
        <v>197</v>
      </c>
      <c r="P2715" s="25">
        <v>0</v>
      </c>
      <c r="Q2715" s="25"/>
      <c r="R2715" s="25"/>
      <c r="S2715" s="25"/>
      <c r="T2715" s="10"/>
    </row>
    <row r="2716" s="35" customFormat="1" ht="18.5" customHeight="1" spans="1:20">
      <c r="A2716" s="9"/>
      <c r="B2716" s="25"/>
      <c r="C2716" s="25"/>
      <c r="D2716" s="25"/>
      <c r="E2716" s="25"/>
      <c r="F2716" s="25"/>
      <c r="G2716" s="25"/>
      <c r="H2716" s="25"/>
      <c r="I2716" s="25"/>
      <c r="J2716" s="25"/>
      <c r="K2716" s="25"/>
      <c r="L2716" s="25"/>
      <c r="M2716" s="42" t="s">
        <v>253</v>
      </c>
      <c r="N2716" s="41">
        <v>45239</v>
      </c>
      <c r="O2716" s="25">
        <v>171</v>
      </c>
      <c r="P2716" s="25">
        <v>0</v>
      </c>
      <c r="Q2716" s="25"/>
      <c r="R2716" s="25"/>
      <c r="S2716" s="25"/>
      <c r="T2716" s="10"/>
    </row>
    <row r="2717" s="35" customFormat="1" ht="18.5" customHeight="1" spans="1:20">
      <c r="A2717" s="9"/>
      <c r="B2717" s="25"/>
      <c r="C2717" s="25"/>
      <c r="D2717" s="25"/>
      <c r="E2717" s="25"/>
      <c r="F2717" s="25"/>
      <c r="G2717" s="25"/>
      <c r="H2717" s="25"/>
      <c r="I2717" s="25"/>
      <c r="J2717" s="25"/>
      <c r="K2717" s="25"/>
      <c r="L2717" s="25"/>
      <c r="M2717" s="42" t="s">
        <v>253</v>
      </c>
      <c r="N2717" s="41">
        <v>45239</v>
      </c>
      <c r="O2717" s="25">
        <v>244</v>
      </c>
      <c r="P2717" s="25">
        <v>0</v>
      </c>
      <c r="Q2717" s="25"/>
      <c r="R2717" s="25"/>
      <c r="S2717" s="25"/>
      <c r="T2717" s="10"/>
    </row>
    <row r="2718" s="35" customFormat="1" ht="18.5" customHeight="1" spans="1:20">
      <c r="A2718" s="9"/>
      <c r="B2718" s="25"/>
      <c r="C2718" s="25"/>
      <c r="D2718" s="25"/>
      <c r="E2718" s="25"/>
      <c r="F2718" s="25"/>
      <c r="G2718" s="25"/>
      <c r="H2718" s="25"/>
      <c r="I2718" s="25"/>
      <c r="J2718" s="25"/>
      <c r="K2718" s="25"/>
      <c r="L2718" s="25"/>
      <c r="M2718" s="42" t="s">
        <v>253</v>
      </c>
      <c r="N2718" s="41">
        <v>45239</v>
      </c>
      <c r="O2718" s="25">
        <v>78</v>
      </c>
      <c r="P2718" s="25">
        <v>0</v>
      </c>
      <c r="Q2718" s="25"/>
      <c r="R2718" s="25"/>
      <c r="S2718" s="25"/>
      <c r="T2718" s="10"/>
    </row>
    <row r="2719" s="35" customFormat="1" ht="18.5" customHeight="1" spans="1:20">
      <c r="A2719" s="9"/>
      <c r="B2719" s="25"/>
      <c r="C2719" s="25"/>
      <c r="D2719" s="25"/>
      <c r="E2719" s="25"/>
      <c r="F2719" s="25"/>
      <c r="G2719" s="25"/>
      <c r="H2719" s="25"/>
      <c r="I2719" s="25"/>
      <c r="J2719" s="25"/>
      <c r="K2719" s="25"/>
      <c r="L2719" s="25"/>
      <c r="M2719" s="42" t="s">
        <v>253</v>
      </c>
      <c r="N2719" s="41">
        <v>45239</v>
      </c>
      <c r="O2719" s="25">
        <v>100</v>
      </c>
      <c r="P2719" s="25">
        <v>0</v>
      </c>
      <c r="Q2719" s="25"/>
      <c r="R2719" s="25"/>
      <c r="S2719" s="25"/>
      <c r="T2719" s="10"/>
    </row>
    <row r="2720" s="35" customFormat="1" ht="18.5" customHeight="1" spans="1:20">
      <c r="A2720" s="9"/>
      <c r="B2720" s="25"/>
      <c r="C2720" s="25"/>
      <c r="D2720" s="25"/>
      <c r="E2720" s="25"/>
      <c r="F2720" s="25"/>
      <c r="G2720" s="25"/>
      <c r="H2720" s="25"/>
      <c r="I2720" s="25"/>
      <c r="J2720" s="25"/>
      <c r="K2720" s="25"/>
      <c r="L2720" s="25"/>
      <c r="M2720" s="42" t="s">
        <v>253</v>
      </c>
      <c r="N2720" s="41">
        <v>45239</v>
      </c>
      <c r="O2720" s="25">
        <v>125</v>
      </c>
      <c r="P2720" s="25">
        <v>0</v>
      </c>
      <c r="Q2720" s="25"/>
      <c r="R2720" s="25"/>
      <c r="S2720" s="25"/>
      <c r="T2720" s="10"/>
    </row>
    <row r="2721" s="35" customFormat="1" ht="18.5" customHeight="1" spans="1:20">
      <c r="A2721" s="9"/>
      <c r="B2721" s="25"/>
      <c r="C2721" s="25"/>
      <c r="D2721" s="25"/>
      <c r="E2721" s="25"/>
      <c r="F2721" s="25"/>
      <c r="G2721" s="25"/>
      <c r="H2721" s="25"/>
      <c r="I2721" s="25"/>
      <c r="J2721" s="25"/>
      <c r="K2721" s="25"/>
      <c r="L2721" s="25"/>
      <c r="M2721" s="42" t="s">
        <v>253</v>
      </c>
      <c r="N2721" s="41">
        <v>45239</v>
      </c>
      <c r="O2721" s="25">
        <v>366</v>
      </c>
      <c r="P2721" s="25">
        <v>0</v>
      </c>
      <c r="Q2721" s="25"/>
      <c r="R2721" s="25"/>
      <c r="S2721" s="25"/>
      <c r="T2721" s="10"/>
    </row>
    <row r="2722" s="35" customFormat="1" ht="18.5" customHeight="1" spans="1:20">
      <c r="A2722" s="9"/>
      <c r="B2722" s="25"/>
      <c r="C2722" s="25"/>
      <c r="D2722" s="25"/>
      <c r="E2722" s="25"/>
      <c r="F2722" s="25"/>
      <c r="G2722" s="25"/>
      <c r="H2722" s="25"/>
      <c r="I2722" s="25"/>
      <c r="J2722" s="25"/>
      <c r="K2722" s="25"/>
      <c r="L2722" s="25"/>
      <c r="M2722" s="42" t="s">
        <v>253</v>
      </c>
      <c r="N2722" s="41">
        <v>45239</v>
      </c>
      <c r="O2722" s="25">
        <v>96</v>
      </c>
      <c r="P2722" s="25">
        <v>0</v>
      </c>
      <c r="Q2722" s="25"/>
      <c r="R2722" s="25"/>
      <c r="S2722" s="25"/>
      <c r="T2722" s="10"/>
    </row>
    <row r="2723" s="35" customFormat="1" ht="18.5" customHeight="1" spans="1:20">
      <c r="A2723" s="9"/>
      <c r="B2723" s="25"/>
      <c r="C2723" s="25"/>
      <c r="D2723" s="25"/>
      <c r="E2723" s="25"/>
      <c r="F2723" s="25"/>
      <c r="G2723" s="25"/>
      <c r="H2723" s="25"/>
      <c r="I2723" s="25"/>
      <c r="J2723" s="25"/>
      <c r="K2723" s="25"/>
      <c r="L2723" s="25"/>
      <c r="M2723" s="42" t="s">
        <v>253</v>
      </c>
      <c r="N2723" s="41">
        <v>45239</v>
      </c>
      <c r="O2723" s="25">
        <v>83</v>
      </c>
      <c r="P2723" s="25">
        <v>0</v>
      </c>
      <c r="Q2723" s="25"/>
      <c r="R2723" s="25"/>
      <c r="S2723" s="25"/>
      <c r="T2723" s="10"/>
    </row>
    <row r="2724" s="35" customFormat="1" ht="18.5" customHeight="1" spans="1:20">
      <c r="A2724" s="9"/>
      <c r="B2724" s="25"/>
      <c r="C2724" s="25"/>
      <c r="D2724" s="25"/>
      <c r="E2724" s="25"/>
      <c r="F2724" s="25"/>
      <c r="G2724" s="25"/>
      <c r="H2724" s="25"/>
      <c r="I2724" s="25"/>
      <c r="J2724" s="25"/>
      <c r="K2724" s="25"/>
      <c r="L2724" s="25"/>
      <c r="M2724" s="42" t="s">
        <v>253</v>
      </c>
      <c r="N2724" s="41">
        <v>45239</v>
      </c>
      <c r="O2724" s="25">
        <v>69</v>
      </c>
      <c r="P2724" s="25">
        <v>0</v>
      </c>
      <c r="Q2724" s="25"/>
      <c r="R2724" s="25"/>
      <c r="S2724" s="25"/>
      <c r="T2724" s="10"/>
    </row>
    <row r="2725" s="35" customFormat="1" ht="18.5" customHeight="1" spans="1:20">
      <c r="A2725" s="9"/>
      <c r="B2725" s="25"/>
      <c r="C2725" s="25"/>
      <c r="D2725" s="25"/>
      <c r="E2725" s="25"/>
      <c r="F2725" s="25"/>
      <c r="G2725" s="25"/>
      <c r="H2725" s="25"/>
      <c r="I2725" s="25"/>
      <c r="J2725" s="25"/>
      <c r="K2725" s="25"/>
      <c r="L2725" s="25"/>
      <c r="M2725" s="42" t="s">
        <v>253</v>
      </c>
      <c r="N2725" s="41">
        <v>45239</v>
      </c>
      <c r="O2725" s="25">
        <v>164</v>
      </c>
      <c r="P2725" s="25">
        <v>0</v>
      </c>
      <c r="Q2725" s="25"/>
      <c r="R2725" s="25"/>
      <c r="S2725" s="25"/>
      <c r="T2725" s="10"/>
    </row>
    <row r="2726" s="35" customFormat="1" ht="18.5" customHeight="1" spans="1:20">
      <c r="A2726" s="9"/>
      <c r="B2726" s="25"/>
      <c r="C2726" s="25"/>
      <c r="D2726" s="25"/>
      <c r="E2726" s="25"/>
      <c r="F2726" s="25"/>
      <c r="G2726" s="25"/>
      <c r="H2726" s="25"/>
      <c r="I2726" s="25"/>
      <c r="J2726" s="25"/>
      <c r="K2726" s="25"/>
      <c r="L2726" s="25"/>
      <c r="M2726" s="42" t="s">
        <v>253</v>
      </c>
      <c r="N2726" s="41">
        <v>45239</v>
      </c>
      <c r="O2726" s="25">
        <v>76</v>
      </c>
      <c r="P2726" s="25">
        <v>0</v>
      </c>
      <c r="Q2726" s="25"/>
      <c r="R2726" s="25"/>
      <c r="S2726" s="25"/>
      <c r="T2726" s="10"/>
    </row>
    <row r="2727" s="35" customFormat="1" ht="18.5" customHeight="1" spans="1:20">
      <c r="A2727" s="9"/>
      <c r="B2727" s="25"/>
      <c r="C2727" s="25"/>
      <c r="D2727" s="25"/>
      <c r="E2727" s="25"/>
      <c r="F2727" s="25"/>
      <c r="G2727" s="25"/>
      <c r="H2727" s="25"/>
      <c r="I2727" s="25"/>
      <c r="J2727" s="25"/>
      <c r="K2727" s="25"/>
      <c r="L2727" s="25"/>
      <c r="M2727" s="42" t="s">
        <v>253</v>
      </c>
      <c r="N2727" s="41">
        <v>45239</v>
      </c>
      <c r="O2727" s="25">
        <v>586</v>
      </c>
      <c r="P2727" s="25">
        <v>0</v>
      </c>
      <c r="Q2727" s="25"/>
      <c r="R2727" s="25"/>
      <c r="S2727" s="25"/>
      <c r="T2727" s="10"/>
    </row>
    <row r="2728" s="35" customFormat="1" ht="18.5" customHeight="1" spans="1:20">
      <c r="A2728" s="9"/>
      <c r="B2728" s="25"/>
      <c r="C2728" s="25"/>
      <c r="D2728" s="25"/>
      <c r="E2728" s="25"/>
      <c r="F2728" s="25"/>
      <c r="G2728" s="25"/>
      <c r="H2728" s="25"/>
      <c r="I2728" s="25"/>
      <c r="J2728" s="25"/>
      <c r="K2728" s="25"/>
      <c r="L2728" s="25"/>
      <c r="M2728" s="42" t="s">
        <v>253</v>
      </c>
      <c r="N2728" s="41">
        <v>45239</v>
      </c>
      <c r="O2728" s="25">
        <v>82</v>
      </c>
      <c r="P2728" s="25">
        <v>0</v>
      </c>
      <c r="Q2728" s="25"/>
      <c r="R2728" s="25"/>
      <c r="S2728" s="25"/>
      <c r="T2728" s="10"/>
    </row>
    <row r="2729" s="35" customFormat="1" ht="18.5" customHeight="1" spans="1:20">
      <c r="A2729" s="9"/>
      <c r="B2729" s="25"/>
      <c r="C2729" s="25"/>
      <c r="D2729" s="25"/>
      <c r="E2729" s="25"/>
      <c r="F2729" s="25"/>
      <c r="G2729" s="25"/>
      <c r="H2729" s="25"/>
      <c r="I2729" s="25"/>
      <c r="J2729" s="25"/>
      <c r="K2729" s="25"/>
      <c r="L2729" s="25"/>
      <c r="M2729" s="42" t="s">
        <v>253</v>
      </c>
      <c r="N2729" s="41">
        <v>45239</v>
      </c>
      <c r="O2729" s="25">
        <v>100</v>
      </c>
      <c r="P2729" s="25">
        <v>0</v>
      </c>
      <c r="Q2729" s="25"/>
      <c r="R2729" s="25"/>
      <c r="S2729" s="25"/>
      <c r="T2729" s="10"/>
    </row>
    <row r="2730" s="35" customFormat="1" ht="18.5" customHeight="1" spans="1:20">
      <c r="A2730" s="9"/>
      <c r="B2730" s="25"/>
      <c r="C2730" s="25"/>
      <c r="D2730" s="25"/>
      <c r="E2730" s="25"/>
      <c r="F2730" s="25"/>
      <c r="G2730" s="25"/>
      <c r="H2730" s="25"/>
      <c r="I2730" s="25"/>
      <c r="J2730" s="25"/>
      <c r="K2730" s="25"/>
      <c r="L2730" s="25"/>
      <c r="M2730" s="42" t="s">
        <v>253</v>
      </c>
      <c r="N2730" s="41">
        <v>45239</v>
      </c>
      <c r="O2730" s="25">
        <v>131</v>
      </c>
      <c r="P2730" s="25">
        <v>0</v>
      </c>
      <c r="Q2730" s="25"/>
      <c r="R2730" s="25"/>
      <c r="S2730" s="25"/>
      <c r="T2730" s="10"/>
    </row>
    <row r="2731" s="35" customFormat="1" ht="18.5" customHeight="1" spans="1:20">
      <c r="A2731" s="9"/>
      <c r="B2731" s="25"/>
      <c r="C2731" s="25"/>
      <c r="D2731" s="25"/>
      <c r="E2731" s="25"/>
      <c r="F2731" s="25"/>
      <c r="G2731" s="25"/>
      <c r="H2731" s="25"/>
      <c r="I2731" s="25"/>
      <c r="J2731" s="25"/>
      <c r="K2731" s="25"/>
      <c r="L2731" s="25"/>
      <c r="M2731" s="42" t="s">
        <v>253</v>
      </c>
      <c r="N2731" s="41">
        <v>45239</v>
      </c>
      <c r="O2731" s="25">
        <v>91</v>
      </c>
      <c r="P2731" s="25">
        <v>0</v>
      </c>
      <c r="Q2731" s="25"/>
      <c r="R2731" s="25"/>
      <c r="S2731" s="25"/>
      <c r="T2731" s="10"/>
    </row>
    <row r="2732" s="35" customFormat="1" ht="18.5" customHeight="1" spans="1:20">
      <c r="A2732" s="9"/>
      <c r="B2732" s="25"/>
      <c r="C2732" s="25"/>
      <c r="D2732" s="25"/>
      <c r="E2732" s="25"/>
      <c r="F2732" s="25"/>
      <c r="G2732" s="25"/>
      <c r="H2732" s="25"/>
      <c r="I2732" s="25"/>
      <c r="J2732" s="25"/>
      <c r="K2732" s="25"/>
      <c r="L2732" s="25"/>
      <c r="M2732" s="42" t="s">
        <v>253</v>
      </c>
      <c r="N2732" s="41">
        <v>45239</v>
      </c>
      <c r="O2732" s="25">
        <v>378</v>
      </c>
      <c r="P2732" s="25">
        <v>0</v>
      </c>
      <c r="Q2732" s="25"/>
      <c r="R2732" s="25"/>
      <c r="S2732" s="25"/>
      <c r="T2732" s="10"/>
    </row>
    <row r="2733" s="35" customFormat="1" ht="18.5" customHeight="1" spans="1:20">
      <c r="A2733" s="9"/>
      <c r="B2733" s="25"/>
      <c r="C2733" s="25"/>
      <c r="D2733" s="25"/>
      <c r="E2733" s="25"/>
      <c r="F2733" s="25"/>
      <c r="G2733" s="25"/>
      <c r="H2733" s="25"/>
      <c r="I2733" s="25"/>
      <c r="J2733" s="25"/>
      <c r="K2733" s="25"/>
      <c r="L2733" s="25"/>
      <c r="M2733" s="42" t="s">
        <v>253</v>
      </c>
      <c r="N2733" s="41">
        <v>45239</v>
      </c>
      <c r="O2733" s="25">
        <v>92</v>
      </c>
      <c r="P2733" s="25">
        <v>0</v>
      </c>
      <c r="Q2733" s="25"/>
      <c r="R2733" s="25"/>
      <c r="S2733" s="25"/>
      <c r="T2733" s="10"/>
    </row>
    <row r="2734" s="35" customFormat="1" ht="18.5" customHeight="1" spans="1:20">
      <c r="A2734" s="9"/>
      <c r="B2734" s="25"/>
      <c r="C2734" s="25"/>
      <c r="D2734" s="25"/>
      <c r="E2734" s="25"/>
      <c r="F2734" s="25"/>
      <c r="G2734" s="25"/>
      <c r="H2734" s="25"/>
      <c r="I2734" s="25"/>
      <c r="J2734" s="25"/>
      <c r="K2734" s="25"/>
      <c r="L2734" s="25"/>
      <c r="M2734" s="42" t="s">
        <v>253</v>
      </c>
      <c r="N2734" s="41">
        <v>45239</v>
      </c>
      <c r="O2734" s="25">
        <v>107</v>
      </c>
      <c r="P2734" s="25">
        <v>0</v>
      </c>
      <c r="Q2734" s="25"/>
      <c r="R2734" s="25"/>
      <c r="S2734" s="25"/>
      <c r="T2734" s="10"/>
    </row>
    <row r="2735" s="35" customFormat="1" ht="18.5" customHeight="1" spans="1:20">
      <c r="A2735" s="9"/>
      <c r="B2735" s="25"/>
      <c r="C2735" s="25"/>
      <c r="D2735" s="25"/>
      <c r="E2735" s="25"/>
      <c r="F2735" s="25"/>
      <c r="G2735" s="25"/>
      <c r="H2735" s="25"/>
      <c r="I2735" s="25"/>
      <c r="J2735" s="25"/>
      <c r="K2735" s="25"/>
      <c r="L2735" s="25"/>
      <c r="M2735" s="42" t="s">
        <v>253</v>
      </c>
      <c r="N2735" s="41">
        <v>45239</v>
      </c>
      <c r="O2735" s="25">
        <v>94</v>
      </c>
      <c r="P2735" s="25">
        <v>0</v>
      </c>
      <c r="Q2735" s="25"/>
      <c r="R2735" s="25"/>
      <c r="S2735" s="25"/>
      <c r="T2735" s="10"/>
    </row>
    <row r="2736" s="35" customFormat="1" ht="18.5" customHeight="1" spans="1:20">
      <c r="A2736" s="9"/>
      <c r="B2736" s="25"/>
      <c r="C2736" s="25"/>
      <c r="D2736" s="25"/>
      <c r="E2736" s="25"/>
      <c r="F2736" s="25"/>
      <c r="G2736" s="25"/>
      <c r="H2736" s="25"/>
      <c r="I2736" s="25"/>
      <c r="J2736" s="25"/>
      <c r="K2736" s="25"/>
      <c r="L2736" s="25"/>
      <c r="M2736" s="42" t="s">
        <v>253</v>
      </c>
      <c r="N2736" s="41">
        <v>45239</v>
      </c>
      <c r="O2736" s="25">
        <v>82</v>
      </c>
      <c r="P2736" s="25">
        <v>0</v>
      </c>
      <c r="Q2736" s="25"/>
      <c r="R2736" s="25"/>
      <c r="S2736" s="25"/>
      <c r="T2736" s="10"/>
    </row>
    <row r="2737" s="35" customFormat="1" ht="18.5" customHeight="1" spans="1:20">
      <c r="A2737" s="9"/>
      <c r="B2737" s="25"/>
      <c r="C2737" s="25"/>
      <c r="D2737" s="25"/>
      <c r="E2737" s="25"/>
      <c r="F2737" s="25"/>
      <c r="G2737" s="25"/>
      <c r="H2737" s="25"/>
      <c r="I2737" s="25"/>
      <c r="J2737" s="25"/>
      <c r="K2737" s="25"/>
      <c r="L2737" s="25"/>
      <c r="M2737" s="42" t="s">
        <v>253</v>
      </c>
      <c r="N2737" s="41">
        <v>45239</v>
      </c>
      <c r="O2737" s="25">
        <v>4313</v>
      </c>
      <c r="P2737" s="25">
        <v>0</v>
      </c>
      <c r="Q2737" s="25"/>
      <c r="R2737" s="25"/>
      <c r="S2737" s="25"/>
      <c r="T2737" s="10"/>
    </row>
    <row r="2738" s="35" customFormat="1" ht="18.5" customHeight="1" spans="1:20">
      <c r="A2738" s="9"/>
      <c r="B2738" s="25"/>
      <c r="C2738" s="25"/>
      <c r="D2738" s="25"/>
      <c r="E2738" s="25"/>
      <c r="F2738" s="25"/>
      <c r="G2738" s="25"/>
      <c r="H2738" s="25"/>
      <c r="I2738" s="25"/>
      <c r="J2738" s="25"/>
      <c r="K2738" s="25"/>
      <c r="L2738" s="25"/>
      <c r="M2738" s="42" t="s">
        <v>253</v>
      </c>
      <c r="N2738" s="41">
        <v>45239</v>
      </c>
      <c r="O2738" s="25">
        <v>53</v>
      </c>
      <c r="P2738" s="25">
        <v>0</v>
      </c>
      <c r="Q2738" s="25"/>
      <c r="R2738" s="25"/>
      <c r="S2738" s="25"/>
      <c r="T2738" s="10"/>
    </row>
    <row r="2739" s="35" customFormat="1" ht="18.5" customHeight="1" spans="1:20">
      <c r="A2739" s="9"/>
      <c r="B2739" s="25"/>
      <c r="C2739" s="25"/>
      <c r="D2739" s="25"/>
      <c r="E2739" s="25"/>
      <c r="F2739" s="25"/>
      <c r="G2739" s="25"/>
      <c r="H2739" s="25"/>
      <c r="I2739" s="25"/>
      <c r="J2739" s="25"/>
      <c r="K2739" s="25"/>
      <c r="L2739" s="25"/>
      <c r="M2739" s="42" t="s">
        <v>253</v>
      </c>
      <c r="N2739" s="41">
        <v>45239</v>
      </c>
      <c r="O2739" s="25">
        <v>159</v>
      </c>
      <c r="P2739" s="25">
        <v>0</v>
      </c>
      <c r="Q2739" s="25"/>
      <c r="R2739" s="25"/>
      <c r="S2739" s="25"/>
      <c r="T2739" s="10"/>
    </row>
    <row r="2740" s="35" customFormat="1" ht="18.5" customHeight="1" spans="1:20">
      <c r="A2740" s="9"/>
      <c r="B2740" s="25"/>
      <c r="C2740" s="25"/>
      <c r="D2740" s="25"/>
      <c r="E2740" s="25"/>
      <c r="F2740" s="25"/>
      <c r="G2740" s="25"/>
      <c r="H2740" s="25"/>
      <c r="I2740" s="25"/>
      <c r="J2740" s="25"/>
      <c r="K2740" s="25"/>
      <c r="L2740" s="25"/>
      <c r="M2740" s="42" t="s">
        <v>253</v>
      </c>
      <c r="N2740" s="41">
        <v>45239</v>
      </c>
      <c r="O2740" s="25">
        <v>494</v>
      </c>
      <c r="P2740" s="25">
        <v>0</v>
      </c>
      <c r="Q2740" s="25"/>
      <c r="R2740" s="25"/>
      <c r="S2740" s="25"/>
      <c r="T2740" s="10"/>
    </row>
    <row r="2741" s="35" customFormat="1" ht="18.5" customHeight="1" spans="1:20">
      <c r="A2741" s="9"/>
      <c r="B2741" s="25"/>
      <c r="C2741" s="25"/>
      <c r="D2741" s="25"/>
      <c r="E2741" s="25"/>
      <c r="F2741" s="25"/>
      <c r="G2741" s="25"/>
      <c r="H2741" s="25"/>
      <c r="I2741" s="25"/>
      <c r="J2741" s="25"/>
      <c r="K2741" s="25"/>
      <c r="L2741" s="25"/>
      <c r="M2741" s="42" t="s">
        <v>253</v>
      </c>
      <c r="N2741" s="41">
        <v>45239</v>
      </c>
      <c r="O2741" s="25">
        <v>86</v>
      </c>
      <c r="P2741" s="25">
        <v>0</v>
      </c>
      <c r="Q2741" s="25"/>
      <c r="R2741" s="25"/>
      <c r="S2741" s="25"/>
      <c r="T2741" s="10"/>
    </row>
    <row r="2742" s="35" customFormat="1" ht="18.5" customHeight="1" spans="1:20">
      <c r="A2742" s="9"/>
      <c r="B2742" s="25"/>
      <c r="C2742" s="25"/>
      <c r="D2742" s="25"/>
      <c r="E2742" s="25"/>
      <c r="F2742" s="25"/>
      <c r="G2742" s="25"/>
      <c r="H2742" s="25"/>
      <c r="I2742" s="25"/>
      <c r="J2742" s="25"/>
      <c r="K2742" s="25"/>
      <c r="L2742" s="25"/>
      <c r="M2742" s="42" t="s">
        <v>253</v>
      </c>
      <c r="N2742" s="41">
        <v>45239</v>
      </c>
      <c r="O2742" s="25">
        <v>71</v>
      </c>
      <c r="P2742" s="25">
        <v>0</v>
      </c>
      <c r="Q2742" s="25"/>
      <c r="R2742" s="25"/>
      <c r="S2742" s="25"/>
      <c r="T2742" s="10"/>
    </row>
    <row r="2743" s="35" customFormat="1" ht="18.5" customHeight="1" spans="1:20">
      <c r="A2743" s="9"/>
      <c r="B2743" s="25"/>
      <c r="C2743" s="25"/>
      <c r="D2743" s="25"/>
      <c r="E2743" s="25"/>
      <c r="F2743" s="25"/>
      <c r="G2743" s="25"/>
      <c r="H2743" s="25"/>
      <c r="I2743" s="25"/>
      <c r="J2743" s="25"/>
      <c r="K2743" s="25"/>
      <c r="L2743" s="25"/>
      <c r="M2743" s="42" t="s">
        <v>253</v>
      </c>
      <c r="N2743" s="41">
        <v>45239</v>
      </c>
      <c r="O2743" s="25">
        <v>57</v>
      </c>
      <c r="P2743" s="25">
        <v>0</v>
      </c>
      <c r="Q2743" s="25"/>
      <c r="R2743" s="25"/>
      <c r="S2743" s="25"/>
      <c r="T2743" s="10"/>
    </row>
    <row r="2744" s="35" customFormat="1" ht="18.5" customHeight="1" spans="1:20">
      <c r="A2744" s="9"/>
      <c r="B2744" s="25"/>
      <c r="C2744" s="25"/>
      <c r="D2744" s="25"/>
      <c r="E2744" s="25"/>
      <c r="F2744" s="25"/>
      <c r="G2744" s="25"/>
      <c r="H2744" s="25"/>
      <c r="I2744" s="25"/>
      <c r="J2744" s="25"/>
      <c r="K2744" s="25"/>
      <c r="L2744" s="25"/>
      <c r="M2744" s="42" t="s">
        <v>253</v>
      </c>
      <c r="N2744" s="41">
        <v>45239</v>
      </c>
      <c r="O2744" s="25">
        <v>109</v>
      </c>
      <c r="P2744" s="25">
        <v>0</v>
      </c>
      <c r="Q2744" s="25"/>
      <c r="R2744" s="25"/>
      <c r="S2744" s="25"/>
      <c r="T2744" s="10"/>
    </row>
    <row r="2745" s="35" customFormat="1" ht="18.5" customHeight="1" spans="1:20">
      <c r="A2745" s="9"/>
      <c r="B2745" s="25"/>
      <c r="C2745" s="25"/>
      <c r="D2745" s="25"/>
      <c r="E2745" s="25"/>
      <c r="F2745" s="25"/>
      <c r="G2745" s="25"/>
      <c r="H2745" s="25"/>
      <c r="I2745" s="25"/>
      <c r="J2745" s="25"/>
      <c r="K2745" s="25"/>
      <c r="L2745" s="25"/>
      <c r="M2745" s="42" t="s">
        <v>253</v>
      </c>
      <c r="N2745" s="41">
        <v>45239</v>
      </c>
      <c r="O2745" s="25">
        <v>67</v>
      </c>
      <c r="P2745" s="25">
        <v>0</v>
      </c>
      <c r="Q2745" s="25"/>
      <c r="R2745" s="25"/>
      <c r="S2745" s="25"/>
      <c r="T2745" s="10"/>
    </row>
    <row r="2746" s="35" customFormat="1" ht="18.5" customHeight="1" spans="1:20">
      <c r="A2746" s="9"/>
      <c r="B2746" s="25"/>
      <c r="C2746" s="25"/>
      <c r="D2746" s="25"/>
      <c r="E2746" s="25"/>
      <c r="F2746" s="25"/>
      <c r="G2746" s="25"/>
      <c r="H2746" s="25"/>
      <c r="I2746" s="25"/>
      <c r="J2746" s="25"/>
      <c r="K2746" s="25"/>
      <c r="L2746" s="25"/>
      <c r="M2746" s="42" t="s">
        <v>253</v>
      </c>
      <c r="N2746" s="41">
        <v>45239</v>
      </c>
      <c r="O2746" s="25">
        <v>118</v>
      </c>
      <c r="P2746" s="25">
        <v>0</v>
      </c>
      <c r="Q2746" s="25"/>
      <c r="R2746" s="25"/>
      <c r="S2746" s="25"/>
      <c r="T2746" s="10"/>
    </row>
    <row r="2747" s="35" customFormat="1" ht="18.5" customHeight="1" spans="1:20">
      <c r="A2747" s="9"/>
      <c r="B2747" s="25"/>
      <c r="C2747" s="25"/>
      <c r="D2747" s="25"/>
      <c r="E2747" s="25"/>
      <c r="F2747" s="25"/>
      <c r="G2747" s="25"/>
      <c r="H2747" s="25"/>
      <c r="I2747" s="25"/>
      <c r="J2747" s="25"/>
      <c r="K2747" s="25"/>
      <c r="L2747" s="25"/>
      <c r="M2747" s="42" t="s">
        <v>253</v>
      </c>
      <c r="N2747" s="41">
        <v>45239</v>
      </c>
      <c r="O2747" s="25">
        <v>78</v>
      </c>
      <c r="P2747" s="25">
        <v>0</v>
      </c>
      <c r="Q2747" s="25"/>
      <c r="R2747" s="25"/>
      <c r="S2747" s="25"/>
      <c r="T2747" s="10"/>
    </row>
    <row r="2748" s="35" customFormat="1" ht="18.5" customHeight="1" spans="1:20">
      <c r="A2748" s="9"/>
      <c r="B2748" s="25"/>
      <c r="C2748" s="25"/>
      <c r="D2748" s="25"/>
      <c r="E2748" s="25"/>
      <c r="F2748" s="25"/>
      <c r="G2748" s="25"/>
      <c r="H2748" s="25"/>
      <c r="I2748" s="25"/>
      <c r="J2748" s="25"/>
      <c r="K2748" s="25"/>
      <c r="L2748" s="25"/>
      <c r="M2748" s="42" t="s">
        <v>253</v>
      </c>
      <c r="N2748" s="41">
        <v>45238</v>
      </c>
      <c r="O2748" s="25">
        <v>54</v>
      </c>
      <c r="P2748" s="25">
        <v>0</v>
      </c>
      <c r="Q2748" s="25"/>
      <c r="R2748" s="25"/>
      <c r="S2748" s="25"/>
      <c r="T2748" s="10"/>
    </row>
    <row r="2749" s="35" customFormat="1" ht="18.5" customHeight="1" spans="1:20">
      <c r="A2749" s="9"/>
      <c r="B2749" s="25"/>
      <c r="C2749" s="25"/>
      <c r="D2749" s="25"/>
      <c r="E2749" s="25"/>
      <c r="F2749" s="25"/>
      <c r="G2749" s="25"/>
      <c r="H2749" s="25"/>
      <c r="I2749" s="25"/>
      <c r="J2749" s="25"/>
      <c r="K2749" s="25"/>
      <c r="L2749" s="25"/>
      <c r="M2749" s="42" t="s">
        <v>253</v>
      </c>
      <c r="N2749" s="41">
        <v>45238</v>
      </c>
      <c r="O2749" s="25">
        <v>201</v>
      </c>
      <c r="P2749" s="25">
        <v>0</v>
      </c>
      <c r="Q2749" s="25"/>
      <c r="R2749" s="25"/>
      <c r="S2749" s="25"/>
      <c r="T2749" s="10"/>
    </row>
    <row r="2750" s="35" customFormat="1" ht="18.5" customHeight="1" spans="1:20">
      <c r="A2750" s="9"/>
      <c r="B2750" s="25"/>
      <c r="C2750" s="25"/>
      <c r="D2750" s="25"/>
      <c r="E2750" s="25"/>
      <c r="F2750" s="25"/>
      <c r="G2750" s="25"/>
      <c r="H2750" s="25"/>
      <c r="I2750" s="25"/>
      <c r="J2750" s="25"/>
      <c r="K2750" s="25"/>
      <c r="L2750" s="25"/>
      <c r="M2750" s="42" t="s">
        <v>253</v>
      </c>
      <c r="N2750" s="41">
        <v>45238</v>
      </c>
      <c r="O2750" s="25">
        <v>91</v>
      </c>
      <c r="P2750" s="25">
        <v>0</v>
      </c>
      <c r="Q2750" s="25"/>
      <c r="R2750" s="25"/>
      <c r="S2750" s="25"/>
      <c r="T2750" s="10"/>
    </row>
    <row r="2751" s="35" customFormat="1" ht="18.5" customHeight="1" spans="1:20">
      <c r="A2751" s="9"/>
      <c r="B2751" s="25"/>
      <c r="C2751" s="25"/>
      <c r="D2751" s="25"/>
      <c r="E2751" s="25"/>
      <c r="F2751" s="25"/>
      <c r="G2751" s="25"/>
      <c r="H2751" s="25"/>
      <c r="I2751" s="25"/>
      <c r="J2751" s="25"/>
      <c r="K2751" s="25"/>
      <c r="L2751" s="25"/>
      <c r="M2751" s="42" t="s">
        <v>253</v>
      </c>
      <c r="N2751" s="41">
        <v>45238</v>
      </c>
      <c r="O2751" s="25">
        <v>98</v>
      </c>
      <c r="P2751" s="25">
        <v>0</v>
      </c>
      <c r="Q2751" s="25"/>
      <c r="R2751" s="25"/>
      <c r="S2751" s="25"/>
      <c r="T2751" s="10"/>
    </row>
    <row r="2752" s="35" customFormat="1" ht="18.5" customHeight="1" spans="1:20">
      <c r="A2752" s="9"/>
      <c r="B2752" s="25"/>
      <c r="C2752" s="25"/>
      <c r="D2752" s="25"/>
      <c r="E2752" s="25"/>
      <c r="F2752" s="25"/>
      <c r="G2752" s="25"/>
      <c r="H2752" s="25"/>
      <c r="I2752" s="25"/>
      <c r="J2752" s="25"/>
      <c r="K2752" s="25"/>
      <c r="L2752" s="25"/>
      <c r="M2752" s="42" t="s">
        <v>253</v>
      </c>
      <c r="N2752" s="41">
        <v>45238</v>
      </c>
      <c r="O2752" s="25">
        <v>90</v>
      </c>
      <c r="P2752" s="25">
        <v>0</v>
      </c>
      <c r="Q2752" s="25"/>
      <c r="R2752" s="25"/>
      <c r="S2752" s="25"/>
      <c r="T2752" s="10"/>
    </row>
    <row r="2753" s="35" customFormat="1" ht="18.5" customHeight="1" spans="1:20">
      <c r="A2753" s="9"/>
      <c r="B2753" s="25"/>
      <c r="C2753" s="25"/>
      <c r="D2753" s="25"/>
      <c r="E2753" s="25"/>
      <c r="F2753" s="25"/>
      <c r="G2753" s="25"/>
      <c r="H2753" s="25"/>
      <c r="I2753" s="25"/>
      <c r="J2753" s="25"/>
      <c r="K2753" s="25"/>
      <c r="L2753" s="25"/>
      <c r="M2753" s="42" t="s">
        <v>253</v>
      </c>
      <c r="N2753" s="41">
        <v>45238</v>
      </c>
      <c r="O2753" s="25">
        <v>172</v>
      </c>
      <c r="P2753" s="25">
        <v>0</v>
      </c>
      <c r="Q2753" s="25"/>
      <c r="R2753" s="25"/>
      <c r="S2753" s="25"/>
      <c r="T2753" s="10"/>
    </row>
    <row r="2754" s="35" customFormat="1" ht="18.5" customHeight="1" spans="1:20">
      <c r="A2754" s="9"/>
      <c r="B2754" s="25"/>
      <c r="C2754" s="25"/>
      <c r="D2754" s="25"/>
      <c r="E2754" s="25"/>
      <c r="F2754" s="25"/>
      <c r="G2754" s="25"/>
      <c r="H2754" s="25"/>
      <c r="I2754" s="25"/>
      <c r="J2754" s="25"/>
      <c r="K2754" s="25"/>
      <c r="L2754" s="25"/>
      <c r="M2754" s="42" t="s">
        <v>253</v>
      </c>
      <c r="N2754" s="41">
        <v>45238</v>
      </c>
      <c r="O2754" s="25">
        <v>100</v>
      </c>
      <c r="P2754" s="25">
        <v>0</v>
      </c>
      <c r="Q2754" s="25"/>
      <c r="R2754" s="25"/>
      <c r="S2754" s="25"/>
      <c r="T2754" s="10"/>
    </row>
    <row r="2755" s="35" customFormat="1" ht="18.5" customHeight="1" spans="1:20">
      <c r="A2755" s="9"/>
      <c r="B2755" s="25"/>
      <c r="C2755" s="25"/>
      <c r="D2755" s="25"/>
      <c r="E2755" s="25"/>
      <c r="F2755" s="25"/>
      <c r="G2755" s="25"/>
      <c r="H2755" s="25"/>
      <c r="I2755" s="25"/>
      <c r="J2755" s="25"/>
      <c r="K2755" s="25"/>
      <c r="L2755" s="25"/>
      <c r="M2755" s="42" t="s">
        <v>253</v>
      </c>
      <c r="N2755" s="41">
        <v>45238</v>
      </c>
      <c r="O2755" s="25">
        <v>150</v>
      </c>
      <c r="P2755" s="25">
        <v>0</v>
      </c>
      <c r="Q2755" s="25"/>
      <c r="R2755" s="25"/>
      <c r="S2755" s="25"/>
      <c r="T2755" s="10"/>
    </row>
    <row r="2756" s="35" customFormat="1" ht="18.5" customHeight="1" spans="1:20">
      <c r="A2756" s="9"/>
      <c r="B2756" s="25"/>
      <c r="C2756" s="25"/>
      <c r="D2756" s="25"/>
      <c r="E2756" s="25"/>
      <c r="F2756" s="25"/>
      <c r="G2756" s="25"/>
      <c r="H2756" s="25"/>
      <c r="I2756" s="25"/>
      <c r="J2756" s="25"/>
      <c r="K2756" s="25"/>
      <c r="L2756" s="25"/>
      <c r="M2756" s="42" t="s">
        <v>253</v>
      </c>
      <c r="N2756" s="41">
        <v>45238</v>
      </c>
      <c r="O2756" s="25">
        <v>152</v>
      </c>
      <c r="P2756" s="25">
        <v>0</v>
      </c>
      <c r="Q2756" s="25"/>
      <c r="R2756" s="25"/>
      <c r="S2756" s="25"/>
      <c r="T2756" s="10"/>
    </row>
    <row r="2757" s="35" customFormat="1" ht="18.5" customHeight="1" spans="1:20">
      <c r="A2757" s="9"/>
      <c r="B2757" s="25"/>
      <c r="C2757" s="25"/>
      <c r="D2757" s="25"/>
      <c r="E2757" s="25"/>
      <c r="F2757" s="25"/>
      <c r="G2757" s="25"/>
      <c r="H2757" s="25"/>
      <c r="I2757" s="25"/>
      <c r="J2757" s="25"/>
      <c r="K2757" s="25"/>
      <c r="L2757" s="25"/>
      <c r="M2757" s="42" t="s">
        <v>253</v>
      </c>
      <c r="N2757" s="41">
        <v>45238</v>
      </c>
      <c r="O2757" s="25">
        <v>120</v>
      </c>
      <c r="P2757" s="25">
        <v>0</v>
      </c>
      <c r="Q2757" s="25"/>
      <c r="R2757" s="25"/>
      <c r="S2757" s="25"/>
      <c r="T2757" s="10"/>
    </row>
    <row r="2758" s="35" customFormat="1" ht="18.5" customHeight="1" spans="1:20">
      <c r="A2758" s="9"/>
      <c r="B2758" s="25"/>
      <c r="C2758" s="25"/>
      <c r="D2758" s="25"/>
      <c r="E2758" s="25"/>
      <c r="F2758" s="25"/>
      <c r="G2758" s="25"/>
      <c r="H2758" s="25"/>
      <c r="I2758" s="25"/>
      <c r="J2758" s="25"/>
      <c r="K2758" s="25"/>
      <c r="L2758" s="25"/>
      <c r="M2758" s="42" t="s">
        <v>253</v>
      </c>
      <c r="N2758" s="41">
        <v>45238</v>
      </c>
      <c r="O2758" s="25">
        <v>50</v>
      </c>
      <c r="P2758" s="25">
        <v>0</v>
      </c>
      <c r="Q2758" s="25"/>
      <c r="R2758" s="25"/>
      <c r="S2758" s="25"/>
      <c r="T2758" s="10"/>
    </row>
    <row r="2759" s="35" customFormat="1" ht="18.5" customHeight="1" spans="1:20">
      <c r="A2759" s="9"/>
      <c r="B2759" s="25"/>
      <c r="C2759" s="25"/>
      <c r="D2759" s="25"/>
      <c r="E2759" s="25"/>
      <c r="F2759" s="25"/>
      <c r="G2759" s="25"/>
      <c r="H2759" s="25"/>
      <c r="I2759" s="25"/>
      <c r="J2759" s="25"/>
      <c r="K2759" s="25"/>
      <c r="L2759" s="25"/>
      <c r="M2759" s="42" t="s">
        <v>253</v>
      </c>
      <c r="N2759" s="41">
        <v>45238</v>
      </c>
      <c r="O2759" s="25">
        <v>379</v>
      </c>
      <c r="P2759" s="25">
        <v>0</v>
      </c>
      <c r="Q2759" s="25"/>
      <c r="R2759" s="25"/>
      <c r="S2759" s="25"/>
      <c r="T2759" s="10"/>
    </row>
    <row r="2760" s="35" customFormat="1" ht="18.5" customHeight="1" spans="1:20">
      <c r="A2760" s="9"/>
      <c r="B2760" s="25"/>
      <c r="C2760" s="25"/>
      <c r="D2760" s="25"/>
      <c r="E2760" s="25"/>
      <c r="F2760" s="25"/>
      <c r="G2760" s="25"/>
      <c r="H2760" s="25"/>
      <c r="I2760" s="25"/>
      <c r="J2760" s="25"/>
      <c r="K2760" s="25"/>
      <c r="L2760" s="25"/>
      <c r="M2760" s="42" t="s">
        <v>253</v>
      </c>
      <c r="N2760" s="41">
        <v>45238</v>
      </c>
      <c r="O2760" s="25">
        <v>118</v>
      </c>
      <c r="P2760" s="25">
        <v>0</v>
      </c>
      <c r="Q2760" s="25"/>
      <c r="R2760" s="25"/>
      <c r="S2760" s="25"/>
      <c r="T2760" s="10"/>
    </row>
    <row r="2761" s="35" customFormat="1" ht="18.5" customHeight="1" spans="1:20">
      <c r="A2761" s="9"/>
      <c r="B2761" s="25"/>
      <c r="C2761" s="25"/>
      <c r="D2761" s="25"/>
      <c r="E2761" s="25"/>
      <c r="F2761" s="25"/>
      <c r="G2761" s="25"/>
      <c r="H2761" s="25"/>
      <c r="I2761" s="25"/>
      <c r="J2761" s="25"/>
      <c r="K2761" s="25"/>
      <c r="L2761" s="25"/>
      <c r="M2761" s="42" t="s">
        <v>253</v>
      </c>
      <c r="N2761" s="41">
        <v>45238</v>
      </c>
      <c r="O2761" s="25">
        <v>64</v>
      </c>
      <c r="P2761" s="25">
        <v>0</v>
      </c>
      <c r="Q2761" s="25"/>
      <c r="R2761" s="25"/>
      <c r="S2761" s="25"/>
      <c r="T2761" s="10"/>
    </row>
    <row r="2762" s="35" customFormat="1" ht="18.5" customHeight="1" spans="1:20">
      <c r="A2762" s="9"/>
      <c r="B2762" s="25"/>
      <c r="C2762" s="25"/>
      <c r="D2762" s="25"/>
      <c r="E2762" s="25"/>
      <c r="F2762" s="25"/>
      <c r="G2762" s="25"/>
      <c r="H2762" s="25"/>
      <c r="I2762" s="25"/>
      <c r="J2762" s="25"/>
      <c r="K2762" s="25"/>
      <c r="L2762" s="25"/>
      <c r="M2762" s="42" t="s">
        <v>253</v>
      </c>
      <c r="N2762" s="41">
        <v>45238</v>
      </c>
      <c r="O2762" s="25">
        <v>74</v>
      </c>
      <c r="P2762" s="25">
        <v>0</v>
      </c>
      <c r="Q2762" s="25"/>
      <c r="R2762" s="25"/>
      <c r="S2762" s="25"/>
      <c r="T2762" s="10"/>
    </row>
    <row r="2763" s="35" customFormat="1" ht="18.5" customHeight="1" spans="1:20">
      <c r="A2763" s="9"/>
      <c r="B2763" s="25"/>
      <c r="C2763" s="25"/>
      <c r="D2763" s="25"/>
      <c r="E2763" s="25"/>
      <c r="F2763" s="25"/>
      <c r="G2763" s="25"/>
      <c r="H2763" s="25"/>
      <c r="I2763" s="25"/>
      <c r="J2763" s="25"/>
      <c r="K2763" s="25"/>
      <c r="L2763" s="25"/>
      <c r="M2763" s="42" t="s">
        <v>253</v>
      </c>
      <c r="N2763" s="41">
        <v>45238</v>
      </c>
      <c r="O2763" s="25">
        <v>75</v>
      </c>
      <c r="P2763" s="25">
        <v>0</v>
      </c>
      <c r="Q2763" s="25"/>
      <c r="R2763" s="25"/>
      <c r="S2763" s="25"/>
      <c r="T2763" s="10"/>
    </row>
    <row r="2764" s="35" customFormat="1" ht="18.5" customHeight="1" spans="1:20">
      <c r="A2764" s="9"/>
      <c r="B2764" s="25"/>
      <c r="C2764" s="25"/>
      <c r="D2764" s="25"/>
      <c r="E2764" s="25"/>
      <c r="F2764" s="25"/>
      <c r="G2764" s="25"/>
      <c r="H2764" s="25"/>
      <c r="I2764" s="25"/>
      <c r="J2764" s="25"/>
      <c r="K2764" s="25"/>
      <c r="L2764" s="25"/>
      <c r="M2764" s="42" t="s">
        <v>253</v>
      </c>
      <c r="N2764" s="41">
        <v>45238</v>
      </c>
      <c r="O2764" s="25">
        <v>165</v>
      </c>
      <c r="P2764" s="25">
        <v>0</v>
      </c>
      <c r="Q2764" s="25"/>
      <c r="R2764" s="25"/>
      <c r="S2764" s="25"/>
      <c r="T2764" s="10"/>
    </row>
    <row r="2765" s="35" customFormat="1" ht="18.5" customHeight="1" spans="1:20">
      <c r="A2765" s="9"/>
      <c r="B2765" s="25"/>
      <c r="C2765" s="25"/>
      <c r="D2765" s="25"/>
      <c r="E2765" s="25"/>
      <c r="F2765" s="25"/>
      <c r="G2765" s="25"/>
      <c r="H2765" s="25"/>
      <c r="I2765" s="25"/>
      <c r="J2765" s="25"/>
      <c r="K2765" s="25"/>
      <c r="L2765" s="25"/>
      <c r="M2765" s="42" t="s">
        <v>253</v>
      </c>
      <c r="N2765" s="41">
        <v>45238</v>
      </c>
      <c r="O2765" s="25">
        <v>85</v>
      </c>
      <c r="P2765" s="25">
        <v>0</v>
      </c>
      <c r="Q2765" s="25"/>
      <c r="R2765" s="25"/>
      <c r="S2765" s="25"/>
      <c r="T2765" s="10"/>
    </row>
    <row r="2766" s="35" customFormat="1" ht="18.5" customHeight="1" spans="1:20">
      <c r="A2766" s="9"/>
      <c r="B2766" s="25"/>
      <c r="C2766" s="25"/>
      <c r="D2766" s="25"/>
      <c r="E2766" s="25"/>
      <c r="F2766" s="25"/>
      <c r="G2766" s="25"/>
      <c r="H2766" s="25"/>
      <c r="I2766" s="25"/>
      <c r="J2766" s="25"/>
      <c r="K2766" s="25"/>
      <c r="L2766" s="25"/>
      <c r="M2766" s="42" t="s">
        <v>253</v>
      </c>
      <c r="N2766" s="41">
        <v>45238</v>
      </c>
      <c r="O2766" s="25">
        <v>111</v>
      </c>
      <c r="P2766" s="25">
        <v>0</v>
      </c>
      <c r="Q2766" s="25"/>
      <c r="R2766" s="25"/>
      <c r="S2766" s="25"/>
      <c r="T2766" s="10"/>
    </row>
    <row r="2767" s="35" customFormat="1" ht="18.5" customHeight="1" spans="1:20">
      <c r="A2767" s="9"/>
      <c r="B2767" s="25"/>
      <c r="C2767" s="25"/>
      <c r="D2767" s="25"/>
      <c r="E2767" s="25"/>
      <c r="F2767" s="25"/>
      <c r="G2767" s="25"/>
      <c r="H2767" s="25"/>
      <c r="I2767" s="25"/>
      <c r="J2767" s="25"/>
      <c r="K2767" s="25"/>
      <c r="L2767" s="25"/>
      <c r="M2767" s="42" t="s">
        <v>253</v>
      </c>
      <c r="N2767" s="41">
        <v>45237</v>
      </c>
      <c r="O2767" s="25">
        <v>72</v>
      </c>
      <c r="P2767" s="25">
        <v>0</v>
      </c>
      <c r="Q2767" s="25"/>
      <c r="R2767" s="25"/>
      <c r="S2767" s="25"/>
      <c r="T2767" s="10"/>
    </row>
    <row r="2768" s="35" customFormat="1" ht="18.5" customHeight="1" spans="1:20">
      <c r="A2768" s="9"/>
      <c r="B2768" s="25"/>
      <c r="C2768" s="25"/>
      <c r="D2768" s="25"/>
      <c r="E2768" s="25"/>
      <c r="F2768" s="25"/>
      <c r="G2768" s="25"/>
      <c r="H2768" s="25"/>
      <c r="I2768" s="25"/>
      <c r="J2768" s="25"/>
      <c r="K2768" s="25"/>
      <c r="L2768" s="25"/>
      <c r="M2768" s="42" t="s">
        <v>253</v>
      </c>
      <c r="N2768" s="41">
        <v>45237</v>
      </c>
      <c r="O2768" s="25">
        <v>118</v>
      </c>
      <c r="P2768" s="25">
        <v>0</v>
      </c>
      <c r="Q2768" s="25"/>
      <c r="R2768" s="25"/>
      <c r="S2768" s="25"/>
      <c r="T2768" s="10"/>
    </row>
    <row r="2769" s="35" customFormat="1" ht="18.5" customHeight="1" spans="1:20">
      <c r="A2769" s="9"/>
      <c r="B2769" s="25"/>
      <c r="C2769" s="25"/>
      <c r="D2769" s="25"/>
      <c r="E2769" s="25"/>
      <c r="F2769" s="25"/>
      <c r="G2769" s="25"/>
      <c r="H2769" s="25"/>
      <c r="I2769" s="25"/>
      <c r="J2769" s="25"/>
      <c r="K2769" s="25"/>
      <c r="L2769" s="25"/>
      <c r="M2769" s="42" t="s">
        <v>253</v>
      </c>
      <c r="N2769" s="41">
        <v>45237</v>
      </c>
      <c r="O2769" s="25">
        <v>176</v>
      </c>
      <c r="P2769" s="25">
        <v>0</v>
      </c>
      <c r="Q2769" s="25"/>
      <c r="R2769" s="25"/>
      <c r="S2769" s="25"/>
      <c r="T2769" s="10"/>
    </row>
    <row r="2770" s="35" customFormat="1" ht="18.5" customHeight="1" spans="1:20">
      <c r="A2770" s="9"/>
      <c r="B2770" s="25"/>
      <c r="C2770" s="25"/>
      <c r="D2770" s="25"/>
      <c r="E2770" s="25"/>
      <c r="F2770" s="25"/>
      <c r="G2770" s="25"/>
      <c r="H2770" s="25"/>
      <c r="I2770" s="25"/>
      <c r="J2770" s="25"/>
      <c r="K2770" s="25"/>
      <c r="L2770" s="25"/>
      <c r="M2770" s="42" t="s">
        <v>253</v>
      </c>
      <c r="N2770" s="41">
        <v>45237</v>
      </c>
      <c r="O2770" s="25">
        <v>112</v>
      </c>
      <c r="P2770" s="25">
        <v>0</v>
      </c>
      <c r="Q2770" s="25"/>
      <c r="R2770" s="25"/>
      <c r="S2770" s="25"/>
      <c r="T2770" s="10"/>
    </row>
    <row r="2771" s="35" customFormat="1" ht="18.5" customHeight="1" spans="1:20">
      <c r="A2771" s="9"/>
      <c r="B2771" s="25"/>
      <c r="C2771" s="25"/>
      <c r="D2771" s="25"/>
      <c r="E2771" s="25"/>
      <c r="F2771" s="25"/>
      <c r="G2771" s="25"/>
      <c r="H2771" s="25"/>
      <c r="I2771" s="25"/>
      <c r="J2771" s="25"/>
      <c r="K2771" s="25"/>
      <c r="L2771" s="25"/>
      <c r="M2771" s="42" t="s">
        <v>253</v>
      </c>
      <c r="N2771" s="41">
        <v>45237</v>
      </c>
      <c r="O2771" s="25">
        <v>88</v>
      </c>
      <c r="P2771" s="25">
        <v>0</v>
      </c>
      <c r="Q2771" s="25"/>
      <c r="R2771" s="25"/>
      <c r="S2771" s="25"/>
      <c r="T2771" s="10"/>
    </row>
    <row r="2772" s="35" customFormat="1" ht="18.5" customHeight="1" spans="1:20">
      <c r="A2772" s="9"/>
      <c r="B2772" s="25"/>
      <c r="C2772" s="25"/>
      <c r="D2772" s="25"/>
      <c r="E2772" s="25"/>
      <c r="F2772" s="25"/>
      <c r="G2772" s="25"/>
      <c r="H2772" s="25"/>
      <c r="I2772" s="25"/>
      <c r="J2772" s="25"/>
      <c r="K2772" s="25"/>
      <c r="L2772" s="25"/>
      <c r="M2772" s="42" t="s">
        <v>253</v>
      </c>
      <c r="N2772" s="41">
        <v>45237</v>
      </c>
      <c r="O2772" s="25">
        <v>83</v>
      </c>
      <c r="P2772" s="25">
        <v>0</v>
      </c>
      <c r="Q2772" s="25"/>
      <c r="R2772" s="25"/>
      <c r="S2772" s="25"/>
      <c r="T2772" s="10"/>
    </row>
    <row r="2773" s="35" customFormat="1" ht="18.5" customHeight="1" spans="1:20">
      <c r="A2773" s="9"/>
      <c r="B2773" s="25"/>
      <c r="C2773" s="25"/>
      <c r="D2773" s="25"/>
      <c r="E2773" s="25"/>
      <c r="F2773" s="25"/>
      <c r="G2773" s="25"/>
      <c r="H2773" s="25"/>
      <c r="I2773" s="25"/>
      <c r="J2773" s="25"/>
      <c r="K2773" s="25"/>
      <c r="L2773" s="25"/>
      <c r="M2773" s="42" t="s">
        <v>253</v>
      </c>
      <c r="N2773" s="41">
        <v>45237</v>
      </c>
      <c r="O2773" s="25">
        <v>61</v>
      </c>
      <c r="P2773" s="25">
        <v>0</v>
      </c>
      <c r="Q2773" s="25"/>
      <c r="R2773" s="25"/>
      <c r="S2773" s="25"/>
      <c r="T2773" s="10"/>
    </row>
    <row r="2774" s="35" customFormat="1" ht="18.5" customHeight="1" spans="1:20">
      <c r="A2774" s="9"/>
      <c r="B2774" s="25"/>
      <c r="C2774" s="25"/>
      <c r="D2774" s="25"/>
      <c r="E2774" s="25"/>
      <c r="F2774" s="25"/>
      <c r="G2774" s="25"/>
      <c r="H2774" s="25"/>
      <c r="I2774" s="25"/>
      <c r="J2774" s="25"/>
      <c r="K2774" s="25"/>
      <c r="L2774" s="25"/>
      <c r="M2774" s="42" t="s">
        <v>253</v>
      </c>
      <c r="N2774" s="41">
        <v>45237</v>
      </c>
      <c r="O2774" s="25">
        <v>103</v>
      </c>
      <c r="P2774" s="25">
        <v>0</v>
      </c>
      <c r="Q2774" s="25"/>
      <c r="R2774" s="25"/>
      <c r="S2774" s="25"/>
      <c r="T2774" s="10"/>
    </row>
    <row r="2775" s="35" customFormat="1" ht="18.5" customHeight="1" spans="1:20">
      <c r="A2775" s="9"/>
      <c r="B2775" s="25"/>
      <c r="C2775" s="25"/>
      <c r="D2775" s="25"/>
      <c r="E2775" s="25"/>
      <c r="F2775" s="25"/>
      <c r="G2775" s="25"/>
      <c r="H2775" s="25"/>
      <c r="I2775" s="25"/>
      <c r="J2775" s="25"/>
      <c r="K2775" s="25"/>
      <c r="L2775" s="25"/>
      <c r="M2775" s="42" t="s">
        <v>253</v>
      </c>
      <c r="N2775" s="41">
        <v>45237</v>
      </c>
      <c r="O2775" s="25">
        <v>216</v>
      </c>
      <c r="P2775" s="25">
        <v>0</v>
      </c>
      <c r="Q2775" s="25"/>
      <c r="R2775" s="25"/>
      <c r="S2775" s="25"/>
      <c r="T2775" s="10"/>
    </row>
    <row r="2776" s="35" customFormat="1" ht="18.5" customHeight="1" spans="1:20">
      <c r="A2776" s="9"/>
      <c r="B2776" s="25"/>
      <c r="C2776" s="25"/>
      <c r="D2776" s="25"/>
      <c r="E2776" s="25"/>
      <c r="F2776" s="25"/>
      <c r="G2776" s="25"/>
      <c r="H2776" s="25"/>
      <c r="I2776" s="25"/>
      <c r="J2776" s="25"/>
      <c r="K2776" s="25"/>
      <c r="L2776" s="25"/>
      <c r="M2776" s="42" t="s">
        <v>253</v>
      </c>
      <c r="N2776" s="41">
        <v>45237</v>
      </c>
      <c r="O2776" s="25">
        <v>259</v>
      </c>
      <c r="P2776" s="25">
        <v>0</v>
      </c>
      <c r="Q2776" s="25"/>
      <c r="R2776" s="25"/>
      <c r="S2776" s="25"/>
      <c r="T2776" s="10"/>
    </row>
    <row r="2777" s="35" customFormat="1" ht="18.5" customHeight="1" spans="1:20">
      <c r="A2777" s="9"/>
      <c r="B2777" s="25"/>
      <c r="C2777" s="25"/>
      <c r="D2777" s="25"/>
      <c r="E2777" s="25"/>
      <c r="F2777" s="25"/>
      <c r="G2777" s="25"/>
      <c r="H2777" s="25"/>
      <c r="I2777" s="25"/>
      <c r="J2777" s="25"/>
      <c r="K2777" s="25"/>
      <c r="L2777" s="25"/>
      <c r="M2777" s="42" t="s">
        <v>253</v>
      </c>
      <c r="N2777" s="41">
        <v>45237</v>
      </c>
      <c r="O2777" s="25">
        <v>199</v>
      </c>
      <c r="P2777" s="25">
        <v>0</v>
      </c>
      <c r="Q2777" s="25"/>
      <c r="R2777" s="25"/>
      <c r="S2777" s="25"/>
      <c r="T2777" s="10"/>
    </row>
    <row r="2778" s="35" customFormat="1" ht="18.5" customHeight="1" spans="1:20">
      <c r="A2778" s="9"/>
      <c r="B2778" s="25"/>
      <c r="C2778" s="25"/>
      <c r="D2778" s="25"/>
      <c r="E2778" s="25"/>
      <c r="F2778" s="25"/>
      <c r="G2778" s="25"/>
      <c r="H2778" s="25"/>
      <c r="I2778" s="25"/>
      <c r="J2778" s="25"/>
      <c r="K2778" s="25"/>
      <c r="L2778" s="25"/>
      <c r="M2778" s="42" t="s">
        <v>253</v>
      </c>
      <c r="N2778" s="41">
        <v>45237</v>
      </c>
      <c r="O2778" s="25">
        <v>271</v>
      </c>
      <c r="P2778" s="25">
        <v>0</v>
      </c>
      <c r="Q2778" s="25"/>
      <c r="R2778" s="25"/>
      <c r="S2778" s="25"/>
      <c r="T2778" s="10"/>
    </row>
    <row r="2779" s="35" customFormat="1" ht="18.5" customHeight="1" spans="1:20">
      <c r="A2779" s="9"/>
      <c r="B2779" s="25"/>
      <c r="C2779" s="25"/>
      <c r="D2779" s="25"/>
      <c r="E2779" s="25"/>
      <c r="F2779" s="25"/>
      <c r="G2779" s="25"/>
      <c r="H2779" s="25"/>
      <c r="I2779" s="25"/>
      <c r="J2779" s="25"/>
      <c r="K2779" s="25"/>
      <c r="L2779" s="25"/>
      <c r="M2779" s="42" t="s">
        <v>253</v>
      </c>
      <c r="N2779" s="41">
        <v>45236</v>
      </c>
      <c r="O2779" s="25">
        <v>108</v>
      </c>
      <c r="P2779" s="25">
        <v>0</v>
      </c>
      <c r="Q2779" s="25"/>
      <c r="R2779" s="25"/>
      <c r="S2779" s="25"/>
      <c r="T2779" s="10"/>
    </row>
    <row r="2780" s="35" customFormat="1" ht="18.5" customHeight="1" spans="1:20">
      <c r="A2780" s="9"/>
      <c r="B2780" s="25"/>
      <c r="C2780" s="25"/>
      <c r="D2780" s="25"/>
      <c r="E2780" s="25"/>
      <c r="F2780" s="25"/>
      <c r="G2780" s="25"/>
      <c r="H2780" s="25"/>
      <c r="I2780" s="25"/>
      <c r="J2780" s="25"/>
      <c r="K2780" s="25"/>
      <c r="L2780" s="25"/>
      <c r="M2780" s="42" t="s">
        <v>253</v>
      </c>
      <c r="N2780" s="41">
        <v>45236</v>
      </c>
      <c r="O2780" s="25">
        <v>153</v>
      </c>
      <c r="P2780" s="25">
        <v>0</v>
      </c>
      <c r="Q2780" s="25"/>
      <c r="R2780" s="25"/>
      <c r="S2780" s="25"/>
      <c r="T2780" s="10"/>
    </row>
    <row r="2781" s="35" customFormat="1" ht="18.5" customHeight="1" spans="1:20">
      <c r="A2781" s="9"/>
      <c r="B2781" s="25"/>
      <c r="C2781" s="25"/>
      <c r="D2781" s="25"/>
      <c r="E2781" s="25"/>
      <c r="F2781" s="25"/>
      <c r="G2781" s="25"/>
      <c r="H2781" s="25"/>
      <c r="I2781" s="25"/>
      <c r="J2781" s="25"/>
      <c r="K2781" s="25"/>
      <c r="L2781" s="25"/>
      <c r="M2781" s="42" t="s">
        <v>253</v>
      </c>
      <c r="N2781" s="41">
        <v>45236</v>
      </c>
      <c r="O2781" s="25">
        <v>119</v>
      </c>
      <c r="P2781" s="25">
        <v>0</v>
      </c>
      <c r="Q2781" s="25"/>
      <c r="R2781" s="25"/>
      <c r="S2781" s="25"/>
      <c r="T2781" s="10"/>
    </row>
    <row r="2782" s="35" customFormat="1" ht="18.5" customHeight="1" spans="1:20">
      <c r="A2782" s="9"/>
      <c r="B2782" s="25"/>
      <c r="C2782" s="25"/>
      <c r="D2782" s="25"/>
      <c r="E2782" s="25"/>
      <c r="F2782" s="25"/>
      <c r="G2782" s="25"/>
      <c r="H2782" s="25"/>
      <c r="I2782" s="25"/>
      <c r="J2782" s="25"/>
      <c r="K2782" s="25"/>
      <c r="L2782" s="25"/>
      <c r="M2782" s="42" t="s">
        <v>253</v>
      </c>
      <c r="N2782" s="41">
        <v>45236</v>
      </c>
      <c r="O2782" s="25">
        <v>154</v>
      </c>
      <c r="P2782" s="25">
        <v>0</v>
      </c>
      <c r="Q2782" s="25"/>
      <c r="R2782" s="25"/>
      <c r="S2782" s="25"/>
      <c r="T2782" s="10"/>
    </row>
    <row r="2783" s="35" customFormat="1" ht="18.5" customHeight="1" spans="1:20">
      <c r="A2783" s="9"/>
      <c r="B2783" s="25"/>
      <c r="C2783" s="25"/>
      <c r="D2783" s="25"/>
      <c r="E2783" s="25"/>
      <c r="F2783" s="25"/>
      <c r="G2783" s="25"/>
      <c r="H2783" s="25"/>
      <c r="I2783" s="25"/>
      <c r="J2783" s="25"/>
      <c r="K2783" s="25"/>
      <c r="L2783" s="25"/>
      <c r="M2783" s="42" t="s">
        <v>253</v>
      </c>
      <c r="N2783" s="41">
        <v>45236</v>
      </c>
      <c r="O2783" s="25">
        <v>113</v>
      </c>
      <c r="P2783" s="25">
        <v>0</v>
      </c>
      <c r="Q2783" s="25"/>
      <c r="R2783" s="25"/>
      <c r="S2783" s="25"/>
      <c r="T2783" s="10"/>
    </row>
    <row r="2784" s="35" customFormat="1" ht="18.5" customHeight="1" spans="1:20">
      <c r="A2784" s="9"/>
      <c r="B2784" s="25"/>
      <c r="C2784" s="25"/>
      <c r="D2784" s="25"/>
      <c r="E2784" s="25"/>
      <c r="F2784" s="25"/>
      <c r="G2784" s="25"/>
      <c r="H2784" s="25"/>
      <c r="I2784" s="25"/>
      <c r="J2784" s="25"/>
      <c r="K2784" s="25"/>
      <c r="L2784" s="25"/>
      <c r="M2784" s="42" t="s">
        <v>253</v>
      </c>
      <c r="N2784" s="41">
        <v>45235</v>
      </c>
      <c r="O2784" s="25">
        <v>137</v>
      </c>
      <c r="P2784" s="25">
        <v>0</v>
      </c>
      <c r="Q2784" s="25"/>
      <c r="R2784" s="25"/>
      <c r="S2784" s="25"/>
      <c r="T2784" s="10"/>
    </row>
    <row r="2785" s="35" customFormat="1" ht="18.5" customHeight="1" spans="1:20">
      <c r="A2785" s="9"/>
      <c r="B2785" s="25"/>
      <c r="C2785" s="25"/>
      <c r="D2785" s="25"/>
      <c r="E2785" s="25"/>
      <c r="F2785" s="25"/>
      <c r="G2785" s="25"/>
      <c r="H2785" s="25"/>
      <c r="I2785" s="25"/>
      <c r="J2785" s="25"/>
      <c r="K2785" s="25"/>
      <c r="L2785" s="25"/>
      <c r="M2785" s="42" t="s">
        <v>253</v>
      </c>
      <c r="N2785" s="41">
        <v>45235</v>
      </c>
      <c r="O2785" s="25">
        <v>70</v>
      </c>
      <c r="P2785" s="25">
        <v>0</v>
      </c>
      <c r="Q2785" s="25"/>
      <c r="R2785" s="25"/>
      <c r="S2785" s="25"/>
      <c r="T2785" s="10"/>
    </row>
    <row r="2786" s="35" customFormat="1" ht="18.5" customHeight="1" spans="1:20">
      <c r="A2786" s="9"/>
      <c r="B2786" s="25"/>
      <c r="C2786" s="25"/>
      <c r="D2786" s="25"/>
      <c r="E2786" s="25"/>
      <c r="F2786" s="25"/>
      <c r="G2786" s="25"/>
      <c r="H2786" s="25"/>
      <c r="I2786" s="25"/>
      <c r="J2786" s="25"/>
      <c r="K2786" s="25"/>
      <c r="L2786" s="25"/>
      <c r="M2786" s="42" t="s">
        <v>253</v>
      </c>
      <c r="N2786" s="41">
        <v>45235</v>
      </c>
      <c r="O2786" s="25">
        <v>91</v>
      </c>
      <c r="P2786" s="25">
        <v>0</v>
      </c>
      <c r="Q2786" s="25"/>
      <c r="R2786" s="25"/>
      <c r="S2786" s="25"/>
      <c r="T2786" s="10"/>
    </row>
    <row r="2787" s="35" customFormat="1" ht="18.5" customHeight="1" spans="1:20">
      <c r="A2787" s="9"/>
      <c r="B2787" s="25"/>
      <c r="C2787" s="25"/>
      <c r="D2787" s="25"/>
      <c r="E2787" s="25"/>
      <c r="F2787" s="25"/>
      <c r="G2787" s="25"/>
      <c r="H2787" s="25"/>
      <c r="I2787" s="25"/>
      <c r="J2787" s="25"/>
      <c r="K2787" s="25"/>
      <c r="L2787" s="25"/>
      <c r="M2787" s="42" t="s">
        <v>253</v>
      </c>
      <c r="N2787" s="41">
        <v>45235</v>
      </c>
      <c r="O2787" s="25">
        <v>84</v>
      </c>
      <c r="P2787" s="25">
        <v>0</v>
      </c>
      <c r="Q2787" s="25"/>
      <c r="R2787" s="25"/>
      <c r="S2787" s="25"/>
      <c r="T2787" s="10"/>
    </row>
    <row r="2788" s="35" customFormat="1" ht="18.5" customHeight="1" spans="1:20">
      <c r="A2788" s="9"/>
      <c r="B2788" s="25"/>
      <c r="C2788" s="25"/>
      <c r="D2788" s="25"/>
      <c r="E2788" s="25"/>
      <c r="F2788" s="25"/>
      <c r="G2788" s="25"/>
      <c r="H2788" s="25"/>
      <c r="I2788" s="25"/>
      <c r="J2788" s="25"/>
      <c r="K2788" s="25"/>
      <c r="L2788" s="25"/>
      <c r="M2788" s="42" t="s">
        <v>253</v>
      </c>
      <c r="N2788" s="41">
        <v>45235</v>
      </c>
      <c r="O2788" s="25">
        <v>73</v>
      </c>
      <c r="P2788" s="25">
        <v>0</v>
      </c>
      <c r="Q2788" s="25"/>
      <c r="R2788" s="25"/>
      <c r="S2788" s="25"/>
      <c r="T2788" s="10"/>
    </row>
    <row r="2789" s="35" customFormat="1" ht="18.5" customHeight="1" spans="1:20">
      <c r="A2789" s="9"/>
      <c r="B2789" s="25"/>
      <c r="C2789" s="25"/>
      <c r="D2789" s="25"/>
      <c r="E2789" s="25"/>
      <c r="F2789" s="25"/>
      <c r="G2789" s="25"/>
      <c r="H2789" s="25"/>
      <c r="I2789" s="25"/>
      <c r="J2789" s="25"/>
      <c r="K2789" s="25"/>
      <c r="L2789" s="25"/>
      <c r="M2789" s="42" t="s">
        <v>253</v>
      </c>
      <c r="N2789" s="41">
        <v>45235</v>
      </c>
      <c r="O2789" s="25">
        <v>209</v>
      </c>
      <c r="P2789" s="25">
        <v>0</v>
      </c>
      <c r="Q2789" s="25"/>
      <c r="R2789" s="25"/>
      <c r="S2789" s="25"/>
      <c r="T2789" s="10"/>
    </row>
    <row r="2790" s="35" customFormat="1" ht="18.5" customHeight="1" spans="1:20">
      <c r="A2790" s="9"/>
      <c r="B2790" s="25"/>
      <c r="C2790" s="25"/>
      <c r="D2790" s="25"/>
      <c r="E2790" s="25"/>
      <c r="F2790" s="25"/>
      <c r="G2790" s="25"/>
      <c r="H2790" s="25"/>
      <c r="I2790" s="25"/>
      <c r="J2790" s="25"/>
      <c r="K2790" s="25"/>
      <c r="L2790" s="25"/>
      <c r="M2790" s="42" t="s">
        <v>253</v>
      </c>
      <c r="N2790" s="41">
        <v>45234</v>
      </c>
      <c r="O2790" s="25">
        <v>109</v>
      </c>
      <c r="P2790" s="25">
        <v>0</v>
      </c>
      <c r="Q2790" s="25"/>
      <c r="R2790" s="25"/>
      <c r="S2790" s="25"/>
      <c r="T2790" s="10"/>
    </row>
    <row r="2791" s="35" customFormat="1" ht="18.5" customHeight="1" spans="1:20">
      <c r="A2791" s="9"/>
      <c r="B2791" s="25"/>
      <c r="C2791" s="25"/>
      <c r="D2791" s="25"/>
      <c r="E2791" s="25"/>
      <c r="F2791" s="25"/>
      <c r="G2791" s="25"/>
      <c r="H2791" s="25"/>
      <c r="I2791" s="25"/>
      <c r="J2791" s="25"/>
      <c r="K2791" s="25"/>
      <c r="L2791" s="25"/>
      <c r="M2791" s="42" t="s">
        <v>253</v>
      </c>
      <c r="N2791" s="41">
        <v>45234</v>
      </c>
      <c r="O2791" s="25">
        <v>1507</v>
      </c>
      <c r="P2791" s="25">
        <v>0</v>
      </c>
      <c r="Q2791" s="25"/>
      <c r="R2791" s="25"/>
      <c r="S2791" s="25"/>
      <c r="T2791" s="10"/>
    </row>
    <row r="2792" s="35" customFormat="1" ht="18.5" customHeight="1" spans="1:20">
      <c r="A2792" s="9"/>
      <c r="B2792" s="25"/>
      <c r="C2792" s="25"/>
      <c r="D2792" s="25"/>
      <c r="E2792" s="25"/>
      <c r="F2792" s="25"/>
      <c r="G2792" s="25"/>
      <c r="H2792" s="25"/>
      <c r="I2792" s="25"/>
      <c r="J2792" s="25"/>
      <c r="K2792" s="25"/>
      <c r="L2792" s="25"/>
      <c r="M2792" s="42" t="s">
        <v>253</v>
      </c>
      <c r="N2792" s="41">
        <v>45234</v>
      </c>
      <c r="O2792" s="25">
        <v>215</v>
      </c>
      <c r="P2792" s="25">
        <v>0</v>
      </c>
      <c r="Q2792" s="25"/>
      <c r="R2792" s="25"/>
      <c r="S2792" s="25"/>
      <c r="T2792" s="10"/>
    </row>
    <row r="2793" s="35" customFormat="1" ht="18.5" customHeight="1" spans="1:20">
      <c r="A2793" s="9"/>
      <c r="B2793" s="25"/>
      <c r="C2793" s="25"/>
      <c r="D2793" s="25"/>
      <c r="E2793" s="25"/>
      <c r="F2793" s="25"/>
      <c r="G2793" s="25"/>
      <c r="H2793" s="25"/>
      <c r="I2793" s="25"/>
      <c r="J2793" s="25"/>
      <c r="K2793" s="25"/>
      <c r="L2793" s="25"/>
      <c r="M2793" s="42" t="s">
        <v>253</v>
      </c>
      <c r="N2793" s="41">
        <v>45234</v>
      </c>
      <c r="O2793" s="25">
        <v>68</v>
      </c>
      <c r="P2793" s="25">
        <v>0</v>
      </c>
      <c r="Q2793" s="25"/>
      <c r="R2793" s="25"/>
      <c r="S2793" s="25"/>
      <c r="T2793" s="10"/>
    </row>
    <row r="2794" s="35" customFormat="1" ht="18.5" customHeight="1" spans="1:20">
      <c r="A2794" s="9"/>
      <c r="B2794" s="25"/>
      <c r="C2794" s="25"/>
      <c r="D2794" s="25"/>
      <c r="E2794" s="25"/>
      <c r="F2794" s="25"/>
      <c r="G2794" s="25"/>
      <c r="H2794" s="25"/>
      <c r="I2794" s="25"/>
      <c r="J2794" s="25"/>
      <c r="K2794" s="25"/>
      <c r="L2794" s="25"/>
      <c r="M2794" s="42" t="s">
        <v>253</v>
      </c>
      <c r="N2794" s="41">
        <v>45233</v>
      </c>
      <c r="O2794" s="25">
        <v>359</v>
      </c>
      <c r="P2794" s="25">
        <v>0</v>
      </c>
      <c r="Q2794" s="25"/>
      <c r="R2794" s="25"/>
      <c r="S2794" s="25"/>
      <c r="T2794" s="10"/>
    </row>
    <row r="2795" s="35" customFormat="1" ht="18.5" customHeight="1" spans="1:20">
      <c r="A2795" s="9"/>
      <c r="B2795" s="25"/>
      <c r="C2795" s="25"/>
      <c r="D2795" s="25"/>
      <c r="E2795" s="25"/>
      <c r="F2795" s="25"/>
      <c r="G2795" s="25"/>
      <c r="H2795" s="25"/>
      <c r="I2795" s="25"/>
      <c r="J2795" s="25"/>
      <c r="K2795" s="25"/>
      <c r="L2795" s="25"/>
      <c r="M2795" s="42" t="s">
        <v>253</v>
      </c>
      <c r="N2795" s="41">
        <v>45233</v>
      </c>
      <c r="O2795" s="25">
        <v>227</v>
      </c>
      <c r="P2795" s="25">
        <v>0</v>
      </c>
      <c r="Q2795" s="25"/>
      <c r="R2795" s="25"/>
      <c r="S2795" s="25"/>
      <c r="T2795" s="10"/>
    </row>
    <row r="2796" s="35" customFormat="1" ht="18.5" customHeight="1" spans="1:20">
      <c r="A2796" s="9"/>
      <c r="B2796" s="25"/>
      <c r="C2796" s="25"/>
      <c r="D2796" s="25"/>
      <c r="E2796" s="25"/>
      <c r="F2796" s="25"/>
      <c r="G2796" s="25"/>
      <c r="H2796" s="25"/>
      <c r="I2796" s="25"/>
      <c r="J2796" s="25"/>
      <c r="K2796" s="25"/>
      <c r="L2796" s="25"/>
      <c r="M2796" s="42" t="s">
        <v>253</v>
      </c>
      <c r="N2796" s="41">
        <v>45233</v>
      </c>
      <c r="O2796" s="25">
        <v>70</v>
      </c>
      <c r="P2796" s="25">
        <v>0</v>
      </c>
      <c r="Q2796" s="25"/>
      <c r="R2796" s="25"/>
      <c r="S2796" s="25"/>
      <c r="T2796" s="10"/>
    </row>
    <row r="2797" s="35" customFormat="1" ht="18.5" customHeight="1" spans="1:20">
      <c r="A2797" s="9"/>
      <c r="B2797" s="25"/>
      <c r="C2797" s="25"/>
      <c r="D2797" s="25"/>
      <c r="E2797" s="25"/>
      <c r="F2797" s="25"/>
      <c r="G2797" s="25"/>
      <c r="H2797" s="25"/>
      <c r="I2797" s="25"/>
      <c r="J2797" s="25"/>
      <c r="K2797" s="25"/>
      <c r="L2797" s="25"/>
      <c r="M2797" s="42" t="s">
        <v>253</v>
      </c>
      <c r="N2797" s="41">
        <v>45233</v>
      </c>
      <c r="O2797" s="25">
        <v>99</v>
      </c>
      <c r="P2797" s="25">
        <v>0</v>
      </c>
      <c r="Q2797" s="25"/>
      <c r="R2797" s="25"/>
      <c r="S2797" s="25"/>
      <c r="T2797" s="10"/>
    </row>
    <row r="2798" s="35" customFormat="1" ht="18.5" customHeight="1" spans="1:20">
      <c r="A2798" s="9"/>
      <c r="B2798" s="25"/>
      <c r="C2798" s="25"/>
      <c r="D2798" s="25"/>
      <c r="E2798" s="25"/>
      <c r="F2798" s="25"/>
      <c r="G2798" s="25"/>
      <c r="H2798" s="25"/>
      <c r="I2798" s="25"/>
      <c r="J2798" s="25"/>
      <c r="K2798" s="25"/>
      <c r="L2798" s="25"/>
      <c r="M2798" s="42" t="s">
        <v>253</v>
      </c>
      <c r="N2798" s="41">
        <v>45233</v>
      </c>
      <c r="O2798" s="25">
        <v>105</v>
      </c>
      <c r="P2798" s="25">
        <v>0</v>
      </c>
      <c r="Q2798" s="25"/>
      <c r="R2798" s="25"/>
      <c r="S2798" s="25"/>
      <c r="T2798" s="10"/>
    </row>
    <row r="2799" s="35" customFormat="1" ht="18.5" customHeight="1" spans="1:20">
      <c r="A2799" s="9"/>
      <c r="B2799" s="25"/>
      <c r="C2799" s="25"/>
      <c r="D2799" s="25"/>
      <c r="E2799" s="25"/>
      <c r="F2799" s="25"/>
      <c r="G2799" s="25"/>
      <c r="H2799" s="25"/>
      <c r="I2799" s="25"/>
      <c r="J2799" s="25"/>
      <c r="K2799" s="25"/>
      <c r="L2799" s="25"/>
      <c r="M2799" s="42" t="s">
        <v>253</v>
      </c>
      <c r="N2799" s="41">
        <v>45233</v>
      </c>
      <c r="O2799" s="25">
        <v>71</v>
      </c>
      <c r="P2799" s="25">
        <v>0</v>
      </c>
      <c r="Q2799" s="25"/>
      <c r="R2799" s="25"/>
      <c r="S2799" s="25"/>
      <c r="T2799" s="10"/>
    </row>
    <row r="2800" s="35" customFormat="1" ht="18.5" customHeight="1" spans="1:20">
      <c r="A2800" s="9"/>
      <c r="B2800" s="25"/>
      <c r="C2800" s="25"/>
      <c r="D2800" s="25"/>
      <c r="E2800" s="25"/>
      <c r="F2800" s="25"/>
      <c r="G2800" s="25"/>
      <c r="H2800" s="25"/>
      <c r="I2800" s="25"/>
      <c r="J2800" s="25"/>
      <c r="K2800" s="25"/>
      <c r="L2800" s="25"/>
      <c r="M2800" s="42" t="s">
        <v>253</v>
      </c>
      <c r="N2800" s="41">
        <v>45233</v>
      </c>
      <c r="O2800" s="25">
        <v>84</v>
      </c>
      <c r="P2800" s="25">
        <v>0</v>
      </c>
      <c r="Q2800" s="25"/>
      <c r="R2800" s="25"/>
      <c r="S2800" s="25"/>
      <c r="T2800" s="10"/>
    </row>
    <row r="2801" s="35" customFormat="1" ht="18.5" customHeight="1" spans="1:20">
      <c r="A2801" s="9"/>
      <c r="B2801" s="25"/>
      <c r="C2801" s="25"/>
      <c r="D2801" s="25"/>
      <c r="E2801" s="25"/>
      <c r="F2801" s="25"/>
      <c r="G2801" s="25"/>
      <c r="H2801" s="25"/>
      <c r="I2801" s="25"/>
      <c r="J2801" s="25"/>
      <c r="K2801" s="25"/>
      <c r="L2801" s="25"/>
      <c r="M2801" s="42" t="s">
        <v>253</v>
      </c>
      <c r="N2801" s="41">
        <v>45233</v>
      </c>
      <c r="O2801" s="25">
        <v>614</v>
      </c>
      <c r="P2801" s="25">
        <v>0</v>
      </c>
      <c r="Q2801" s="25"/>
      <c r="R2801" s="25"/>
      <c r="S2801" s="25"/>
      <c r="T2801" s="10"/>
    </row>
    <row r="2802" s="35" customFormat="1" ht="18.5" customHeight="1" spans="1:20">
      <c r="A2802" s="9"/>
      <c r="B2802" s="25"/>
      <c r="C2802" s="25"/>
      <c r="D2802" s="25"/>
      <c r="E2802" s="25"/>
      <c r="F2802" s="25"/>
      <c r="G2802" s="25"/>
      <c r="H2802" s="25"/>
      <c r="I2802" s="25"/>
      <c r="J2802" s="25"/>
      <c r="K2802" s="25"/>
      <c r="L2802" s="25"/>
      <c r="M2802" s="42" t="s">
        <v>253</v>
      </c>
      <c r="N2802" s="41">
        <v>45232</v>
      </c>
      <c r="O2802" s="25">
        <v>133</v>
      </c>
      <c r="P2802" s="25">
        <v>0</v>
      </c>
      <c r="Q2802" s="25"/>
      <c r="R2802" s="25"/>
      <c r="S2802" s="25"/>
      <c r="T2802" s="10"/>
    </row>
    <row r="2803" s="35" customFormat="1" ht="18.5" customHeight="1" spans="1:20">
      <c r="A2803" s="9"/>
      <c r="B2803" s="25"/>
      <c r="C2803" s="25"/>
      <c r="D2803" s="25"/>
      <c r="E2803" s="25"/>
      <c r="F2803" s="25"/>
      <c r="G2803" s="25"/>
      <c r="H2803" s="25"/>
      <c r="I2803" s="25"/>
      <c r="J2803" s="25"/>
      <c r="K2803" s="25"/>
      <c r="L2803" s="25"/>
      <c r="M2803" s="42" t="s">
        <v>253</v>
      </c>
      <c r="N2803" s="41">
        <v>45232</v>
      </c>
      <c r="O2803" s="25">
        <v>106</v>
      </c>
      <c r="P2803" s="25">
        <v>0</v>
      </c>
      <c r="Q2803" s="25"/>
      <c r="R2803" s="25"/>
      <c r="S2803" s="25"/>
      <c r="T2803" s="10"/>
    </row>
    <row r="2804" s="35" customFormat="1" ht="18.5" customHeight="1" spans="1:20">
      <c r="A2804" s="9"/>
      <c r="B2804" s="25"/>
      <c r="C2804" s="25"/>
      <c r="D2804" s="25"/>
      <c r="E2804" s="25"/>
      <c r="F2804" s="25"/>
      <c r="G2804" s="25"/>
      <c r="H2804" s="25"/>
      <c r="I2804" s="25"/>
      <c r="J2804" s="25"/>
      <c r="K2804" s="25"/>
      <c r="L2804" s="25"/>
      <c r="M2804" s="42" t="s">
        <v>253</v>
      </c>
      <c r="N2804" s="41">
        <v>45231</v>
      </c>
      <c r="O2804" s="25">
        <v>171</v>
      </c>
      <c r="P2804" s="25">
        <v>0</v>
      </c>
      <c r="Q2804" s="25"/>
      <c r="R2804" s="25"/>
      <c r="S2804" s="25"/>
      <c r="T2804" s="10"/>
    </row>
    <row r="2805" s="35" customFormat="1" ht="18.5" customHeight="1" spans="1:20">
      <c r="A2805" s="9"/>
      <c r="B2805" s="25"/>
      <c r="C2805" s="25"/>
      <c r="D2805" s="25"/>
      <c r="E2805" s="25"/>
      <c r="F2805" s="25"/>
      <c r="G2805" s="25"/>
      <c r="H2805" s="25"/>
      <c r="I2805" s="25"/>
      <c r="J2805" s="25"/>
      <c r="K2805" s="25"/>
      <c r="L2805" s="25"/>
      <c r="M2805" s="42" t="s">
        <v>253</v>
      </c>
      <c r="N2805" s="41">
        <v>45231</v>
      </c>
      <c r="O2805" s="25">
        <v>180</v>
      </c>
      <c r="P2805" s="25">
        <v>0</v>
      </c>
      <c r="Q2805" s="25"/>
      <c r="R2805" s="25"/>
      <c r="S2805" s="25"/>
      <c r="T2805" s="10"/>
    </row>
    <row r="2806" s="35" customFormat="1" ht="18.5" customHeight="1" spans="1:20">
      <c r="A2806" s="9"/>
      <c r="B2806" s="25"/>
      <c r="C2806" s="25"/>
      <c r="D2806" s="25"/>
      <c r="E2806" s="25"/>
      <c r="F2806" s="25"/>
      <c r="G2806" s="25"/>
      <c r="H2806" s="25"/>
      <c r="I2806" s="25"/>
      <c r="J2806" s="25"/>
      <c r="K2806" s="25"/>
      <c r="L2806" s="25"/>
      <c r="M2806" s="42" t="s">
        <v>253</v>
      </c>
      <c r="N2806" s="41">
        <v>45231</v>
      </c>
      <c r="O2806" s="25">
        <v>90</v>
      </c>
      <c r="P2806" s="25">
        <v>0</v>
      </c>
      <c r="Q2806" s="25"/>
      <c r="R2806" s="25"/>
      <c r="S2806" s="25"/>
      <c r="T2806" s="10"/>
    </row>
    <row r="2807" s="35" customFormat="1" ht="18.5" customHeight="1" spans="1:20">
      <c r="A2807" s="9"/>
      <c r="B2807" s="25"/>
      <c r="C2807" s="25"/>
      <c r="D2807" s="25"/>
      <c r="E2807" s="25"/>
      <c r="F2807" s="25"/>
      <c r="G2807" s="25"/>
      <c r="H2807" s="25"/>
      <c r="I2807" s="25"/>
      <c r="J2807" s="25"/>
      <c r="K2807" s="25"/>
      <c r="L2807" s="25"/>
      <c r="M2807" s="42" t="s">
        <v>253</v>
      </c>
      <c r="N2807" s="41">
        <v>45231</v>
      </c>
      <c r="O2807" s="25">
        <v>154</v>
      </c>
      <c r="P2807" s="25">
        <v>0</v>
      </c>
      <c r="Q2807" s="25"/>
      <c r="R2807" s="25"/>
      <c r="S2807" s="25"/>
      <c r="T2807" s="10"/>
    </row>
    <row r="2808" s="35" customFormat="1" ht="18.5" customHeight="1" spans="1:20">
      <c r="A2808" s="9"/>
      <c r="B2808" s="25"/>
      <c r="C2808" s="25"/>
      <c r="D2808" s="25"/>
      <c r="E2808" s="25"/>
      <c r="F2808" s="25"/>
      <c r="G2808" s="25"/>
      <c r="H2808" s="25"/>
      <c r="I2808" s="25"/>
      <c r="J2808" s="25"/>
      <c r="K2808" s="25"/>
      <c r="L2808" s="25"/>
      <c r="M2808" s="42" t="s">
        <v>253</v>
      </c>
      <c r="N2808" s="41">
        <v>45230</v>
      </c>
      <c r="O2808" s="25">
        <v>150</v>
      </c>
      <c r="P2808" s="25">
        <v>0</v>
      </c>
      <c r="Q2808" s="25"/>
      <c r="R2808" s="25"/>
      <c r="S2808" s="25"/>
      <c r="T2808" s="10"/>
    </row>
    <row r="2809" s="35" customFormat="1" ht="18.5" customHeight="1" spans="1:20">
      <c r="A2809" s="9"/>
      <c r="B2809" s="25"/>
      <c r="C2809" s="25"/>
      <c r="D2809" s="25"/>
      <c r="E2809" s="25"/>
      <c r="F2809" s="25"/>
      <c r="G2809" s="25"/>
      <c r="H2809" s="25"/>
      <c r="I2809" s="25"/>
      <c r="J2809" s="25"/>
      <c r="K2809" s="25"/>
      <c r="L2809" s="25"/>
      <c r="M2809" s="42" t="s">
        <v>253</v>
      </c>
      <c r="N2809" s="41">
        <v>45230</v>
      </c>
      <c r="O2809" s="25">
        <v>185</v>
      </c>
      <c r="P2809" s="25">
        <v>0</v>
      </c>
      <c r="Q2809" s="25"/>
      <c r="R2809" s="25"/>
      <c r="S2809" s="25"/>
      <c r="T2809" s="10"/>
    </row>
    <row r="2810" s="35" customFormat="1" ht="18.5" customHeight="1" spans="1:20">
      <c r="A2810" s="9"/>
      <c r="B2810" s="25"/>
      <c r="C2810" s="25"/>
      <c r="D2810" s="25"/>
      <c r="E2810" s="25"/>
      <c r="F2810" s="25"/>
      <c r="G2810" s="25"/>
      <c r="H2810" s="25"/>
      <c r="I2810" s="25"/>
      <c r="J2810" s="25"/>
      <c r="K2810" s="25"/>
      <c r="L2810" s="25"/>
      <c r="M2810" s="42" t="s">
        <v>253</v>
      </c>
      <c r="N2810" s="41">
        <v>45226</v>
      </c>
      <c r="O2810" s="25">
        <v>83</v>
      </c>
      <c r="P2810" s="25">
        <v>0</v>
      </c>
      <c r="Q2810" s="25"/>
      <c r="R2810" s="25"/>
      <c r="S2810" s="25"/>
      <c r="T2810" s="10"/>
    </row>
    <row r="2811" s="35" customFormat="1" ht="18.5" customHeight="1" spans="1:20">
      <c r="A2811" s="9"/>
      <c r="B2811" s="25"/>
      <c r="C2811" s="25"/>
      <c r="D2811" s="25"/>
      <c r="E2811" s="25"/>
      <c r="F2811" s="25"/>
      <c r="G2811" s="25"/>
      <c r="H2811" s="25"/>
      <c r="I2811" s="25"/>
      <c r="J2811" s="25"/>
      <c r="K2811" s="25"/>
      <c r="L2811" s="25"/>
      <c r="M2811" s="42" t="s">
        <v>253</v>
      </c>
      <c r="N2811" s="41">
        <v>45229</v>
      </c>
      <c r="O2811" s="25">
        <v>92</v>
      </c>
      <c r="P2811" s="25">
        <v>0</v>
      </c>
      <c r="Q2811" s="25"/>
      <c r="R2811" s="25"/>
      <c r="S2811" s="25"/>
      <c r="T2811" s="10"/>
    </row>
    <row r="2812" s="35" customFormat="1" ht="18.5" customHeight="1" spans="1:20">
      <c r="A2812" s="9"/>
      <c r="B2812" s="25"/>
      <c r="C2812" s="25"/>
      <c r="D2812" s="25"/>
      <c r="E2812" s="25"/>
      <c r="F2812" s="25"/>
      <c r="G2812" s="25"/>
      <c r="H2812" s="25"/>
      <c r="I2812" s="25"/>
      <c r="J2812" s="25"/>
      <c r="K2812" s="25"/>
      <c r="L2812" s="25"/>
      <c r="M2812" s="42" t="s">
        <v>253</v>
      </c>
      <c r="N2812" s="41">
        <v>45229</v>
      </c>
      <c r="O2812" s="25">
        <v>110</v>
      </c>
      <c r="P2812" s="25">
        <v>0</v>
      </c>
      <c r="Q2812" s="25"/>
      <c r="R2812" s="25"/>
      <c r="S2812" s="25"/>
      <c r="T2812" s="10"/>
    </row>
    <row r="2813" s="35" customFormat="1" ht="18.5" customHeight="1" spans="1:20">
      <c r="A2813" s="9"/>
      <c r="B2813" s="25"/>
      <c r="C2813" s="25"/>
      <c r="D2813" s="25"/>
      <c r="E2813" s="25"/>
      <c r="F2813" s="25"/>
      <c r="G2813" s="25"/>
      <c r="H2813" s="25"/>
      <c r="I2813" s="25"/>
      <c r="J2813" s="25"/>
      <c r="K2813" s="25"/>
      <c r="L2813" s="25"/>
      <c r="M2813" s="42" t="s">
        <v>253</v>
      </c>
      <c r="N2813" s="41">
        <v>45228</v>
      </c>
      <c r="O2813" s="25">
        <v>126</v>
      </c>
      <c r="P2813" s="25">
        <v>0</v>
      </c>
      <c r="Q2813" s="25"/>
      <c r="R2813" s="25"/>
      <c r="S2813" s="25"/>
      <c r="T2813" s="10"/>
    </row>
    <row r="2814" s="35" customFormat="1" ht="18.5" customHeight="1" spans="1:20">
      <c r="A2814" s="9"/>
      <c r="B2814" s="25"/>
      <c r="C2814" s="25"/>
      <c r="D2814" s="25"/>
      <c r="E2814" s="25"/>
      <c r="F2814" s="25"/>
      <c r="G2814" s="25"/>
      <c r="H2814" s="25"/>
      <c r="I2814" s="25"/>
      <c r="J2814" s="25"/>
      <c r="K2814" s="25"/>
      <c r="L2814" s="25"/>
      <c r="M2814" s="42" t="s">
        <v>253</v>
      </c>
      <c r="N2814" s="41">
        <v>45228</v>
      </c>
      <c r="O2814" s="25">
        <v>211</v>
      </c>
      <c r="P2814" s="25">
        <v>0</v>
      </c>
      <c r="Q2814" s="25"/>
      <c r="R2814" s="25"/>
      <c r="S2814" s="25"/>
      <c r="T2814" s="10"/>
    </row>
    <row r="2815" s="35" customFormat="1" ht="18.5" customHeight="1" spans="1:20">
      <c r="A2815" s="9"/>
      <c r="B2815" s="25"/>
      <c r="C2815" s="25"/>
      <c r="D2815" s="25"/>
      <c r="E2815" s="25"/>
      <c r="F2815" s="25"/>
      <c r="G2815" s="25"/>
      <c r="H2815" s="25"/>
      <c r="I2815" s="25"/>
      <c r="J2815" s="25"/>
      <c r="K2815" s="25"/>
      <c r="L2815" s="25"/>
      <c r="M2815" s="42" t="s">
        <v>253</v>
      </c>
      <c r="N2815" s="41">
        <v>45228</v>
      </c>
      <c r="O2815" s="25">
        <v>95</v>
      </c>
      <c r="P2815" s="25">
        <v>0</v>
      </c>
      <c r="Q2815" s="25"/>
      <c r="R2815" s="25"/>
      <c r="S2815" s="25"/>
      <c r="T2815" s="10"/>
    </row>
    <row r="2816" s="35" customFormat="1" ht="18.5" customHeight="1" spans="1:20">
      <c r="A2816" s="9"/>
      <c r="B2816" s="25"/>
      <c r="C2816" s="25"/>
      <c r="D2816" s="25"/>
      <c r="E2816" s="25"/>
      <c r="F2816" s="25"/>
      <c r="G2816" s="25"/>
      <c r="H2816" s="25"/>
      <c r="I2816" s="25"/>
      <c r="J2816" s="25"/>
      <c r="K2816" s="25"/>
      <c r="L2816" s="25"/>
      <c r="M2816" s="42" t="s">
        <v>253</v>
      </c>
      <c r="N2816" s="41">
        <v>45226</v>
      </c>
      <c r="O2816" s="25">
        <v>80</v>
      </c>
      <c r="P2816" s="25">
        <v>0</v>
      </c>
      <c r="Q2816" s="25"/>
      <c r="R2816" s="25"/>
      <c r="S2816" s="25"/>
      <c r="T2816" s="10"/>
    </row>
    <row r="2817" s="35" customFormat="1" ht="18.5" customHeight="1" spans="1:20">
      <c r="A2817" s="9"/>
      <c r="B2817" s="25"/>
      <c r="C2817" s="25"/>
      <c r="D2817" s="25"/>
      <c r="E2817" s="25"/>
      <c r="F2817" s="25"/>
      <c r="G2817" s="25"/>
      <c r="H2817" s="25"/>
      <c r="I2817" s="25"/>
      <c r="J2817" s="25"/>
      <c r="K2817" s="25"/>
      <c r="L2817" s="25"/>
      <c r="M2817" s="42" t="s">
        <v>253</v>
      </c>
      <c r="N2817" s="41">
        <v>45226</v>
      </c>
      <c r="O2817" s="25">
        <v>89</v>
      </c>
      <c r="P2817" s="25">
        <v>0</v>
      </c>
      <c r="Q2817" s="25"/>
      <c r="R2817" s="25"/>
      <c r="S2817" s="25"/>
      <c r="T2817" s="10"/>
    </row>
    <row r="2818" s="35" customFormat="1" ht="18.5" customHeight="1" spans="1:20">
      <c r="A2818" s="9"/>
      <c r="B2818" s="25"/>
      <c r="C2818" s="25"/>
      <c r="D2818" s="25"/>
      <c r="E2818" s="25"/>
      <c r="F2818" s="25"/>
      <c r="G2818" s="25"/>
      <c r="H2818" s="25"/>
      <c r="I2818" s="25"/>
      <c r="J2818" s="25"/>
      <c r="K2818" s="25"/>
      <c r="L2818" s="25"/>
      <c r="M2818" s="42" t="s">
        <v>253</v>
      </c>
      <c r="N2818" s="41">
        <v>45226</v>
      </c>
      <c r="O2818" s="25">
        <v>123</v>
      </c>
      <c r="P2818" s="25">
        <v>0</v>
      </c>
      <c r="Q2818" s="25"/>
      <c r="R2818" s="25"/>
      <c r="S2818" s="25"/>
      <c r="T2818" s="10"/>
    </row>
    <row r="2819" s="35" customFormat="1" ht="18.5" customHeight="1" spans="1:20">
      <c r="A2819" s="9"/>
      <c r="B2819" s="25"/>
      <c r="C2819" s="25"/>
      <c r="D2819" s="25"/>
      <c r="E2819" s="25"/>
      <c r="F2819" s="25"/>
      <c r="G2819" s="25"/>
      <c r="H2819" s="25"/>
      <c r="I2819" s="25"/>
      <c r="J2819" s="25"/>
      <c r="K2819" s="25"/>
      <c r="L2819" s="25"/>
      <c r="M2819" s="42" t="s">
        <v>253</v>
      </c>
      <c r="N2819" s="41">
        <v>45226</v>
      </c>
      <c r="O2819" s="25">
        <v>124</v>
      </c>
      <c r="P2819" s="25">
        <v>0</v>
      </c>
      <c r="Q2819" s="25"/>
      <c r="R2819" s="25"/>
      <c r="S2819" s="25"/>
      <c r="T2819" s="10"/>
    </row>
    <row r="2820" s="35" customFormat="1" ht="18.5" customHeight="1" spans="1:20">
      <c r="A2820" s="9"/>
      <c r="B2820" s="25"/>
      <c r="C2820" s="25"/>
      <c r="D2820" s="25"/>
      <c r="E2820" s="25"/>
      <c r="F2820" s="25"/>
      <c r="G2820" s="25"/>
      <c r="H2820" s="25"/>
      <c r="I2820" s="25"/>
      <c r="J2820" s="25"/>
      <c r="K2820" s="25"/>
      <c r="L2820" s="25"/>
      <c r="M2820" s="42" t="s">
        <v>253</v>
      </c>
      <c r="N2820" s="41">
        <v>45224</v>
      </c>
      <c r="O2820" s="25">
        <v>148</v>
      </c>
      <c r="P2820" s="25">
        <v>0</v>
      </c>
      <c r="Q2820" s="25"/>
      <c r="R2820" s="25"/>
      <c r="S2820" s="25"/>
      <c r="T2820" s="10"/>
    </row>
    <row r="2821" s="35" customFormat="1" ht="18.5" customHeight="1" spans="1:20">
      <c r="A2821" s="9"/>
      <c r="B2821" s="25"/>
      <c r="C2821" s="25"/>
      <c r="D2821" s="25"/>
      <c r="E2821" s="25"/>
      <c r="F2821" s="25"/>
      <c r="G2821" s="25"/>
      <c r="H2821" s="25"/>
      <c r="I2821" s="25"/>
      <c r="J2821" s="25"/>
      <c r="K2821" s="25"/>
      <c r="L2821" s="25"/>
      <c r="M2821" s="42" t="s">
        <v>253</v>
      </c>
      <c r="N2821" s="41">
        <v>45224</v>
      </c>
      <c r="O2821" s="25">
        <v>113</v>
      </c>
      <c r="P2821" s="25">
        <v>0</v>
      </c>
      <c r="Q2821" s="25"/>
      <c r="R2821" s="25"/>
      <c r="S2821" s="25"/>
      <c r="T2821" s="10"/>
    </row>
    <row r="2822" s="35" customFormat="1" ht="18.5" customHeight="1" spans="1:20">
      <c r="A2822" s="9"/>
      <c r="B2822" s="25"/>
      <c r="C2822" s="25"/>
      <c r="D2822" s="25"/>
      <c r="E2822" s="25"/>
      <c r="F2822" s="25"/>
      <c r="G2822" s="25"/>
      <c r="H2822" s="25"/>
      <c r="I2822" s="25"/>
      <c r="J2822" s="25"/>
      <c r="K2822" s="25"/>
      <c r="L2822" s="25"/>
      <c r="M2822" s="42" t="s">
        <v>253</v>
      </c>
      <c r="N2822" s="41">
        <v>45224</v>
      </c>
      <c r="O2822" s="25">
        <v>110</v>
      </c>
      <c r="P2822" s="25">
        <v>0</v>
      </c>
      <c r="Q2822" s="25"/>
      <c r="R2822" s="25"/>
      <c r="S2822" s="25"/>
      <c r="T2822" s="10"/>
    </row>
    <row r="2823" s="35" customFormat="1" ht="18.5" customHeight="1" spans="1:20">
      <c r="A2823" s="9"/>
      <c r="B2823" s="25"/>
      <c r="C2823" s="25"/>
      <c r="D2823" s="25"/>
      <c r="E2823" s="25"/>
      <c r="F2823" s="25"/>
      <c r="G2823" s="25"/>
      <c r="H2823" s="25"/>
      <c r="I2823" s="25"/>
      <c r="J2823" s="25"/>
      <c r="K2823" s="25"/>
      <c r="L2823" s="25"/>
      <c r="M2823" s="42" t="s">
        <v>253</v>
      </c>
      <c r="N2823" s="41">
        <v>45224</v>
      </c>
      <c r="O2823" s="25">
        <v>103</v>
      </c>
      <c r="P2823" s="25">
        <v>0</v>
      </c>
      <c r="Q2823" s="25"/>
      <c r="R2823" s="25"/>
      <c r="S2823" s="25"/>
      <c r="T2823" s="10"/>
    </row>
    <row r="2824" s="35" customFormat="1" ht="18.5" customHeight="1" spans="1:20">
      <c r="A2824" s="9"/>
      <c r="B2824" s="25"/>
      <c r="C2824" s="25"/>
      <c r="D2824" s="25"/>
      <c r="E2824" s="25"/>
      <c r="F2824" s="25"/>
      <c r="G2824" s="25"/>
      <c r="H2824" s="25"/>
      <c r="I2824" s="25"/>
      <c r="J2824" s="25"/>
      <c r="K2824" s="25"/>
      <c r="L2824" s="25"/>
      <c r="M2824" s="42" t="s">
        <v>253</v>
      </c>
      <c r="N2824" s="41">
        <v>45224</v>
      </c>
      <c r="O2824" s="25">
        <v>221</v>
      </c>
      <c r="P2824" s="25">
        <v>0</v>
      </c>
      <c r="Q2824" s="25"/>
      <c r="R2824" s="25"/>
      <c r="S2824" s="25"/>
      <c r="T2824" s="10"/>
    </row>
    <row r="2825" s="35" customFormat="1" ht="18.5" customHeight="1" spans="1:20">
      <c r="A2825" s="9"/>
      <c r="B2825" s="25"/>
      <c r="C2825" s="25"/>
      <c r="D2825" s="25"/>
      <c r="E2825" s="25"/>
      <c r="F2825" s="25"/>
      <c r="G2825" s="25"/>
      <c r="H2825" s="25"/>
      <c r="I2825" s="25"/>
      <c r="J2825" s="25"/>
      <c r="K2825" s="25"/>
      <c r="L2825" s="25"/>
      <c r="M2825" s="42" t="s">
        <v>253</v>
      </c>
      <c r="N2825" s="41">
        <v>45223</v>
      </c>
      <c r="O2825" s="25">
        <v>98</v>
      </c>
      <c r="P2825" s="25">
        <v>0</v>
      </c>
      <c r="Q2825" s="25"/>
      <c r="R2825" s="25"/>
      <c r="S2825" s="25"/>
      <c r="T2825" s="10"/>
    </row>
    <row r="2826" s="35" customFormat="1" ht="18.5" customHeight="1" spans="1:20">
      <c r="A2826" s="9"/>
      <c r="B2826" s="25"/>
      <c r="C2826" s="25"/>
      <c r="D2826" s="25"/>
      <c r="E2826" s="25"/>
      <c r="F2826" s="25"/>
      <c r="G2826" s="25"/>
      <c r="H2826" s="25"/>
      <c r="I2826" s="25"/>
      <c r="J2826" s="25"/>
      <c r="K2826" s="25"/>
      <c r="L2826" s="25"/>
      <c r="M2826" s="42" t="s">
        <v>253</v>
      </c>
      <c r="N2826" s="41">
        <v>45223</v>
      </c>
      <c r="O2826" s="25">
        <v>179</v>
      </c>
      <c r="P2826" s="25">
        <v>0</v>
      </c>
      <c r="Q2826" s="25"/>
      <c r="R2826" s="25"/>
      <c r="S2826" s="25"/>
      <c r="T2826" s="10"/>
    </row>
    <row r="2827" s="35" customFormat="1" ht="18.5" customHeight="1" spans="1:20">
      <c r="A2827" s="9"/>
      <c r="B2827" s="25"/>
      <c r="C2827" s="25"/>
      <c r="D2827" s="25"/>
      <c r="E2827" s="25"/>
      <c r="F2827" s="25"/>
      <c r="G2827" s="25"/>
      <c r="H2827" s="25"/>
      <c r="I2827" s="25"/>
      <c r="J2827" s="25"/>
      <c r="K2827" s="25"/>
      <c r="L2827" s="25"/>
      <c r="M2827" s="42" t="s">
        <v>253</v>
      </c>
      <c r="N2827" s="41">
        <v>45223</v>
      </c>
      <c r="O2827" s="25">
        <v>134</v>
      </c>
      <c r="P2827" s="25">
        <v>0</v>
      </c>
      <c r="Q2827" s="25"/>
      <c r="R2827" s="25"/>
      <c r="S2827" s="25"/>
      <c r="T2827" s="10"/>
    </row>
    <row r="2828" s="35" customFormat="1" ht="18.5" customHeight="1" spans="1:20">
      <c r="A2828" s="9"/>
      <c r="B2828" s="25"/>
      <c r="C2828" s="25"/>
      <c r="D2828" s="25"/>
      <c r="E2828" s="25"/>
      <c r="F2828" s="25"/>
      <c r="G2828" s="25"/>
      <c r="H2828" s="25"/>
      <c r="I2828" s="25"/>
      <c r="J2828" s="25"/>
      <c r="K2828" s="25"/>
      <c r="L2828" s="25"/>
      <c r="M2828" s="42" t="s">
        <v>253</v>
      </c>
      <c r="N2828" s="41">
        <v>45222</v>
      </c>
      <c r="O2828" s="25">
        <v>69</v>
      </c>
      <c r="P2828" s="25">
        <v>0</v>
      </c>
      <c r="Q2828" s="25"/>
      <c r="R2828" s="25"/>
      <c r="S2828" s="25"/>
      <c r="T2828" s="10"/>
    </row>
    <row r="2829" s="35" customFormat="1" ht="18.5" customHeight="1" spans="1:20">
      <c r="A2829" s="9"/>
      <c r="B2829" s="25"/>
      <c r="C2829" s="25"/>
      <c r="D2829" s="25"/>
      <c r="E2829" s="25"/>
      <c r="F2829" s="25"/>
      <c r="G2829" s="25"/>
      <c r="H2829" s="25"/>
      <c r="I2829" s="25"/>
      <c r="J2829" s="25"/>
      <c r="K2829" s="25"/>
      <c r="L2829" s="25"/>
      <c r="M2829" s="42" t="s">
        <v>253</v>
      </c>
      <c r="N2829" s="41">
        <v>45222</v>
      </c>
      <c r="O2829" s="25">
        <v>77</v>
      </c>
      <c r="P2829" s="25">
        <v>0</v>
      </c>
      <c r="Q2829" s="25"/>
      <c r="R2829" s="25"/>
      <c r="S2829" s="25"/>
      <c r="T2829" s="10"/>
    </row>
    <row r="2830" s="35" customFormat="1" ht="18.5" customHeight="1" spans="1:20">
      <c r="A2830" s="9"/>
      <c r="B2830" s="25"/>
      <c r="C2830" s="25"/>
      <c r="D2830" s="25"/>
      <c r="E2830" s="25"/>
      <c r="F2830" s="25"/>
      <c r="G2830" s="25"/>
      <c r="H2830" s="25"/>
      <c r="I2830" s="25"/>
      <c r="J2830" s="25"/>
      <c r="K2830" s="25"/>
      <c r="L2830" s="25"/>
      <c r="M2830" s="42" t="s">
        <v>253</v>
      </c>
      <c r="N2830" s="41">
        <v>45222</v>
      </c>
      <c r="O2830" s="25">
        <v>220</v>
      </c>
      <c r="P2830" s="25">
        <v>0</v>
      </c>
      <c r="Q2830" s="25"/>
      <c r="R2830" s="25"/>
      <c r="S2830" s="25"/>
      <c r="T2830" s="10"/>
    </row>
    <row r="2831" s="35" customFormat="1" ht="18.5" customHeight="1" spans="1:20">
      <c r="A2831" s="9"/>
      <c r="B2831" s="25"/>
      <c r="C2831" s="25"/>
      <c r="D2831" s="25"/>
      <c r="E2831" s="25"/>
      <c r="F2831" s="25"/>
      <c r="G2831" s="25"/>
      <c r="H2831" s="25"/>
      <c r="I2831" s="25"/>
      <c r="J2831" s="25"/>
      <c r="K2831" s="25"/>
      <c r="L2831" s="25"/>
      <c r="M2831" s="42" t="s">
        <v>253</v>
      </c>
      <c r="N2831" s="41">
        <v>45221</v>
      </c>
      <c r="O2831" s="25">
        <v>107</v>
      </c>
      <c r="P2831" s="25">
        <v>0</v>
      </c>
      <c r="Q2831" s="25"/>
      <c r="R2831" s="25"/>
      <c r="S2831" s="25"/>
      <c r="T2831" s="10"/>
    </row>
    <row r="2832" s="35" customFormat="1" ht="18.5" customHeight="1" spans="1:20">
      <c r="A2832" s="9"/>
      <c r="B2832" s="25"/>
      <c r="C2832" s="25"/>
      <c r="D2832" s="25"/>
      <c r="E2832" s="25"/>
      <c r="F2832" s="25"/>
      <c r="G2832" s="25"/>
      <c r="H2832" s="25"/>
      <c r="I2832" s="25"/>
      <c r="J2832" s="25"/>
      <c r="K2832" s="25"/>
      <c r="L2832" s="25"/>
      <c r="M2832" s="42" t="s">
        <v>253</v>
      </c>
      <c r="N2832" s="41">
        <v>45221</v>
      </c>
      <c r="O2832" s="25">
        <v>182</v>
      </c>
      <c r="P2832" s="25">
        <v>0</v>
      </c>
      <c r="Q2832" s="25"/>
      <c r="R2832" s="25"/>
      <c r="S2832" s="25"/>
      <c r="T2832" s="10"/>
    </row>
    <row r="2833" s="35" customFormat="1" ht="18.5" customHeight="1" spans="1:20">
      <c r="A2833" s="9"/>
      <c r="B2833" s="25"/>
      <c r="C2833" s="25"/>
      <c r="D2833" s="25"/>
      <c r="E2833" s="25"/>
      <c r="F2833" s="25"/>
      <c r="G2833" s="25"/>
      <c r="H2833" s="25"/>
      <c r="I2833" s="25"/>
      <c r="J2833" s="25"/>
      <c r="K2833" s="25"/>
      <c r="L2833" s="25"/>
      <c r="M2833" s="42" t="s">
        <v>253</v>
      </c>
      <c r="N2833" s="41">
        <v>45220</v>
      </c>
      <c r="O2833" s="25">
        <v>59</v>
      </c>
      <c r="P2833" s="25">
        <v>0</v>
      </c>
      <c r="Q2833" s="25"/>
      <c r="R2833" s="25"/>
      <c r="S2833" s="25"/>
      <c r="T2833" s="10"/>
    </row>
    <row r="2834" s="35" customFormat="1" ht="18.5" customHeight="1" spans="1:20">
      <c r="A2834" s="9"/>
      <c r="B2834" s="25"/>
      <c r="C2834" s="25"/>
      <c r="D2834" s="25"/>
      <c r="E2834" s="25"/>
      <c r="F2834" s="25"/>
      <c r="G2834" s="25"/>
      <c r="H2834" s="25"/>
      <c r="I2834" s="25"/>
      <c r="J2834" s="25"/>
      <c r="K2834" s="25"/>
      <c r="L2834" s="25"/>
      <c r="M2834" s="42" t="s">
        <v>253</v>
      </c>
      <c r="N2834" s="41">
        <v>45220</v>
      </c>
      <c r="O2834" s="25">
        <v>108</v>
      </c>
      <c r="P2834" s="25">
        <v>0</v>
      </c>
      <c r="Q2834" s="25"/>
      <c r="R2834" s="25"/>
      <c r="S2834" s="25"/>
      <c r="T2834" s="10"/>
    </row>
    <row r="2835" s="35" customFormat="1" ht="18.5" customHeight="1" spans="1:20">
      <c r="A2835" s="9"/>
      <c r="B2835" s="25"/>
      <c r="C2835" s="25"/>
      <c r="D2835" s="25"/>
      <c r="E2835" s="25"/>
      <c r="F2835" s="25"/>
      <c r="G2835" s="25"/>
      <c r="H2835" s="25"/>
      <c r="I2835" s="25"/>
      <c r="J2835" s="25"/>
      <c r="K2835" s="25"/>
      <c r="L2835" s="25"/>
      <c r="M2835" s="42" t="s">
        <v>253</v>
      </c>
      <c r="N2835" s="41">
        <v>45220</v>
      </c>
      <c r="O2835" s="25">
        <v>93</v>
      </c>
      <c r="P2835" s="25">
        <v>0</v>
      </c>
      <c r="Q2835" s="25"/>
      <c r="R2835" s="25"/>
      <c r="S2835" s="25"/>
      <c r="T2835" s="10"/>
    </row>
    <row r="2836" s="35" customFormat="1" ht="18.5" customHeight="1" spans="1:20">
      <c r="A2836" s="9"/>
      <c r="B2836" s="25"/>
      <c r="C2836" s="25"/>
      <c r="D2836" s="25"/>
      <c r="E2836" s="25"/>
      <c r="F2836" s="25"/>
      <c r="G2836" s="25"/>
      <c r="H2836" s="25"/>
      <c r="I2836" s="25"/>
      <c r="J2836" s="25"/>
      <c r="K2836" s="25"/>
      <c r="L2836" s="25"/>
      <c r="M2836" s="42" t="s">
        <v>253</v>
      </c>
      <c r="N2836" s="41">
        <v>45220</v>
      </c>
      <c r="O2836" s="25">
        <v>309</v>
      </c>
      <c r="P2836" s="25">
        <v>0</v>
      </c>
      <c r="Q2836" s="25"/>
      <c r="R2836" s="25"/>
      <c r="S2836" s="25"/>
      <c r="T2836" s="10"/>
    </row>
    <row r="2837" s="35" customFormat="1" ht="18.5" customHeight="1" spans="1:20">
      <c r="A2837" s="9"/>
      <c r="B2837" s="25"/>
      <c r="C2837" s="25"/>
      <c r="D2837" s="25"/>
      <c r="E2837" s="25"/>
      <c r="F2837" s="25"/>
      <c r="G2837" s="25"/>
      <c r="H2837" s="25"/>
      <c r="I2837" s="25"/>
      <c r="J2837" s="25"/>
      <c r="K2837" s="25"/>
      <c r="L2837" s="25"/>
      <c r="M2837" s="42" t="s">
        <v>253</v>
      </c>
      <c r="N2837" s="41">
        <v>45219</v>
      </c>
      <c r="O2837" s="25">
        <v>62</v>
      </c>
      <c r="P2837" s="25">
        <v>0</v>
      </c>
      <c r="Q2837" s="25"/>
      <c r="R2837" s="25"/>
      <c r="S2837" s="25"/>
      <c r="T2837" s="10"/>
    </row>
    <row r="2838" s="35" customFormat="1" ht="18.5" customHeight="1" spans="1:20">
      <c r="A2838" s="9"/>
      <c r="B2838" s="25"/>
      <c r="C2838" s="25"/>
      <c r="D2838" s="25"/>
      <c r="E2838" s="25"/>
      <c r="F2838" s="25"/>
      <c r="G2838" s="25"/>
      <c r="H2838" s="25"/>
      <c r="I2838" s="25"/>
      <c r="J2838" s="25"/>
      <c r="K2838" s="25"/>
      <c r="L2838" s="25"/>
      <c r="M2838" s="42" t="s">
        <v>253</v>
      </c>
      <c r="N2838" s="41">
        <v>45219</v>
      </c>
      <c r="O2838" s="25">
        <v>191</v>
      </c>
      <c r="P2838" s="25">
        <v>0</v>
      </c>
      <c r="Q2838" s="25"/>
      <c r="R2838" s="25"/>
      <c r="S2838" s="25"/>
      <c r="T2838" s="10"/>
    </row>
    <row r="2839" s="35" customFormat="1" ht="18.5" customHeight="1" spans="1:20">
      <c r="A2839" s="9"/>
      <c r="B2839" s="25"/>
      <c r="C2839" s="25"/>
      <c r="D2839" s="25"/>
      <c r="E2839" s="25"/>
      <c r="F2839" s="25"/>
      <c r="G2839" s="25"/>
      <c r="H2839" s="25"/>
      <c r="I2839" s="25"/>
      <c r="J2839" s="25"/>
      <c r="K2839" s="25"/>
      <c r="L2839" s="25"/>
      <c r="M2839" s="42" t="s">
        <v>253</v>
      </c>
      <c r="N2839" s="41">
        <v>45219</v>
      </c>
      <c r="O2839" s="25">
        <v>73</v>
      </c>
      <c r="P2839" s="25">
        <v>0</v>
      </c>
      <c r="Q2839" s="25"/>
      <c r="R2839" s="25"/>
      <c r="S2839" s="25"/>
      <c r="T2839" s="10"/>
    </row>
    <row r="2840" s="35" customFormat="1" ht="18.5" customHeight="1" spans="1:20">
      <c r="A2840" s="9"/>
      <c r="B2840" s="25"/>
      <c r="C2840" s="25"/>
      <c r="D2840" s="25"/>
      <c r="E2840" s="25"/>
      <c r="F2840" s="25"/>
      <c r="G2840" s="25"/>
      <c r="H2840" s="25"/>
      <c r="I2840" s="25"/>
      <c r="J2840" s="25"/>
      <c r="K2840" s="25"/>
      <c r="L2840" s="25"/>
      <c r="M2840" s="42" t="s">
        <v>253</v>
      </c>
      <c r="N2840" s="41">
        <v>45219</v>
      </c>
      <c r="O2840" s="25">
        <v>69</v>
      </c>
      <c r="P2840" s="25">
        <v>0</v>
      </c>
      <c r="Q2840" s="25"/>
      <c r="R2840" s="25"/>
      <c r="S2840" s="25"/>
      <c r="T2840" s="10"/>
    </row>
    <row r="2841" s="35" customFormat="1" ht="18.5" customHeight="1" spans="1:20">
      <c r="A2841" s="9"/>
      <c r="B2841" s="25"/>
      <c r="C2841" s="25"/>
      <c r="D2841" s="25"/>
      <c r="E2841" s="25"/>
      <c r="F2841" s="25"/>
      <c r="G2841" s="25"/>
      <c r="H2841" s="25"/>
      <c r="I2841" s="25"/>
      <c r="J2841" s="25"/>
      <c r="K2841" s="25"/>
      <c r="L2841" s="25"/>
      <c r="M2841" s="42" t="s">
        <v>253</v>
      </c>
      <c r="N2841" s="41">
        <v>45219</v>
      </c>
      <c r="O2841" s="25">
        <v>82</v>
      </c>
      <c r="P2841" s="25">
        <v>0</v>
      </c>
      <c r="Q2841" s="25"/>
      <c r="R2841" s="25"/>
      <c r="S2841" s="25"/>
      <c r="T2841" s="10"/>
    </row>
    <row r="2842" s="35" customFormat="1" ht="18.5" customHeight="1" spans="1:20">
      <c r="A2842" s="9"/>
      <c r="B2842" s="25"/>
      <c r="C2842" s="25"/>
      <c r="D2842" s="25"/>
      <c r="E2842" s="25"/>
      <c r="F2842" s="25"/>
      <c r="G2842" s="25"/>
      <c r="H2842" s="25"/>
      <c r="I2842" s="25"/>
      <c r="J2842" s="25"/>
      <c r="K2842" s="25"/>
      <c r="L2842" s="25"/>
      <c r="M2842" s="42" t="s">
        <v>253</v>
      </c>
      <c r="N2842" s="41">
        <v>45218</v>
      </c>
      <c r="O2842" s="25">
        <v>118</v>
      </c>
      <c r="P2842" s="25">
        <v>0</v>
      </c>
      <c r="Q2842" s="25"/>
      <c r="R2842" s="25"/>
      <c r="S2842" s="25"/>
      <c r="T2842" s="10"/>
    </row>
    <row r="2843" s="35" customFormat="1" ht="18.5" customHeight="1" spans="1:20">
      <c r="A2843" s="9"/>
      <c r="B2843" s="25"/>
      <c r="C2843" s="25"/>
      <c r="D2843" s="25"/>
      <c r="E2843" s="25"/>
      <c r="F2843" s="25"/>
      <c r="G2843" s="25"/>
      <c r="H2843" s="25"/>
      <c r="I2843" s="25"/>
      <c r="J2843" s="25"/>
      <c r="K2843" s="25"/>
      <c r="L2843" s="25"/>
      <c r="M2843" s="42" t="s">
        <v>253</v>
      </c>
      <c r="N2843" s="41">
        <v>45218</v>
      </c>
      <c r="O2843" s="25">
        <v>396</v>
      </c>
      <c r="P2843" s="25">
        <v>0</v>
      </c>
      <c r="Q2843" s="25"/>
      <c r="R2843" s="25"/>
      <c r="S2843" s="25"/>
      <c r="T2843" s="10"/>
    </row>
    <row r="2844" s="35" customFormat="1" ht="18.5" customHeight="1" spans="1:20">
      <c r="A2844" s="9"/>
      <c r="B2844" s="25"/>
      <c r="C2844" s="25"/>
      <c r="D2844" s="25"/>
      <c r="E2844" s="25"/>
      <c r="F2844" s="25"/>
      <c r="G2844" s="25"/>
      <c r="H2844" s="25"/>
      <c r="I2844" s="25"/>
      <c r="J2844" s="25"/>
      <c r="K2844" s="25"/>
      <c r="L2844" s="25"/>
      <c r="M2844" s="42" t="s">
        <v>253</v>
      </c>
      <c r="N2844" s="41">
        <v>45218</v>
      </c>
      <c r="O2844" s="25">
        <v>99</v>
      </c>
      <c r="P2844" s="25">
        <v>0</v>
      </c>
      <c r="Q2844" s="25"/>
      <c r="R2844" s="25"/>
      <c r="S2844" s="25"/>
      <c r="T2844" s="10"/>
    </row>
    <row r="2845" s="35" customFormat="1" ht="18.5" customHeight="1" spans="1:20">
      <c r="A2845" s="9"/>
      <c r="B2845" s="25"/>
      <c r="C2845" s="25"/>
      <c r="D2845" s="25"/>
      <c r="E2845" s="25"/>
      <c r="F2845" s="25"/>
      <c r="G2845" s="25"/>
      <c r="H2845" s="25"/>
      <c r="I2845" s="25"/>
      <c r="J2845" s="25"/>
      <c r="K2845" s="25"/>
      <c r="L2845" s="25"/>
      <c r="M2845" s="42" t="s">
        <v>253</v>
      </c>
      <c r="N2845" s="41">
        <v>45218</v>
      </c>
      <c r="O2845" s="25">
        <v>51</v>
      </c>
      <c r="P2845" s="25">
        <v>0</v>
      </c>
      <c r="Q2845" s="25"/>
      <c r="R2845" s="25"/>
      <c r="S2845" s="25"/>
      <c r="T2845" s="10"/>
    </row>
    <row r="2846" s="35" customFormat="1" ht="18.5" customHeight="1" spans="1:20">
      <c r="A2846" s="9"/>
      <c r="B2846" s="25"/>
      <c r="C2846" s="25"/>
      <c r="D2846" s="25"/>
      <c r="E2846" s="25"/>
      <c r="F2846" s="25"/>
      <c r="G2846" s="25"/>
      <c r="H2846" s="25"/>
      <c r="I2846" s="25"/>
      <c r="J2846" s="25"/>
      <c r="K2846" s="25"/>
      <c r="L2846" s="25"/>
      <c r="M2846" s="42" t="s">
        <v>253</v>
      </c>
      <c r="N2846" s="41">
        <v>45217</v>
      </c>
      <c r="O2846" s="25">
        <v>86</v>
      </c>
      <c r="P2846" s="25">
        <v>0</v>
      </c>
      <c r="Q2846" s="25"/>
      <c r="R2846" s="25"/>
      <c r="S2846" s="25"/>
      <c r="T2846" s="10"/>
    </row>
    <row r="2847" s="35" customFormat="1" ht="18.5" customHeight="1" spans="1:20">
      <c r="A2847" s="9"/>
      <c r="B2847" s="25"/>
      <c r="C2847" s="25"/>
      <c r="D2847" s="25"/>
      <c r="E2847" s="25"/>
      <c r="F2847" s="25"/>
      <c r="G2847" s="25"/>
      <c r="H2847" s="25"/>
      <c r="I2847" s="25"/>
      <c r="J2847" s="25"/>
      <c r="K2847" s="25"/>
      <c r="L2847" s="25"/>
      <c r="M2847" s="42" t="s">
        <v>253</v>
      </c>
      <c r="N2847" s="41">
        <v>45216</v>
      </c>
      <c r="O2847" s="25">
        <v>96</v>
      </c>
      <c r="P2847" s="25">
        <v>0</v>
      </c>
      <c r="Q2847" s="25"/>
      <c r="R2847" s="25"/>
      <c r="S2847" s="25"/>
      <c r="T2847" s="10"/>
    </row>
    <row r="2848" s="35" customFormat="1" ht="18.5" customHeight="1" spans="1:20">
      <c r="A2848" s="9"/>
      <c r="B2848" s="25"/>
      <c r="C2848" s="25"/>
      <c r="D2848" s="25"/>
      <c r="E2848" s="25"/>
      <c r="F2848" s="25"/>
      <c r="G2848" s="25"/>
      <c r="H2848" s="25"/>
      <c r="I2848" s="25"/>
      <c r="J2848" s="25"/>
      <c r="K2848" s="25"/>
      <c r="L2848" s="25"/>
      <c r="M2848" s="42" t="s">
        <v>253</v>
      </c>
      <c r="N2848" s="41">
        <v>45216</v>
      </c>
      <c r="O2848" s="25">
        <v>382</v>
      </c>
      <c r="P2848" s="25">
        <v>0</v>
      </c>
      <c r="Q2848" s="25"/>
      <c r="R2848" s="25"/>
      <c r="S2848" s="25"/>
      <c r="T2848" s="10"/>
    </row>
    <row r="2849" s="35" customFormat="1" ht="18.5" customHeight="1" spans="1:20">
      <c r="A2849" s="9"/>
      <c r="B2849" s="25"/>
      <c r="C2849" s="25"/>
      <c r="D2849" s="25"/>
      <c r="E2849" s="25"/>
      <c r="F2849" s="25"/>
      <c r="G2849" s="25"/>
      <c r="H2849" s="25"/>
      <c r="I2849" s="25"/>
      <c r="J2849" s="25"/>
      <c r="K2849" s="25"/>
      <c r="L2849" s="25"/>
      <c r="M2849" s="42" t="s">
        <v>253</v>
      </c>
      <c r="N2849" s="41">
        <v>45216</v>
      </c>
      <c r="O2849" s="25">
        <v>127</v>
      </c>
      <c r="P2849" s="25">
        <v>0</v>
      </c>
      <c r="Q2849" s="25"/>
      <c r="R2849" s="25"/>
      <c r="S2849" s="25"/>
      <c r="T2849" s="10"/>
    </row>
    <row r="2850" s="35" customFormat="1" ht="18.5" customHeight="1" spans="1:20">
      <c r="A2850" s="9"/>
      <c r="B2850" s="25"/>
      <c r="C2850" s="25"/>
      <c r="D2850" s="25"/>
      <c r="E2850" s="25"/>
      <c r="F2850" s="25"/>
      <c r="G2850" s="25"/>
      <c r="H2850" s="25"/>
      <c r="I2850" s="25"/>
      <c r="J2850" s="25"/>
      <c r="K2850" s="25"/>
      <c r="L2850" s="25"/>
      <c r="M2850" s="42" t="s">
        <v>253</v>
      </c>
      <c r="N2850" s="41">
        <v>45216</v>
      </c>
      <c r="O2850" s="25">
        <v>47</v>
      </c>
      <c r="P2850" s="25">
        <v>0</v>
      </c>
      <c r="Q2850" s="25"/>
      <c r="R2850" s="25"/>
      <c r="S2850" s="25"/>
      <c r="T2850" s="10"/>
    </row>
    <row r="2851" s="35" customFormat="1" ht="18.5" customHeight="1" spans="1:20">
      <c r="A2851" s="9"/>
      <c r="B2851" s="25"/>
      <c r="C2851" s="25"/>
      <c r="D2851" s="25"/>
      <c r="E2851" s="25"/>
      <c r="F2851" s="25"/>
      <c r="G2851" s="25"/>
      <c r="H2851" s="25"/>
      <c r="I2851" s="25"/>
      <c r="J2851" s="25"/>
      <c r="K2851" s="25"/>
      <c r="L2851" s="25"/>
      <c r="M2851" s="42" t="s">
        <v>253</v>
      </c>
      <c r="N2851" s="41">
        <v>45216</v>
      </c>
      <c r="O2851" s="25">
        <v>105</v>
      </c>
      <c r="P2851" s="25">
        <v>0</v>
      </c>
      <c r="Q2851" s="25"/>
      <c r="R2851" s="25"/>
      <c r="S2851" s="25"/>
      <c r="T2851" s="10"/>
    </row>
    <row r="2852" s="35" customFormat="1" ht="18.5" customHeight="1" spans="1:20">
      <c r="A2852" s="9"/>
      <c r="B2852" s="25"/>
      <c r="C2852" s="25"/>
      <c r="D2852" s="25"/>
      <c r="E2852" s="25"/>
      <c r="F2852" s="25"/>
      <c r="G2852" s="25"/>
      <c r="H2852" s="25"/>
      <c r="I2852" s="25"/>
      <c r="J2852" s="25"/>
      <c r="K2852" s="25"/>
      <c r="L2852" s="25"/>
      <c r="M2852" s="42" t="s">
        <v>253</v>
      </c>
      <c r="N2852" s="41">
        <v>45216</v>
      </c>
      <c r="O2852" s="25">
        <v>153</v>
      </c>
      <c r="P2852" s="25">
        <v>0</v>
      </c>
      <c r="Q2852" s="25"/>
      <c r="R2852" s="25"/>
      <c r="S2852" s="25"/>
      <c r="T2852" s="10"/>
    </row>
    <row r="2853" s="35" customFormat="1" ht="18.5" customHeight="1" spans="1:20">
      <c r="A2853" s="9"/>
      <c r="B2853" s="25"/>
      <c r="C2853" s="25"/>
      <c r="D2853" s="25"/>
      <c r="E2853" s="25"/>
      <c r="F2853" s="25"/>
      <c r="G2853" s="25"/>
      <c r="H2853" s="25"/>
      <c r="I2853" s="25"/>
      <c r="J2853" s="25"/>
      <c r="K2853" s="25"/>
      <c r="L2853" s="25"/>
      <c r="M2853" s="42" t="s">
        <v>253</v>
      </c>
      <c r="N2853" s="41">
        <v>45215</v>
      </c>
      <c r="O2853" s="25">
        <v>579</v>
      </c>
      <c r="P2853" s="25">
        <v>0</v>
      </c>
      <c r="Q2853" s="25"/>
      <c r="R2853" s="25"/>
      <c r="S2853" s="25"/>
      <c r="T2853" s="10"/>
    </row>
    <row r="2854" s="35" customFormat="1" ht="18.5" customHeight="1" spans="1:20">
      <c r="A2854" s="9"/>
      <c r="B2854" s="25"/>
      <c r="C2854" s="25"/>
      <c r="D2854" s="25"/>
      <c r="E2854" s="25"/>
      <c r="F2854" s="25"/>
      <c r="G2854" s="25"/>
      <c r="H2854" s="25"/>
      <c r="I2854" s="25"/>
      <c r="J2854" s="25"/>
      <c r="K2854" s="25"/>
      <c r="L2854" s="25"/>
      <c r="M2854" s="42" t="s">
        <v>253</v>
      </c>
      <c r="N2854" s="41">
        <v>45215</v>
      </c>
      <c r="O2854" s="25">
        <v>106</v>
      </c>
      <c r="P2854" s="25">
        <v>0</v>
      </c>
      <c r="Q2854" s="25"/>
      <c r="R2854" s="25"/>
      <c r="S2854" s="25"/>
      <c r="T2854" s="10"/>
    </row>
    <row r="2855" s="35" customFormat="1" ht="18.5" customHeight="1" spans="1:20">
      <c r="A2855" s="9"/>
      <c r="B2855" s="25"/>
      <c r="C2855" s="25"/>
      <c r="D2855" s="25"/>
      <c r="E2855" s="25"/>
      <c r="F2855" s="25"/>
      <c r="G2855" s="25"/>
      <c r="H2855" s="25"/>
      <c r="I2855" s="25"/>
      <c r="J2855" s="25"/>
      <c r="K2855" s="25"/>
      <c r="L2855" s="25"/>
      <c r="M2855" s="42" t="s">
        <v>253</v>
      </c>
      <c r="N2855" s="41">
        <v>45214</v>
      </c>
      <c r="O2855" s="25">
        <v>77</v>
      </c>
      <c r="P2855" s="25">
        <v>0</v>
      </c>
      <c r="Q2855" s="25"/>
      <c r="R2855" s="25"/>
      <c r="S2855" s="25"/>
      <c r="T2855" s="10"/>
    </row>
    <row r="2856" s="35" customFormat="1" ht="18.5" customHeight="1" spans="1:20">
      <c r="A2856" s="9"/>
      <c r="B2856" s="25"/>
      <c r="C2856" s="25"/>
      <c r="D2856" s="25"/>
      <c r="E2856" s="25"/>
      <c r="F2856" s="25"/>
      <c r="G2856" s="25"/>
      <c r="H2856" s="25"/>
      <c r="I2856" s="25"/>
      <c r="J2856" s="25"/>
      <c r="K2856" s="25"/>
      <c r="L2856" s="25"/>
      <c r="M2856" s="42" t="s">
        <v>253</v>
      </c>
      <c r="N2856" s="41">
        <v>45214</v>
      </c>
      <c r="O2856" s="25">
        <v>65</v>
      </c>
      <c r="P2856" s="25">
        <v>0</v>
      </c>
      <c r="Q2856" s="25"/>
      <c r="R2856" s="25"/>
      <c r="S2856" s="25"/>
      <c r="T2856" s="10"/>
    </row>
    <row r="2857" s="35" customFormat="1" ht="18.5" customHeight="1" spans="1:20">
      <c r="A2857" s="9"/>
      <c r="B2857" s="25"/>
      <c r="C2857" s="25"/>
      <c r="D2857" s="25"/>
      <c r="E2857" s="25"/>
      <c r="F2857" s="25"/>
      <c r="G2857" s="25"/>
      <c r="H2857" s="25"/>
      <c r="I2857" s="25"/>
      <c r="J2857" s="25"/>
      <c r="K2857" s="25"/>
      <c r="L2857" s="25"/>
      <c r="M2857" s="42" t="s">
        <v>253</v>
      </c>
      <c r="N2857" s="41">
        <v>45213</v>
      </c>
      <c r="O2857" s="25">
        <v>153</v>
      </c>
      <c r="P2857" s="25">
        <v>0</v>
      </c>
      <c r="Q2857" s="25"/>
      <c r="R2857" s="25"/>
      <c r="S2857" s="25"/>
      <c r="T2857" s="10"/>
    </row>
    <row r="2858" s="35" customFormat="1" ht="18.5" customHeight="1" spans="1:20">
      <c r="A2858" s="9"/>
      <c r="B2858" s="25"/>
      <c r="C2858" s="25"/>
      <c r="D2858" s="25"/>
      <c r="E2858" s="25"/>
      <c r="F2858" s="25"/>
      <c r="G2858" s="25"/>
      <c r="H2858" s="25"/>
      <c r="I2858" s="25"/>
      <c r="J2858" s="25"/>
      <c r="K2858" s="25"/>
      <c r="L2858" s="25"/>
      <c r="M2858" s="42" t="s">
        <v>253</v>
      </c>
      <c r="N2858" s="41">
        <v>45213</v>
      </c>
      <c r="O2858" s="25">
        <v>105</v>
      </c>
      <c r="P2858" s="25">
        <v>0</v>
      </c>
      <c r="Q2858" s="25"/>
      <c r="R2858" s="25"/>
      <c r="S2858" s="25"/>
      <c r="T2858" s="10"/>
    </row>
    <row r="2859" s="35" customFormat="1" ht="18.5" customHeight="1" spans="1:20">
      <c r="A2859" s="9"/>
      <c r="B2859" s="25"/>
      <c r="C2859" s="25"/>
      <c r="D2859" s="25"/>
      <c r="E2859" s="25"/>
      <c r="F2859" s="25"/>
      <c r="G2859" s="25"/>
      <c r="H2859" s="25"/>
      <c r="I2859" s="25"/>
      <c r="J2859" s="25"/>
      <c r="K2859" s="25"/>
      <c r="L2859" s="25"/>
      <c r="M2859" s="42" t="s">
        <v>253</v>
      </c>
      <c r="N2859" s="41">
        <v>45211</v>
      </c>
      <c r="O2859" s="25">
        <v>135</v>
      </c>
      <c r="P2859" s="25">
        <v>0</v>
      </c>
      <c r="Q2859" s="25"/>
      <c r="R2859" s="25"/>
      <c r="S2859" s="25"/>
      <c r="T2859" s="10"/>
    </row>
    <row r="2860" s="35" customFormat="1" ht="18.5" customHeight="1" spans="1:20">
      <c r="A2860" s="9"/>
      <c r="B2860" s="25"/>
      <c r="C2860" s="25"/>
      <c r="D2860" s="25"/>
      <c r="E2860" s="25"/>
      <c r="F2860" s="25"/>
      <c r="G2860" s="25"/>
      <c r="H2860" s="25"/>
      <c r="I2860" s="25"/>
      <c r="J2860" s="25"/>
      <c r="K2860" s="25"/>
      <c r="L2860" s="25"/>
      <c r="M2860" s="42" t="s">
        <v>253</v>
      </c>
      <c r="N2860" s="41">
        <v>45211</v>
      </c>
      <c r="O2860" s="25">
        <v>179</v>
      </c>
      <c r="P2860" s="25">
        <v>0</v>
      </c>
      <c r="Q2860" s="25"/>
      <c r="R2860" s="25"/>
      <c r="S2860" s="25"/>
      <c r="T2860" s="10"/>
    </row>
    <row r="2861" s="35" customFormat="1" ht="18.5" customHeight="1" spans="1:20">
      <c r="A2861" s="9"/>
      <c r="B2861" s="25"/>
      <c r="C2861" s="25"/>
      <c r="D2861" s="25"/>
      <c r="E2861" s="25"/>
      <c r="F2861" s="25"/>
      <c r="G2861" s="25"/>
      <c r="H2861" s="25"/>
      <c r="I2861" s="25"/>
      <c r="J2861" s="25"/>
      <c r="K2861" s="25"/>
      <c r="L2861" s="25"/>
      <c r="M2861" s="42" t="s">
        <v>253</v>
      </c>
      <c r="N2861" s="41">
        <v>45210</v>
      </c>
      <c r="O2861" s="25">
        <v>108</v>
      </c>
      <c r="P2861" s="25">
        <v>0</v>
      </c>
      <c r="Q2861" s="25"/>
      <c r="R2861" s="25"/>
      <c r="S2861" s="25"/>
      <c r="T2861" s="10"/>
    </row>
    <row r="2862" s="35" customFormat="1" ht="18.5" customHeight="1" spans="1:20">
      <c r="A2862" s="9"/>
      <c r="B2862" s="25"/>
      <c r="C2862" s="25"/>
      <c r="D2862" s="25"/>
      <c r="E2862" s="25"/>
      <c r="F2862" s="25"/>
      <c r="G2862" s="25"/>
      <c r="H2862" s="25"/>
      <c r="I2862" s="25"/>
      <c r="J2862" s="25"/>
      <c r="K2862" s="25"/>
      <c r="L2862" s="25"/>
      <c r="M2862" s="42" t="s">
        <v>253</v>
      </c>
      <c r="N2862" s="41">
        <v>45210</v>
      </c>
      <c r="O2862" s="25">
        <v>80</v>
      </c>
      <c r="P2862" s="25">
        <v>0</v>
      </c>
      <c r="Q2862" s="25"/>
      <c r="R2862" s="25"/>
      <c r="S2862" s="25"/>
      <c r="T2862" s="10"/>
    </row>
    <row r="2863" s="35" customFormat="1" ht="18.5" customHeight="1" spans="1:20">
      <c r="A2863" s="9"/>
      <c r="B2863" s="25"/>
      <c r="C2863" s="25"/>
      <c r="D2863" s="25"/>
      <c r="E2863" s="25"/>
      <c r="F2863" s="25"/>
      <c r="G2863" s="25"/>
      <c r="H2863" s="25"/>
      <c r="I2863" s="25"/>
      <c r="J2863" s="25"/>
      <c r="K2863" s="25"/>
      <c r="L2863" s="25"/>
      <c r="M2863" s="42" t="s">
        <v>253</v>
      </c>
      <c r="N2863" s="41">
        <v>45210</v>
      </c>
      <c r="O2863" s="25">
        <v>258</v>
      </c>
      <c r="P2863" s="25">
        <v>0</v>
      </c>
      <c r="Q2863" s="25"/>
      <c r="R2863" s="25"/>
      <c r="S2863" s="25"/>
      <c r="T2863" s="10"/>
    </row>
    <row r="2864" s="35" customFormat="1" ht="18.5" customHeight="1" spans="1:20">
      <c r="A2864" s="9"/>
      <c r="B2864" s="25"/>
      <c r="C2864" s="25"/>
      <c r="D2864" s="25"/>
      <c r="E2864" s="25"/>
      <c r="F2864" s="25"/>
      <c r="G2864" s="25"/>
      <c r="H2864" s="25"/>
      <c r="I2864" s="25"/>
      <c r="J2864" s="25"/>
      <c r="K2864" s="25"/>
      <c r="L2864" s="25"/>
      <c r="M2864" s="42" t="s">
        <v>253</v>
      </c>
      <c r="N2864" s="41">
        <v>45210</v>
      </c>
      <c r="O2864" s="25">
        <v>225</v>
      </c>
      <c r="P2864" s="25">
        <v>0</v>
      </c>
      <c r="Q2864" s="25"/>
      <c r="R2864" s="25"/>
      <c r="S2864" s="25"/>
      <c r="T2864" s="10"/>
    </row>
    <row r="2865" s="35" customFormat="1" ht="18.5" customHeight="1" spans="1:20">
      <c r="A2865" s="9"/>
      <c r="B2865" s="25"/>
      <c r="C2865" s="25"/>
      <c r="D2865" s="25"/>
      <c r="E2865" s="25"/>
      <c r="F2865" s="25"/>
      <c r="G2865" s="25"/>
      <c r="H2865" s="25"/>
      <c r="I2865" s="25"/>
      <c r="J2865" s="25"/>
      <c r="K2865" s="25"/>
      <c r="L2865" s="25"/>
      <c r="M2865" s="42" t="s">
        <v>253</v>
      </c>
      <c r="N2865" s="41">
        <v>45210</v>
      </c>
      <c r="O2865" s="25">
        <v>139</v>
      </c>
      <c r="P2865" s="25">
        <v>0</v>
      </c>
      <c r="Q2865" s="25"/>
      <c r="R2865" s="25"/>
      <c r="S2865" s="25"/>
      <c r="T2865" s="10"/>
    </row>
    <row r="2866" s="35" customFormat="1" ht="18.5" customHeight="1" spans="1:20">
      <c r="A2866" s="9"/>
      <c r="B2866" s="25"/>
      <c r="C2866" s="25"/>
      <c r="D2866" s="25"/>
      <c r="E2866" s="25"/>
      <c r="F2866" s="25"/>
      <c r="G2866" s="25"/>
      <c r="H2866" s="25"/>
      <c r="I2866" s="25"/>
      <c r="J2866" s="25"/>
      <c r="K2866" s="25"/>
      <c r="L2866" s="25"/>
      <c r="M2866" s="42" t="s">
        <v>253</v>
      </c>
      <c r="N2866" s="41">
        <v>45209</v>
      </c>
      <c r="O2866" s="25">
        <v>161</v>
      </c>
      <c r="P2866" s="25">
        <v>0</v>
      </c>
      <c r="Q2866" s="25"/>
      <c r="R2866" s="25"/>
      <c r="S2866" s="25"/>
      <c r="T2866" s="10"/>
    </row>
    <row r="2867" s="35" customFormat="1" ht="18.5" customHeight="1" spans="1:20">
      <c r="A2867" s="9"/>
      <c r="B2867" s="25"/>
      <c r="C2867" s="25"/>
      <c r="D2867" s="25"/>
      <c r="E2867" s="25"/>
      <c r="F2867" s="25"/>
      <c r="G2867" s="25"/>
      <c r="H2867" s="25"/>
      <c r="I2867" s="25"/>
      <c r="J2867" s="25"/>
      <c r="K2867" s="25"/>
      <c r="L2867" s="25"/>
      <c r="M2867" s="42" t="s">
        <v>253</v>
      </c>
      <c r="N2867" s="41">
        <v>45209</v>
      </c>
      <c r="O2867" s="25">
        <v>211</v>
      </c>
      <c r="P2867" s="25">
        <v>0</v>
      </c>
      <c r="Q2867" s="25"/>
      <c r="R2867" s="25"/>
      <c r="S2867" s="25"/>
      <c r="T2867" s="10"/>
    </row>
    <row r="2868" s="35" customFormat="1" ht="18.5" customHeight="1" spans="1:20">
      <c r="A2868" s="9"/>
      <c r="B2868" s="25"/>
      <c r="C2868" s="25"/>
      <c r="D2868" s="25"/>
      <c r="E2868" s="25"/>
      <c r="F2868" s="25"/>
      <c r="G2868" s="25"/>
      <c r="H2868" s="25"/>
      <c r="I2868" s="25"/>
      <c r="J2868" s="25"/>
      <c r="K2868" s="25"/>
      <c r="L2868" s="25"/>
      <c r="M2868" s="42" t="s">
        <v>253</v>
      </c>
      <c r="N2868" s="41">
        <v>45209</v>
      </c>
      <c r="O2868" s="25">
        <v>153</v>
      </c>
      <c r="P2868" s="25">
        <v>0</v>
      </c>
      <c r="Q2868" s="25"/>
      <c r="R2868" s="25"/>
      <c r="S2868" s="25"/>
      <c r="T2868" s="10"/>
    </row>
    <row r="2869" s="35" customFormat="1" ht="18.5" customHeight="1" spans="1:20">
      <c r="A2869" s="9"/>
      <c r="B2869" s="25"/>
      <c r="C2869" s="25"/>
      <c r="D2869" s="25"/>
      <c r="E2869" s="25"/>
      <c r="F2869" s="25"/>
      <c r="G2869" s="25"/>
      <c r="H2869" s="25"/>
      <c r="I2869" s="25"/>
      <c r="J2869" s="25"/>
      <c r="K2869" s="25"/>
      <c r="L2869" s="25"/>
      <c r="M2869" s="42" t="s">
        <v>253</v>
      </c>
      <c r="N2869" s="41">
        <v>45209</v>
      </c>
      <c r="O2869" s="25">
        <v>73</v>
      </c>
      <c r="P2869" s="25">
        <v>0</v>
      </c>
      <c r="Q2869" s="25"/>
      <c r="R2869" s="25"/>
      <c r="S2869" s="25"/>
      <c r="T2869" s="10"/>
    </row>
    <row r="2870" s="35" customFormat="1" ht="18.5" customHeight="1" spans="1:20">
      <c r="A2870" s="9"/>
      <c r="B2870" s="25"/>
      <c r="C2870" s="25"/>
      <c r="D2870" s="25"/>
      <c r="E2870" s="25"/>
      <c r="F2870" s="25"/>
      <c r="G2870" s="25"/>
      <c r="H2870" s="25"/>
      <c r="I2870" s="25"/>
      <c r="J2870" s="25"/>
      <c r="K2870" s="25"/>
      <c r="L2870" s="25"/>
      <c r="M2870" s="42" t="s">
        <v>253</v>
      </c>
      <c r="N2870" s="41">
        <v>45208</v>
      </c>
      <c r="O2870" s="25">
        <v>94</v>
      </c>
      <c r="P2870" s="25">
        <v>0</v>
      </c>
      <c r="Q2870" s="25"/>
      <c r="R2870" s="25"/>
      <c r="S2870" s="25"/>
      <c r="T2870" s="10"/>
    </row>
    <row r="2871" s="35" customFormat="1" ht="18.5" customHeight="1" spans="1:20">
      <c r="A2871" s="9"/>
      <c r="B2871" s="25"/>
      <c r="C2871" s="25"/>
      <c r="D2871" s="25"/>
      <c r="E2871" s="25"/>
      <c r="F2871" s="25"/>
      <c r="G2871" s="25"/>
      <c r="H2871" s="25"/>
      <c r="I2871" s="25"/>
      <c r="J2871" s="25"/>
      <c r="K2871" s="25"/>
      <c r="L2871" s="25"/>
      <c r="M2871" s="42" t="s">
        <v>253</v>
      </c>
      <c r="N2871" s="41">
        <v>45207</v>
      </c>
      <c r="O2871" s="25">
        <v>105</v>
      </c>
      <c r="P2871" s="25">
        <v>0</v>
      </c>
      <c r="Q2871" s="25"/>
      <c r="R2871" s="25"/>
      <c r="S2871" s="25"/>
      <c r="T2871" s="10"/>
    </row>
    <row r="2872" s="35" customFormat="1" ht="18.5" customHeight="1" spans="1:20">
      <c r="A2872" s="9"/>
      <c r="B2872" s="25"/>
      <c r="C2872" s="25"/>
      <c r="D2872" s="25"/>
      <c r="E2872" s="25"/>
      <c r="F2872" s="25"/>
      <c r="G2872" s="25"/>
      <c r="H2872" s="25"/>
      <c r="I2872" s="25"/>
      <c r="J2872" s="25"/>
      <c r="K2872" s="25"/>
      <c r="L2872" s="25"/>
      <c r="M2872" s="42" t="s">
        <v>253</v>
      </c>
      <c r="N2872" s="41">
        <v>45207</v>
      </c>
      <c r="O2872" s="25">
        <v>82</v>
      </c>
      <c r="P2872" s="25">
        <v>0</v>
      </c>
      <c r="Q2872" s="25"/>
      <c r="R2872" s="25"/>
      <c r="S2872" s="25"/>
      <c r="T2872" s="10"/>
    </row>
    <row r="2873" s="35" customFormat="1" ht="18.5" customHeight="1" spans="1:20">
      <c r="A2873" s="9"/>
      <c r="B2873" s="25"/>
      <c r="C2873" s="25"/>
      <c r="D2873" s="25"/>
      <c r="E2873" s="25"/>
      <c r="F2873" s="25"/>
      <c r="G2873" s="25"/>
      <c r="H2873" s="25"/>
      <c r="I2873" s="25"/>
      <c r="J2873" s="25"/>
      <c r="K2873" s="25"/>
      <c r="L2873" s="25"/>
      <c r="M2873" s="42" t="s">
        <v>253</v>
      </c>
      <c r="N2873" s="41">
        <v>45207</v>
      </c>
      <c r="O2873" s="25">
        <v>347</v>
      </c>
      <c r="P2873" s="25">
        <v>0</v>
      </c>
      <c r="Q2873" s="25"/>
      <c r="R2873" s="25"/>
      <c r="S2873" s="25"/>
      <c r="T2873" s="10"/>
    </row>
    <row r="2874" s="35" customFormat="1" ht="18.5" customHeight="1" spans="1:20">
      <c r="A2874" s="9"/>
      <c r="B2874" s="25"/>
      <c r="C2874" s="25"/>
      <c r="D2874" s="25"/>
      <c r="E2874" s="25"/>
      <c r="F2874" s="25"/>
      <c r="G2874" s="25"/>
      <c r="H2874" s="25"/>
      <c r="I2874" s="25"/>
      <c r="J2874" s="25"/>
      <c r="K2874" s="25"/>
      <c r="L2874" s="25"/>
      <c r="M2874" s="42" t="s">
        <v>253</v>
      </c>
      <c r="N2874" s="41">
        <v>45206</v>
      </c>
      <c r="O2874" s="25">
        <v>222</v>
      </c>
      <c r="P2874" s="25">
        <v>0</v>
      </c>
      <c r="Q2874" s="25"/>
      <c r="R2874" s="25"/>
      <c r="S2874" s="25"/>
      <c r="T2874" s="10"/>
    </row>
    <row r="2875" s="35" customFormat="1" ht="18.5" customHeight="1" spans="1:20">
      <c r="A2875" s="9"/>
      <c r="B2875" s="25"/>
      <c r="C2875" s="25"/>
      <c r="D2875" s="25"/>
      <c r="E2875" s="25"/>
      <c r="F2875" s="25"/>
      <c r="G2875" s="25"/>
      <c r="H2875" s="25"/>
      <c r="I2875" s="25"/>
      <c r="J2875" s="25"/>
      <c r="K2875" s="25"/>
      <c r="L2875" s="25"/>
      <c r="M2875" s="42" t="s">
        <v>253</v>
      </c>
      <c r="N2875" s="41">
        <v>45205</v>
      </c>
      <c r="O2875" s="25">
        <v>94</v>
      </c>
      <c r="P2875" s="25">
        <v>0</v>
      </c>
      <c r="Q2875" s="25"/>
      <c r="R2875" s="25"/>
      <c r="S2875" s="25"/>
      <c r="T2875" s="10"/>
    </row>
    <row r="2876" s="35" customFormat="1" ht="18.5" customHeight="1" spans="1:20">
      <c r="A2876" s="9"/>
      <c r="B2876" s="25"/>
      <c r="C2876" s="25"/>
      <c r="D2876" s="25"/>
      <c r="E2876" s="25"/>
      <c r="F2876" s="25"/>
      <c r="G2876" s="25"/>
      <c r="H2876" s="25"/>
      <c r="I2876" s="25"/>
      <c r="J2876" s="25"/>
      <c r="K2876" s="25"/>
      <c r="L2876" s="25"/>
      <c r="M2876" s="42" t="s">
        <v>253</v>
      </c>
      <c r="N2876" s="41">
        <v>45205</v>
      </c>
      <c r="O2876" s="25">
        <v>221</v>
      </c>
      <c r="P2876" s="25">
        <v>0</v>
      </c>
      <c r="Q2876" s="25"/>
      <c r="R2876" s="25"/>
      <c r="S2876" s="25"/>
      <c r="T2876" s="10"/>
    </row>
    <row r="2877" s="35" customFormat="1" ht="18.5" customHeight="1" spans="1:20">
      <c r="A2877" s="9"/>
      <c r="B2877" s="25"/>
      <c r="C2877" s="25"/>
      <c r="D2877" s="25"/>
      <c r="E2877" s="25"/>
      <c r="F2877" s="25"/>
      <c r="G2877" s="25"/>
      <c r="H2877" s="25"/>
      <c r="I2877" s="25"/>
      <c r="J2877" s="25"/>
      <c r="K2877" s="25"/>
      <c r="L2877" s="25"/>
      <c r="M2877" s="42" t="s">
        <v>253</v>
      </c>
      <c r="N2877" s="41">
        <v>44940</v>
      </c>
      <c r="O2877" s="25">
        <v>695</v>
      </c>
      <c r="P2877" s="25">
        <v>0</v>
      </c>
      <c r="Q2877" s="25"/>
      <c r="R2877" s="25"/>
      <c r="S2877" s="25"/>
      <c r="T2877" s="10"/>
    </row>
    <row r="2878" s="35" customFormat="1" ht="18.5" customHeight="1" spans="1:20">
      <c r="A2878" s="9"/>
      <c r="B2878" s="25"/>
      <c r="C2878" s="25"/>
      <c r="D2878" s="25"/>
      <c r="E2878" s="25"/>
      <c r="F2878" s="25"/>
      <c r="G2878" s="25"/>
      <c r="H2878" s="25"/>
      <c r="I2878" s="25"/>
      <c r="J2878" s="25"/>
      <c r="K2878" s="25"/>
      <c r="L2878" s="25"/>
      <c r="M2878" s="42" t="s">
        <v>253</v>
      </c>
      <c r="N2878" s="41">
        <v>45204</v>
      </c>
      <c r="O2878" s="25">
        <v>104</v>
      </c>
      <c r="P2878" s="25">
        <v>0</v>
      </c>
      <c r="Q2878" s="25"/>
      <c r="R2878" s="25"/>
      <c r="S2878" s="25"/>
      <c r="T2878" s="10"/>
    </row>
    <row r="2879" s="35" customFormat="1" ht="18.5" customHeight="1" spans="1:20">
      <c r="A2879" s="9"/>
      <c r="B2879" s="25"/>
      <c r="C2879" s="25"/>
      <c r="D2879" s="25"/>
      <c r="E2879" s="25"/>
      <c r="F2879" s="25"/>
      <c r="G2879" s="25"/>
      <c r="H2879" s="25"/>
      <c r="I2879" s="25"/>
      <c r="J2879" s="25"/>
      <c r="K2879" s="25"/>
      <c r="L2879" s="25"/>
      <c r="M2879" s="42" t="s">
        <v>253</v>
      </c>
      <c r="N2879" s="41">
        <v>45204</v>
      </c>
      <c r="O2879" s="25">
        <v>266</v>
      </c>
      <c r="P2879" s="25">
        <v>0</v>
      </c>
      <c r="Q2879" s="25"/>
      <c r="R2879" s="25"/>
      <c r="S2879" s="25"/>
      <c r="T2879" s="10"/>
    </row>
    <row r="2880" s="35" customFormat="1" ht="18.5" customHeight="1" spans="1:20">
      <c r="A2880" s="9"/>
      <c r="B2880" s="25"/>
      <c r="C2880" s="25"/>
      <c r="D2880" s="25"/>
      <c r="E2880" s="25"/>
      <c r="F2880" s="25"/>
      <c r="G2880" s="25"/>
      <c r="H2880" s="25"/>
      <c r="I2880" s="25"/>
      <c r="J2880" s="25"/>
      <c r="K2880" s="25"/>
      <c r="L2880" s="25"/>
      <c r="M2880" s="42" t="s">
        <v>253</v>
      </c>
      <c r="N2880" s="41">
        <v>45201</v>
      </c>
      <c r="O2880" s="25">
        <v>95</v>
      </c>
      <c r="P2880" s="25">
        <v>0</v>
      </c>
      <c r="Q2880" s="25"/>
      <c r="R2880" s="25"/>
      <c r="S2880" s="25"/>
      <c r="T2880" s="10"/>
    </row>
    <row r="2881" s="35" customFormat="1" ht="18.5" customHeight="1" spans="1:20">
      <c r="A2881" s="9"/>
      <c r="B2881" s="25"/>
      <c r="C2881" s="25"/>
      <c r="D2881" s="25"/>
      <c r="E2881" s="25"/>
      <c r="F2881" s="25"/>
      <c r="G2881" s="25"/>
      <c r="H2881" s="25"/>
      <c r="I2881" s="25"/>
      <c r="J2881" s="25"/>
      <c r="K2881" s="25"/>
      <c r="L2881" s="25"/>
      <c r="M2881" s="42" t="s">
        <v>253</v>
      </c>
      <c r="N2881" s="41">
        <v>45201</v>
      </c>
      <c r="O2881" s="25">
        <v>265</v>
      </c>
      <c r="P2881" s="25">
        <v>0</v>
      </c>
      <c r="Q2881" s="25"/>
      <c r="R2881" s="25"/>
      <c r="S2881" s="25"/>
      <c r="T2881" s="10"/>
    </row>
    <row r="2882" s="35" customFormat="1" ht="18.5" customHeight="1" spans="1:20">
      <c r="A2882" s="9"/>
      <c r="B2882" s="25"/>
      <c r="C2882" s="25"/>
      <c r="D2882" s="25"/>
      <c r="E2882" s="25"/>
      <c r="F2882" s="25"/>
      <c r="G2882" s="25"/>
      <c r="H2882" s="25"/>
      <c r="I2882" s="25"/>
      <c r="J2882" s="25"/>
      <c r="K2882" s="25"/>
      <c r="L2882" s="25"/>
      <c r="M2882" s="42" t="s">
        <v>253</v>
      </c>
      <c r="N2882" s="41">
        <v>45201</v>
      </c>
      <c r="O2882" s="25">
        <v>104</v>
      </c>
      <c r="P2882" s="25">
        <v>0</v>
      </c>
      <c r="Q2882" s="25"/>
      <c r="R2882" s="25"/>
      <c r="S2882" s="25"/>
      <c r="T2882" s="10"/>
    </row>
    <row r="2883" s="35" customFormat="1" ht="18.5" customHeight="1" spans="1:20">
      <c r="A2883" s="9"/>
      <c r="B2883" s="25"/>
      <c r="C2883" s="25"/>
      <c r="D2883" s="25"/>
      <c r="E2883" s="25"/>
      <c r="F2883" s="25"/>
      <c r="G2883" s="25"/>
      <c r="H2883" s="25"/>
      <c r="I2883" s="25"/>
      <c r="J2883" s="25"/>
      <c r="K2883" s="25"/>
      <c r="L2883" s="25"/>
      <c r="M2883" s="42" t="s">
        <v>253</v>
      </c>
      <c r="N2883" s="41">
        <v>45201</v>
      </c>
      <c r="O2883" s="25">
        <v>127</v>
      </c>
      <c r="P2883" s="25">
        <v>0</v>
      </c>
      <c r="Q2883" s="25"/>
      <c r="R2883" s="25"/>
      <c r="S2883" s="25"/>
      <c r="T2883" s="10"/>
    </row>
    <row r="2884" s="35" customFormat="1" ht="18.5" customHeight="1" spans="1:20">
      <c r="A2884" s="9"/>
      <c r="B2884" s="25"/>
      <c r="C2884" s="25"/>
      <c r="D2884" s="25"/>
      <c r="E2884" s="25"/>
      <c r="F2884" s="25"/>
      <c r="G2884" s="25"/>
      <c r="H2884" s="25"/>
      <c r="I2884" s="25"/>
      <c r="J2884" s="25"/>
      <c r="K2884" s="25"/>
      <c r="L2884" s="25"/>
      <c r="M2884" s="42" t="s">
        <v>253</v>
      </c>
      <c r="N2884" s="41">
        <v>45201</v>
      </c>
      <c r="O2884" s="25">
        <v>260</v>
      </c>
      <c r="P2884" s="25">
        <v>0</v>
      </c>
      <c r="Q2884" s="25"/>
      <c r="R2884" s="25"/>
      <c r="S2884" s="25"/>
      <c r="T2884" s="10"/>
    </row>
    <row r="2885" s="35" customFormat="1" ht="18.5" customHeight="1" spans="1:20">
      <c r="A2885" s="9"/>
      <c r="B2885" s="25"/>
      <c r="C2885" s="25"/>
      <c r="D2885" s="25"/>
      <c r="E2885" s="25"/>
      <c r="F2885" s="25"/>
      <c r="G2885" s="25"/>
      <c r="H2885" s="25"/>
      <c r="I2885" s="25"/>
      <c r="J2885" s="25"/>
      <c r="K2885" s="25"/>
      <c r="L2885" s="25"/>
      <c r="M2885" s="42" t="s">
        <v>253</v>
      </c>
      <c r="N2885" s="41">
        <v>45201</v>
      </c>
      <c r="O2885" s="25">
        <v>98</v>
      </c>
      <c r="P2885" s="25">
        <v>0</v>
      </c>
      <c r="Q2885" s="25"/>
      <c r="R2885" s="25"/>
      <c r="S2885" s="25"/>
      <c r="T2885" s="10"/>
    </row>
    <row r="2886" s="35" customFormat="1" ht="18.5" customHeight="1" spans="1:20">
      <c r="A2886" s="9"/>
      <c r="B2886" s="25"/>
      <c r="C2886" s="25"/>
      <c r="D2886" s="25"/>
      <c r="E2886" s="25"/>
      <c r="F2886" s="25"/>
      <c r="G2886" s="25"/>
      <c r="H2886" s="25"/>
      <c r="I2886" s="25"/>
      <c r="J2886" s="25"/>
      <c r="K2886" s="25"/>
      <c r="L2886" s="25"/>
      <c r="M2886" s="42" t="s">
        <v>253</v>
      </c>
      <c r="N2886" s="41">
        <v>45201</v>
      </c>
      <c r="O2886" s="25">
        <v>157</v>
      </c>
      <c r="P2886" s="25">
        <v>0</v>
      </c>
      <c r="Q2886" s="25"/>
      <c r="R2886" s="25"/>
      <c r="S2886" s="25"/>
      <c r="T2886" s="10"/>
    </row>
    <row r="2887" s="35" customFormat="1" ht="18.5" customHeight="1" spans="1:20">
      <c r="A2887" s="9"/>
      <c r="B2887" s="25"/>
      <c r="C2887" s="25"/>
      <c r="D2887" s="25"/>
      <c r="E2887" s="25"/>
      <c r="F2887" s="25"/>
      <c r="G2887" s="25"/>
      <c r="H2887" s="25"/>
      <c r="I2887" s="25"/>
      <c r="J2887" s="25"/>
      <c r="K2887" s="25"/>
      <c r="L2887" s="25"/>
      <c r="M2887" s="42" t="s">
        <v>253</v>
      </c>
      <c r="N2887" s="41">
        <v>45200</v>
      </c>
      <c r="O2887" s="25">
        <v>120</v>
      </c>
      <c r="P2887" s="25">
        <v>0</v>
      </c>
      <c r="Q2887" s="25"/>
      <c r="R2887" s="25"/>
      <c r="S2887" s="25"/>
      <c r="T2887" s="10"/>
    </row>
    <row r="2888" s="35" customFormat="1" ht="18.5" customHeight="1" spans="1:20">
      <c r="A2888" s="9"/>
      <c r="B2888" s="25"/>
      <c r="C2888" s="25"/>
      <c r="D2888" s="25"/>
      <c r="E2888" s="25"/>
      <c r="F2888" s="25"/>
      <c r="G2888" s="25"/>
      <c r="H2888" s="25"/>
      <c r="I2888" s="25"/>
      <c r="J2888" s="25"/>
      <c r="K2888" s="25"/>
      <c r="L2888" s="25"/>
      <c r="M2888" s="42" t="s">
        <v>253</v>
      </c>
      <c r="N2888" s="41">
        <v>45198</v>
      </c>
      <c r="O2888" s="25">
        <v>71</v>
      </c>
      <c r="P2888" s="25">
        <v>0</v>
      </c>
      <c r="Q2888" s="25"/>
      <c r="R2888" s="25"/>
      <c r="S2888" s="25"/>
      <c r="T2888" s="10"/>
    </row>
    <row r="2889" s="35" customFormat="1" ht="18.5" customHeight="1" spans="1:20">
      <c r="A2889" s="9"/>
      <c r="B2889" s="25"/>
      <c r="C2889" s="25"/>
      <c r="D2889" s="25"/>
      <c r="E2889" s="25"/>
      <c r="F2889" s="25"/>
      <c r="G2889" s="25"/>
      <c r="H2889" s="25"/>
      <c r="I2889" s="25"/>
      <c r="J2889" s="25"/>
      <c r="K2889" s="25"/>
      <c r="L2889" s="25"/>
      <c r="M2889" s="42" t="s">
        <v>253</v>
      </c>
      <c r="N2889" s="41">
        <v>45197</v>
      </c>
      <c r="O2889" s="25">
        <v>191</v>
      </c>
      <c r="P2889" s="25">
        <v>0</v>
      </c>
      <c r="Q2889" s="25"/>
      <c r="R2889" s="25"/>
      <c r="S2889" s="25"/>
      <c r="T2889" s="10"/>
    </row>
    <row r="2890" s="35" customFormat="1" ht="18.5" customHeight="1" spans="1:20">
      <c r="A2890" s="9"/>
      <c r="B2890" s="25"/>
      <c r="C2890" s="25"/>
      <c r="D2890" s="25"/>
      <c r="E2890" s="25"/>
      <c r="F2890" s="25"/>
      <c r="G2890" s="25"/>
      <c r="H2890" s="25"/>
      <c r="I2890" s="25"/>
      <c r="J2890" s="25"/>
      <c r="K2890" s="25"/>
      <c r="L2890" s="25"/>
      <c r="M2890" s="42" t="s">
        <v>253</v>
      </c>
      <c r="N2890" s="41">
        <v>45196</v>
      </c>
      <c r="O2890" s="25">
        <v>614</v>
      </c>
      <c r="P2890" s="25">
        <v>0</v>
      </c>
      <c r="Q2890" s="25"/>
      <c r="R2890" s="25"/>
      <c r="S2890" s="25"/>
      <c r="T2890" s="10"/>
    </row>
    <row r="2891" s="35" customFormat="1" ht="18.5" customHeight="1" spans="1:20">
      <c r="A2891" s="9"/>
      <c r="B2891" s="25"/>
      <c r="C2891" s="25"/>
      <c r="D2891" s="25"/>
      <c r="E2891" s="25"/>
      <c r="F2891" s="25"/>
      <c r="G2891" s="25"/>
      <c r="H2891" s="25"/>
      <c r="I2891" s="25"/>
      <c r="J2891" s="25"/>
      <c r="K2891" s="25"/>
      <c r="L2891" s="25"/>
      <c r="M2891" s="42" t="s">
        <v>253</v>
      </c>
      <c r="N2891" s="41">
        <v>45195</v>
      </c>
      <c r="O2891" s="25">
        <v>118</v>
      </c>
      <c r="P2891" s="25">
        <v>0</v>
      </c>
      <c r="Q2891" s="25"/>
      <c r="R2891" s="25"/>
      <c r="S2891" s="25"/>
      <c r="T2891" s="10"/>
    </row>
    <row r="2892" s="35" customFormat="1" ht="18.5" customHeight="1" spans="1:20">
      <c r="A2892" s="9"/>
      <c r="B2892" s="25"/>
      <c r="C2892" s="25"/>
      <c r="D2892" s="25"/>
      <c r="E2892" s="25"/>
      <c r="F2892" s="25"/>
      <c r="G2892" s="25"/>
      <c r="H2892" s="25"/>
      <c r="I2892" s="25"/>
      <c r="J2892" s="25"/>
      <c r="K2892" s="25"/>
      <c r="L2892" s="25"/>
      <c r="M2892" s="42" t="s">
        <v>253</v>
      </c>
      <c r="N2892" s="41">
        <v>45195</v>
      </c>
      <c r="O2892" s="25">
        <v>143</v>
      </c>
      <c r="P2892" s="25">
        <v>0</v>
      </c>
      <c r="Q2892" s="25"/>
      <c r="R2892" s="25"/>
      <c r="S2892" s="25"/>
      <c r="T2892" s="10"/>
    </row>
    <row r="2893" s="35" customFormat="1" ht="18.5" customHeight="1" spans="1:20">
      <c r="A2893" s="9"/>
      <c r="B2893" s="25"/>
      <c r="C2893" s="25"/>
      <c r="D2893" s="25"/>
      <c r="E2893" s="25"/>
      <c r="F2893" s="25"/>
      <c r="G2893" s="25"/>
      <c r="H2893" s="25"/>
      <c r="I2893" s="25"/>
      <c r="J2893" s="25"/>
      <c r="K2893" s="25"/>
      <c r="L2893" s="25"/>
      <c r="M2893" s="42" t="s">
        <v>253</v>
      </c>
      <c r="N2893" s="41">
        <v>45195</v>
      </c>
      <c r="O2893" s="25">
        <v>142</v>
      </c>
      <c r="P2893" s="25">
        <v>0</v>
      </c>
      <c r="Q2893" s="25"/>
      <c r="R2893" s="25"/>
      <c r="S2893" s="25"/>
      <c r="T2893" s="10"/>
    </row>
    <row r="2894" s="35" customFormat="1" ht="18.5" customHeight="1" spans="1:20">
      <c r="A2894" s="9"/>
      <c r="B2894" s="25"/>
      <c r="C2894" s="25"/>
      <c r="D2894" s="25"/>
      <c r="E2894" s="25"/>
      <c r="F2894" s="25"/>
      <c r="G2894" s="25"/>
      <c r="H2894" s="25"/>
      <c r="I2894" s="25"/>
      <c r="J2894" s="25"/>
      <c r="K2894" s="25"/>
      <c r="L2894" s="25"/>
      <c r="M2894" s="42" t="s">
        <v>253</v>
      </c>
      <c r="N2894" s="41">
        <v>45194</v>
      </c>
      <c r="O2894" s="25">
        <v>132</v>
      </c>
      <c r="P2894" s="25">
        <v>0</v>
      </c>
      <c r="Q2894" s="25"/>
      <c r="R2894" s="25"/>
      <c r="S2894" s="25"/>
      <c r="T2894" s="10"/>
    </row>
    <row r="2895" s="35" customFormat="1" ht="18.5" customHeight="1" spans="1:20">
      <c r="A2895" s="9"/>
      <c r="B2895" s="25"/>
      <c r="C2895" s="25"/>
      <c r="D2895" s="25"/>
      <c r="E2895" s="25"/>
      <c r="F2895" s="25"/>
      <c r="G2895" s="25"/>
      <c r="H2895" s="25"/>
      <c r="I2895" s="25"/>
      <c r="J2895" s="25"/>
      <c r="K2895" s="25"/>
      <c r="L2895" s="25"/>
      <c r="M2895" s="42" t="s">
        <v>253</v>
      </c>
      <c r="N2895" s="41">
        <v>45194</v>
      </c>
      <c r="O2895" s="25">
        <v>94</v>
      </c>
      <c r="P2895" s="25">
        <v>0</v>
      </c>
      <c r="Q2895" s="25"/>
      <c r="R2895" s="25"/>
      <c r="S2895" s="25"/>
      <c r="T2895" s="10"/>
    </row>
    <row r="2896" s="35" customFormat="1" ht="18.5" customHeight="1" spans="1:20">
      <c r="A2896" s="9"/>
      <c r="B2896" s="25"/>
      <c r="C2896" s="25"/>
      <c r="D2896" s="25"/>
      <c r="E2896" s="25"/>
      <c r="F2896" s="25"/>
      <c r="G2896" s="25"/>
      <c r="H2896" s="25"/>
      <c r="I2896" s="25"/>
      <c r="J2896" s="25"/>
      <c r="K2896" s="25"/>
      <c r="L2896" s="25"/>
      <c r="M2896" s="42" t="s">
        <v>253</v>
      </c>
      <c r="N2896" s="41">
        <v>45194</v>
      </c>
      <c r="O2896" s="25">
        <v>280</v>
      </c>
      <c r="P2896" s="25">
        <v>0</v>
      </c>
      <c r="Q2896" s="25"/>
      <c r="R2896" s="25"/>
      <c r="S2896" s="25"/>
      <c r="T2896" s="10"/>
    </row>
    <row r="2897" s="35" customFormat="1" ht="18.5" customHeight="1" spans="1:20">
      <c r="A2897" s="9"/>
      <c r="B2897" s="25"/>
      <c r="C2897" s="25"/>
      <c r="D2897" s="25"/>
      <c r="E2897" s="25"/>
      <c r="F2897" s="25"/>
      <c r="G2897" s="25"/>
      <c r="H2897" s="25"/>
      <c r="I2897" s="25"/>
      <c r="J2897" s="25"/>
      <c r="K2897" s="25"/>
      <c r="L2897" s="25"/>
      <c r="M2897" s="42" t="s">
        <v>253</v>
      </c>
      <c r="N2897" s="41">
        <v>45194</v>
      </c>
      <c r="O2897" s="25">
        <v>111</v>
      </c>
      <c r="P2897" s="25">
        <v>0</v>
      </c>
      <c r="Q2897" s="25"/>
      <c r="R2897" s="25"/>
      <c r="S2897" s="25"/>
      <c r="T2897" s="10"/>
    </row>
    <row r="2898" s="35" customFormat="1" ht="18.5" customHeight="1" spans="1:20">
      <c r="A2898" s="9"/>
      <c r="B2898" s="25"/>
      <c r="C2898" s="25"/>
      <c r="D2898" s="25"/>
      <c r="E2898" s="25"/>
      <c r="F2898" s="25"/>
      <c r="G2898" s="25"/>
      <c r="H2898" s="25"/>
      <c r="I2898" s="25"/>
      <c r="J2898" s="25"/>
      <c r="K2898" s="25"/>
      <c r="L2898" s="25"/>
      <c r="M2898" s="42" t="s">
        <v>253</v>
      </c>
      <c r="N2898" s="41">
        <v>45194</v>
      </c>
      <c r="O2898" s="25">
        <v>95</v>
      </c>
      <c r="P2898" s="25">
        <v>0</v>
      </c>
      <c r="Q2898" s="25"/>
      <c r="R2898" s="25"/>
      <c r="S2898" s="25"/>
      <c r="T2898" s="10"/>
    </row>
    <row r="2899" s="35" customFormat="1" ht="18.5" customHeight="1" spans="1:20">
      <c r="A2899" s="9"/>
      <c r="B2899" s="25"/>
      <c r="C2899" s="25"/>
      <c r="D2899" s="25"/>
      <c r="E2899" s="25"/>
      <c r="F2899" s="25"/>
      <c r="G2899" s="25"/>
      <c r="H2899" s="25"/>
      <c r="I2899" s="25"/>
      <c r="J2899" s="25"/>
      <c r="K2899" s="25"/>
      <c r="L2899" s="25"/>
      <c r="M2899" s="42" t="s">
        <v>253</v>
      </c>
      <c r="N2899" s="41">
        <v>45193</v>
      </c>
      <c r="O2899" s="25">
        <v>129</v>
      </c>
      <c r="P2899" s="25">
        <v>0</v>
      </c>
      <c r="Q2899" s="25"/>
      <c r="R2899" s="25"/>
      <c r="S2899" s="25"/>
      <c r="T2899" s="10"/>
    </row>
    <row r="2900" s="35" customFormat="1" ht="18.5" customHeight="1" spans="1:20">
      <c r="A2900" s="9"/>
      <c r="B2900" s="25"/>
      <c r="C2900" s="25"/>
      <c r="D2900" s="25"/>
      <c r="E2900" s="25"/>
      <c r="F2900" s="25"/>
      <c r="G2900" s="25"/>
      <c r="H2900" s="25"/>
      <c r="I2900" s="25"/>
      <c r="J2900" s="25"/>
      <c r="K2900" s="25"/>
      <c r="L2900" s="25"/>
      <c r="M2900" s="42" t="s">
        <v>253</v>
      </c>
      <c r="N2900" s="41">
        <v>45117</v>
      </c>
      <c r="O2900" s="25">
        <v>202</v>
      </c>
      <c r="P2900" s="25">
        <v>0</v>
      </c>
      <c r="Q2900" s="25"/>
      <c r="R2900" s="25"/>
      <c r="S2900" s="25"/>
      <c r="T2900" s="10"/>
    </row>
    <row r="2901" s="35" customFormat="1" ht="18.5" customHeight="1" spans="1:20">
      <c r="A2901" s="9"/>
      <c r="B2901" s="25"/>
      <c r="C2901" s="25"/>
      <c r="D2901" s="25"/>
      <c r="E2901" s="25"/>
      <c r="F2901" s="25"/>
      <c r="G2901" s="25"/>
      <c r="H2901" s="25"/>
      <c r="I2901" s="25"/>
      <c r="J2901" s="25"/>
      <c r="K2901" s="25"/>
      <c r="L2901" s="25"/>
      <c r="M2901" s="42" t="s">
        <v>253</v>
      </c>
      <c r="N2901" s="41">
        <v>45189</v>
      </c>
      <c r="O2901" s="25">
        <v>76</v>
      </c>
      <c r="P2901" s="25">
        <v>0</v>
      </c>
      <c r="Q2901" s="25"/>
      <c r="R2901" s="25"/>
      <c r="S2901" s="25"/>
      <c r="T2901" s="10"/>
    </row>
    <row r="2902" s="35" customFormat="1" ht="18.5" customHeight="1" spans="1:20">
      <c r="A2902" s="9"/>
      <c r="B2902" s="25"/>
      <c r="C2902" s="25"/>
      <c r="D2902" s="25"/>
      <c r="E2902" s="25"/>
      <c r="F2902" s="25"/>
      <c r="G2902" s="25"/>
      <c r="H2902" s="25"/>
      <c r="I2902" s="25"/>
      <c r="J2902" s="25"/>
      <c r="K2902" s="25"/>
      <c r="L2902" s="25"/>
      <c r="M2902" s="42" t="s">
        <v>253</v>
      </c>
      <c r="N2902" s="41">
        <v>45184</v>
      </c>
      <c r="O2902" s="25">
        <v>277</v>
      </c>
      <c r="P2902" s="25">
        <v>0</v>
      </c>
      <c r="Q2902" s="25"/>
      <c r="R2902" s="25"/>
      <c r="S2902" s="25"/>
      <c r="T2902" s="10"/>
    </row>
    <row r="2903" s="35" customFormat="1" ht="18.5" customHeight="1" spans="1:20">
      <c r="A2903" s="9"/>
      <c r="B2903" s="25"/>
      <c r="C2903" s="25"/>
      <c r="D2903" s="25"/>
      <c r="E2903" s="25"/>
      <c r="F2903" s="25"/>
      <c r="G2903" s="25"/>
      <c r="H2903" s="25"/>
      <c r="I2903" s="25"/>
      <c r="J2903" s="25"/>
      <c r="K2903" s="25"/>
      <c r="L2903" s="25"/>
      <c r="M2903" s="42" t="s">
        <v>253</v>
      </c>
      <c r="N2903" s="41">
        <v>45183</v>
      </c>
      <c r="O2903" s="25">
        <v>220</v>
      </c>
      <c r="P2903" s="25">
        <v>0</v>
      </c>
      <c r="Q2903" s="25"/>
      <c r="R2903" s="25"/>
      <c r="S2903" s="25"/>
      <c r="T2903" s="10"/>
    </row>
    <row r="2904" s="35" customFormat="1" ht="18.5" customHeight="1" spans="1:20">
      <c r="A2904" s="9"/>
      <c r="B2904" s="25"/>
      <c r="C2904" s="25"/>
      <c r="D2904" s="25"/>
      <c r="E2904" s="25"/>
      <c r="F2904" s="25"/>
      <c r="G2904" s="25"/>
      <c r="H2904" s="25"/>
      <c r="I2904" s="25"/>
      <c r="J2904" s="25"/>
      <c r="K2904" s="25"/>
      <c r="L2904" s="25"/>
      <c r="M2904" s="42" t="s">
        <v>253</v>
      </c>
      <c r="N2904" s="41">
        <v>45182</v>
      </c>
      <c r="O2904" s="25">
        <v>91</v>
      </c>
      <c r="P2904" s="25">
        <v>0</v>
      </c>
      <c r="Q2904" s="25"/>
      <c r="R2904" s="25"/>
      <c r="S2904" s="25"/>
      <c r="T2904" s="10"/>
    </row>
    <row r="2905" s="35" customFormat="1" ht="18.5" customHeight="1" spans="1:20">
      <c r="A2905" s="9"/>
      <c r="B2905" s="25"/>
      <c r="C2905" s="25"/>
      <c r="D2905" s="25"/>
      <c r="E2905" s="25"/>
      <c r="F2905" s="25"/>
      <c r="G2905" s="25"/>
      <c r="H2905" s="25"/>
      <c r="I2905" s="25"/>
      <c r="J2905" s="25"/>
      <c r="K2905" s="25"/>
      <c r="L2905" s="25"/>
      <c r="M2905" s="42" t="s">
        <v>253</v>
      </c>
      <c r="N2905" s="41">
        <v>45182</v>
      </c>
      <c r="O2905" s="25">
        <v>115</v>
      </c>
      <c r="P2905" s="25">
        <v>0</v>
      </c>
      <c r="Q2905" s="25"/>
      <c r="R2905" s="25"/>
      <c r="S2905" s="25"/>
      <c r="T2905" s="10"/>
    </row>
    <row r="2906" s="35" customFormat="1" ht="18.5" customHeight="1" spans="1:20">
      <c r="A2906" s="9"/>
      <c r="B2906" s="25"/>
      <c r="C2906" s="25"/>
      <c r="D2906" s="25"/>
      <c r="E2906" s="25"/>
      <c r="F2906" s="25"/>
      <c r="G2906" s="25"/>
      <c r="H2906" s="25"/>
      <c r="I2906" s="25"/>
      <c r="J2906" s="25"/>
      <c r="K2906" s="25"/>
      <c r="L2906" s="25"/>
      <c r="M2906" s="42" t="s">
        <v>253</v>
      </c>
      <c r="N2906" s="41">
        <v>45182</v>
      </c>
      <c r="O2906" s="25">
        <v>145</v>
      </c>
      <c r="P2906" s="25">
        <v>0</v>
      </c>
      <c r="Q2906" s="25"/>
      <c r="R2906" s="25"/>
      <c r="S2906" s="25"/>
      <c r="T2906" s="10"/>
    </row>
    <row r="2907" s="35" customFormat="1" ht="18.5" customHeight="1" spans="1:20">
      <c r="A2907" s="9"/>
      <c r="B2907" s="25"/>
      <c r="C2907" s="25"/>
      <c r="D2907" s="25"/>
      <c r="E2907" s="25"/>
      <c r="F2907" s="25"/>
      <c r="G2907" s="25"/>
      <c r="H2907" s="25"/>
      <c r="I2907" s="25"/>
      <c r="J2907" s="25"/>
      <c r="K2907" s="25"/>
      <c r="L2907" s="25"/>
      <c r="M2907" s="42" t="s">
        <v>253</v>
      </c>
      <c r="N2907" s="41">
        <v>45182</v>
      </c>
      <c r="O2907" s="25">
        <v>115</v>
      </c>
      <c r="P2907" s="25">
        <v>0</v>
      </c>
      <c r="Q2907" s="25"/>
      <c r="R2907" s="25"/>
      <c r="S2907" s="25"/>
      <c r="T2907" s="10"/>
    </row>
    <row r="2908" s="35" customFormat="1" ht="18.5" customHeight="1" spans="1:20">
      <c r="A2908" s="9"/>
      <c r="B2908" s="25"/>
      <c r="C2908" s="25"/>
      <c r="D2908" s="25"/>
      <c r="E2908" s="25"/>
      <c r="F2908" s="25"/>
      <c r="G2908" s="25"/>
      <c r="H2908" s="25"/>
      <c r="I2908" s="25"/>
      <c r="J2908" s="25"/>
      <c r="K2908" s="25"/>
      <c r="L2908" s="25"/>
      <c r="M2908" s="42" t="s">
        <v>253</v>
      </c>
      <c r="N2908" s="41">
        <v>45180</v>
      </c>
      <c r="O2908" s="25">
        <v>74</v>
      </c>
      <c r="P2908" s="25">
        <v>0</v>
      </c>
      <c r="Q2908" s="25"/>
      <c r="R2908" s="25"/>
      <c r="S2908" s="25"/>
      <c r="T2908" s="10"/>
    </row>
    <row r="2909" s="35" customFormat="1" ht="18.5" customHeight="1" spans="1:20">
      <c r="A2909" s="9"/>
      <c r="B2909" s="25"/>
      <c r="C2909" s="25"/>
      <c r="D2909" s="25"/>
      <c r="E2909" s="25"/>
      <c r="F2909" s="25"/>
      <c r="G2909" s="25"/>
      <c r="H2909" s="25"/>
      <c r="I2909" s="25"/>
      <c r="J2909" s="25"/>
      <c r="K2909" s="25"/>
      <c r="L2909" s="25"/>
      <c r="M2909" s="42" t="s">
        <v>253</v>
      </c>
      <c r="N2909" s="41">
        <v>45180</v>
      </c>
      <c r="O2909" s="25">
        <v>96</v>
      </c>
      <c r="P2909" s="25">
        <v>0</v>
      </c>
      <c r="Q2909" s="25"/>
      <c r="R2909" s="25"/>
      <c r="S2909" s="25"/>
      <c r="T2909" s="10"/>
    </row>
    <row r="2910" s="35" customFormat="1" ht="18.5" customHeight="1" spans="1:20">
      <c r="A2910" s="9"/>
      <c r="B2910" s="25"/>
      <c r="C2910" s="25"/>
      <c r="D2910" s="25"/>
      <c r="E2910" s="25"/>
      <c r="F2910" s="25"/>
      <c r="G2910" s="25"/>
      <c r="H2910" s="25"/>
      <c r="I2910" s="25"/>
      <c r="J2910" s="25"/>
      <c r="K2910" s="25"/>
      <c r="L2910" s="25"/>
      <c r="M2910" s="42" t="s">
        <v>253</v>
      </c>
      <c r="N2910" s="41">
        <v>45178</v>
      </c>
      <c r="O2910" s="25">
        <v>261</v>
      </c>
      <c r="P2910" s="25">
        <v>0</v>
      </c>
      <c r="Q2910" s="25"/>
      <c r="R2910" s="25"/>
      <c r="S2910" s="25"/>
      <c r="T2910" s="10"/>
    </row>
    <row r="2911" s="35" customFormat="1" ht="18.5" customHeight="1" spans="1:20">
      <c r="A2911" s="9"/>
      <c r="B2911" s="25"/>
      <c r="C2911" s="25"/>
      <c r="D2911" s="25"/>
      <c r="E2911" s="25"/>
      <c r="F2911" s="25"/>
      <c r="G2911" s="25"/>
      <c r="H2911" s="25"/>
      <c r="I2911" s="25"/>
      <c r="J2911" s="25"/>
      <c r="K2911" s="25"/>
      <c r="L2911" s="25"/>
      <c r="M2911" s="42" t="s">
        <v>253</v>
      </c>
      <c r="N2911" s="41">
        <v>45177</v>
      </c>
      <c r="O2911" s="25">
        <v>182</v>
      </c>
      <c r="P2911" s="25">
        <v>0</v>
      </c>
      <c r="Q2911" s="25"/>
      <c r="R2911" s="25"/>
      <c r="S2911" s="25"/>
      <c r="T2911" s="10"/>
    </row>
    <row r="2912" s="35" customFormat="1" ht="18.5" customHeight="1" spans="1:20">
      <c r="A2912" s="9"/>
      <c r="B2912" s="25"/>
      <c r="C2912" s="25"/>
      <c r="D2912" s="25"/>
      <c r="E2912" s="25"/>
      <c r="F2912" s="25"/>
      <c r="G2912" s="25"/>
      <c r="H2912" s="25"/>
      <c r="I2912" s="25"/>
      <c r="J2912" s="25"/>
      <c r="K2912" s="25"/>
      <c r="L2912" s="25"/>
      <c r="M2912" s="42" t="s">
        <v>253</v>
      </c>
      <c r="N2912" s="41">
        <v>45176</v>
      </c>
      <c r="O2912" s="25">
        <v>377</v>
      </c>
      <c r="P2912" s="25">
        <v>0</v>
      </c>
      <c r="Q2912" s="25"/>
      <c r="R2912" s="25"/>
      <c r="S2912" s="25"/>
      <c r="T2912" s="10"/>
    </row>
    <row r="2913" s="35" customFormat="1" ht="18.5" customHeight="1" spans="1:20">
      <c r="A2913" s="9"/>
      <c r="B2913" s="25"/>
      <c r="C2913" s="25"/>
      <c r="D2913" s="25"/>
      <c r="E2913" s="25"/>
      <c r="F2913" s="25"/>
      <c r="G2913" s="25"/>
      <c r="H2913" s="25"/>
      <c r="I2913" s="25"/>
      <c r="J2913" s="25"/>
      <c r="K2913" s="25"/>
      <c r="L2913" s="25"/>
      <c r="M2913" s="42" t="s">
        <v>253</v>
      </c>
      <c r="N2913" s="41">
        <v>45175</v>
      </c>
      <c r="O2913" s="25">
        <v>123</v>
      </c>
      <c r="P2913" s="25">
        <v>0</v>
      </c>
      <c r="Q2913" s="25"/>
      <c r="R2913" s="25"/>
      <c r="S2913" s="25"/>
      <c r="T2913" s="10"/>
    </row>
    <row r="2914" s="35" customFormat="1" ht="18.5" customHeight="1" spans="1:20">
      <c r="A2914" s="9"/>
      <c r="B2914" s="25"/>
      <c r="C2914" s="25"/>
      <c r="D2914" s="25"/>
      <c r="E2914" s="25"/>
      <c r="F2914" s="25"/>
      <c r="G2914" s="25"/>
      <c r="H2914" s="25"/>
      <c r="I2914" s="25"/>
      <c r="J2914" s="25"/>
      <c r="K2914" s="25"/>
      <c r="L2914" s="25"/>
      <c r="M2914" s="42" t="s">
        <v>253</v>
      </c>
      <c r="N2914" s="41">
        <v>45175</v>
      </c>
      <c r="O2914" s="25">
        <v>95</v>
      </c>
      <c r="P2914" s="25">
        <v>0</v>
      </c>
      <c r="Q2914" s="25"/>
      <c r="R2914" s="25"/>
      <c r="S2914" s="25"/>
      <c r="T2914" s="10"/>
    </row>
    <row r="2915" s="35" customFormat="1" ht="18.5" customHeight="1" spans="1:20">
      <c r="A2915" s="9"/>
      <c r="B2915" s="25"/>
      <c r="C2915" s="25"/>
      <c r="D2915" s="25"/>
      <c r="E2915" s="25"/>
      <c r="F2915" s="25"/>
      <c r="G2915" s="25"/>
      <c r="H2915" s="25"/>
      <c r="I2915" s="25"/>
      <c r="J2915" s="25"/>
      <c r="K2915" s="25"/>
      <c r="L2915" s="25"/>
      <c r="M2915" s="42" t="s">
        <v>253</v>
      </c>
      <c r="N2915" s="41">
        <v>45174</v>
      </c>
      <c r="O2915" s="25">
        <v>202</v>
      </c>
      <c r="P2915" s="25">
        <v>0</v>
      </c>
      <c r="Q2915" s="25"/>
      <c r="R2915" s="25"/>
      <c r="S2915" s="25"/>
      <c r="T2915" s="10"/>
    </row>
    <row r="2916" s="35" customFormat="1" ht="18.5" customHeight="1" spans="1:20">
      <c r="A2916" s="9"/>
      <c r="B2916" s="25"/>
      <c r="C2916" s="25"/>
      <c r="D2916" s="25"/>
      <c r="E2916" s="25"/>
      <c r="F2916" s="25"/>
      <c r="G2916" s="25"/>
      <c r="H2916" s="25"/>
      <c r="I2916" s="25"/>
      <c r="J2916" s="25"/>
      <c r="K2916" s="25"/>
      <c r="L2916" s="25"/>
      <c r="M2916" s="42" t="s">
        <v>253</v>
      </c>
      <c r="N2916" s="41">
        <v>45171</v>
      </c>
      <c r="O2916" s="25">
        <v>151</v>
      </c>
      <c r="P2916" s="25">
        <v>0</v>
      </c>
      <c r="Q2916" s="25"/>
      <c r="R2916" s="25"/>
      <c r="S2916" s="25"/>
      <c r="T2916" s="10"/>
    </row>
    <row r="2917" s="35" customFormat="1" ht="18.5" customHeight="1" spans="1:20">
      <c r="A2917" s="9"/>
      <c r="B2917" s="25"/>
      <c r="C2917" s="25"/>
      <c r="D2917" s="25"/>
      <c r="E2917" s="25"/>
      <c r="F2917" s="25"/>
      <c r="G2917" s="25"/>
      <c r="H2917" s="25"/>
      <c r="I2917" s="25"/>
      <c r="J2917" s="25"/>
      <c r="K2917" s="25"/>
      <c r="L2917" s="25"/>
      <c r="M2917" s="42" t="s">
        <v>253</v>
      </c>
      <c r="N2917" s="41">
        <v>45170</v>
      </c>
      <c r="O2917" s="25">
        <v>116</v>
      </c>
      <c r="P2917" s="25">
        <v>0</v>
      </c>
      <c r="Q2917" s="25"/>
      <c r="R2917" s="25"/>
      <c r="S2917" s="25"/>
      <c r="T2917" s="10"/>
    </row>
    <row r="2918" s="35" customFormat="1" ht="18.5" customHeight="1" spans="1:20">
      <c r="A2918" s="9"/>
      <c r="B2918" s="25"/>
      <c r="C2918" s="25"/>
      <c r="D2918" s="25"/>
      <c r="E2918" s="25"/>
      <c r="F2918" s="25"/>
      <c r="G2918" s="25"/>
      <c r="H2918" s="25"/>
      <c r="I2918" s="25"/>
      <c r="J2918" s="25"/>
      <c r="K2918" s="25"/>
      <c r="L2918" s="25"/>
      <c r="M2918" s="42" t="s">
        <v>253</v>
      </c>
      <c r="N2918" s="41">
        <v>45168</v>
      </c>
      <c r="O2918" s="25">
        <v>147</v>
      </c>
      <c r="P2918" s="25">
        <v>0</v>
      </c>
      <c r="Q2918" s="25"/>
      <c r="R2918" s="25"/>
      <c r="S2918" s="25"/>
      <c r="T2918" s="10"/>
    </row>
    <row r="2919" s="35" customFormat="1" ht="18.5" customHeight="1" spans="1:20">
      <c r="A2919" s="9"/>
      <c r="B2919" s="25"/>
      <c r="C2919" s="25"/>
      <c r="D2919" s="25"/>
      <c r="E2919" s="25"/>
      <c r="F2919" s="25"/>
      <c r="G2919" s="25"/>
      <c r="H2919" s="25"/>
      <c r="I2919" s="25"/>
      <c r="J2919" s="25"/>
      <c r="K2919" s="25"/>
      <c r="L2919" s="25"/>
      <c r="M2919" s="42" t="s">
        <v>253</v>
      </c>
      <c r="N2919" s="41">
        <v>45168</v>
      </c>
      <c r="O2919" s="25">
        <v>121</v>
      </c>
      <c r="P2919" s="25">
        <v>0</v>
      </c>
      <c r="Q2919" s="25"/>
      <c r="R2919" s="25"/>
      <c r="S2919" s="25"/>
      <c r="T2919" s="10"/>
    </row>
    <row r="2920" s="35" customFormat="1" ht="18.5" customHeight="1" spans="1:20">
      <c r="A2920" s="9"/>
      <c r="B2920" s="25"/>
      <c r="C2920" s="25"/>
      <c r="D2920" s="25"/>
      <c r="E2920" s="25"/>
      <c r="F2920" s="25"/>
      <c r="G2920" s="25"/>
      <c r="H2920" s="25"/>
      <c r="I2920" s="25"/>
      <c r="J2920" s="25"/>
      <c r="K2920" s="25"/>
      <c r="L2920" s="25"/>
      <c r="M2920" s="42" t="s">
        <v>253</v>
      </c>
      <c r="N2920" s="41">
        <v>45167</v>
      </c>
      <c r="O2920" s="25">
        <v>106</v>
      </c>
      <c r="P2920" s="25">
        <v>0</v>
      </c>
      <c r="Q2920" s="25"/>
      <c r="R2920" s="25"/>
      <c r="S2920" s="25"/>
      <c r="T2920" s="10"/>
    </row>
    <row r="2921" s="35" customFormat="1" ht="18.5" customHeight="1" spans="1:20">
      <c r="A2921" s="9"/>
      <c r="B2921" s="25"/>
      <c r="C2921" s="25"/>
      <c r="D2921" s="25"/>
      <c r="E2921" s="25"/>
      <c r="F2921" s="25"/>
      <c r="G2921" s="25"/>
      <c r="H2921" s="25"/>
      <c r="I2921" s="25"/>
      <c r="J2921" s="25"/>
      <c r="K2921" s="25"/>
      <c r="L2921" s="25"/>
      <c r="M2921" s="42" t="s">
        <v>253</v>
      </c>
      <c r="N2921" s="41">
        <v>45167</v>
      </c>
      <c r="O2921" s="25">
        <v>379</v>
      </c>
      <c r="P2921" s="25">
        <v>0</v>
      </c>
      <c r="Q2921" s="25"/>
      <c r="R2921" s="25"/>
      <c r="S2921" s="25"/>
      <c r="T2921" s="10"/>
    </row>
    <row r="2922" s="35" customFormat="1" ht="18.5" customHeight="1" spans="1:20">
      <c r="A2922" s="9"/>
      <c r="B2922" s="25"/>
      <c r="C2922" s="25"/>
      <c r="D2922" s="25"/>
      <c r="E2922" s="25"/>
      <c r="F2922" s="25"/>
      <c r="G2922" s="25"/>
      <c r="H2922" s="25"/>
      <c r="I2922" s="25"/>
      <c r="J2922" s="25"/>
      <c r="K2922" s="25"/>
      <c r="L2922" s="25"/>
      <c r="M2922" s="42" t="s">
        <v>253</v>
      </c>
      <c r="N2922" s="41">
        <v>45131</v>
      </c>
      <c r="O2922" s="25">
        <v>443</v>
      </c>
      <c r="P2922" s="25">
        <v>0</v>
      </c>
      <c r="Q2922" s="25"/>
      <c r="R2922" s="25"/>
      <c r="S2922" s="25"/>
      <c r="T2922" s="10"/>
    </row>
    <row r="2923" s="35" customFormat="1" ht="18.5" customHeight="1" spans="1:20">
      <c r="A2923" s="9"/>
      <c r="B2923" s="25"/>
      <c r="C2923" s="25"/>
      <c r="D2923" s="25"/>
      <c r="E2923" s="25"/>
      <c r="F2923" s="25"/>
      <c r="G2923" s="25"/>
      <c r="H2923" s="25"/>
      <c r="I2923" s="25"/>
      <c r="J2923" s="25"/>
      <c r="K2923" s="25"/>
      <c r="L2923" s="25"/>
      <c r="M2923" s="42" t="s">
        <v>253</v>
      </c>
      <c r="N2923" s="41">
        <v>45167</v>
      </c>
      <c r="O2923" s="25">
        <v>105</v>
      </c>
      <c r="P2923" s="25">
        <v>0</v>
      </c>
      <c r="Q2923" s="25"/>
      <c r="R2923" s="25"/>
      <c r="S2923" s="25"/>
      <c r="T2923" s="10"/>
    </row>
    <row r="2924" s="35" customFormat="1" ht="18.5" customHeight="1" spans="1:20">
      <c r="A2924" s="9"/>
      <c r="B2924" s="25"/>
      <c r="C2924" s="25"/>
      <c r="D2924" s="25"/>
      <c r="E2924" s="25"/>
      <c r="F2924" s="25"/>
      <c r="G2924" s="25"/>
      <c r="H2924" s="25"/>
      <c r="I2924" s="25"/>
      <c r="J2924" s="25"/>
      <c r="K2924" s="25"/>
      <c r="L2924" s="25"/>
      <c r="M2924" s="42" t="s">
        <v>253</v>
      </c>
      <c r="N2924" s="41">
        <v>45167</v>
      </c>
      <c r="O2924" s="25">
        <v>175</v>
      </c>
      <c r="P2924" s="25">
        <v>0</v>
      </c>
      <c r="Q2924" s="25"/>
      <c r="R2924" s="25"/>
      <c r="S2924" s="25"/>
      <c r="T2924" s="10"/>
    </row>
    <row r="2925" s="35" customFormat="1" ht="18.5" customHeight="1" spans="1:20">
      <c r="A2925" s="9"/>
      <c r="B2925" s="25"/>
      <c r="C2925" s="25"/>
      <c r="D2925" s="25"/>
      <c r="E2925" s="25"/>
      <c r="F2925" s="25"/>
      <c r="G2925" s="25"/>
      <c r="H2925" s="25"/>
      <c r="I2925" s="25"/>
      <c r="J2925" s="25"/>
      <c r="K2925" s="25"/>
      <c r="L2925" s="25"/>
      <c r="M2925" s="42" t="s">
        <v>253</v>
      </c>
      <c r="N2925" s="41">
        <v>45167</v>
      </c>
      <c r="O2925" s="25">
        <v>358</v>
      </c>
      <c r="P2925" s="25">
        <v>0</v>
      </c>
      <c r="Q2925" s="25"/>
      <c r="R2925" s="25"/>
      <c r="S2925" s="25"/>
      <c r="T2925" s="10"/>
    </row>
    <row r="2926" s="35" customFormat="1" ht="18.5" customHeight="1" spans="1:20">
      <c r="A2926" s="9"/>
      <c r="B2926" s="25"/>
      <c r="C2926" s="25"/>
      <c r="D2926" s="25"/>
      <c r="E2926" s="25"/>
      <c r="F2926" s="25"/>
      <c r="G2926" s="25"/>
      <c r="H2926" s="25"/>
      <c r="I2926" s="25"/>
      <c r="J2926" s="25"/>
      <c r="K2926" s="25"/>
      <c r="L2926" s="25"/>
      <c r="M2926" s="42" t="s">
        <v>253</v>
      </c>
      <c r="N2926" s="41">
        <v>45166</v>
      </c>
      <c r="O2926" s="25">
        <v>145</v>
      </c>
      <c r="P2926" s="25">
        <v>0</v>
      </c>
      <c r="Q2926" s="25"/>
      <c r="R2926" s="25"/>
      <c r="S2926" s="25"/>
      <c r="T2926" s="10"/>
    </row>
    <row r="2927" s="35" customFormat="1" ht="18.5" customHeight="1" spans="1:20">
      <c r="A2927" s="9"/>
      <c r="B2927" s="25"/>
      <c r="C2927" s="25"/>
      <c r="D2927" s="25"/>
      <c r="E2927" s="25"/>
      <c r="F2927" s="25"/>
      <c r="G2927" s="25"/>
      <c r="H2927" s="25"/>
      <c r="I2927" s="25"/>
      <c r="J2927" s="25"/>
      <c r="K2927" s="25"/>
      <c r="L2927" s="25"/>
      <c r="M2927" s="42" t="s">
        <v>253</v>
      </c>
      <c r="N2927" s="41">
        <v>45164</v>
      </c>
      <c r="O2927" s="25">
        <v>139</v>
      </c>
      <c r="P2927" s="25">
        <v>0</v>
      </c>
      <c r="Q2927" s="25"/>
      <c r="R2927" s="25"/>
      <c r="S2927" s="25"/>
      <c r="T2927" s="10"/>
    </row>
    <row r="2928" s="35" customFormat="1" ht="18.5" customHeight="1" spans="1:20">
      <c r="A2928" s="9"/>
      <c r="B2928" s="25"/>
      <c r="C2928" s="25"/>
      <c r="D2928" s="25"/>
      <c r="E2928" s="25"/>
      <c r="F2928" s="25"/>
      <c r="G2928" s="25"/>
      <c r="H2928" s="25"/>
      <c r="I2928" s="25"/>
      <c r="J2928" s="25"/>
      <c r="K2928" s="25"/>
      <c r="L2928" s="25"/>
      <c r="M2928" s="42" t="s">
        <v>253</v>
      </c>
      <c r="N2928" s="41">
        <v>45163</v>
      </c>
      <c r="O2928" s="25">
        <v>169</v>
      </c>
      <c r="P2928" s="25">
        <v>0</v>
      </c>
      <c r="Q2928" s="25"/>
      <c r="R2928" s="25"/>
      <c r="S2928" s="25"/>
      <c r="T2928" s="10"/>
    </row>
    <row r="2929" s="35" customFormat="1" ht="18.5" customHeight="1" spans="1:20">
      <c r="A2929" s="9"/>
      <c r="B2929" s="25"/>
      <c r="C2929" s="25"/>
      <c r="D2929" s="25"/>
      <c r="E2929" s="25"/>
      <c r="F2929" s="25"/>
      <c r="G2929" s="25"/>
      <c r="H2929" s="25"/>
      <c r="I2929" s="25"/>
      <c r="J2929" s="25"/>
      <c r="K2929" s="25"/>
      <c r="L2929" s="25"/>
      <c r="M2929" s="42" t="s">
        <v>253</v>
      </c>
      <c r="N2929" s="41">
        <v>45163</v>
      </c>
      <c r="O2929" s="25">
        <v>120</v>
      </c>
      <c r="P2929" s="25">
        <v>0</v>
      </c>
      <c r="Q2929" s="25"/>
      <c r="R2929" s="25"/>
      <c r="S2929" s="25"/>
      <c r="T2929" s="10"/>
    </row>
    <row r="2930" s="35" customFormat="1" ht="18.5" customHeight="1" spans="1:20">
      <c r="A2930" s="9"/>
      <c r="B2930" s="25"/>
      <c r="C2930" s="25"/>
      <c r="D2930" s="25"/>
      <c r="E2930" s="25"/>
      <c r="F2930" s="25"/>
      <c r="G2930" s="25"/>
      <c r="H2930" s="25"/>
      <c r="I2930" s="25"/>
      <c r="J2930" s="25"/>
      <c r="K2930" s="25"/>
      <c r="L2930" s="25"/>
      <c r="M2930" s="42" t="s">
        <v>253</v>
      </c>
      <c r="N2930" s="41">
        <v>45163</v>
      </c>
      <c r="O2930" s="25">
        <v>1452</v>
      </c>
      <c r="P2930" s="25">
        <v>0</v>
      </c>
      <c r="Q2930" s="25"/>
      <c r="R2930" s="25"/>
      <c r="S2930" s="25"/>
      <c r="T2930" s="10"/>
    </row>
    <row r="2931" s="35" customFormat="1" ht="18.5" customHeight="1" spans="1:20">
      <c r="A2931" s="9"/>
      <c r="B2931" s="25"/>
      <c r="C2931" s="25"/>
      <c r="D2931" s="25"/>
      <c r="E2931" s="25"/>
      <c r="F2931" s="25"/>
      <c r="G2931" s="25"/>
      <c r="H2931" s="25"/>
      <c r="I2931" s="25"/>
      <c r="J2931" s="25"/>
      <c r="K2931" s="25"/>
      <c r="L2931" s="25"/>
      <c r="M2931" s="42" t="s">
        <v>253</v>
      </c>
      <c r="N2931" s="41">
        <v>45161</v>
      </c>
      <c r="O2931" s="25">
        <v>113</v>
      </c>
      <c r="P2931" s="25">
        <v>0</v>
      </c>
      <c r="Q2931" s="25"/>
      <c r="R2931" s="25"/>
      <c r="S2931" s="25"/>
      <c r="T2931" s="10"/>
    </row>
    <row r="2932" s="35" customFormat="1" ht="18.5" customHeight="1" spans="1:20">
      <c r="A2932" s="9"/>
      <c r="B2932" s="25"/>
      <c r="C2932" s="25"/>
      <c r="D2932" s="25"/>
      <c r="E2932" s="25"/>
      <c r="F2932" s="25"/>
      <c r="G2932" s="25"/>
      <c r="H2932" s="25"/>
      <c r="I2932" s="25"/>
      <c r="J2932" s="25"/>
      <c r="K2932" s="25"/>
      <c r="L2932" s="25"/>
      <c r="M2932" s="42" t="s">
        <v>253</v>
      </c>
      <c r="N2932" s="41">
        <v>45160</v>
      </c>
      <c r="O2932" s="25">
        <v>202</v>
      </c>
      <c r="P2932" s="25">
        <v>0</v>
      </c>
      <c r="Q2932" s="25"/>
      <c r="R2932" s="25"/>
      <c r="S2932" s="25"/>
      <c r="T2932" s="10"/>
    </row>
    <row r="2933" s="35" customFormat="1" ht="18.5" customHeight="1" spans="1:20">
      <c r="A2933" s="9"/>
      <c r="B2933" s="25"/>
      <c r="C2933" s="25"/>
      <c r="D2933" s="25"/>
      <c r="E2933" s="25"/>
      <c r="F2933" s="25"/>
      <c r="G2933" s="25"/>
      <c r="H2933" s="25"/>
      <c r="I2933" s="25"/>
      <c r="J2933" s="25"/>
      <c r="K2933" s="25"/>
      <c r="L2933" s="25"/>
      <c r="M2933" s="42" t="s">
        <v>253</v>
      </c>
      <c r="N2933" s="41">
        <v>45160</v>
      </c>
      <c r="O2933" s="25">
        <v>156</v>
      </c>
      <c r="P2933" s="25">
        <v>0</v>
      </c>
      <c r="Q2933" s="25"/>
      <c r="R2933" s="25"/>
      <c r="S2933" s="25"/>
      <c r="T2933" s="10"/>
    </row>
    <row r="2934" s="35" customFormat="1" ht="18.5" customHeight="1" spans="1:20">
      <c r="A2934" s="9"/>
      <c r="B2934" s="25"/>
      <c r="C2934" s="25"/>
      <c r="D2934" s="25"/>
      <c r="E2934" s="25"/>
      <c r="F2934" s="25"/>
      <c r="G2934" s="25"/>
      <c r="H2934" s="25"/>
      <c r="I2934" s="25"/>
      <c r="J2934" s="25"/>
      <c r="K2934" s="25"/>
      <c r="L2934" s="25"/>
      <c r="M2934" s="42" t="s">
        <v>253</v>
      </c>
      <c r="N2934" s="41">
        <v>45160</v>
      </c>
      <c r="O2934" s="25">
        <v>131</v>
      </c>
      <c r="P2934" s="25">
        <v>0</v>
      </c>
      <c r="Q2934" s="25"/>
      <c r="R2934" s="25"/>
      <c r="S2934" s="25"/>
      <c r="T2934" s="10"/>
    </row>
    <row r="2935" s="35" customFormat="1" ht="18.5" customHeight="1" spans="1:20">
      <c r="A2935" s="9"/>
      <c r="B2935" s="25"/>
      <c r="C2935" s="25"/>
      <c r="D2935" s="25"/>
      <c r="E2935" s="25"/>
      <c r="F2935" s="25"/>
      <c r="G2935" s="25"/>
      <c r="H2935" s="25"/>
      <c r="I2935" s="25"/>
      <c r="J2935" s="25"/>
      <c r="K2935" s="25"/>
      <c r="L2935" s="25"/>
      <c r="M2935" s="42" t="s">
        <v>253</v>
      </c>
      <c r="N2935" s="41">
        <v>45158</v>
      </c>
      <c r="O2935" s="25">
        <v>131</v>
      </c>
      <c r="P2935" s="25">
        <v>0</v>
      </c>
      <c r="Q2935" s="25"/>
      <c r="R2935" s="25"/>
      <c r="S2935" s="25"/>
      <c r="T2935" s="10"/>
    </row>
    <row r="2936" s="35" customFormat="1" ht="18.5" customHeight="1" spans="1:20">
      <c r="A2936" s="9"/>
      <c r="B2936" s="25"/>
      <c r="C2936" s="25"/>
      <c r="D2936" s="25"/>
      <c r="E2936" s="25"/>
      <c r="F2936" s="25"/>
      <c r="G2936" s="25"/>
      <c r="H2936" s="25"/>
      <c r="I2936" s="25"/>
      <c r="J2936" s="25"/>
      <c r="K2936" s="25"/>
      <c r="L2936" s="25"/>
      <c r="M2936" s="42" t="s">
        <v>253</v>
      </c>
      <c r="N2936" s="41">
        <v>45158</v>
      </c>
      <c r="O2936" s="25">
        <v>117</v>
      </c>
      <c r="P2936" s="25">
        <v>0</v>
      </c>
      <c r="Q2936" s="25"/>
      <c r="R2936" s="25"/>
      <c r="S2936" s="25"/>
      <c r="T2936" s="10"/>
    </row>
    <row r="2937" s="35" customFormat="1" ht="18.5" customHeight="1" spans="1:20">
      <c r="A2937" s="9"/>
      <c r="B2937" s="25"/>
      <c r="C2937" s="25"/>
      <c r="D2937" s="25"/>
      <c r="E2937" s="25"/>
      <c r="F2937" s="25"/>
      <c r="G2937" s="25"/>
      <c r="H2937" s="25"/>
      <c r="I2937" s="25"/>
      <c r="J2937" s="25"/>
      <c r="K2937" s="25"/>
      <c r="L2937" s="25"/>
      <c r="M2937" s="42" t="s">
        <v>253</v>
      </c>
      <c r="N2937" s="41">
        <v>45158</v>
      </c>
      <c r="O2937" s="25">
        <v>132</v>
      </c>
      <c r="P2937" s="25">
        <v>0</v>
      </c>
      <c r="Q2937" s="25"/>
      <c r="R2937" s="25"/>
      <c r="S2937" s="25"/>
      <c r="T2937" s="10"/>
    </row>
    <row r="2938" s="35" customFormat="1" ht="18.5" customHeight="1" spans="1:20">
      <c r="A2938" s="9"/>
      <c r="B2938" s="25"/>
      <c r="C2938" s="25"/>
      <c r="D2938" s="25"/>
      <c r="E2938" s="25"/>
      <c r="F2938" s="25"/>
      <c r="G2938" s="25"/>
      <c r="H2938" s="25"/>
      <c r="I2938" s="25"/>
      <c r="J2938" s="25"/>
      <c r="K2938" s="25"/>
      <c r="L2938" s="25"/>
      <c r="M2938" s="42" t="s">
        <v>253</v>
      </c>
      <c r="N2938" s="41">
        <v>45156</v>
      </c>
      <c r="O2938" s="25">
        <v>91</v>
      </c>
      <c r="P2938" s="25">
        <v>0</v>
      </c>
      <c r="Q2938" s="25"/>
      <c r="R2938" s="25"/>
      <c r="S2938" s="25"/>
      <c r="T2938" s="10"/>
    </row>
    <row r="2939" s="35" customFormat="1" ht="18.5" customHeight="1" spans="1:20">
      <c r="A2939" s="9"/>
      <c r="B2939" s="25"/>
      <c r="C2939" s="25"/>
      <c r="D2939" s="25"/>
      <c r="E2939" s="25"/>
      <c r="F2939" s="25"/>
      <c r="G2939" s="25"/>
      <c r="H2939" s="25"/>
      <c r="I2939" s="25"/>
      <c r="J2939" s="25"/>
      <c r="K2939" s="25"/>
      <c r="L2939" s="25"/>
      <c r="M2939" s="42" t="s">
        <v>253</v>
      </c>
      <c r="N2939" s="41">
        <v>45155</v>
      </c>
      <c r="O2939" s="25">
        <v>277</v>
      </c>
      <c r="P2939" s="25">
        <v>0</v>
      </c>
      <c r="Q2939" s="25"/>
      <c r="R2939" s="25"/>
      <c r="S2939" s="25"/>
      <c r="T2939" s="10"/>
    </row>
    <row r="2940" s="35" customFormat="1" ht="18.5" customHeight="1" spans="1:20">
      <c r="A2940" s="9"/>
      <c r="B2940" s="25"/>
      <c r="C2940" s="25"/>
      <c r="D2940" s="25"/>
      <c r="E2940" s="25"/>
      <c r="F2940" s="25"/>
      <c r="G2940" s="25"/>
      <c r="H2940" s="25"/>
      <c r="I2940" s="25"/>
      <c r="J2940" s="25"/>
      <c r="K2940" s="25"/>
      <c r="L2940" s="25"/>
      <c r="M2940" s="42" t="s">
        <v>253</v>
      </c>
      <c r="N2940" s="41">
        <v>45154</v>
      </c>
      <c r="O2940" s="25">
        <v>135</v>
      </c>
      <c r="P2940" s="25">
        <v>0</v>
      </c>
      <c r="Q2940" s="25"/>
      <c r="R2940" s="25"/>
      <c r="S2940" s="25"/>
      <c r="T2940" s="10"/>
    </row>
    <row r="2941" s="35" customFormat="1" ht="18.5" customHeight="1" spans="1:20">
      <c r="A2941" s="9"/>
      <c r="B2941" s="25"/>
      <c r="C2941" s="25"/>
      <c r="D2941" s="25"/>
      <c r="E2941" s="25"/>
      <c r="F2941" s="25"/>
      <c r="G2941" s="25"/>
      <c r="H2941" s="25"/>
      <c r="I2941" s="25"/>
      <c r="J2941" s="25"/>
      <c r="K2941" s="25"/>
      <c r="L2941" s="25"/>
      <c r="M2941" s="42" t="s">
        <v>253</v>
      </c>
      <c r="N2941" s="41">
        <v>45153</v>
      </c>
      <c r="O2941" s="25">
        <v>83</v>
      </c>
      <c r="P2941" s="25">
        <v>0</v>
      </c>
      <c r="Q2941" s="25"/>
      <c r="R2941" s="25"/>
      <c r="S2941" s="25"/>
      <c r="T2941" s="10"/>
    </row>
    <row r="2942" s="35" customFormat="1" ht="18.5" customHeight="1" spans="1:20">
      <c r="A2942" s="9"/>
      <c r="B2942" s="25"/>
      <c r="C2942" s="25"/>
      <c r="D2942" s="25"/>
      <c r="E2942" s="25"/>
      <c r="F2942" s="25"/>
      <c r="G2942" s="25"/>
      <c r="H2942" s="25"/>
      <c r="I2942" s="25"/>
      <c r="J2942" s="25"/>
      <c r="K2942" s="25"/>
      <c r="L2942" s="25"/>
      <c r="M2942" s="42" t="s">
        <v>253</v>
      </c>
      <c r="N2942" s="41">
        <v>45065</v>
      </c>
      <c r="O2942" s="25">
        <v>425</v>
      </c>
      <c r="P2942" s="25">
        <v>0</v>
      </c>
      <c r="Q2942" s="25"/>
      <c r="R2942" s="25"/>
      <c r="S2942" s="25"/>
      <c r="T2942" s="10"/>
    </row>
    <row r="2943" s="35" customFormat="1" ht="18.5" customHeight="1" spans="1:20">
      <c r="A2943" s="9"/>
      <c r="B2943" s="25"/>
      <c r="C2943" s="25"/>
      <c r="D2943" s="25"/>
      <c r="E2943" s="25"/>
      <c r="F2943" s="25"/>
      <c r="G2943" s="25"/>
      <c r="H2943" s="25"/>
      <c r="I2943" s="25"/>
      <c r="J2943" s="25"/>
      <c r="K2943" s="25"/>
      <c r="L2943" s="25"/>
      <c r="M2943" s="42" t="s">
        <v>253</v>
      </c>
      <c r="N2943" s="41">
        <v>45153</v>
      </c>
      <c r="O2943" s="25">
        <v>157</v>
      </c>
      <c r="P2943" s="25">
        <v>0</v>
      </c>
      <c r="Q2943" s="25"/>
      <c r="R2943" s="25"/>
      <c r="S2943" s="25"/>
      <c r="T2943" s="10"/>
    </row>
    <row r="2944" s="35" customFormat="1" ht="18.5" customHeight="1" spans="1:20">
      <c r="A2944" s="9"/>
      <c r="B2944" s="25"/>
      <c r="C2944" s="25"/>
      <c r="D2944" s="25"/>
      <c r="E2944" s="25"/>
      <c r="F2944" s="25"/>
      <c r="G2944" s="25"/>
      <c r="H2944" s="25"/>
      <c r="I2944" s="25"/>
      <c r="J2944" s="25"/>
      <c r="K2944" s="25"/>
      <c r="L2944" s="25"/>
      <c r="M2944" s="42" t="s">
        <v>253</v>
      </c>
      <c r="N2944" s="41">
        <v>45152</v>
      </c>
      <c r="O2944" s="25">
        <v>160</v>
      </c>
      <c r="P2944" s="25">
        <v>0</v>
      </c>
      <c r="Q2944" s="25"/>
      <c r="R2944" s="25"/>
      <c r="S2944" s="25"/>
      <c r="T2944" s="10"/>
    </row>
    <row r="2945" s="35" customFormat="1" ht="18.5" customHeight="1" spans="1:20">
      <c r="A2945" s="9"/>
      <c r="B2945" s="25"/>
      <c r="C2945" s="25"/>
      <c r="D2945" s="25"/>
      <c r="E2945" s="25"/>
      <c r="F2945" s="25"/>
      <c r="G2945" s="25"/>
      <c r="H2945" s="25"/>
      <c r="I2945" s="25"/>
      <c r="J2945" s="25"/>
      <c r="K2945" s="25"/>
      <c r="L2945" s="25"/>
      <c r="M2945" s="42" t="s">
        <v>253</v>
      </c>
      <c r="N2945" s="41">
        <v>45152</v>
      </c>
      <c r="O2945" s="25">
        <v>356</v>
      </c>
      <c r="P2945" s="25">
        <v>0</v>
      </c>
      <c r="Q2945" s="25"/>
      <c r="R2945" s="25"/>
      <c r="S2945" s="25"/>
      <c r="T2945" s="10"/>
    </row>
    <row r="2946" s="35" customFormat="1" ht="18.5" customHeight="1" spans="1:20">
      <c r="A2946" s="9"/>
      <c r="B2946" s="25"/>
      <c r="C2946" s="25"/>
      <c r="D2946" s="25"/>
      <c r="E2946" s="25"/>
      <c r="F2946" s="25"/>
      <c r="G2946" s="25"/>
      <c r="H2946" s="25"/>
      <c r="I2946" s="25"/>
      <c r="J2946" s="25"/>
      <c r="K2946" s="25"/>
      <c r="L2946" s="25"/>
      <c r="M2946" s="42" t="s">
        <v>253</v>
      </c>
      <c r="N2946" s="41">
        <v>45152</v>
      </c>
      <c r="O2946" s="25">
        <v>260</v>
      </c>
      <c r="P2946" s="25">
        <v>0</v>
      </c>
      <c r="Q2946" s="25"/>
      <c r="R2946" s="25"/>
      <c r="S2946" s="25"/>
      <c r="T2946" s="10"/>
    </row>
    <row r="2947" s="35" customFormat="1" ht="18.5" customHeight="1" spans="1:20">
      <c r="A2947" s="9"/>
      <c r="B2947" s="25"/>
      <c r="C2947" s="25"/>
      <c r="D2947" s="25"/>
      <c r="E2947" s="25"/>
      <c r="F2947" s="25"/>
      <c r="G2947" s="25"/>
      <c r="H2947" s="25"/>
      <c r="I2947" s="25"/>
      <c r="J2947" s="25"/>
      <c r="K2947" s="25"/>
      <c r="L2947" s="25"/>
      <c r="M2947" s="42" t="s">
        <v>253</v>
      </c>
      <c r="N2947" s="41">
        <v>45136</v>
      </c>
      <c r="O2947" s="25">
        <v>182</v>
      </c>
      <c r="P2947" s="25">
        <v>0</v>
      </c>
      <c r="Q2947" s="25"/>
      <c r="R2947" s="25"/>
      <c r="S2947" s="25"/>
      <c r="T2947" s="10"/>
    </row>
    <row r="2948" s="35" customFormat="1" ht="18.5" customHeight="1" spans="1:20">
      <c r="A2948" s="9"/>
      <c r="B2948" s="25"/>
      <c r="C2948" s="25"/>
      <c r="D2948" s="25"/>
      <c r="E2948" s="25"/>
      <c r="F2948" s="25"/>
      <c r="G2948" s="25"/>
      <c r="H2948" s="25"/>
      <c r="I2948" s="25"/>
      <c r="J2948" s="25"/>
      <c r="K2948" s="25"/>
      <c r="L2948" s="25"/>
      <c r="M2948" s="42" t="s">
        <v>253</v>
      </c>
      <c r="N2948" s="41">
        <v>45110</v>
      </c>
      <c r="O2948" s="25">
        <v>268</v>
      </c>
      <c r="P2948" s="25">
        <v>0</v>
      </c>
      <c r="Q2948" s="25"/>
      <c r="R2948" s="25"/>
      <c r="S2948" s="25"/>
      <c r="T2948" s="10"/>
    </row>
    <row r="2949" s="35" customFormat="1" ht="18.5" customHeight="1" spans="1:20">
      <c r="A2949" s="9"/>
      <c r="B2949" s="25"/>
      <c r="C2949" s="25"/>
      <c r="D2949" s="25"/>
      <c r="E2949" s="25"/>
      <c r="F2949" s="25"/>
      <c r="G2949" s="25"/>
      <c r="H2949" s="25"/>
      <c r="I2949" s="25"/>
      <c r="J2949" s="25"/>
      <c r="K2949" s="25"/>
      <c r="L2949" s="25"/>
      <c r="M2949" s="42" t="s">
        <v>253</v>
      </c>
      <c r="N2949" s="41">
        <v>45149</v>
      </c>
      <c r="O2949" s="25">
        <v>202</v>
      </c>
      <c r="P2949" s="25">
        <v>0</v>
      </c>
      <c r="Q2949" s="25"/>
      <c r="R2949" s="25"/>
      <c r="S2949" s="25"/>
      <c r="T2949" s="10"/>
    </row>
    <row r="2950" s="35" customFormat="1" ht="18.5" customHeight="1" spans="1:20">
      <c r="A2950" s="9"/>
      <c r="B2950" s="25"/>
      <c r="C2950" s="25"/>
      <c r="D2950" s="25"/>
      <c r="E2950" s="25"/>
      <c r="F2950" s="25"/>
      <c r="G2950" s="25"/>
      <c r="H2950" s="25"/>
      <c r="I2950" s="25"/>
      <c r="J2950" s="25"/>
      <c r="K2950" s="25"/>
      <c r="L2950" s="25"/>
      <c r="M2950" s="42" t="s">
        <v>253</v>
      </c>
      <c r="N2950" s="41">
        <v>45147</v>
      </c>
      <c r="O2950" s="25">
        <v>147</v>
      </c>
      <c r="P2950" s="25">
        <v>0</v>
      </c>
      <c r="Q2950" s="25"/>
      <c r="R2950" s="25"/>
      <c r="S2950" s="25"/>
      <c r="T2950" s="10"/>
    </row>
    <row r="2951" s="35" customFormat="1" ht="18.5" customHeight="1" spans="1:20">
      <c r="A2951" s="9"/>
      <c r="B2951" s="25"/>
      <c r="C2951" s="25"/>
      <c r="D2951" s="25"/>
      <c r="E2951" s="25"/>
      <c r="F2951" s="25"/>
      <c r="G2951" s="25"/>
      <c r="H2951" s="25"/>
      <c r="I2951" s="25"/>
      <c r="J2951" s="25"/>
      <c r="K2951" s="25"/>
      <c r="L2951" s="25"/>
      <c r="M2951" s="42" t="s">
        <v>253</v>
      </c>
      <c r="N2951" s="41">
        <v>45147</v>
      </c>
      <c r="O2951" s="25">
        <v>262</v>
      </c>
      <c r="P2951" s="25">
        <v>0</v>
      </c>
      <c r="Q2951" s="25"/>
      <c r="R2951" s="25"/>
      <c r="S2951" s="25"/>
      <c r="T2951" s="10"/>
    </row>
    <row r="2952" s="35" customFormat="1" ht="18.5" customHeight="1" spans="1:20">
      <c r="A2952" s="9"/>
      <c r="B2952" s="25"/>
      <c r="C2952" s="25"/>
      <c r="D2952" s="25"/>
      <c r="E2952" s="25"/>
      <c r="F2952" s="25"/>
      <c r="G2952" s="25"/>
      <c r="H2952" s="25"/>
      <c r="I2952" s="25"/>
      <c r="J2952" s="25"/>
      <c r="K2952" s="25"/>
      <c r="L2952" s="25"/>
      <c r="M2952" s="42" t="s">
        <v>253</v>
      </c>
      <c r="N2952" s="41">
        <v>45147</v>
      </c>
      <c r="O2952" s="25">
        <v>255</v>
      </c>
      <c r="P2952" s="25">
        <v>0</v>
      </c>
      <c r="Q2952" s="25"/>
      <c r="R2952" s="25"/>
      <c r="S2952" s="25"/>
      <c r="T2952" s="10"/>
    </row>
    <row r="2953" s="35" customFormat="1" ht="18.5" customHeight="1" spans="1:20">
      <c r="A2953" s="9"/>
      <c r="B2953" s="25"/>
      <c r="C2953" s="25"/>
      <c r="D2953" s="25"/>
      <c r="E2953" s="25"/>
      <c r="F2953" s="25"/>
      <c r="G2953" s="25"/>
      <c r="H2953" s="25"/>
      <c r="I2953" s="25"/>
      <c r="J2953" s="25"/>
      <c r="K2953" s="25"/>
      <c r="L2953" s="25"/>
      <c r="M2953" s="42" t="s">
        <v>253</v>
      </c>
      <c r="N2953" s="41">
        <v>45146</v>
      </c>
      <c r="O2953" s="25">
        <v>197</v>
      </c>
      <c r="P2953" s="25">
        <v>0</v>
      </c>
      <c r="Q2953" s="25"/>
      <c r="R2953" s="25"/>
      <c r="S2953" s="25"/>
      <c r="T2953" s="10"/>
    </row>
    <row r="2954" s="35" customFormat="1" ht="18.5" customHeight="1" spans="1:20">
      <c r="A2954" s="9"/>
      <c r="B2954" s="25"/>
      <c r="C2954" s="25"/>
      <c r="D2954" s="25"/>
      <c r="E2954" s="25"/>
      <c r="F2954" s="25"/>
      <c r="G2954" s="25"/>
      <c r="H2954" s="25"/>
      <c r="I2954" s="25"/>
      <c r="J2954" s="25"/>
      <c r="K2954" s="25"/>
      <c r="L2954" s="25"/>
      <c r="M2954" s="42" t="s">
        <v>253</v>
      </c>
      <c r="N2954" s="41">
        <v>45146</v>
      </c>
      <c r="O2954" s="25">
        <v>147</v>
      </c>
      <c r="P2954" s="25">
        <v>0</v>
      </c>
      <c r="Q2954" s="25"/>
      <c r="R2954" s="25"/>
      <c r="S2954" s="25"/>
      <c r="T2954" s="10"/>
    </row>
    <row r="2955" s="35" customFormat="1" ht="18.5" customHeight="1" spans="1:20">
      <c r="A2955" s="9"/>
      <c r="B2955" s="25"/>
      <c r="C2955" s="25"/>
      <c r="D2955" s="25"/>
      <c r="E2955" s="25"/>
      <c r="F2955" s="25"/>
      <c r="G2955" s="25"/>
      <c r="H2955" s="25"/>
      <c r="I2955" s="25"/>
      <c r="J2955" s="25"/>
      <c r="K2955" s="25"/>
      <c r="L2955" s="25"/>
      <c r="M2955" s="42" t="s">
        <v>253</v>
      </c>
      <c r="N2955" s="41">
        <v>45146</v>
      </c>
      <c r="O2955" s="25">
        <v>104</v>
      </c>
      <c r="P2955" s="25">
        <v>0</v>
      </c>
      <c r="Q2955" s="25"/>
      <c r="R2955" s="25"/>
      <c r="S2955" s="25"/>
      <c r="T2955" s="10"/>
    </row>
    <row r="2956" s="35" customFormat="1" ht="18.5" customHeight="1" spans="1:20">
      <c r="A2956" s="9"/>
      <c r="B2956" s="25"/>
      <c r="C2956" s="25"/>
      <c r="D2956" s="25"/>
      <c r="E2956" s="25"/>
      <c r="F2956" s="25"/>
      <c r="G2956" s="25"/>
      <c r="H2956" s="25"/>
      <c r="I2956" s="25"/>
      <c r="J2956" s="25"/>
      <c r="K2956" s="25"/>
      <c r="L2956" s="25"/>
      <c r="M2956" s="42" t="s">
        <v>253</v>
      </c>
      <c r="N2956" s="41">
        <v>45146</v>
      </c>
      <c r="O2956" s="25">
        <v>169</v>
      </c>
      <c r="P2956" s="25">
        <v>0</v>
      </c>
      <c r="Q2956" s="25"/>
      <c r="R2956" s="25"/>
      <c r="S2956" s="25"/>
      <c r="T2956" s="10"/>
    </row>
    <row r="2957" s="35" customFormat="1" ht="18.5" customHeight="1" spans="1:20">
      <c r="A2957" s="9"/>
      <c r="B2957" s="25"/>
      <c r="C2957" s="25"/>
      <c r="D2957" s="25"/>
      <c r="E2957" s="25"/>
      <c r="F2957" s="25"/>
      <c r="G2957" s="25"/>
      <c r="H2957" s="25"/>
      <c r="I2957" s="25"/>
      <c r="J2957" s="25"/>
      <c r="K2957" s="25"/>
      <c r="L2957" s="25"/>
      <c r="M2957" s="42" t="s">
        <v>253</v>
      </c>
      <c r="N2957" s="41">
        <v>45145</v>
      </c>
      <c r="O2957" s="25">
        <v>238</v>
      </c>
      <c r="P2957" s="25">
        <v>0</v>
      </c>
      <c r="Q2957" s="25"/>
      <c r="R2957" s="25"/>
      <c r="S2957" s="25"/>
      <c r="T2957" s="10"/>
    </row>
    <row r="2958" s="35" customFormat="1" ht="18.5" customHeight="1" spans="1:20">
      <c r="A2958" s="9"/>
      <c r="B2958" s="25"/>
      <c r="C2958" s="25"/>
      <c r="D2958" s="25"/>
      <c r="E2958" s="25"/>
      <c r="F2958" s="25"/>
      <c r="G2958" s="25"/>
      <c r="H2958" s="25"/>
      <c r="I2958" s="25"/>
      <c r="J2958" s="25"/>
      <c r="K2958" s="25"/>
      <c r="L2958" s="25"/>
      <c r="M2958" s="42" t="s">
        <v>253</v>
      </c>
      <c r="N2958" s="41">
        <v>45145</v>
      </c>
      <c r="O2958" s="25">
        <v>89</v>
      </c>
      <c r="P2958" s="25">
        <v>0</v>
      </c>
      <c r="Q2958" s="25"/>
      <c r="R2958" s="25"/>
      <c r="S2958" s="25"/>
      <c r="T2958" s="10"/>
    </row>
    <row r="2959" s="35" customFormat="1" ht="18.5" customHeight="1" spans="1:20">
      <c r="A2959" s="9"/>
      <c r="B2959" s="25"/>
      <c r="C2959" s="25"/>
      <c r="D2959" s="25"/>
      <c r="E2959" s="25"/>
      <c r="F2959" s="25"/>
      <c r="G2959" s="25"/>
      <c r="H2959" s="25"/>
      <c r="I2959" s="25"/>
      <c r="J2959" s="25"/>
      <c r="K2959" s="25"/>
      <c r="L2959" s="25"/>
      <c r="M2959" s="42" t="s">
        <v>253</v>
      </c>
      <c r="N2959" s="41">
        <v>45145</v>
      </c>
      <c r="O2959" s="25">
        <v>299</v>
      </c>
      <c r="P2959" s="25">
        <v>0</v>
      </c>
      <c r="Q2959" s="25"/>
      <c r="R2959" s="25"/>
      <c r="S2959" s="25"/>
      <c r="T2959" s="10"/>
    </row>
    <row r="2960" s="35" customFormat="1" ht="18.5" customHeight="1" spans="1:20">
      <c r="A2960" s="9"/>
      <c r="B2960" s="25"/>
      <c r="C2960" s="25"/>
      <c r="D2960" s="25"/>
      <c r="E2960" s="25"/>
      <c r="F2960" s="25"/>
      <c r="G2960" s="25"/>
      <c r="H2960" s="25"/>
      <c r="I2960" s="25"/>
      <c r="J2960" s="25"/>
      <c r="K2960" s="25"/>
      <c r="L2960" s="25"/>
      <c r="M2960" s="42" t="s">
        <v>253</v>
      </c>
      <c r="N2960" s="41">
        <v>45145</v>
      </c>
      <c r="O2960" s="25">
        <v>163</v>
      </c>
      <c r="P2960" s="25">
        <v>0</v>
      </c>
      <c r="Q2960" s="25"/>
      <c r="R2960" s="25"/>
      <c r="S2960" s="25"/>
      <c r="T2960" s="10"/>
    </row>
    <row r="2961" s="35" customFormat="1" ht="18.5" customHeight="1" spans="1:20">
      <c r="A2961" s="9"/>
      <c r="B2961" s="25"/>
      <c r="C2961" s="25"/>
      <c r="D2961" s="25"/>
      <c r="E2961" s="25"/>
      <c r="F2961" s="25"/>
      <c r="G2961" s="25"/>
      <c r="H2961" s="25"/>
      <c r="I2961" s="25"/>
      <c r="J2961" s="25"/>
      <c r="K2961" s="25"/>
      <c r="L2961" s="25"/>
      <c r="M2961" s="42" t="s">
        <v>253</v>
      </c>
      <c r="N2961" s="41">
        <v>45143</v>
      </c>
      <c r="O2961" s="25">
        <v>217</v>
      </c>
      <c r="P2961" s="25">
        <v>0</v>
      </c>
      <c r="Q2961" s="25"/>
      <c r="R2961" s="25"/>
      <c r="S2961" s="25"/>
      <c r="T2961" s="10"/>
    </row>
    <row r="2962" s="35" customFormat="1" ht="18.5" customHeight="1" spans="1:20">
      <c r="A2962" s="9"/>
      <c r="B2962" s="25"/>
      <c r="C2962" s="25"/>
      <c r="D2962" s="25"/>
      <c r="E2962" s="25"/>
      <c r="F2962" s="25"/>
      <c r="G2962" s="25"/>
      <c r="H2962" s="25"/>
      <c r="I2962" s="25"/>
      <c r="J2962" s="25"/>
      <c r="K2962" s="25"/>
      <c r="L2962" s="25"/>
      <c r="M2962" s="42" t="s">
        <v>253</v>
      </c>
      <c r="N2962" s="41">
        <v>45142</v>
      </c>
      <c r="O2962" s="25">
        <v>147</v>
      </c>
      <c r="P2962" s="25">
        <v>0</v>
      </c>
      <c r="Q2962" s="25"/>
      <c r="R2962" s="25"/>
      <c r="S2962" s="25"/>
      <c r="T2962" s="10"/>
    </row>
    <row r="2963" s="35" customFormat="1" ht="18.5" customHeight="1" spans="1:20">
      <c r="A2963" s="9"/>
      <c r="B2963" s="25"/>
      <c r="C2963" s="25"/>
      <c r="D2963" s="25"/>
      <c r="E2963" s="25"/>
      <c r="F2963" s="25"/>
      <c r="G2963" s="25"/>
      <c r="H2963" s="25"/>
      <c r="I2963" s="25"/>
      <c r="J2963" s="25"/>
      <c r="K2963" s="25"/>
      <c r="L2963" s="25"/>
      <c r="M2963" s="42" t="s">
        <v>253</v>
      </c>
      <c r="N2963" s="41">
        <v>45141</v>
      </c>
      <c r="O2963" s="25">
        <v>94</v>
      </c>
      <c r="P2963" s="25">
        <v>0</v>
      </c>
      <c r="Q2963" s="25"/>
      <c r="R2963" s="25"/>
      <c r="S2963" s="25"/>
      <c r="T2963" s="10"/>
    </row>
    <row r="2964" s="35" customFormat="1" ht="18.5" customHeight="1" spans="1:20">
      <c r="A2964" s="9"/>
      <c r="B2964" s="25"/>
      <c r="C2964" s="25"/>
      <c r="D2964" s="25"/>
      <c r="E2964" s="25"/>
      <c r="F2964" s="25"/>
      <c r="G2964" s="25"/>
      <c r="H2964" s="25"/>
      <c r="I2964" s="25"/>
      <c r="J2964" s="25"/>
      <c r="K2964" s="25"/>
      <c r="L2964" s="25"/>
      <c r="M2964" s="42" t="s">
        <v>253</v>
      </c>
      <c r="N2964" s="41">
        <v>45141</v>
      </c>
      <c r="O2964" s="25">
        <v>606</v>
      </c>
      <c r="P2964" s="25">
        <v>0</v>
      </c>
      <c r="Q2964" s="25"/>
      <c r="R2964" s="25"/>
      <c r="S2964" s="25"/>
      <c r="T2964" s="10"/>
    </row>
    <row r="2965" s="35" customFormat="1" ht="18.5" customHeight="1" spans="1:20">
      <c r="A2965" s="9"/>
      <c r="B2965" s="25"/>
      <c r="C2965" s="25"/>
      <c r="D2965" s="25"/>
      <c r="E2965" s="25"/>
      <c r="F2965" s="25"/>
      <c r="G2965" s="25"/>
      <c r="H2965" s="25"/>
      <c r="I2965" s="25"/>
      <c r="J2965" s="25"/>
      <c r="K2965" s="25"/>
      <c r="L2965" s="25"/>
      <c r="M2965" s="42" t="s">
        <v>253</v>
      </c>
      <c r="N2965" s="41">
        <v>45141</v>
      </c>
      <c r="O2965" s="25">
        <v>97</v>
      </c>
      <c r="P2965" s="25">
        <v>0</v>
      </c>
      <c r="Q2965" s="25"/>
      <c r="R2965" s="25"/>
      <c r="S2965" s="25"/>
      <c r="T2965" s="10"/>
    </row>
    <row r="2966" s="35" customFormat="1" ht="18.5" customHeight="1" spans="1:20">
      <c r="A2966" s="9"/>
      <c r="B2966" s="25"/>
      <c r="C2966" s="25"/>
      <c r="D2966" s="25"/>
      <c r="E2966" s="25"/>
      <c r="F2966" s="25"/>
      <c r="G2966" s="25"/>
      <c r="H2966" s="25"/>
      <c r="I2966" s="25"/>
      <c r="J2966" s="25"/>
      <c r="K2966" s="25"/>
      <c r="L2966" s="25"/>
      <c r="M2966" s="42" t="s">
        <v>253</v>
      </c>
      <c r="N2966" s="41">
        <v>45141</v>
      </c>
      <c r="O2966" s="25">
        <v>96</v>
      </c>
      <c r="P2966" s="25">
        <v>0</v>
      </c>
      <c r="Q2966" s="25"/>
      <c r="R2966" s="25"/>
      <c r="S2966" s="25"/>
      <c r="T2966" s="10"/>
    </row>
    <row r="2967" s="35" customFormat="1" ht="18.5" customHeight="1" spans="1:20">
      <c r="A2967" s="9"/>
      <c r="B2967" s="25"/>
      <c r="C2967" s="25"/>
      <c r="D2967" s="25"/>
      <c r="E2967" s="25"/>
      <c r="F2967" s="25"/>
      <c r="G2967" s="25"/>
      <c r="H2967" s="25"/>
      <c r="I2967" s="25"/>
      <c r="J2967" s="25"/>
      <c r="K2967" s="25"/>
      <c r="L2967" s="25"/>
      <c r="M2967" s="42" t="s">
        <v>253</v>
      </c>
      <c r="N2967" s="41">
        <v>45141</v>
      </c>
      <c r="O2967" s="25">
        <v>168</v>
      </c>
      <c r="P2967" s="25">
        <v>0</v>
      </c>
      <c r="Q2967" s="25"/>
      <c r="R2967" s="25"/>
      <c r="S2967" s="25"/>
      <c r="T2967" s="10"/>
    </row>
    <row r="2968" s="35" customFormat="1" ht="18.5" customHeight="1" spans="1:20">
      <c r="A2968" s="9"/>
      <c r="B2968" s="25"/>
      <c r="C2968" s="25"/>
      <c r="D2968" s="25"/>
      <c r="E2968" s="25"/>
      <c r="F2968" s="25"/>
      <c r="G2968" s="25"/>
      <c r="H2968" s="25"/>
      <c r="I2968" s="25"/>
      <c r="J2968" s="25"/>
      <c r="K2968" s="25"/>
      <c r="L2968" s="25"/>
      <c r="M2968" s="42" t="s">
        <v>253</v>
      </c>
      <c r="N2968" s="41">
        <v>45141</v>
      </c>
      <c r="O2968" s="25">
        <v>113</v>
      </c>
      <c r="P2968" s="25">
        <v>0</v>
      </c>
      <c r="Q2968" s="25"/>
      <c r="R2968" s="25"/>
      <c r="S2968" s="25"/>
      <c r="T2968" s="10"/>
    </row>
    <row r="2969" s="35" customFormat="1" ht="18.5" customHeight="1" spans="1:20">
      <c r="A2969" s="9"/>
      <c r="B2969" s="25"/>
      <c r="C2969" s="25"/>
      <c r="D2969" s="25"/>
      <c r="E2969" s="25"/>
      <c r="F2969" s="25"/>
      <c r="G2969" s="25"/>
      <c r="H2969" s="25"/>
      <c r="I2969" s="25"/>
      <c r="J2969" s="25"/>
      <c r="K2969" s="25"/>
      <c r="L2969" s="25"/>
      <c r="M2969" s="42" t="s">
        <v>253</v>
      </c>
      <c r="N2969" s="41">
        <v>45139</v>
      </c>
      <c r="O2969" s="25">
        <v>191</v>
      </c>
      <c r="P2969" s="25">
        <v>0</v>
      </c>
      <c r="Q2969" s="25"/>
      <c r="R2969" s="25"/>
      <c r="S2969" s="25"/>
      <c r="T2969" s="10"/>
    </row>
    <row r="2970" s="35" customFormat="1" ht="18.5" customHeight="1" spans="1:20">
      <c r="A2970" s="9"/>
      <c r="B2970" s="25"/>
      <c r="C2970" s="25"/>
      <c r="D2970" s="25"/>
      <c r="E2970" s="25"/>
      <c r="F2970" s="25"/>
      <c r="G2970" s="25"/>
      <c r="H2970" s="25"/>
      <c r="I2970" s="25"/>
      <c r="J2970" s="25"/>
      <c r="K2970" s="25"/>
      <c r="L2970" s="25"/>
      <c r="M2970" s="42" t="s">
        <v>253</v>
      </c>
      <c r="N2970" s="41">
        <v>45138</v>
      </c>
      <c r="O2970" s="25">
        <v>160</v>
      </c>
      <c r="P2970" s="25">
        <v>0</v>
      </c>
      <c r="Q2970" s="25"/>
      <c r="R2970" s="25"/>
      <c r="S2970" s="25"/>
      <c r="T2970" s="10"/>
    </row>
    <row r="2971" s="35" customFormat="1" ht="18.5" customHeight="1" spans="1:20">
      <c r="A2971" s="9"/>
      <c r="B2971" s="25"/>
      <c r="C2971" s="25"/>
      <c r="D2971" s="25"/>
      <c r="E2971" s="25"/>
      <c r="F2971" s="25"/>
      <c r="G2971" s="25"/>
      <c r="H2971" s="25"/>
      <c r="I2971" s="25"/>
      <c r="J2971" s="25"/>
      <c r="K2971" s="25"/>
      <c r="L2971" s="25"/>
      <c r="M2971" s="42" t="s">
        <v>253</v>
      </c>
      <c r="N2971" s="41">
        <v>45137</v>
      </c>
      <c r="O2971" s="25">
        <v>187</v>
      </c>
      <c r="P2971" s="25">
        <v>0</v>
      </c>
      <c r="Q2971" s="25"/>
      <c r="R2971" s="25"/>
      <c r="S2971" s="25"/>
      <c r="T2971" s="10"/>
    </row>
    <row r="2972" s="35" customFormat="1" ht="18.5" customHeight="1" spans="1:20">
      <c r="A2972" s="9"/>
      <c r="B2972" s="25"/>
      <c r="C2972" s="25"/>
      <c r="D2972" s="25"/>
      <c r="E2972" s="25"/>
      <c r="F2972" s="25"/>
      <c r="G2972" s="25"/>
      <c r="H2972" s="25"/>
      <c r="I2972" s="25"/>
      <c r="J2972" s="25"/>
      <c r="K2972" s="25"/>
      <c r="L2972" s="25"/>
      <c r="M2972" s="42" t="s">
        <v>253</v>
      </c>
      <c r="N2972" s="41">
        <v>45137</v>
      </c>
      <c r="O2972" s="25">
        <v>185</v>
      </c>
      <c r="P2972" s="25">
        <v>0</v>
      </c>
      <c r="Q2972" s="25"/>
      <c r="R2972" s="25"/>
      <c r="S2972" s="25"/>
      <c r="T2972" s="10"/>
    </row>
    <row r="2973" s="35" customFormat="1" ht="18.5" customHeight="1" spans="1:20">
      <c r="A2973" s="9"/>
      <c r="B2973" s="25"/>
      <c r="C2973" s="25"/>
      <c r="D2973" s="25"/>
      <c r="E2973" s="25"/>
      <c r="F2973" s="25"/>
      <c r="G2973" s="25"/>
      <c r="H2973" s="25"/>
      <c r="I2973" s="25"/>
      <c r="J2973" s="25"/>
      <c r="K2973" s="25"/>
      <c r="L2973" s="25"/>
      <c r="M2973" s="42" t="s">
        <v>253</v>
      </c>
      <c r="N2973" s="41">
        <v>45136</v>
      </c>
      <c r="O2973" s="25">
        <v>1629</v>
      </c>
      <c r="P2973" s="25">
        <v>0</v>
      </c>
      <c r="Q2973" s="25"/>
      <c r="R2973" s="25"/>
      <c r="S2973" s="25"/>
      <c r="T2973" s="10"/>
    </row>
    <row r="2974" s="35" customFormat="1" ht="18.5" customHeight="1" spans="1:20">
      <c r="A2974" s="9"/>
      <c r="B2974" s="25"/>
      <c r="C2974" s="25"/>
      <c r="D2974" s="25"/>
      <c r="E2974" s="25"/>
      <c r="F2974" s="25"/>
      <c r="G2974" s="25"/>
      <c r="H2974" s="25"/>
      <c r="I2974" s="25"/>
      <c r="J2974" s="25"/>
      <c r="K2974" s="25"/>
      <c r="L2974" s="25"/>
      <c r="M2974" s="42" t="s">
        <v>253</v>
      </c>
      <c r="N2974" s="41">
        <v>45134</v>
      </c>
      <c r="O2974" s="25">
        <v>288</v>
      </c>
      <c r="P2974" s="25">
        <v>0</v>
      </c>
      <c r="Q2974" s="25"/>
      <c r="R2974" s="25"/>
      <c r="S2974" s="25"/>
      <c r="T2974" s="10"/>
    </row>
    <row r="2975" s="35" customFormat="1" ht="18.5" customHeight="1" spans="1:20">
      <c r="A2975" s="9"/>
      <c r="B2975" s="25"/>
      <c r="C2975" s="25"/>
      <c r="D2975" s="25"/>
      <c r="E2975" s="25"/>
      <c r="F2975" s="25"/>
      <c r="G2975" s="25"/>
      <c r="H2975" s="25"/>
      <c r="I2975" s="25"/>
      <c r="J2975" s="25"/>
      <c r="K2975" s="25"/>
      <c r="L2975" s="25"/>
      <c r="M2975" s="42" t="s">
        <v>253</v>
      </c>
      <c r="N2975" s="41">
        <v>45134</v>
      </c>
      <c r="O2975" s="25">
        <v>239</v>
      </c>
      <c r="P2975" s="25">
        <v>0</v>
      </c>
      <c r="Q2975" s="25"/>
      <c r="R2975" s="25"/>
      <c r="S2975" s="25"/>
      <c r="T2975" s="10"/>
    </row>
    <row r="2976" s="35" customFormat="1" ht="18.5" customHeight="1" spans="1:20">
      <c r="A2976" s="9"/>
      <c r="B2976" s="25"/>
      <c r="C2976" s="25"/>
      <c r="D2976" s="25"/>
      <c r="E2976" s="25"/>
      <c r="F2976" s="25"/>
      <c r="G2976" s="25"/>
      <c r="H2976" s="25"/>
      <c r="I2976" s="25"/>
      <c r="J2976" s="25"/>
      <c r="K2976" s="25"/>
      <c r="L2976" s="25"/>
      <c r="M2976" s="42" t="s">
        <v>253</v>
      </c>
      <c r="N2976" s="41">
        <v>45133</v>
      </c>
      <c r="O2976" s="25">
        <v>218</v>
      </c>
      <c r="P2976" s="25">
        <v>0</v>
      </c>
      <c r="Q2976" s="25"/>
      <c r="R2976" s="25"/>
      <c r="S2976" s="25"/>
      <c r="T2976" s="10"/>
    </row>
    <row r="2977" s="35" customFormat="1" ht="18.5" customHeight="1" spans="1:20">
      <c r="A2977" s="9"/>
      <c r="B2977" s="25"/>
      <c r="C2977" s="25"/>
      <c r="D2977" s="25"/>
      <c r="E2977" s="25"/>
      <c r="F2977" s="25"/>
      <c r="G2977" s="25"/>
      <c r="H2977" s="25"/>
      <c r="I2977" s="25"/>
      <c r="J2977" s="25"/>
      <c r="K2977" s="25"/>
      <c r="L2977" s="25"/>
      <c r="M2977" s="42" t="s">
        <v>253</v>
      </c>
      <c r="N2977" s="41">
        <v>45132</v>
      </c>
      <c r="O2977" s="25">
        <v>196</v>
      </c>
      <c r="P2977" s="25">
        <v>0</v>
      </c>
      <c r="Q2977" s="25"/>
      <c r="R2977" s="25"/>
      <c r="S2977" s="25"/>
      <c r="T2977" s="10"/>
    </row>
    <row r="2978" s="35" customFormat="1" ht="18.5" customHeight="1" spans="1:20">
      <c r="A2978" s="9"/>
      <c r="B2978" s="25"/>
      <c r="C2978" s="25"/>
      <c r="D2978" s="25"/>
      <c r="E2978" s="25"/>
      <c r="F2978" s="25"/>
      <c r="G2978" s="25"/>
      <c r="H2978" s="25"/>
      <c r="I2978" s="25"/>
      <c r="J2978" s="25"/>
      <c r="K2978" s="25"/>
      <c r="L2978" s="25"/>
      <c r="M2978" s="42" t="s">
        <v>253</v>
      </c>
      <c r="N2978" s="41">
        <v>45132</v>
      </c>
      <c r="O2978" s="25">
        <v>111</v>
      </c>
      <c r="P2978" s="25">
        <v>0</v>
      </c>
      <c r="Q2978" s="25"/>
      <c r="R2978" s="25"/>
      <c r="S2978" s="25"/>
      <c r="T2978" s="10"/>
    </row>
    <row r="2979" s="35" customFormat="1" ht="18.5" customHeight="1" spans="1:20">
      <c r="A2979" s="9"/>
      <c r="B2979" s="25"/>
      <c r="C2979" s="25"/>
      <c r="D2979" s="25"/>
      <c r="E2979" s="25"/>
      <c r="F2979" s="25"/>
      <c r="G2979" s="25"/>
      <c r="H2979" s="25"/>
      <c r="I2979" s="25"/>
      <c r="J2979" s="25"/>
      <c r="K2979" s="25"/>
      <c r="L2979" s="25"/>
      <c r="M2979" s="42" t="s">
        <v>253</v>
      </c>
      <c r="N2979" s="41">
        <v>45131</v>
      </c>
      <c r="O2979" s="25">
        <v>133</v>
      </c>
      <c r="P2979" s="25">
        <v>0</v>
      </c>
      <c r="Q2979" s="25"/>
      <c r="R2979" s="25"/>
      <c r="S2979" s="25"/>
      <c r="T2979" s="10"/>
    </row>
    <row r="2980" s="35" customFormat="1" ht="18.5" customHeight="1" spans="1:20">
      <c r="A2980" s="9"/>
      <c r="B2980" s="25"/>
      <c r="C2980" s="25"/>
      <c r="D2980" s="25"/>
      <c r="E2980" s="25"/>
      <c r="F2980" s="25"/>
      <c r="G2980" s="25"/>
      <c r="H2980" s="25"/>
      <c r="I2980" s="25"/>
      <c r="J2980" s="25"/>
      <c r="K2980" s="25"/>
      <c r="L2980" s="25"/>
      <c r="M2980" s="42" t="s">
        <v>253</v>
      </c>
      <c r="N2980" s="41">
        <v>45131</v>
      </c>
      <c r="O2980" s="25">
        <v>551</v>
      </c>
      <c r="P2980" s="25">
        <v>0</v>
      </c>
      <c r="Q2980" s="25"/>
      <c r="R2980" s="25"/>
      <c r="S2980" s="25"/>
      <c r="T2980" s="10"/>
    </row>
    <row r="2981" s="35" customFormat="1" ht="18.5" customHeight="1" spans="1:20">
      <c r="A2981" s="9"/>
      <c r="B2981" s="25"/>
      <c r="C2981" s="25"/>
      <c r="D2981" s="25"/>
      <c r="E2981" s="25"/>
      <c r="F2981" s="25"/>
      <c r="G2981" s="25"/>
      <c r="H2981" s="25"/>
      <c r="I2981" s="25"/>
      <c r="J2981" s="25"/>
      <c r="K2981" s="25"/>
      <c r="L2981" s="25"/>
      <c r="M2981" s="42" t="s">
        <v>253</v>
      </c>
      <c r="N2981" s="41">
        <v>45130</v>
      </c>
      <c r="O2981" s="25">
        <v>180</v>
      </c>
      <c r="P2981" s="25">
        <v>0</v>
      </c>
      <c r="Q2981" s="25"/>
      <c r="R2981" s="25"/>
      <c r="S2981" s="25"/>
      <c r="T2981" s="10"/>
    </row>
    <row r="2982" s="35" customFormat="1" ht="18.5" customHeight="1" spans="1:20">
      <c r="A2982" s="9"/>
      <c r="B2982" s="25"/>
      <c r="C2982" s="25"/>
      <c r="D2982" s="25"/>
      <c r="E2982" s="25"/>
      <c r="F2982" s="25"/>
      <c r="G2982" s="25"/>
      <c r="H2982" s="25"/>
      <c r="I2982" s="25"/>
      <c r="J2982" s="25"/>
      <c r="K2982" s="25"/>
      <c r="L2982" s="25"/>
      <c r="M2982" s="42" t="s">
        <v>253</v>
      </c>
      <c r="N2982" s="41">
        <v>45129</v>
      </c>
      <c r="O2982" s="25">
        <v>279</v>
      </c>
      <c r="P2982" s="25">
        <v>0</v>
      </c>
      <c r="Q2982" s="25"/>
      <c r="R2982" s="25"/>
      <c r="S2982" s="25"/>
      <c r="T2982" s="10"/>
    </row>
    <row r="2983" s="35" customFormat="1" ht="18.5" customHeight="1" spans="1:20">
      <c r="A2983" s="9"/>
      <c r="B2983" s="25"/>
      <c r="C2983" s="25"/>
      <c r="D2983" s="25"/>
      <c r="E2983" s="25"/>
      <c r="F2983" s="25"/>
      <c r="G2983" s="25"/>
      <c r="H2983" s="25"/>
      <c r="I2983" s="25"/>
      <c r="J2983" s="25"/>
      <c r="K2983" s="25"/>
      <c r="L2983" s="25"/>
      <c r="M2983" s="42" t="s">
        <v>253</v>
      </c>
      <c r="N2983" s="41">
        <v>45128</v>
      </c>
      <c r="O2983" s="25">
        <v>192</v>
      </c>
      <c r="P2983" s="25">
        <v>0</v>
      </c>
      <c r="Q2983" s="25"/>
      <c r="R2983" s="25"/>
      <c r="S2983" s="25"/>
      <c r="T2983" s="10"/>
    </row>
    <row r="2984" s="35" customFormat="1" ht="18.5" customHeight="1" spans="1:20">
      <c r="A2984" s="9"/>
      <c r="B2984" s="25"/>
      <c r="C2984" s="25"/>
      <c r="D2984" s="25"/>
      <c r="E2984" s="25"/>
      <c r="F2984" s="25"/>
      <c r="G2984" s="25"/>
      <c r="H2984" s="25"/>
      <c r="I2984" s="25"/>
      <c r="J2984" s="25"/>
      <c r="K2984" s="25"/>
      <c r="L2984" s="25"/>
      <c r="M2984" s="42" t="s">
        <v>253</v>
      </c>
      <c r="N2984" s="41">
        <v>45128</v>
      </c>
      <c r="O2984" s="25">
        <v>322</v>
      </c>
      <c r="P2984" s="25">
        <v>0</v>
      </c>
      <c r="Q2984" s="25"/>
      <c r="R2984" s="25"/>
      <c r="S2984" s="25"/>
      <c r="T2984" s="10"/>
    </row>
    <row r="2985" s="35" customFormat="1" ht="18.5" customHeight="1" spans="1:20">
      <c r="A2985" s="9"/>
      <c r="B2985" s="25"/>
      <c r="C2985" s="25"/>
      <c r="D2985" s="25"/>
      <c r="E2985" s="25"/>
      <c r="F2985" s="25"/>
      <c r="G2985" s="25"/>
      <c r="H2985" s="25"/>
      <c r="I2985" s="25"/>
      <c r="J2985" s="25"/>
      <c r="K2985" s="25"/>
      <c r="L2985" s="25"/>
      <c r="M2985" s="42" t="s">
        <v>253</v>
      </c>
      <c r="N2985" s="41">
        <v>45128</v>
      </c>
      <c r="O2985" s="25">
        <v>218</v>
      </c>
      <c r="P2985" s="25">
        <v>0</v>
      </c>
      <c r="Q2985" s="25"/>
      <c r="R2985" s="25"/>
      <c r="S2985" s="25"/>
      <c r="T2985" s="10"/>
    </row>
    <row r="2986" s="35" customFormat="1" ht="18.5" customHeight="1" spans="1:20">
      <c r="A2986" s="9"/>
      <c r="B2986" s="25"/>
      <c r="C2986" s="25"/>
      <c r="D2986" s="25"/>
      <c r="E2986" s="25"/>
      <c r="F2986" s="25"/>
      <c r="G2986" s="25"/>
      <c r="H2986" s="25"/>
      <c r="I2986" s="25"/>
      <c r="J2986" s="25"/>
      <c r="K2986" s="25"/>
      <c r="L2986" s="25"/>
      <c r="M2986" s="42" t="s">
        <v>253</v>
      </c>
      <c r="N2986" s="41">
        <v>45128</v>
      </c>
      <c r="O2986" s="25">
        <v>159</v>
      </c>
      <c r="P2986" s="25">
        <v>0</v>
      </c>
      <c r="Q2986" s="25"/>
      <c r="R2986" s="25"/>
      <c r="S2986" s="25"/>
      <c r="T2986" s="10"/>
    </row>
    <row r="2987" s="35" customFormat="1" ht="18.5" customHeight="1" spans="1:20">
      <c r="A2987" s="9"/>
      <c r="B2987" s="25"/>
      <c r="C2987" s="25"/>
      <c r="D2987" s="25"/>
      <c r="E2987" s="25"/>
      <c r="F2987" s="25"/>
      <c r="G2987" s="25"/>
      <c r="H2987" s="25"/>
      <c r="I2987" s="25"/>
      <c r="J2987" s="25"/>
      <c r="K2987" s="25"/>
      <c r="L2987" s="25"/>
      <c r="M2987" s="42" t="s">
        <v>253</v>
      </c>
      <c r="N2987" s="41">
        <v>45128</v>
      </c>
      <c r="O2987" s="25">
        <v>131</v>
      </c>
      <c r="P2987" s="25">
        <v>0</v>
      </c>
      <c r="Q2987" s="25"/>
      <c r="R2987" s="25"/>
      <c r="S2987" s="25"/>
      <c r="T2987" s="10"/>
    </row>
    <row r="2988" s="35" customFormat="1" ht="18.5" customHeight="1" spans="1:20">
      <c r="A2988" s="9"/>
      <c r="B2988" s="25"/>
      <c r="C2988" s="25"/>
      <c r="D2988" s="25"/>
      <c r="E2988" s="25"/>
      <c r="F2988" s="25"/>
      <c r="G2988" s="25"/>
      <c r="H2988" s="25"/>
      <c r="I2988" s="25"/>
      <c r="J2988" s="25"/>
      <c r="K2988" s="25"/>
      <c r="L2988" s="25"/>
      <c r="M2988" s="42" t="s">
        <v>253</v>
      </c>
      <c r="N2988" s="41">
        <v>45127</v>
      </c>
      <c r="O2988" s="25">
        <v>2002</v>
      </c>
      <c r="P2988" s="25">
        <v>0</v>
      </c>
      <c r="Q2988" s="25"/>
      <c r="R2988" s="25"/>
      <c r="S2988" s="25"/>
      <c r="T2988" s="10"/>
    </row>
    <row r="2989" s="35" customFormat="1" ht="18.5" customHeight="1" spans="1:20">
      <c r="A2989" s="9"/>
      <c r="B2989" s="25"/>
      <c r="C2989" s="25"/>
      <c r="D2989" s="25"/>
      <c r="E2989" s="25"/>
      <c r="F2989" s="25"/>
      <c r="G2989" s="25"/>
      <c r="H2989" s="25"/>
      <c r="I2989" s="25"/>
      <c r="J2989" s="25"/>
      <c r="K2989" s="25"/>
      <c r="L2989" s="25"/>
      <c r="M2989" s="42" t="s">
        <v>253</v>
      </c>
      <c r="N2989" s="41">
        <v>45126</v>
      </c>
      <c r="O2989" s="25">
        <v>204</v>
      </c>
      <c r="P2989" s="25">
        <v>0</v>
      </c>
      <c r="Q2989" s="25"/>
      <c r="R2989" s="25"/>
      <c r="S2989" s="25"/>
      <c r="T2989" s="10"/>
    </row>
    <row r="2990" s="35" customFormat="1" ht="18.5" customHeight="1" spans="1:20">
      <c r="A2990" s="9"/>
      <c r="B2990" s="25"/>
      <c r="C2990" s="25"/>
      <c r="D2990" s="25"/>
      <c r="E2990" s="25"/>
      <c r="F2990" s="25"/>
      <c r="G2990" s="25"/>
      <c r="H2990" s="25"/>
      <c r="I2990" s="25"/>
      <c r="J2990" s="25"/>
      <c r="K2990" s="25"/>
      <c r="L2990" s="25"/>
      <c r="M2990" s="42" t="s">
        <v>253</v>
      </c>
      <c r="N2990" s="41">
        <v>45124</v>
      </c>
      <c r="O2990" s="25">
        <v>474</v>
      </c>
      <c r="P2990" s="25">
        <v>0</v>
      </c>
      <c r="Q2990" s="25"/>
      <c r="R2990" s="25"/>
      <c r="S2990" s="25"/>
      <c r="T2990" s="10"/>
    </row>
    <row r="2991" s="35" customFormat="1" ht="18.5" customHeight="1" spans="1:20">
      <c r="A2991" s="9"/>
      <c r="B2991" s="25"/>
      <c r="C2991" s="25"/>
      <c r="D2991" s="25"/>
      <c r="E2991" s="25"/>
      <c r="F2991" s="25"/>
      <c r="G2991" s="25"/>
      <c r="H2991" s="25"/>
      <c r="I2991" s="25"/>
      <c r="J2991" s="25"/>
      <c r="K2991" s="25"/>
      <c r="L2991" s="25"/>
      <c r="M2991" s="42" t="s">
        <v>253</v>
      </c>
      <c r="N2991" s="41">
        <v>45125</v>
      </c>
      <c r="O2991" s="25">
        <v>136</v>
      </c>
      <c r="P2991" s="25">
        <v>0</v>
      </c>
      <c r="Q2991" s="25"/>
      <c r="R2991" s="25"/>
      <c r="S2991" s="25"/>
      <c r="T2991" s="10"/>
    </row>
    <row r="2992" s="35" customFormat="1" ht="18.5" customHeight="1" spans="1:20">
      <c r="A2992" s="9"/>
      <c r="B2992" s="25"/>
      <c r="C2992" s="25"/>
      <c r="D2992" s="25"/>
      <c r="E2992" s="25"/>
      <c r="F2992" s="25"/>
      <c r="G2992" s="25"/>
      <c r="H2992" s="25"/>
      <c r="I2992" s="25"/>
      <c r="J2992" s="25"/>
      <c r="K2992" s="25"/>
      <c r="L2992" s="25"/>
      <c r="M2992" s="42" t="s">
        <v>253</v>
      </c>
      <c r="N2992" s="41">
        <v>45125</v>
      </c>
      <c r="O2992" s="25">
        <v>129</v>
      </c>
      <c r="P2992" s="25">
        <v>0</v>
      </c>
      <c r="Q2992" s="25"/>
      <c r="R2992" s="25"/>
      <c r="S2992" s="25"/>
      <c r="T2992" s="10"/>
    </row>
    <row r="2993" s="35" customFormat="1" ht="18.5" customHeight="1" spans="1:20">
      <c r="A2993" s="9"/>
      <c r="B2993" s="25"/>
      <c r="C2993" s="25"/>
      <c r="D2993" s="25"/>
      <c r="E2993" s="25"/>
      <c r="F2993" s="25"/>
      <c r="G2993" s="25"/>
      <c r="H2993" s="25"/>
      <c r="I2993" s="25"/>
      <c r="J2993" s="25"/>
      <c r="K2993" s="25"/>
      <c r="L2993" s="25"/>
      <c r="M2993" s="42" t="s">
        <v>253</v>
      </c>
      <c r="N2993" s="41">
        <v>45124</v>
      </c>
      <c r="O2993" s="25">
        <v>310</v>
      </c>
      <c r="P2993" s="25">
        <v>0</v>
      </c>
      <c r="Q2993" s="25"/>
      <c r="R2993" s="25"/>
      <c r="S2993" s="25"/>
      <c r="T2993" s="10"/>
    </row>
    <row r="2994" s="35" customFormat="1" ht="18.5" customHeight="1" spans="1:20">
      <c r="A2994" s="9"/>
      <c r="B2994" s="25"/>
      <c r="C2994" s="25"/>
      <c r="D2994" s="25"/>
      <c r="E2994" s="25"/>
      <c r="F2994" s="25"/>
      <c r="G2994" s="25"/>
      <c r="H2994" s="25"/>
      <c r="I2994" s="25"/>
      <c r="J2994" s="25"/>
      <c r="K2994" s="25"/>
      <c r="L2994" s="25"/>
      <c r="M2994" s="42" t="s">
        <v>253</v>
      </c>
      <c r="N2994" s="41">
        <v>45124</v>
      </c>
      <c r="O2994" s="25">
        <v>2115</v>
      </c>
      <c r="P2994" s="25">
        <v>0</v>
      </c>
      <c r="Q2994" s="25"/>
      <c r="R2994" s="25"/>
      <c r="S2994" s="25"/>
      <c r="T2994" s="10"/>
    </row>
    <row r="2995" s="35" customFormat="1" ht="18.5" customHeight="1" spans="1:20">
      <c r="A2995" s="9"/>
      <c r="B2995" s="25"/>
      <c r="C2995" s="25"/>
      <c r="D2995" s="25"/>
      <c r="E2995" s="25"/>
      <c r="F2995" s="25"/>
      <c r="G2995" s="25"/>
      <c r="H2995" s="25"/>
      <c r="I2995" s="25"/>
      <c r="J2995" s="25"/>
      <c r="K2995" s="25"/>
      <c r="L2995" s="25"/>
      <c r="M2995" s="42" t="s">
        <v>253</v>
      </c>
      <c r="N2995" s="41">
        <v>45123</v>
      </c>
      <c r="O2995" s="25">
        <v>261</v>
      </c>
      <c r="P2995" s="25">
        <v>0</v>
      </c>
      <c r="Q2995" s="25"/>
      <c r="R2995" s="25"/>
      <c r="S2995" s="25"/>
      <c r="T2995" s="10"/>
    </row>
    <row r="2996" s="35" customFormat="1" ht="18.5" customHeight="1" spans="1:20">
      <c r="A2996" s="9"/>
      <c r="B2996" s="25"/>
      <c r="C2996" s="25"/>
      <c r="D2996" s="25"/>
      <c r="E2996" s="25"/>
      <c r="F2996" s="25"/>
      <c r="G2996" s="25"/>
      <c r="H2996" s="25"/>
      <c r="I2996" s="25"/>
      <c r="J2996" s="25"/>
      <c r="K2996" s="25"/>
      <c r="L2996" s="25"/>
      <c r="M2996" s="42" t="s">
        <v>253</v>
      </c>
      <c r="N2996" s="41">
        <v>45123</v>
      </c>
      <c r="O2996" s="25">
        <v>263</v>
      </c>
      <c r="P2996" s="25">
        <v>0</v>
      </c>
      <c r="Q2996" s="25"/>
      <c r="R2996" s="25"/>
      <c r="S2996" s="25"/>
      <c r="T2996" s="10"/>
    </row>
    <row r="2997" s="35" customFormat="1" ht="18.5" customHeight="1" spans="1:20">
      <c r="A2997" s="9"/>
      <c r="B2997" s="25"/>
      <c r="C2997" s="25"/>
      <c r="D2997" s="25"/>
      <c r="E2997" s="25"/>
      <c r="F2997" s="25"/>
      <c r="G2997" s="25"/>
      <c r="H2997" s="25"/>
      <c r="I2997" s="25"/>
      <c r="J2997" s="25"/>
      <c r="K2997" s="25"/>
      <c r="L2997" s="25"/>
      <c r="M2997" s="42" t="s">
        <v>253</v>
      </c>
      <c r="N2997" s="41">
        <v>45121</v>
      </c>
      <c r="O2997" s="25">
        <v>281</v>
      </c>
      <c r="P2997" s="25">
        <v>0</v>
      </c>
      <c r="Q2997" s="25"/>
      <c r="R2997" s="25"/>
      <c r="S2997" s="25"/>
      <c r="T2997" s="10"/>
    </row>
    <row r="2998" s="35" customFormat="1" ht="18.5" customHeight="1" spans="1:20">
      <c r="A2998" s="9"/>
      <c r="B2998" s="25"/>
      <c r="C2998" s="25"/>
      <c r="D2998" s="25"/>
      <c r="E2998" s="25"/>
      <c r="F2998" s="25"/>
      <c r="G2998" s="25"/>
      <c r="H2998" s="25"/>
      <c r="I2998" s="25"/>
      <c r="J2998" s="25"/>
      <c r="K2998" s="25"/>
      <c r="L2998" s="25"/>
      <c r="M2998" s="42" t="s">
        <v>253</v>
      </c>
      <c r="N2998" s="41">
        <v>45120</v>
      </c>
      <c r="O2998" s="25">
        <v>388</v>
      </c>
      <c r="P2998" s="25">
        <v>0</v>
      </c>
      <c r="Q2998" s="25"/>
      <c r="R2998" s="25"/>
      <c r="S2998" s="25"/>
      <c r="T2998" s="10"/>
    </row>
    <row r="2999" s="35" customFormat="1" ht="18.5" customHeight="1" spans="1:20">
      <c r="A2999" s="9"/>
      <c r="B2999" s="25"/>
      <c r="C2999" s="25"/>
      <c r="D2999" s="25"/>
      <c r="E2999" s="25"/>
      <c r="F2999" s="25"/>
      <c r="G2999" s="25"/>
      <c r="H2999" s="25"/>
      <c r="I2999" s="25"/>
      <c r="J2999" s="25"/>
      <c r="K2999" s="25"/>
      <c r="L2999" s="25"/>
      <c r="M2999" s="42" t="s">
        <v>253</v>
      </c>
      <c r="N2999" s="41">
        <v>45120</v>
      </c>
      <c r="O2999" s="25">
        <v>179</v>
      </c>
      <c r="P2999" s="25">
        <v>0</v>
      </c>
      <c r="Q2999" s="25"/>
      <c r="R2999" s="25"/>
      <c r="S2999" s="25"/>
      <c r="T2999" s="10"/>
    </row>
    <row r="3000" s="35" customFormat="1" ht="18.5" customHeight="1" spans="1:20">
      <c r="A3000" s="9"/>
      <c r="B3000" s="25"/>
      <c r="C3000" s="25"/>
      <c r="D3000" s="25"/>
      <c r="E3000" s="25"/>
      <c r="F3000" s="25"/>
      <c r="G3000" s="25"/>
      <c r="H3000" s="25"/>
      <c r="I3000" s="25"/>
      <c r="J3000" s="25"/>
      <c r="K3000" s="25"/>
      <c r="L3000" s="25"/>
      <c r="M3000" s="42" t="s">
        <v>253</v>
      </c>
      <c r="N3000" s="41">
        <v>45120</v>
      </c>
      <c r="O3000" s="25">
        <v>207</v>
      </c>
      <c r="P3000" s="25">
        <v>0</v>
      </c>
      <c r="Q3000" s="25"/>
      <c r="R3000" s="25"/>
      <c r="S3000" s="25"/>
      <c r="T3000" s="10"/>
    </row>
    <row r="3001" s="35" customFormat="1" ht="18.5" customHeight="1" spans="1:20">
      <c r="A3001" s="9"/>
      <c r="B3001" s="25"/>
      <c r="C3001" s="25"/>
      <c r="D3001" s="25"/>
      <c r="E3001" s="25"/>
      <c r="F3001" s="25"/>
      <c r="G3001" s="25"/>
      <c r="H3001" s="25"/>
      <c r="I3001" s="25"/>
      <c r="J3001" s="25"/>
      <c r="K3001" s="25"/>
      <c r="L3001" s="25"/>
      <c r="M3001" s="42" t="s">
        <v>253</v>
      </c>
      <c r="N3001" s="41">
        <v>45119</v>
      </c>
      <c r="O3001" s="25">
        <v>195</v>
      </c>
      <c r="P3001" s="25">
        <v>0</v>
      </c>
      <c r="Q3001" s="25"/>
      <c r="R3001" s="25"/>
      <c r="S3001" s="25"/>
      <c r="T3001" s="10"/>
    </row>
    <row r="3002" s="35" customFormat="1" ht="18.5" customHeight="1" spans="1:20">
      <c r="A3002" s="9"/>
      <c r="B3002" s="25"/>
      <c r="C3002" s="25"/>
      <c r="D3002" s="25"/>
      <c r="E3002" s="25"/>
      <c r="F3002" s="25"/>
      <c r="G3002" s="25"/>
      <c r="H3002" s="25"/>
      <c r="I3002" s="25"/>
      <c r="J3002" s="25"/>
      <c r="K3002" s="25"/>
      <c r="L3002" s="25"/>
      <c r="M3002" s="42" t="s">
        <v>253</v>
      </c>
      <c r="N3002" s="41">
        <v>45118</v>
      </c>
      <c r="O3002" s="25">
        <v>157</v>
      </c>
      <c r="P3002" s="25">
        <v>0</v>
      </c>
      <c r="Q3002" s="25"/>
      <c r="R3002" s="25"/>
      <c r="S3002" s="25"/>
      <c r="T3002" s="10"/>
    </row>
    <row r="3003" s="35" customFormat="1" ht="18.5" customHeight="1" spans="1:20">
      <c r="A3003" s="9"/>
      <c r="B3003" s="25"/>
      <c r="C3003" s="25"/>
      <c r="D3003" s="25"/>
      <c r="E3003" s="25"/>
      <c r="F3003" s="25"/>
      <c r="G3003" s="25"/>
      <c r="H3003" s="25"/>
      <c r="I3003" s="25"/>
      <c r="J3003" s="25"/>
      <c r="K3003" s="25"/>
      <c r="L3003" s="25"/>
      <c r="M3003" s="42" t="s">
        <v>253</v>
      </c>
      <c r="N3003" s="41">
        <v>45118</v>
      </c>
      <c r="O3003" s="25">
        <v>200</v>
      </c>
      <c r="P3003" s="25">
        <v>0</v>
      </c>
      <c r="Q3003" s="25"/>
      <c r="R3003" s="25"/>
      <c r="S3003" s="25"/>
      <c r="T3003" s="10"/>
    </row>
    <row r="3004" s="35" customFormat="1" ht="18.5" customHeight="1" spans="1:20">
      <c r="A3004" s="9"/>
      <c r="B3004" s="25"/>
      <c r="C3004" s="25"/>
      <c r="D3004" s="25"/>
      <c r="E3004" s="25"/>
      <c r="F3004" s="25"/>
      <c r="G3004" s="25"/>
      <c r="H3004" s="25"/>
      <c r="I3004" s="25"/>
      <c r="J3004" s="25"/>
      <c r="K3004" s="25"/>
      <c r="L3004" s="25"/>
      <c r="M3004" s="42" t="s">
        <v>253</v>
      </c>
      <c r="N3004" s="41">
        <v>45118</v>
      </c>
      <c r="O3004" s="25">
        <v>251</v>
      </c>
      <c r="P3004" s="25">
        <v>0</v>
      </c>
      <c r="Q3004" s="25"/>
      <c r="R3004" s="25"/>
      <c r="S3004" s="25"/>
      <c r="T3004" s="10"/>
    </row>
    <row r="3005" s="35" customFormat="1" ht="18.5" customHeight="1" spans="1:20">
      <c r="A3005" s="9"/>
      <c r="B3005" s="25"/>
      <c r="C3005" s="25"/>
      <c r="D3005" s="25"/>
      <c r="E3005" s="25"/>
      <c r="F3005" s="25"/>
      <c r="G3005" s="25"/>
      <c r="H3005" s="25"/>
      <c r="I3005" s="25"/>
      <c r="J3005" s="25"/>
      <c r="K3005" s="25"/>
      <c r="L3005" s="25"/>
      <c r="M3005" s="42" t="s">
        <v>253</v>
      </c>
      <c r="N3005" s="41">
        <v>45118</v>
      </c>
      <c r="O3005" s="25">
        <v>202</v>
      </c>
      <c r="P3005" s="25">
        <v>0</v>
      </c>
      <c r="Q3005" s="25"/>
      <c r="R3005" s="25"/>
      <c r="S3005" s="25"/>
      <c r="T3005" s="10"/>
    </row>
    <row r="3006" s="35" customFormat="1" ht="18.5" customHeight="1" spans="1:20">
      <c r="A3006" s="9"/>
      <c r="B3006" s="25"/>
      <c r="C3006" s="25"/>
      <c r="D3006" s="25"/>
      <c r="E3006" s="25"/>
      <c r="F3006" s="25"/>
      <c r="G3006" s="25"/>
      <c r="H3006" s="25"/>
      <c r="I3006" s="25"/>
      <c r="J3006" s="25"/>
      <c r="K3006" s="25"/>
      <c r="L3006" s="25"/>
      <c r="M3006" s="42" t="s">
        <v>253</v>
      </c>
      <c r="N3006" s="41">
        <v>45118</v>
      </c>
      <c r="O3006" s="25">
        <v>202</v>
      </c>
      <c r="P3006" s="25">
        <v>0</v>
      </c>
      <c r="Q3006" s="25"/>
      <c r="R3006" s="25"/>
      <c r="S3006" s="25"/>
      <c r="T3006" s="10"/>
    </row>
    <row r="3007" s="35" customFormat="1" ht="18.5" customHeight="1" spans="1:20">
      <c r="A3007" s="9"/>
      <c r="B3007" s="25"/>
      <c r="C3007" s="25"/>
      <c r="D3007" s="25"/>
      <c r="E3007" s="25"/>
      <c r="F3007" s="25"/>
      <c r="G3007" s="25"/>
      <c r="H3007" s="25"/>
      <c r="I3007" s="25"/>
      <c r="J3007" s="25"/>
      <c r="K3007" s="25"/>
      <c r="L3007" s="25"/>
      <c r="M3007" s="42" t="s">
        <v>253</v>
      </c>
      <c r="N3007" s="41">
        <v>45118</v>
      </c>
      <c r="O3007" s="25">
        <v>256</v>
      </c>
      <c r="P3007" s="25">
        <v>0</v>
      </c>
      <c r="Q3007" s="25"/>
      <c r="R3007" s="25"/>
      <c r="S3007" s="25"/>
      <c r="T3007" s="10"/>
    </row>
    <row r="3008" s="35" customFormat="1" ht="18.5" customHeight="1" spans="1:20">
      <c r="A3008" s="9"/>
      <c r="B3008" s="25"/>
      <c r="C3008" s="25"/>
      <c r="D3008" s="25"/>
      <c r="E3008" s="25"/>
      <c r="F3008" s="25"/>
      <c r="G3008" s="25"/>
      <c r="H3008" s="25"/>
      <c r="I3008" s="25"/>
      <c r="J3008" s="25"/>
      <c r="K3008" s="25"/>
      <c r="L3008" s="25"/>
      <c r="M3008" s="42" t="s">
        <v>253</v>
      </c>
      <c r="N3008" s="41">
        <v>45118</v>
      </c>
      <c r="O3008" s="25">
        <v>139</v>
      </c>
      <c r="P3008" s="25">
        <v>0</v>
      </c>
      <c r="Q3008" s="25"/>
      <c r="R3008" s="25"/>
      <c r="S3008" s="25"/>
      <c r="T3008" s="10"/>
    </row>
    <row r="3009" s="35" customFormat="1" ht="18.5" customHeight="1" spans="1:20">
      <c r="A3009" s="9"/>
      <c r="B3009" s="25"/>
      <c r="C3009" s="25"/>
      <c r="D3009" s="25"/>
      <c r="E3009" s="25"/>
      <c r="F3009" s="25"/>
      <c r="G3009" s="25"/>
      <c r="H3009" s="25"/>
      <c r="I3009" s="25"/>
      <c r="J3009" s="25"/>
      <c r="K3009" s="25"/>
      <c r="L3009" s="25"/>
      <c r="M3009" s="42" t="s">
        <v>253</v>
      </c>
      <c r="N3009" s="41">
        <v>45118</v>
      </c>
      <c r="O3009" s="25">
        <v>223</v>
      </c>
      <c r="P3009" s="25">
        <v>0</v>
      </c>
      <c r="Q3009" s="25"/>
      <c r="R3009" s="25"/>
      <c r="S3009" s="25"/>
      <c r="T3009" s="10"/>
    </row>
    <row r="3010" s="35" customFormat="1" ht="18.5" customHeight="1" spans="1:20">
      <c r="A3010" s="9"/>
      <c r="B3010" s="25"/>
      <c r="C3010" s="25"/>
      <c r="D3010" s="25"/>
      <c r="E3010" s="25"/>
      <c r="F3010" s="25"/>
      <c r="G3010" s="25"/>
      <c r="H3010" s="25"/>
      <c r="I3010" s="25"/>
      <c r="J3010" s="25"/>
      <c r="K3010" s="25"/>
      <c r="L3010" s="25"/>
      <c r="M3010" s="42" t="s">
        <v>253</v>
      </c>
      <c r="N3010" s="41">
        <v>45118</v>
      </c>
      <c r="O3010" s="25">
        <v>153</v>
      </c>
      <c r="P3010" s="25">
        <v>0</v>
      </c>
      <c r="Q3010" s="25"/>
      <c r="R3010" s="25"/>
      <c r="S3010" s="25"/>
      <c r="T3010" s="10"/>
    </row>
    <row r="3011" s="35" customFormat="1" ht="18.5" customHeight="1" spans="1:20">
      <c r="A3011" s="9"/>
      <c r="B3011" s="25"/>
      <c r="C3011" s="25"/>
      <c r="D3011" s="25"/>
      <c r="E3011" s="25"/>
      <c r="F3011" s="25"/>
      <c r="G3011" s="25"/>
      <c r="H3011" s="25"/>
      <c r="I3011" s="25"/>
      <c r="J3011" s="25"/>
      <c r="K3011" s="25"/>
      <c r="L3011" s="25"/>
      <c r="M3011" s="42" t="s">
        <v>253</v>
      </c>
      <c r="N3011" s="41">
        <v>45117</v>
      </c>
      <c r="O3011" s="25">
        <v>247</v>
      </c>
      <c r="P3011" s="25">
        <v>0</v>
      </c>
      <c r="Q3011" s="25"/>
      <c r="R3011" s="25"/>
      <c r="S3011" s="25"/>
      <c r="T3011" s="10"/>
    </row>
    <row r="3012" s="35" customFormat="1" ht="18.5" customHeight="1" spans="1:20">
      <c r="A3012" s="9"/>
      <c r="B3012" s="25"/>
      <c r="C3012" s="25"/>
      <c r="D3012" s="25"/>
      <c r="E3012" s="25"/>
      <c r="F3012" s="25"/>
      <c r="G3012" s="25"/>
      <c r="H3012" s="25"/>
      <c r="I3012" s="25"/>
      <c r="J3012" s="25"/>
      <c r="K3012" s="25"/>
      <c r="L3012" s="25"/>
      <c r="M3012" s="42" t="s">
        <v>253</v>
      </c>
      <c r="N3012" s="41">
        <v>45117</v>
      </c>
      <c r="O3012" s="25">
        <v>82</v>
      </c>
      <c r="P3012" s="25">
        <v>0</v>
      </c>
      <c r="Q3012" s="25"/>
      <c r="R3012" s="25"/>
      <c r="S3012" s="25"/>
      <c r="T3012" s="10"/>
    </row>
    <row r="3013" s="35" customFormat="1" ht="18.5" customHeight="1" spans="1:20">
      <c r="A3013" s="9"/>
      <c r="B3013" s="25"/>
      <c r="C3013" s="25"/>
      <c r="D3013" s="25"/>
      <c r="E3013" s="25"/>
      <c r="F3013" s="25"/>
      <c r="G3013" s="25"/>
      <c r="H3013" s="25"/>
      <c r="I3013" s="25"/>
      <c r="J3013" s="25"/>
      <c r="K3013" s="25"/>
      <c r="L3013" s="25"/>
      <c r="M3013" s="42" t="s">
        <v>253</v>
      </c>
      <c r="N3013" s="41">
        <v>45117</v>
      </c>
      <c r="O3013" s="25">
        <v>212</v>
      </c>
      <c r="P3013" s="25">
        <v>0</v>
      </c>
      <c r="Q3013" s="25"/>
      <c r="R3013" s="25"/>
      <c r="S3013" s="25"/>
      <c r="T3013" s="10"/>
    </row>
    <row r="3014" s="35" customFormat="1" ht="18.5" customHeight="1" spans="1:20">
      <c r="A3014" s="9"/>
      <c r="B3014" s="25"/>
      <c r="C3014" s="25"/>
      <c r="D3014" s="25"/>
      <c r="E3014" s="25"/>
      <c r="F3014" s="25"/>
      <c r="G3014" s="25"/>
      <c r="H3014" s="25"/>
      <c r="I3014" s="25"/>
      <c r="J3014" s="25"/>
      <c r="K3014" s="25"/>
      <c r="L3014" s="25"/>
      <c r="M3014" s="42" t="s">
        <v>253</v>
      </c>
      <c r="N3014" s="41">
        <v>45117</v>
      </c>
      <c r="O3014" s="25">
        <v>1003</v>
      </c>
      <c r="P3014" s="25">
        <v>0</v>
      </c>
      <c r="Q3014" s="25"/>
      <c r="R3014" s="25"/>
      <c r="S3014" s="25"/>
      <c r="T3014" s="10"/>
    </row>
    <row r="3015" s="35" customFormat="1" ht="18.5" customHeight="1" spans="1:20">
      <c r="A3015" s="9"/>
      <c r="B3015" s="25"/>
      <c r="C3015" s="25"/>
      <c r="D3015" s="25"/>
      <c r="E3015" s="25"/>
      <c r="F3015" s="25"/>
      <c r="G3015" s="25"/>
      <c r="H3015" s="25"/>
      <c r="I3015" s="25"/>
      <c r="J3015" s="25"/>
      <c r="K3015" s="25"/>
      <c r="L3015" s="25"/>
      <c r="M3015" s="42" t="s">
        <v>253</v>
      </c>
      <c r="N3015" s="41">
        <v>45116</v>
      </c>
      <c r="O3015" s="25">
        <v>128</v>
      </c>
      <c r="P3015" s="25">
        <v>0</v>
      </c>
      <c r="Q3015" s="25"/>
      <c r="R3015" s="25"/>
      <c r="S3015" s="25"/>
      <c r="T3015" s="10"/>
    </row>
    <row r="3016" s="35" customFormat="1" ht="18.5" customHeight="1" spans="1:20">
      <c r="A3016" s="9"/>
      <c r="B3016" s="25"/>
      <c r="C3016" s="25"/>
      <c r="D3016" s="25"/>
      <c r="E3016" s="25"/>
      <c r="F3016" s="25"/>
      <c r="G3016" s="25"/>
      <c r="H3016" s="25"/>
      <c r="I3016" s="25"/>
      <c r="J3016" s="25"/>
      <c r="K3016" s="25"/>
      <c r="L3016" s="25"/>
      <c r="M3016" s="42" t="s">
        <v>253</v>
      </c>
      <c r="N3016" s="41">
        <v>45116</v>
      </c>
      <c r="O3016" s="25">
        <v>109</v>
      </c>
      <c r="P3016" s="25">
        <v>0</v>
      </c>
      <c r="Q3016" s="25"/>
      <c r="R3016" s="25"/>
      <c r="S3016" s="25"/>
      <c r="T3016" s="10"/>
    </row>
    <row r="3017" s="35" customFormat="1" ht="18.5" customHeight="1" spans="1:20">
      <c r="A3017" s="9"/>
      <c r="B3017" s="25"/>
      <c r="C3017" s="25"/>
      <c r="D3017" s="25"/>
      <c r="E3017" s="25"/>
      <c r="F3017" s="25"/>
      <c r="G3017" s="25"/>
      <c r="H3017" s="25"/>
      <c r="I3017" s="25"/>
      <c r="J3017" s="25"/>
      <c r="K3017" s="25"/>
      <c r="L3017" s="25"/>
      <c r="M3017" s="42" t="s">
        <v>253</v>
      </c>
      <c r="N3017" s="41">
        <v>45115</v>
      </c>
      <c r="O3017" s="25">
        <v>227</v>
      </c>
      <c r="P3017" s="25">
        <v>0</v>
      </c>
      <c r="Q3017" s="25"/>
      <c r="R3017" s="25"/>
      <c r="S3017" s="25"/>
      <c r="T3017" s="10"/>
    </row>
    <row r="3018" s="35" customFormat="1" ht="18.5" customHeight="1" spans="1:20">
      <c r="A3018" s="9"/>
      <c r="B3018" s="25"/>
      <c r="C3018" s="25"/>
      <c r="D3018" s="25"/>
      <c r="E3018" s="25"/>
      <c r="F3018" s="25"/>
      <c r="G3018" s="25"/>
      <c r="H3018" s="25"/>
      <c r="I3018" s="25"/>
      <c r="J3018" s="25"/>
      <c r="K3018" s="25"/>
      <c r="L3018" s="25"/>
      <c r="M3018" s="42" t="s">
        <v>253</v>
      </c>
      <c r="N3018" s="41">
        <v>45114</v>
      </c>
      <c r="O3018" s="25">
        <v>2682</v>
      </c>
      <c r="P3018" s="25">
        <v>0</v>
      </c>
      <c r="Q3018" s="25"/>
      <c r="R3018" s="25"/>
      <c r="S3018" s="25"/>
      <c r="T3018" s="10"/>
    </row>
    <row r="3019" s="35" customFormat="1" ht="18.5" customHeight="1" spans="1:20">
      <c r="A3019" s="9"/>
      <c r="B3019" s="25"/>
      <c r="C3019" s="25"/>
      <c r="D3019" s="25"/>
      <c r="E3019" s="25"/>
      <c r="F3019" s="25"/>
      <c r="G3019" s="25"/>
      <c r="H3019" s="25"/>
      <c r="I3019" s="25"/>
      <c r="J3019" s="25"/>
      <c r="K3019" s="25"/>
      <c r="L3019" s="25"/>
      <c r="M3019" s="42" t="s">
        <v>253</v>
      </c>
      <c r="N3019" s="41">
        <v>45114</v>
      </c>
      <c r="O3019" s="25">
        <v>182</v>
      </c>
      <c r="P3019" s="25">
        <v>0</v>
      </c>
      <c r="Q3019" s="25"/>
      <c r="R3019" s="25"/>
      <c r="S3019" s="25"/>
      <c r="T3019" s="10"/>
    </row>
    <row r="3020" s="35" customFormat="1" ht="18.5" customHeight="1" spans="1:20">
      <c r="A3020" s="9"/>
      <c r="B3020" s="25"/>
      <c r="C3020" s="25"/>
      <c r="D3020" s="25"/>
      <c r="E3020" s="25"/>
      <c r="F3020" s="25"/>
      <c r="G3020" s="25"/>
      <c r="H3020" s="25"/>
      <c r="I3020" s="25"/>
      <c r="J3020" s="25"/>
      <c r="K3020" s="25"/>
      <c r="L3020" s="25"/>
      <c r="M3020" s="42" t="s">
        <v>253</v>
      </c>
      <c r="N3020" s="41">
        <v>45114</v>
      </c>
      <c r="O3020" s="25">
        <v>139</v>
      </c>
      <c r="P3020" s="25">
        <v>0</v>
      </c>
      <c r="Q3020" s="25"/>
      <c r="R3020" s="25"/>
      <c r="S3020" s="25"/>
      <c r="T3020" s="10"/>
    </row>
    <row r="3021" s="35" customFormat="1" ht="18.5" customHeight="1" spans="1:20">
      <c r="A3021" s="9"/>
      <c r="B3021" s="25"/>
      <c r="C3021" s="25"/>
      <c r="D3021" s="25"/>
      <c r="E3021" s="25"/>
      <c r="F3021" s="25"/>
      <c r="G3021" s="25"/>
      <c r="H3021" s="25"/>
      <c r="I3021" s="25"/>
      <c r="J3021" s="25"/>
      <c r="K3021" s="25"/>
      <c r="L3021" s="25"/>
      <c r="M3021" s="42" t="s">
        <v>253</v>
      </c>
      <c r="N3021" s="41">
        <v>45113</v>
      </c>
      <c r="O3021" s="25">
        <v>167</v>
      </c>
      <c r="P3021" s="25">
        <v>0</v>
      </c>
      <c r="Q3021" s="25"/>
      <c r="R3021" s="25"/>
      <c r="S3021" s="25"/>
      <c r="T3021" s="10"/>
    </row>
    <row r="3022" s="35" customFormat="1" ht="18.5" customHeight="1" spans="1:20">
      <c r="A3022" s="9"/>
      <c r="B3022" s="25"/>
      <c r="C3022" s="25"/>
      <c r="D3022" s="25"/>
      <c r="E3022" s="25"/>
      <c r="F3022" s="25"/>
      <c r="G3022" s="25"/>
      <c r="H3022" s="25"/>
      <c r="I3022" s="25"/>
      <c r="J3022" s="25"/>
      <c r="K3022" s="25"/>
      <c r="L3022" s="25"/>
      <c r="M3022" s="42" t="s">
        <v>253</v>
      </c>
      <c r="N3022" s="41">
        <v>45113</v>
      </c>
      <c r="O3022" s="25">
        <v>135</v>
      </c>
      <c r="P3022" s="25">
        <v>0</v>
      </c>
      <c r="Q3022" s="25"/>
      <c r="R3022" s="25"/>
      <c r="S3022" s="25"/>
      <c r="T3022" s="10"/>
    </row>
    <row r="3023" s="35" customFormat="1" ht="18.5" customHeight="1" spans="1:20">
      <c r="A3023" s="9"/>
      <c r="B3023" s="25"/>
      <c r="C3023" s="25"/>
      <c r="D3023" s="25"/>
      <c r="E3023" s="25"/>
      <c r="F3023" s="25"/>
      <c r="G3023" s="25"/>
      <c r="H3023" s="25"/>
      <c r="I3023" s="25"/>
      <c r="J3023" s="25"/>
      <c r="K3023" s="25"/>
      <c r="L3023" s="25"/>
      <c r="M3023" s="42" t="s">
        <v>253</v>
      </c>
      <c r="N3023" s="41">
        <v>45112</v>
      </c>
      <c r="O3023" s="25">
        <v>195</v>
      </c>
      <c r="P3023" s="25">
        <v>0</v>
      </c>
      <c r="Q3023" s="25"/>
      <c r="R3023" s="25"/>
      <c r="S3023" s="25"/>
      <c r="T3023" s="10"/>
    </row>
    <row r="3024" s="35" customFormat="1" ht="18.5" customHeight="1" spans="1:20">
      <c r="A3024" s="9"/>
      <c r="B3024" s="25"/>
      <c r="C3024" s="25"/>
      <c r="D3024" s="25"/>
      <c r="E3024" s="25"/>
      <c r="F3024" s="25"/>
      <c r="G3024" s="25"/>
      <c r="H3024" s="25"/>
      <c r="I3024" s="25"/>
      <c r="J3024" s="25"/>
      <c r="K3024" s="25"/>
      <c r="L3024" s="25"/>
      <c r="M3024" s="42" t="s">
        <v>253</v>
      </c>
      <c r="N3024" s="41">
        <v>45112</v>
      </c>
      <c r="O3024" s="25">
        <v>148</v>
      </c>
      <c r="P3024" s="25">
        <v>0</v>
      </c>
      <c r="Q3024" s="25"/>
      <c r="R3024" s="25"/>
      <c r="S3024" s="25"/>
      <c r="T3024" s="10"/>
    </row>
    <row r="3025" s="35" customFormat="1" ht="18.5" customHeight="1" spans="1:20">
      <c r="A3025" s="9"/>
      <c r="B3025" s="25"/>
      <c r="C3025" s="25"/>
      <c r="D3025" s="25"/>
      <c r="E3025" s="25"/>
      <c r="F3025" s="25"/>
      <c r="G3025" s="25"/>
      <c r="H3025" s="25"/>
      <c r="I3025" s="25"/>
      <c r="J3025" s="25"/>
      <c r="K3025" s="25"/>
      <c r="L3025" s="25"/>
      <c r="M3025" s="42" t="s">
        <v>253</v>
      </c>
      <c r="N3025" s="41">
        <v>45095</v>
      </c>
      <c r="O3025" s="25">
        <v>120</v>
      </c>
      <c r="P3025" s="25">
        <v>0</v>
      </c>
      <c r="Q3025" s="25"/>
      <c r="R3025" s="25"/>
      <c r="S3025" s="25"/>
      <c r="T3025" s="10"/>
    </row>
    <row r="3026" s="35" customFormat="1" ht="18.5" customHeight="1" spans="1:20">
      <c r="A3026" s="9"/>
      <c r="B3026" s="25"/>
      <c r="C3026" s="25"/>
      <c r="D3026" s="25"/>
      <c r="E3026" s="25"/>
      <c r="F3026" s="25"/>
      <c r="G3026" s="25"/>
      <c r="H3026" s="25"/>
      <c r="I3026" s="25"/>
      <c r="J3026" s="25"/>
      <c r="K3026" s="25"/>
      <c r="L3026" s="25"/>
      <c r="M3026" s="42" t="s">
        <v>253</v>
      </c>
      <c r="N3026" s="41">
        <v>45112</v>
      </c>
      <c r="O3026" s="25">
        <v>176</v>
      </c>
      <c r="P3026" s="25">
        <v>0</v>
      </c>
      <c r="Q3026" s="25"/>
      <c r="R3026" s="25"/>
      <c r="S3026" s="25"/>
      <c r="T3026" s="10"/>
    </row>
    <row r="3027" s="35" customFormat="1" ht="18.5" customHeight="1" spans="1:20">
      <c r="A3027" s="9"/>
      <c r="B3027" s="25"/>
      <c r="C3027" s="25"/>
      <c r="D3027" s="25"/>
      <c r="E3027" s="25"/>
      <c r="F3027" s="25"/>
      <c r="G3027" s="25"/>
      <c r="H3027" s="25"/>
      <c r="I3027" s="25"/>
      <c r="J3027" s="25"/>
      <c r="K3027" s="25"/>
      <c r="L3027" s="25"/>
      <c r="M3027" s="42" t="s">
        <v>253</v>
      </c>
      <c r="N3027" s="41">
        <v>45111</v>
      </c>
      <c r="O3027" s="25">
        <v>178</v>
      </c>
      <c r="P3027" s="25">
        <v>0</v>
      </c>
      <c r="Q3027" s="25"/>
      <c r="R3027" s="25"/>
      <c r="S3027" s="25"/>
      <c r="T3027" s="10"/>
    </row>
    <row r="3028" s="35" customFormat="1" ht="18.5" customHeight="1" spans="1:20">
      <c r="A3028" s="9"/>
      <c r="B3028" s="25"/>
      <c r="C3028" s="25"/>
      <c r="D3028" s="25"/>
      <c r="E3028" s="25"/>
      <c r="F3028" s="25"/>
      <c r="G3028" s="25"/>
      <c r="H3028" s="25"/>
      <c r="I3028" s="25"/>
      <c r="J3028" s="25"/>
      <c r="K3028" s="25"/>
      <c r="L3028" s="25"/>
      <c r="M3028" s="42" t="s">
        <v>253</v>
      </c>
      <c r="N3028" s="41">
        <v>45110</v>
      </c>
      <c r="O3028" s="25">
        <v>114</v>
      </c>
      <c r="P3028" s="25">
        <v>0</v>
      </c>
      <c r="Q3028" s="25"/>
      <c r="R3028" s="25"/>
      <c r="S3028" s="25"/>
      <c r="T3028" s="10"/>
    </row>
    <row r="3029" s="35" customFormat="1" ht="18.5" customHeight="1" spans="1:20">
      <c r="A3029" s="9"/>
      <c r="B3029" s="25"/>
      <c r="C3029" s="25"/>
      <c r="D3029" s="25"/>
      <c r="E3029" s="25"/>
      <c r="F3029" s="25"/>
      <c r="G3029" s="25"/>
      <c r="H3029" s="25"/>
      <c r="I3029" s="25"/>
      <c r="J3029" s="25"/>
      <c r="K3029" s="25"/>
      <c r="L3029" s="25"/>
      <c r="M3029" s="42" t="s">
        <v>253</v>
      </c>
      <c r="N3029" s="41">
        <v>45110</v>
      </c>
      <c r="O3029" s="25">
        <v>378</v>
      </c>
      <c r="P3029" s="25">
        <v>0</v>
      </c>
      <c r="Q3029" s="25"/>
      <c r="R3029" s="25"/>
      <c r="S3029" s="25"/>
      <c r="T3029" s="10"/>
    </row>
    <row r="3030" s="35" customFormat="1" ht="18.5" customHeight="1" spans="1:20">
      <c r="A3030" s="9"/>
      <c r="B3030" s="25"/>
      <c r="C3030" s="25"/>
      <c r="D3030" s="25"/>
      <c r="E3030" s="25"/>
      <c r="F3030" s="25"/>
      <c r="G3030" s="25"/>
      <c r="H3030" s="25"/>
      <c r="I3030" s="25"/>
      <c r="J3030" s="25"/>
      <c r="K3030" s="25"/>
      <c r="L3030" s="25"/>
      <c r="M3030" s="42" t="s">
        <v>253</v>
      </c>
      <c r="N3030" s="41">
        <v>45110</v>
      </c>
      <c r="O3030" s="25">
        <v>1537</v>
      </c>
      <c r="P3030" s="25">
        <v>0</v>
      </c>
      <c r="Q3030" s="25"/>
      <c r="R3030" s="25"/>
      <c r="S3030" s="25"/>
      <c r="T3030" s="10"/>
    </row>
    <row r="3031" s="35" customFormat="1" ht="18.5" customHeight="1" spans="1:20">
      <c r="A3031" s="9"/>
      <c r="B3031" s="25"/>
      <c r="C3031" s="25"/>
      <c r="D3031" s="25"/>
      <c r="E3031" s="25"/>
      <c r="F3031" s="25"/>
      <c r="G3031" s="25"/>
      <c r="H3031" s="25"/>
      <c r="I3031" s="25"/>
      <c r="J3031" s="25"/>
      <c r="K3031" s="25"/>
      <c r="L3031" s="25"/>
      <c r="M3031" s="42" t="s">
        <v>253</v>
      </c>
      <c r="N3031" s="41">
        <v>45109</v>
      </c>
      <c r="O3031" s="25">
        <v>76</v>
      </c>
      <c r="P3031" s="25">
        <v>0</v>
      </c>
      <c r="Q3031" s="25"/>
      <c r="R3031" s="25"/>
      <c r="S3031" s="25"/>
      <c r="T3031" s="10"/>
    </row>
    <row r="3032" s="35" customFormat="1" ht="18.5" customHeight="1" spans="1:20">
      <c r="A3032" s="9"/>
      <c r="B3032" s="25"/>
      <c r="C3032" s="25"/>
      <c r="D3032" s="25"/>
      <c r="E3032" s="25"/>
      <c r="F3032" s="25"/>
      <c r="G3032" s="25"/>
      <c r="H3032" s="25"/>
      <c r="I3032" s="25"/>
      <c r="J3032" s="25"/>
      <c r="K3032" s="25"/>
      <c r="L3032" s="25"/>
      <c r="M3032" s="42" t="s">
        <v>253</v>
      </c>
      <c r="N3032" s="41">
        <v>45109</v>
      </c>
      <c r="O3032" s="25">
        <v>135</v>
      </c>
      <c r="P3032" s="25">
        <v>0</v>
      </c>
      <c r="Q3032" s="25"/>
      <c r="R3032" s="25"/>
      <c r="S3032" s="25"/>
      <c r="T3032" s="10"/>
    </row>
    <row r="3033" s="35" customFormat="1" ht="18.5" customHeight="1" spans="1:20">
      <c r="A3033" s="9"/>
      <c r="B3033" s="25"/>
      <c r="C3033" s="25"/>
      <c r="D3033" s="25"/>
      <c r="E3033" s="25"/>
      <c r="F3033" s="25"/>
      <c r="G3033" s="25"/>
      <c r="H3033" s="25"/>
      <c r="I3033" s="25"/>
      <c r="J3033" s="25"/>
      <c r="K3033" s="25"/>
      <c r="L3033" s="25"/>
      <c r="M3033" s="42" t="s">
        <v>253</v>
      </c>
      <c r="N3033" s="41">
        <v>45092</v>
      </c>
      <c r="O3033" s="25">
        <v>241</v>
      </c>
      <c r="P3033" s="25">
        <v>0</v>
      </c>
      <c r="Q3033" s="25"/>
      <c r="R3033" s="25"/>
      <c r="S3033" s="25"/>
      <c r="T3033" s="10"/>
    </row>
    <row r="3034" s="35" customFormat="1" ht="18.5" customHeight="1" spans="1:20">
      <c r="A3034" s="9"/>
      <c r="B3034" s="25"/>
      <c r="C3034" s="25"/>
      <c r="D3034" s="25"/>
      <c r="E3034" s="25"/>
      <c r="F3034" s="25"/>
      <c r="G3034" s="25"/>
      <c r="H3034" s="25"/>
      <c r="I3034" s="25"/>
      <c r="J3034" s="25"/>
      <c r="K3034" s="25"/>
      <c r="L3034" s="25"/>
      <c r="M3034" s="42" t="s">
        <v>253</v>
      </c>
      <c r="N3034" s="41">
        <v>45108</v>
      </c>
      <c r="O3034" s="25">
        <v>124</v>
      </c>
      <c r="P3034" s="25">
        <v>0</v>
      </c>
      <c r="Q3034" s="25"/>
      <c r="R3034" s="25"/>
      <c r="S3034" s="25"/>
      <c r="T3034" s="10"/>
    </row>
    <row r="3035" s="35" customFormat="1" ht="18.5" customHeight="1" spans="1:20">
      <c r="A3035" s="9"/>
      <c r="B3035" s="25"/>
      <c r="C3035" s="25"/>
      <c r="D3035" s="25"/>
      <c r="E3035" s="25"/>
      <c r="F3035" s="25"/>
      <c r="G3035" s="25"/>
      <c r="H3035" s="25"/>
      <c r="I3035" s="25"/>
      <c r="J3035" s="25"/>
      <c r="K3035" s="25"/>
      <c r="L3035" s="25"/>
      <c r="M3035" s="42" t="s">
        <v>253</v>
      </c>
      <c r="N3035" s="41">
        <v>45108</v>
      </c>
      <c r="O3035" s="25">
        <v>269</v>
      </c>
      <c r="P3035" s="25">
        <v>0</v>
      </c>
      <c r="Q3035" s="25"/>
      <c r="R3035" s="25"/>
      <c r="S3035" s="25"/>
      <c r="T3035" s="10"/>
    </row>
    <row r="3036" s="35" customFormat="1" ht="18.5" customHeight="1" spans="1:20">
      <c r="A3036" s="9"/>
      <c r="B3036" s="25"/>
      <c r="C3036" s="25"/>
      <c r="D3036" s="25"/>
      <c r="E3036" s="25"/>
      <c r="F3036" s="25"/>
      <c r="G3036" s="25"/>
      <c r="H3036" s="25"/>
      <c r="I3036" s="25"/>
      <c r="J3036" s="25"/>
      <c r="K3036" s="25"/>
      <c r="L3036" s="25"/>
      <c r="M3036" s="42" t="s">
        <v>253</v>
      </c>
      <c r="N3036" s="41">
        <v>45108</v>
      </c>
      <c r="O3036" s="25">
        <v>92</v>
      </c>
      <c r="P3036" s="25">
        <v>0</v>
      </c>
      <c r="Q3036" s="25"/>
      <c r="R3036" s="25"/>
      <c r="S3036" s="25"/>
      <c r="T3036" s="10"/>
    </row>
    <row r="3037" s="35" customFormat="1" ht="18.5" customHeight="1" spans="1:20">
      <c r="A3037" s="9"/>
      <c r="B3037" s="25"/>
      <c r="C3037" s="25"/>
      <c r="D3037" s="25"/>
      <c r="E3037" s="25"/>
      <c r="F3037" s="25"/>
      <c r="G3037" s="25"/>
      <c r="H3037" s="25"/>
      <c r="I3037" s="25"/>
      <c r="J3037" s="25"/>
      <c r="K3037" s="25"/>
      <c r="L3037" s="25"/>
      <c r="M3037" s="42" t="s">
        <v>253</v>
      </c>
      <c r="N3037" s="41">
        <v>45107</v>
      </c>
      <c r="O3037" s="25">
        <v>111</v>
      </c>
      <c r="P3037" s="25">
        <v>0</v>
      </c>
      <c r="Q3037" s="25"/>
      <c r="R3037" s="25"/>
      <c r="S3037" s="25"/>
      <c r="T3037" s="10"/>
    </row>
    <row r="3038" s="35" customFormat="1" ht="18.5" customHeight="1" spans="1:20">
      <c r="A3038" s="9"/>
      <c r="B3038" s="25"/>
      <c r="C3038" s="25"/>
      <c r="D3038" s="25"/>
      <c r="E3038" s="25"/>
      <c r="F3038" s="25"/>
      <c r="G3038" s="25"/>
      <c r="H3038" s="25"/>
      <c r="I3038" s="25"/>
      <c r="J3038" s="25"/>
      <c r="K3038" s="25"/>
      <c r="L3038" s="25"/>
      <c r="M3038" s="42" t="s">
        <v>253</v>
      </c>
      <c r="N3038" s="41">
        <v>45106</v>
      </c>
      <c r="O3038" s="25">
        <v>205</v>
      </c>
      <c r="P3038" s="25">
        <v>0</v>
      </c>
      <c r="Q3038" s="25"/>
      <c r="R3038" s="25"/>
      <c r="S3038" s="25"/>
      <c r="T3038" s="10"/>
    </row>
    <row r="3039" s="35" customFormat="1" ht="18.5" customHeight="1" spans="1:20">
      <c r="A3039" s="9"/>
      <c r="B3039" s="25"/>
      <c r="C3039" s="25"/>
      <c r="D3039" s="25"/>
      <c r="E3039" s="25"/>
      <c r="F3039" s="25"/>
      <c r="G3039" s="25"/>
      <c r="H3039" s="25"/>
      <c r="I3039" s="25"/>
      <c r="J3039" s="25"/>
      <c r="K3039" s="25"/>
      <c r="L3039" s="25"/>
      <c r="M3039" s="42" t="s">
        <v>253</v>
      </c>
      <c r="N3039" s="41">
        <v>45106</v>
      </c>
      <c r="O3039" s="25">
        <v>180</v>
      </c>
      <c r="P3039" s="25">
        <v>0</v>
      </c>
      <c r="Q3039" s="25"/>
      <c r="R3039" s="25"/>
      <c r="S3039" s="25"/>
      <c r="T3039" s="10"/>
    </row>
    <row r="3040" s="35" customFormat="1" ht="18.5" customHeight="1" spans="1:20">
      <c r="A3040" s="9"/>
      <c r="B3040" s="25"/>
      <c r="C3040" s="25"/>
      <c r="D3040" s="25"/>
      <c r="E3040" s="25"/>
      <c r="F3040" s="25"/>
      <c r="G3040" s="25"/>
      <c r="H3040" s="25"/>
      <c r="I3040" s="25"/>
      <c r="J3040" s="25"/>
      <c r="K3040" s="25"/>
      <c r="L3040" s="25"/>
      <c r="M3040" s="42" t="s">
        <v>253</v>
      </c>
      <c r="N3040" s="41">
        <v>45106</v>
      </c>
      <c r="O3040" s="25">
        <v>107</v>
      </c>
      <c r="P3040" s="25">
        <v>0</v>
      </c>
      <c r="Q3040" s="25"/>
      <c r="R3040" s="25"/>
      <c r="S3040" s="25"/>
      <c r="T3040" s="10"/>
    </row>
    <row r="3041" s="35" customFormat="1" ht="18.5" customHeight="1" spans="1:20">
      <c r="A3041" s="9"/>
      <c r="B3041" s="25"/>
      <c r="C3041" s="25"/>
      <c r="D3041" s="25"/>
      <c r="E3041" s="25"/>
      <c r="F3041" s="25"/>
      <c r="G3041" s="25"/>
      <c r="H3041" s="25"/>
      <c r="I3041" s="25"/>
      <c r="J3041" s="25"/>
      <c r="K3041" s="25"/>
      <c r="L3041" s="25"/>
      <c r="M3041" s="42" t="s">
        <v>253</v>
      </c>
      <c r="N3041" s="41">
        <v>45106</v>
      </c>
      <c r="O3041" s="25">
        <v>104</v>
      </c>
      <c r="P3041" s="25">
        <v>0</v>
      </c>
      <c r="Q3041" s="25"/>
      <c r="R3041" s="25"/>
      <c r="S3041" s="25"/>
      <c r="T3041" s="10"/>
    </row>
    <row r="3042" s="35" customFormat="1" ht="18.5" customHeight="1" spans="1:20">
      <c r="A3042" s="9"/>
      <c r="B3042" s="25"/>
      <c r="C3042" s="25"/>
      <c r="D3042" s="25"/>
      <c r="E3042" s="25"/>
      <c r="F3042" s="25"/>
      <c r="G3042" s="25"/>
      <c r="H3042" s="25"/>
      <c r="I3042" s="25"/>
      <c r="J3042" s="25"/>
      <c r="K3042" s="25"/>
      <c r="L3042" s="25"/>
      <c r="M3042" s="42" t="s">
        <v>253</v>
      </c>
      <c r="N3042" s="41">
        <v>45105</v>
      </c>
      <c r="O3042" s="25">
        <v>494</v>
      </c>
      <c r="P3042" s="25">
        <v>0</v>
      </c>
      <c r="Q3042" s="25"/>
      <c r="R3042" s="25"/>
      <c r="S3042" s="25"/>
      <c r="T3042" s="10"/>
    </row>
    <row r="3043" s="35" customFormat="1" ht="18.5" customHeight="1" spans="1:20">
      <c r="A3043" s="9"/>
      <c r="B3043" s="25"/>
      <c r="C3043" s="25"/>
      <c r="D3043" s="25"/>
      <c r="E3043" s="25"/>
      <c r="F3043" s="25"/>
      <c r="G3043" s="25"/>
      <c r="H3043" s="25"/>
      <c r="I3043" s="25"/>
      <c r="J3043" s="25"/>
      <c r="K3043" s="25"/>
      <c r="L3043" s="25"/>
      <c r="M3043" s="42" t="s">
        <v>253</v>
      </c>
      <c r="N3043" s="41">
        <v>45105</v>
      </c>
      <c r="O3043" s="25">
        <v>141</v>
      </c>
      <c r="P3043" s="25">
        <v>0</v>
      </c>
      <c r="Q3043" s="25"/>
      <c r="R3043" s="25"/>
      <c r="S3043" s="25"/>
      <c r="T3043" s="10"/>
    </row>
    <row r="3044" s="35" customFormat="1" ht="18.5" customHeight="1" spans="1:20">
      <c r="A3044" s="9"/>
      <c r="B3044" s="25"/>
      <c r="C3044" s="25"/>
      <c r="D3044" s="25"/>
      <c r="E3044" s="25"/>
      <c r="F3044" s="25"/>
      <c r="G3044" s="25"/>
      <c r="H3044" s="25"/>
      <c r="I3044" s="25"/>
      <c r="J3044" s="25"/>
      <c r="K3044" s="25"/>
      <c r="L3044" s="25"/>
      <c r="M3044" s="42" t="s">
        <v>253</v>
      </c>
      <c r="N3044" s="41">
        <v>45105</v>
      </c>
      <c r="O3044" s="25">
        <v>152</v>
      </c>
      <c r="P3044" s="25">
        <v>0</v>
      </c>
      <c r="Q3044" s="25"/>
      <c r="R3044" s="25"/>
      <c r="S3044" s="25"/>
      <c r="T3044" s="10"/>
    </row>
    <row r="3045" s="35" customFormat="1" ht="18.5" customHeight="1" spans="1:20">
      <c r="A3045" s="9"/>
      <c r="B3045" s="25"/>
      <c r="C3045" s="25"/>
      <c r="D3045" s="25"/>
      <c r="E3045" s="25"/>
      <c r="F3045" s="25"/>
      <c r="G3045" s="25"/>
      <c r="H3045" s="25"/>
      <c r="I3045" s="25"/>
      <c r="J3045" s="25"/>
      <c r="K3045" s="25"/>
      <c r="L3045" s="25"/>
      <c r="M3045" s="42" t="s">
        <v>253</v>
      </c>
      <c r="N3045" s="41">
        <v>45104</v>
      </c>
      <c r="O3045" s="25">
        <v>324</v>
      </c>
      <c r="P3045" s="25">
        <v>0</v>
      </c>
      <c r="Q3045" s="25"/>
      <c r="R3045" s="25"/>
      <c r="S3045" s="25"/>
      <c r="T3045" s="10"/>
    </row>
    <row r="3046" s="35" customFormat="1" ht="18.5" customHeight="1" spans="1:20">
      <c r="A3046" s="9"/>
      <c r="B3046" s="25"/>
      <c r="C3046" s="25"/>
      <c r="D3046" s="25"/>
      <c r="E3046" s="25"/>
      <c r="F3046" s="25"/>
      <c r="G3046" s="25"/>
      <c r="H3046" s="25"/>
      <c r="I3046" s="25"/>
      <c r="J3046" s="25"/>
      <c r="K3046" s="25"/>
      <c r="L3046" s="25"/>
      <c r="M3046" s="42" t="s">
        <v>253</v>
      </c>
      <c r="N3046" s="41">
        <v>45104</v>
      </c>
      <c r="O3046" s="25">
        <v>338</v>
      </c>
      <c r="P3046" s="25">
        <v>0</v>
      </c>
      <c r="Q3046" s="25"/>
      <c r="R3046" s="25"/>
      <c r="S3046" s="25"/>
      <c r="T3046" s="10"/>
    </row>
    <row r="3047" s="35" customFormat="1" ht="18.5" customHeight="1" spans="1:20">
      <c r="A3047" s="9"/>
      <c r="B3047" s="25"/>
      <c r="C3047" s="25"/>
      <c r="D3047" s="25"/>
      <c r="E3047" s="25"/>
      <c r="F3047" s="25"/>
      <c r="G3047" s="25"/>
      <c r="H3047" s="25"/>
      <c r="I3047" s="25"/>
      <c r="J3047" s="25"/>
      <c r="K3047" s="25"/>
      <c r="L3047" s="25"/>
      <c r="M3047" s="42" t="s">
        <v>253</v>
      </c>
      <c r="N3047" s="41">
        <v>45104</v>
      </c>
      <c r="O3047" s="25">
        <v>87</v>
      </c>
      <c r="P3047" s="25">
        <v>0</v>
      </c>
      <c r="Q3047" s="25"/>
      <c r="R3047" s="25"/>
      <c r="S3047" s="25"/>
      <c r="T3047" s="10"/>
    </row>
    <row r="3048" s="35" customFormat="1" ht="18.5" customHeight="1" spans="1:20">
      <c r="A3048" s="9"/>
      <c r="B3048" s="25"/>
      <c r="C3048" s="25"/>
      <c r="D3048" s="25"/>
      <c r="E3048" s="25"/>
      <c r="F3048" s="25"/>
      <c r="G3048" s="25"/>
      <c r="H3048" s="25"/>
      <c r="I3048" s="25"/>
      <c r="J3048" s="25"/>
      <c r="K3048" s="25"/>
      <c r="L3048" s="25"/>
      <c r="M3048" s="42" t="s">
        <v>253</v>
      </c>
      <c r="N3048" s="41">
        <v>45104</v>
      </c>
      <c r="O3048" s="25">
        <v>110</v>
      </c>
      <c r="P3048" s="25">
        <v>0</v>
      </c>
      <c r="Q3048" s="25"/>
      <c r="R3048" s="25"/>
      <c r="S3048" s="25"/>
      <c r="T3048" s="10"/>
    </row>
    <row r="3049" s="35" customFormat="1" ht="18.5" customHeight="1" spans="1:20">
      <c r="A3049" s="9"/>
      <c r="B3049" s="25"/>
      <c r="C3049" s="25"/>
      <c r="D3049" s="25"/>
      <c r="E3049" s="25"/>
      <c r="F3049" s="25"/>
      <c r="G3049" s="25"/>
      <c r="H3049" s="25"/>
      <c r="I3049" s="25"/>
      <c r="J3049" s="25"/>
      <c r="K3049" s="25"/>
      <c r="L3049" s="25"/>
      <c r="M3049" s="42" t="s">
        <v>253</v>
      </c>
      <c r="N3049" s="41">
        <v>45104</v>
      </c>
      <c r="O3049" s="25">
        <v>116</v>
      </c>
      <c r="P3049" s="25">
        <v>0</v>
      </c>
      <c r="Q3049" s="25"/>
      <c r="R3049" s="25"/>
      <c r="S3049" s="25"/>
      <c r="T3049" s="10"/>
    </row>
    <row r="3050" s="35" customFormat="1" ht="18.5" customHeight="1" spans="1:20">
      <c r="A3050" s="9"/>
      <c r="B3050" s="25"/>
      <c r="C3050" s="25"/>
      <c r="D3050" s="25"/>
      <c r="E3050" s="25"/>
      <c r="F3050" s="25"/>
      <c r="G3050" s="25"/>
      <c r="H3050" s="25"/>
      <c r="I3050" s="25"/>
      <c r="J3050" s="25"/>
      <c r="K3050" s="25"/>
      <c r="L3050" s="25"/>
      <c r="M3050" s="42" t="s">
        <v>253</v>
      </c>
      <c r="N3050" s="41">
        <v>45104</v>
      </c>
      <c r="O3050" s="25">
        <v>130</v>
      </c>
      <c r="P3050" s="25">
        <v>0</v>
      </c>
      <c r="Q3050" s="25"/>
      <c r="R3050" s="25"/>
      <c r="S3050" s="25"/>
      <c r="T3050" s="10"/>
    </row>
    <row r="3051" s="35" customFormat="1" ht="18.5" customHeight="1" spans="1:20">
      <c r="A3051" s="9"/>
      <c r="B3051" s="25"/>
      <c r="C3051" s="25"/>
      <c r="D3051" s="25"/>
      <c r="E3051" s="25"/>
      <c r="F3051" s="25"/>
      <c r="G3051" s="25"/>
      <c r="H3051" s="25"/>
      <c r="I3051" s="25"/>
      <c r="J3051" s="25"/>
      <c r="K3051" s="25"/>
      <c r="L3051" s="25"/>
      <c r="M3051" s="42" t="s">
        <v>253</v>
      </c>
      <c r="N3051" s="41">
        <v>45103</v>
      </c>
      <c r="O3051" s="25">
        <v>85</v>
      </c>
      <c r="P3051" s="25">
        <v>0</v>
      </c>
      <c r="Q3051" s="25"/>
      <c r="R3051" s="25"/>
      <c r="S3051" s="25"/>
      <c r="T3051" s="10"/>
    </row>
    <row r="3052" s="35" customFormat="1" ht="18.5" customHeight="1" spans="1:20">
      <c r="A3052" s="9"/>
      <c r="B3052" s="25"/>
      <c r="C3052" s="25"/>
      <c r="D3052" s="25"/>
      <c r="E3052" s="25"/>
      <c r="F3052" s="25"/>
      <c r="G3052" s="25"/>
      <c r="H3052" s="25"/>
      <c r="I3052" s="25"/>
      <c r="J3052" s="25"/>
      <c r="K3052" s="25"/>
      <c r="L3052" s="25"/>
      <c r="M3052" s="42" t="s">
        <v>253</v>
      </c>
      <c r="N3052" s="41">
        <v>45103</v>
      </c>
      <c r="O3052" s="25">
        <v>86</v>
      </c>
      <c r="P3052" s="25">
        <v>0</v>
      </c>
      <c r="Q3052" s="25"/>
      <c r="R3052" s="25"/>
      <c r="S3052" s="25"/>
      <c r="T3052" s="10"/>
    </row>
    <row r="3053" s="35" customFormat="1" ht="18.5" customHeight="1" spans="1:20">
      <c r="A3053" s="9"/>
      <c r="B3053" s="25"/>
      <c r="C3053" s="25"/>
      <c r="D3053" s="25"/>
      <c r="E3053" s="25"/>
      <c r="F3053" s="25"/>
      <c r="G3053" s="25"/>
      <c r="H3053" s="25"/>
      <c r="I3053" s="25"/>
      <c r="J3053" s="25"/>
      <c r="K3053" s="25"/>
      <c r="L3053" s="25"/>
      <c r="M3053" s="42" t="s">
        <v>253</v>
      </c>
      <c r="N3053" s="41">
        <v>45101</v>
      </c>
      <c r="O3053" s="25">
        <v>317</v>
      </c>
      <c r="P3053" s="25">
        <v>0</v>
      </c>
      <c r="Q3053" s="25"/>
      <c r="R3053" s="25"/>
      <c r="S3053" s="25"/>
      <c r="T3053" s="10"/>
    </row>
    <row r="3054" s="35" customFormat="1" ht="18.5" customHeight="1" spans="1:20">
      <c r="A3054" s="9"/>
      <c r="B3054" s="25"/>
      <c r="C3054" s="25"/>
      <c r="D3054" s="25"/>
      <c r="E3054" s="25"/>
      <c r="F3054" s="25"/>
      <c r="G3054" s="25"/>
      <c r="H3054" s="25"/>
      <c r="I3054" s="25"/>
      <c r="J3054" s="25"/>
      <c r="K3054" s="25"/>
      <c r="L3054" s="25"/>
      <c r="M3054" s="42" t="s">
        <v>253</v>
      </c>
      <c r="N3054" s="41">
        <v>45100</v>
      </c>
      <c r="O3054" s="25">
        <v>174</v>
      </c>
      <c r="P3054" s="25">
        <v>0</v>
      </c>
      <c r="Q3054" s="25"/>
      <c r="R3054" s="25"/>
      <c r="S3054" s="25"/>
      <c r="T3054" s="10"/>
    </row>
    <row r="3055" s="35" customFormat="1" ht="18.5" customHeight="1" spans="1:20">
      <c r="A3055" s="9"/>
      <c r="B3055" s="25"/>
      <c r="C3055" s="25"/>
      <c r="D3055" s="25"/>
      <c r="E3055" s="25"/>
      <c r="F3055" s="25"/>
      <c r="G3055" s="25"/>
      <c r="H3055" s="25"/>
      <c r="I3055" s="25"/>
      <c r="J3055" s="25"/>
      <c r="K3055" s="25"/>
      <c r="L3055" s="25"/>
      <c r="M3055" s="42" t="s">
        <v>253</v>
      </c>
      <c r="N3055" s="41">
        <v>45101</v>
      </c>
      <c r="O3055" s="25">
        <v>105</v>
      </c>
      <c r="P3055" s="25">
        <v>0</v>
      </c>
      <c r="Q3055" s="25"/>
      <c r="R3055" s="25"/>
      <c r="S3055" s="25"/>
      <c r="T3055" s="10"/>
    </row>
    <row r="3056" s="35" customFormat="1" ht="18.5" customHeight="1" spans="1:20">
      <c r="A3056" s="9"/>
      <c r="B3056" s="25"/>
      <c r="C3056" s="25"/>
      <c r="D3056" s="25"/>
      <c r="E3056" s="25"/>
      <c r="F3056" s="25"/>
      <c r="G3056" s="25"/>
      <c r="H3056" s="25"/>
      <c r="I3056" s="25"/>
      <c r="J3056" s="25"/>
      <c r="K3056" s="25"/>
      <c r="L3056" s="25"/>
      <c r="M3056" s="42" t="s">
        <v>253</v>
      </c>
      <c r="N3056" s="41">
        <v>45101</v>
      </c>
      <c r="O3056" s="25">
        <v>243</v>
      </c>
      <c r="P3056" s="25">
        <v>0</v>
      </c>
      <c r="Q3056" s="25"/>
      <c r="R3056" s="25"/>
      <c r="S3056" s="25"/>
      <c r="T3056" s="10"/>
    </row>
    <row r="3057" s="35" customFormat="1" ht="18.5" customHeight="1" spans="1:20">
      <c r="A3057" s="9"/>
      <c r="B3057" s="25"/>
      <c r="C3057" s="25"/>
      <c r="D3057" s="25"/>
      <c r="E3057" s="25"/>
      <c r="F3057" s="25"/>
      <c r="G3057" s="25"/>
      <c r="H3057" s="25"/>
      <c r="I3057" s="25"/>
      <c r="J3057" s="25"/>
      <c r="K3057" s="25"/>
      <c r="L3057" s="25"/>
      <c r="M3057" s="42" t="s">
        <v>253</v>
      </c>
      <c r="N3057" s="41">
        <v>45100</v>
      </c>
      <c r="O3057" s="25">
        <v>144</v>
      </c>
      <c r="P3057" s="25">
        <v>0</v>
      </c>
      <c r="Q3057" s="25"/>
      <c r="R3057" s="25"/>
      <c r="S3057" s="25"/>
      <c r="T3057" s="10"/>
    </row>
    <row r="3058" s="35" customFormat="1" ht="18.5" customHeight="1" spans="1:20">
      <c r="A3058" s="9"/>
      <c r="B3058" s="25"/>
      <c r="C3058" s="25"/>
      <c r="D3058" s="25"/>
      <c r="E3058" s="25"/>
      <c r="F3058" s="25"/>
      <c r="G3058" s="25"/>
      <c r="H3058" s="25"/>
      <c r="I3058" s="25"/>
      <c r="J3058" s="25"/>
      <c r="K3058" s="25"/>
      <c r="L3058" s="25"/>
      <c r="M3058" s="42" t="s">
        <v>253</v>
      </c>
      <c r="N3058" s="41">
        <v>45100</v>
      </c>
      <c r="O3058" s="25">
        <v>151</v>
      </c>
      <c r="P3058" s="25">
        <v>0</v>
      </c>
      <c r="Q3058" s="25"/>
      <c r="R3058" s="25"/>
      <c r="S3058" s="25"/>
      <c r="T3058" s="10"/>
    </row>
    <row r="3059" s="35" customFormat="1" ht="18.5" customHeight="1" spans="1:20">
      <c r="A3059" s="9"/>
      <c r="B3059" s="25"/>
      <c r="C3059" s="25"/>
      <c r="D3059" s="25"/>
      <c r="E3059" s="25"/>
      <c r="F3059" s="25"/>
      <c r="G3059" s="25"/>
      <c r="H3059" s="25"/>
      <c r="I3059" s="25"/>
      <c r="J3059" s="25"/>
      <c r="K3059" s="25"/>
      <c r="L3059" s="25"/>
      <c r="M3059" s="42" t="s">
        <v>253</v>
      </c>
      <c r="N3059" s="41">
        <v>45100</v>
      </c>
      <c r="O3059" s="25">
        <v>331</v>
      </c>
      <c r="P3059" s="25">
        <v>0</v>
      </c>
      <c r="Q3059" s="25"/>
      <c r="R3059" s="25"/>
      <c r="S3059" s="25"/>
      <c r="T3059" s="10"/>
    </row>
    <row r="3060" s="35" customFormat="1" ht="18.5" customHeight="1" spans="1:20">
      <c r="A3060" s="9"/>
      <c r="B3060" s="25"/>
      <c r="C3060" s="25"/>
      <c r="D3060" s="25"/>
      <c r="E3060" s="25"/>
      <c r="F3060" s="25"/>
      <c r="G3060" s="25"/>
      <c r="H3060" s="25"/>
      <c r="I3060" s="25"/>
      <c r="J3060" s="25"/>
      <c r="K3060" s="25"/>
      <c r="L3060" s="25"/>
      <c r="M3060" s="42" t="s">
        <v>253</v>
      </c>
      <c r="N3060" s="41">
        <v>45099</v>
      </c>
      <c r="O3060" s="25">
        <v>232</v>
      </c>
      <c r="P3060" s="25">
        <v>0</v>
      </c>
      <c r="Q3060" s="25"/>
      <c r="R3060" s="25"/>
      <c r="S3060" s="25"/>
      <c r="T3060" s="10"/>
    </row>
    <row r="3061" s="35" customFormat="1" ht="18.5" customHeight="1" spans="1:20">
      <c r="A3061" s="9"/>
      <c r="B3061" s="25"/>
      <c r="C3061" s="25"/>
      <c r="D3061" s="25"/>
      <c r="E3061" s="25"/>
      <c r="F3061" s="25"/>
      <c r="G3061" s="25"/>
      <c r="H3061" s="25"/>
      <c r="I3061" s="25"/>
      <c r="J3061" s="25"/>
      <c r="K3061" s="25"/>
      <c r="L3061" s="25"/>
      <c r="M3061" s="42" t="s">
        <v>253</v>
      </c>
      <c r="N3061" s="41">
        <v>45099</v>
      </c>
      <c r="O3061" s="25">
        <v>154</v>
      </c>
      <c r="P3061" s="25">
        <v>0</v>
      </c>
      <c r="Q3061" s="25"/>
      <c r="R3061" s="25"/>
      <c r="S3061" s="25"/>
      <c r="T3061" s="10"/>
    </row>
    <row r="3062" s="35" customFormat="1" ht="18.5" customHeight="1" spans="1:20">
      <c r="A3062" s="9"/>
      <c r="B3062" s="25"/>
      <c r="C3062" s="25"/>
      <c r="D3062" s="25"/>
      <c r="E3062" s="25"/>
      <c r="F3062" s="25"/>
      <c r="G3062" s="25"/>
      <c r="H3062" s="25"/>
      <c r="I3062" s="25"/>
      <c r="J3062" s="25"/>
      <c r="K3062" s="25"/>
      <c r="L3062" s="25"/>
      <c r="M3062" s="42" t="s">
        <v>253</v>
      </c>
      <c r="N3062" s="41">
        <v>45099</v>
      </c>
      <c r="O3062" s="25">
        <v>143</v>
      </c>
      <c r="P3062" s="25">
        <v>0</v>
      </c>
      <c r="Q3062" s="25"/>
      <c r="R3062" s="25"/>
      <c r="S3062" s="25"/>
      <c r="T3062" s="10"/>
    </row>
    <row r="3063" s="35" customFormat="1" ht="18.5" customHeight="1" spans="1:20">
      <c r="A3063" s="9"/>
      <c r="B3063" s="25"/>
      <c r="C3063" s="25"/>
      <c r="D3063" s="25"/>
      <c r="E3063" s="25"/>
      <c r="F3063" s="25"/>
      <c r="G3063" s="25"/>
      <c r="H3063" s="25"/>
      <c r="I3063" s="25"/>
      <c r="J3063" s="25"/>
      <c r="K3063" s="25"/>
      <c r="L3063" s="25"/>
      <c r="M3063" s="42" t="s">
        <v>253</v>
      </c>
      <c r="N3063" s="41">
        <v>45097</v>
      </c>
      <c r="O3063" s="25">
        <v>159</v>
      </c>
      <c r="P3063" s="25">
        <v>0</v>
      </c>
      <c r="Q3063" s="25"/>
      <c r="R3063" s="25"/>
      <c r="S3063" s="25"/>
      <c r="T3063" s="10"/>
    </row>
    <row r="3064" s="35" customFormat="1" ht="18.5" customHeight="1" spans="1:20">
      <c r="A3064" s="9"/>
      <c r="B3064" s="25"/>
      <c r="C3064" s="25"/>
      <c r="D3064" s="25"/>
      <c r="E3064" s="25"/>
      <c r="F3064" s="25"/>
      <c r="G3064" s="25"/>
      <c r="H3064" s="25"/>
      <c r="I3064" s="25"/>
      <c r="J3064" s="25"/>
      <c r="K3064" s="25"/>
      <c r="L3064" s="25"/>
      <c r="M3064" s="42" t="s">
        <v>253</v>
      </c>
      <c r="N3064" s="41">
        <v>45097</v>
      </c>
      <c r="O3064" s="25">
        <v>158</v>
      </c>
      <c r="P3064" s="25">
        <v>0</v>
      </c>
      <c r="Q3064" s="25"/>
      <c r="R3064" s="25"/>
      <c r="S3064" s="25"/>
      <c r="T3064" s="10"/>
    </row>
    <row r="3065" s="35" customFormat="1" ht="18.5" customHeight="1" spans="1:20">
      <c r="A3065" s="9"/>
      <c r="B3065" s="25"/>
      <c r="C3065" s="25"/>
      <c r="D3065" s="25"/>
      <c r="E3065" s="25"/>
      <c r="F3065" s="25"/>
      <c r="G3065" s="25"/>
      <c r="H3065" s="25"/>
      <c r="I3065" s="25"/>
      <c r="J3065" s="25"/>
      <c r="K3065" s="25"/>
      <c r="L3065" s="25"/>
      <c r="M3065" s="42" t="s">
        <v>253</v>
      </c>
      <c r="N3065" s="41">
        <v>45096</v>
      </c>
      <c r="O3065" s="25">
        <v>404</v>
      </c>
      <c r="P3065" s="25">
        <v>0</v>
      </c>
      <c r="Q3065" s="25"/>
      <c r="R3065" s="25"/>
      <c r="S3065" s="25"/>
      <c r="T3065" s="10"/>
    </row>
    <row r="3066" s="35" customFormat="1" ht="18.5" customHeight="1" spans="1:20">
      <c r="A3066" s="9"/>
      <c r="B3066" s="25"/>
      <c r="C3066" s="25"/>
      <c r="D3066" s="25"/>
      <c r="E3066" s="25"/>
      <c r="F3066" s="25"/>
      <c r="G3066" s="25"/>
      <c r="H3066" s="25"/>
      <c r="I3066" s="25"/>
      <c r="J3066" s="25"/>
      <c r="K3066" s="25"/>
      <c r="L3066" s="25"/>
      <c r="M3066" s="42" t="s">
        <v>253</v>
      </c>
      <c r="N3066" s="41">
        <v>45096</v>
      </c>
      <c r="O3066" s="25">
        <v>118</v>
      </c>
      <c r="P3066" s="25">
        <v>0</v>
      </c>
      <c r="Q3066" s="25"/>
      <c r="R3066" s="25"/>
      <c r="S3066" s="25"/>
      <c r="T3066" s="10"/>
    </row>
    <row r="3067" s="35" customFormat="1" ht="18.5" customHeight="1" spans="1:20">
      <c r="A3067" s="9"/>
      <c r="B3067" s="25"/>
      <c r="C3067" s="25"/>
      <c r="D3067" s="25"/>
      <c r="E3067" s="25"/>
      <c r="F3067" s="25"/>
      <c r="G3067" s="25"/>
      <c r="H3067" s="25"/>
      <c r="I3067" s="25"/>
      <c r="J3067" s="25"/>
      <c r="K3067" s="25"/>
      <c r="L3067" s="25"/>
      <c r="M3067" s="42" t="s">
        <v>253</v>
      </c>
      <c r="N3067" s="41">
        <v>45095</v>
      </c>
      <c r="O3067" s="25">
        <v>117</v>
      </c>
      <c r="P3067" s="25">
        <v>0</v>
      </c>
      <c r="Q3067" s="25"/>
      <c r="R3067" s="25"/>
      <c r="S3067" s="25"/>
      <c r="T3067" s="10"/>
    </row>
    <row r="3068" s="35" customFormat="1" ht="18.5" customHeight="1" spans="1:20">
      <c r="A3068" s="9"/>
      <c r="B3068" s="25"/>
      <c r="C3068" s="25"/>
      <c r="D3068" s="25"/>
      <c r="E3068" s="25"/>
      <c r="F3068" s="25"/>
      <c r="G3068" s="25"/>
      <c r="H3068" s="25"/>
      <c r="I3068" s="25"/>
      <c r="J3068" s="25"/>
      <c r="K3068" s="25"/>
      <c r="L3068" s="25"/>
      <c r="M3068" s="42" t="s">
        <v>253</v>
      </c>
      <c r="N3068" s="41">
        <v>45094</v>
      </c>
      <c r="O3068" s="25">
        <v>158</v>
      </c>
      <c r="P3068" s="25">
        <v>0</v>
      </c>
      <c r="Q3068" s="25"/>
      <c r="R3068" s="25"/>
      <c r="S3068" s="25"/>
      <c r="T3068" s="10"/>
    </row>
    <row r="3069" s="35" customFormat="1" ht="18.5" customHeight="1" spans="1:20">
      <c r="A3069" s="9"/>
      <c r="B3069" s="25"/>
      <c r="C3069" s="25"/>
      <c r="D3069" s="25"/>
      <c r="E3069" s="25"/>
      <c r="F3069" s="25"/>
      <c r="G3069" s="25"/>
      <c r="H3069" s="25"/>
      <c r="I3069" s="25"/>
      <c r="J3069" s="25"/>
      <c r="K3069" s="25"/>
      <c r="L3069" s="25"/>
      <c r="M3069" s="42" t="s">
        <v>253</v>
      </c>
      <c r="N3069" s="41">
        <v>45093</v>
      </c>
      <c r="O3069" s="25">
        <v>166</v>
      </c>
      <c r="P3069" s="25">
        <v>0</v>
      </c>
      <c r="Q3069" s="25"/>
      <c r="R3069" s="25"/>
      <c r="S3069" s="25"/>
      <c r="T3069" s="10"/>
    </row>
    <row r="3070" s="35" customFormat="1" ht="18.5" customHeight="1" spans="1:20">
      <c r="A3070" s="9"/>
      <c r="B3070" s="25"/>
      <c r="C3070" s="25"/>
      <c r="D3070" s="25"/>
      <c r="E3070" s="25"/>
      <c r="F3070" s="25"/>
      <c r="G3070" s="25"/>
      <c r="H3070" s="25"/>
      <c r="I3070" s="25"/>
      <c r="J3070" s="25"/>
      <c r="K3070" s="25"/>
      <c r="L3070" s="25"/>
      <c r="M3070" s="42" t="s">
        <v>253</v>
      </c>
      <c r="N3070" s="41">
        <v>45092</v>
      </c>
      <c r="O3070" s="25">
        <v>298</v>
      </c>
      <c r="P3070" s="25">
        <v>0</v>
      </c>
      <c r="Q3070" s="25"/>
      <c r="R3070" s="25"/>
      <c r="S3070" s="25"/>
      <c r="T3070" s="10"/>
    </row>
    <row r="3071" s="35" customFormat="1" ht="18.5" customHeight="1" spans="1:20">
      <c r="A3071" s="9"/>
      <c r="B3071" s="25"/>
      <c r="C3071" s="25"/>
      <c r="D3071" s="25"/>
      <c r="E3071" s="25"/>
      <c r="F3071" s="25"/>
      <c r="G3071" s="25"/>
      <c r="H3071" s="25"/>
      <c r="I3071" s="25"/>
      <c r="J3071" s="25"/>
      <c r="K3071" s="25"/>
      <c r="L3071" s="25"/>
      <c r="M3071" s="42" t="s">
        <v>253</v>
      </c>
      <c r="N3071" s="41">
        <v>45092</v>
      </c>
      <c r="O3071" s="25">
        <v>80</v>
      </c>
      <c r="P3071" s="25">
        <v>0</v>
      </c>
      <c r="Q3071" s="25"/>
      <c r="R3071" s="25"/>
      <c r="S3071" s="25"/>
      <c r="T3071" s="10"/>
    </row>
    <row r="3072" s="35" customFormat="1" ht="18.5" customHeight="1" spans="1:20">
      <c r="A3072" s="9"/>
      <c r="B3072" s="25"/>
      <c r="C3072" s="25"/>
      <c r="D3072" s="25"/>
      <c r="E3072" s="25"/>
      <c r="F3072" s="25"/>
      <c r="G3072" s="25"/>
      <c r="H3072" s="25"/>
      <c r="I3072" s="25"/>
      <c r="J3072" s="25"/>
      <c r="K3072" s="25"/>
      <c r="L3072" s="25"/>
      <c r="M3072" s="42" t="s">
        <v>253</v>
      </c>
      <c r="N3072" s="41">
        <v>45092</v>
      </c>
      <c r="O3072" s="25">
        <v>83</v>
      </c>
      <c r="P3072" s="25">
        <v>0</v>
      </c>
      <c r="Q3072" s="25"/>
      <c r="R3072" s="25"/>
      <c r="S3072" s="25"/>
      <c r="T3072" s="10"/>
    </row>
    <row r="3073" s="35" customFormat="1" ht="18.5" customHeight="1" spans="1:20">
      <c r="A3073" s="9"/>
      <c r="B3073" s="25"/>
      <c r="C3073" s="25"/>
      <c r="D3073" s="25"/>
      <c r="E3073" s="25"/>
      <c r="F3073" s="25"/>
      <c r="G3073" s="25"/>
      <c r="H3073" s="25"/>
      <c r="I3073" s="25"/>
      <c r="J3073" s="25"/>
      <c r="K3073" s="25"/>
      <c r="L3073" s="25"/>
      <c r="M3073" s="42" t="s">
        <v>253</v>
      </c>
      <c r="N3073" s="41">
        <v>45092</v>
      </c>
      <c r="O3073" s="25">
        <v>170</v>
      </c>
      <c r="P3073" s="25">
        <v>0</v>
      </c>
      <c r="Q3073" s="25"/>
      <c r="R3073" s="25"/>
      <c r="S3073" s="25"/>
      <c r="T3073" s="10"/>
    </row>
    <row r="3074" s="35" customFormat="1" ht="18.5" customHeight="1" spans="1:20">
      <c r="A3074" s="9"/>
      <c r="B3074" s="25"/>
      <c r="C3074" s="25"/>
      <c r="D3074" s="25"/>
      <c r="E3074" s="25"/>
      <c r="F3074" s="25"/>
      <c r="G3074" s="25"/>
      <c r="H3074" s="25"/>
      <c r="I3074" s="25"/>
      <c r="J3074" s="25"/>
      <c r="K3074" s="25"/>
      <c r="L3074" s="25"/>
      <c r="M3074" s="42" t="s">
        <v>253</v>
      </c>
      <c r="N3074" s="41">
        <v>45091</v>
      </c>
      <c r="O3074" s="25">
        <v>80</v>
      </c>
      <c r="P3074" s="25">
        <v>0</v>
      </c>
      <c r="Q3074" s="25"/>
      <c r="R3074" s="25"/>
      <c r="S3074" s="25"/>
      <c r="T3074" s="10"/>
    </row>
    <row r="3075" s="35" customFormat="1" ht="18.5" customHeight="1" spans="1:20">
      <c r="A3075" s="9"/>
      <c r="B3075" s="25"/>
      <c r="C3075" s="25"/>
      <c r="D3075" s="25"/>
      <c r="E3075" s="25"/>
      <c r="F3075" s="25"/>
      <c r="G3075" s="25"/>
      <c r="H3075" s="25"/>
      <c r="I3075" s="25"/>
      <c r="J3075" s="25"/>
      <c r="K3075" s="25"/>
      <c r="L3075" s="25"/>
      <c r="M3075" s="42" t="s">
        <v>253</v>
      </c>
      <c r="N3075" s="41">
        <v>45091</v>
      </c>
      <c r="O3075" s="25">
        <v>117</v>
      </c>
      <c r="P3075" s="25">
        <v>0</v>
      </c>
      <c r="Q3075" s="25"/>
      <c r="R3075" s="25"/>
      <c r="S3075" s="25"/>
      <c r="T3075" s="10"/>
    </row>
    <row r="3076" s="35" customFormat="1" ht="18.5" customHeight="1" spans="1:20">
      <c r="A3076" s="9"/>
      <c r="B3076" s="25"/>
      <c r="C3076" s="25"/>
      <c r="D3076" s="25"/>
      <c r="E3076" s="25"/>
      <c r="F3076" s="25"/>
      <c r="G3076" s="25"/>
      <c r="H3076" s="25"/>
      <c r="I3076" s="25"/>
      <c r="J3076" s="25"/>
      <c r="K3076" s="25"/>
      <c r="L3076" s="25"/>
      <c r="M3076" s="42" t="s">
        <v>253</v>
      </c>
      <c r="N3076" s="41">
        <v>45090</v>
      </c>
      <c r="O3076" s="25">
        <v>118</v>
      </c>
      <c r="P3076" s="25">
        <v>0</v>
      </c>
      <c r="Q3076" s="25"/>
      <c r="R3076" s="25"/>
      <c r="S3076" s="25"/>
      <c r="T3076" s="10"/>
    </row>
    <row r="3077" s="35" customFormat="1" ht="18.5" customHeight="1" spans="1:20">
      <c r="A3077" s="9"/>
      <c r="B3077" s="25"/>
      <c r="C3077" s="25"/>
      <c r="D3077" s="25"/>
      <c r="E3077" s="25"/>
      <c r="F3077" s="25"/>
      <c r="G3077" s="25"/>
      <c r="H3077" s="25"/>
      <c r="I3077" s="25"/>
      <c r="J3077" s="25"/>
      <c r="K3077" s="25"/>
      <c r="L3077" s="25"/>
      <c r="M3077" s="42" t="s">
        <v>253</v>
      </c>
      <c r="N3077" s="41">
        <v>45089</v>
      </c>
      <c r="O3077" s="25">
        <v>176</v>
      </c>
      <c r="P3077" s="25">
        <v>0</v>
      </c>
      <c r="Q3077" s="25"/>
      <c r="R3077" s="25"/>
      <c r="S3077" s="25"/>
      <c r="T3077" s="10"/>
    </row>
    <row r="3078" s="35" customFormat="1" ht="18.5" customHeight="1" spans="1:20">
      <c r="A3078" s="9"/>
      <c r="B3078" s="25"/>
      <c r="C3078" s="25"/>
      <c r="D3078" s="25"/>
      <c r="E3078" s="25"/>
      <c r="F3078" s="25"/>
      <c r="G3078" s="25"/>
      <c r="H3078" s="25"/>
      <c r="I3078" s="25"/>
      <c r="J3078" s="25"/>
      <c r="K3078" s="25"/>
      <c r="L3078" s="25"/>
      <c r="M3078" s="42" t="s">
        <v>253</v>
      </c>
      <c r="N3078" s="41">
        <v>45088</v>
      </c>
      <c r="O3078" s="25">
        <v>122</v>
      </c>
      <c r="P3078" s="25">
        <v>0</v>
      </c>
      <c r="Q3078" s="25"/>
      <c r="R3078" s="25"/>
      <c r="S3078" s="25"/>
      <c r="T3078" s="10"/>
    </row>
    <row r="3079" s="35" customFormat="1" ht="18.5" customHeight="1" spans="1:20">
      <c r="A3079" s="9"/>
      <c r="B3079" s="25"/>
      <c r="C3079" s="25"/>
      <c r="D3079" s="25"/>
      <c r="E3079" s="25"/>
      <c r="F3079" s="25"/>
      <c r="G3079" s="25"/>
      <c r="H3079" s="25"/>
      <c r="I3079" s="25"/>
      <c r="J3079" s="25"/>
      <c r="K3079" s="25"/>
      <c r="L3079" s="25"/>
      <c r="M3079" s="42" t="s">
        <v>253</v>
      </c>
      <c r="N3079" s="41">
        <v>45088</v>
      </c>
      <c r="O3079" s="25">
        <v>86</v>
      </c>
      <c r="P3079" s="25">
        <v>0</v>
      </c>
      <c r="Q3079" s="25"/>
      <c r="R3079" s="25"/>
      <c r="S3079" s="25"/>
      <c r="T3079" s="10"/>
    </row>
    <row r="3080" s="35" customFormat="1" ht="18.5" customHeight="1" spans="1:20">
      <c r="A3080" s="9"/>
      <c r="B3080" s="25"/>
      <c r="C3080" s="25"/>
      <c r="D3080" s="25"/>
      <c r="E3080" s="25"/>
      <c r="F3080" s="25"/>
      <c r="G3080" s="25"/>
      <c r="H3080" s="25"/>
      <c r="I3080" s="25"/>
      <c r="J3080" s="25"/>
      <c r="K3080" s="25"/>
      <c r="L3080" s="25"/>
      <c r="M3080" s="42" t="s">
        <v>253</v>
      </c>
      <c r="N3080" s="41">
        <v>45088</v>
      </c>
      <c r="O3080" s="25">
        <v>751</v>
      </c>
      <c r="P3080" s="25">
        <v>0</v>
      </c>
      <c r="Q3080" s="25"/>
      <c r="R3080" s="25"/>
      <c r="S3080" s="25"/>
      <c r="T3080" s="10"/>
    </row>
    <row r="3081" s="35" customFormat="1" ht="18.5" customHeight="1" spans="1:20">
      <c r="A3081" s="9"/>
      <c r="B3081" s="25"/>
      <c r="C3081" s="25"/>
      <c r="D3081" s="25"/>
      <c r="E3081" s="25"/>
      <c r="F3081" s="25"/>
      <c r="G3081" s="25"/>
      <c r="H3081" s="25"/>
      <c r="I3081" s="25"/>
      <c r="J3081" s="25"/>
      <c r="K3081" s="25"/>
      <c r="L3081" s="25"/>
      <c r="M3081" s="42" t="s">
        <v>253</v>
      </c>
      <c r="N3081" s="41">
        <v>45087</v>
      </c>
      <c r="O3081" s="25">
        <v>157</v>
      </c>
      <c r="P3081" s="25">
        <v>0</v>
      </c>
      <c r="Q3081" s="25"/>
      <c r="R3081" s="25"/>
      <c r="S3081" s="25"/>
      <c r="T3081" s="10"/>
    </row>
    <row r="3082" s="35" customFormat="1" ht="18.5" customHeight="1" spans="1:20">
      <c r="A3082" s="9"/>
      <c r="B3082" s="25"/>
      <c r="C3082" s="25"/>
      <c r="D3082" s="25"/>
      <c r="E3082" s="25"/>
      <c r="F3082" s="25"/>
      <c r="G3082" s="25"/>
      <c r="H3082" s="25"/>
      <c r="I3082" s="25"/>
      <c r="J3082" s="25"/>
      <c r="K3082" s="25"/>
      <c r="L3082" s="25"/>
      <c r="M3082" s="42" t="s">
        <v>253</v>
      </c>
      <c r="N3082" s="41">
        <v>45086</v>
      </c>
      <c r="O3082" s="25">
        <v>524</v>
      </c>
      <c r="P3082" s="25">
        <v>0</v>
      </c>
      <c r="Q3082" s="25"/>
      <c r="R3082" s="25"/>
      <c r="S3082" s="25"/>
      <c r="T3082" s="10"/>
    </row>
    <row r="3083" s="35" customFormat="1" ht="18.5" customHeight="1" spans="1:20">
      <c r="A3083" s="9"/>
      <c r="B3083" s="25"/>
      <c r="C3083" s="25"/>
      <c r="D3083" s="25"/>
      <c r="E3083" s="25"/>
      <c r="F3083" s="25"/>
      <c r="G3083" s="25"/>
      <c r="H3083" s="25"/>
      <c r="I3083" s="25"/>
      <c r="J3083" s="25"/>
      <c r="K3083" s="25"/>
      <c r="L3083" s="25"/>
      <c r="M3083" s="42" t="s">
        <v>253</v>
      </c>
      <c r="N3083" s="41">
        <v>45086</v>
      </c>
      <c r="O3083" s="25">
        <v>226</v>
      </c>
      <c r="P3083" s="25">
        <v>0</v>
      </c>
      <c r="Q3083" s="25"/>
      <c r="R3083" s="25"/>
      <c r="S3083" s="25"/>
      <c r="T3083" s="10"/>
    </row>
    <row r="3084" s="35" customFormat="1" ht="18.5" customHeight="1" spans="1:20">
      <c r="A3084" s="9"/>
      <c r="B3084" s="25"/>
      <c r="C3084" s="25"/>
      <c r="D3084" s="25"/>
      <c r="E3084" s="25"/>
      <c r="F3084" s="25"/>
      <c r="G3084" s="25"/>
      <c r="H3084" s="25"/>
      <c r="I3084" s="25"/>
      <c r="J3084" s="25"/>
      <c r="K3084" s="25"/>
      <c r="L3084" s="25"/>
      <c r="M3084" s="42" t="s">
        <v>253</v>
      </c>
      <c r="N3084" s="41">
        <v>45085</v>
      </c>
      <c r="O3084" s="25">
        <v>117</v>
      </c>
      <c r="P3084" s="25">
        <v>0</v>
      </c>
      <c r="Q3084" s="25"/>
      <c r="R3084" s="25"/>
      <c r="S3084" s="25"/>
      <c r="T3084" s="10"/>
    </row>
    <row r="3085" s="35" customFormat="1" ht="18.5" customHeight="1" spans="1:20">
      <c r="A3085" s="9"/>
      <c r="B3085" s="25"/>
      <c r="C3085" s="25"/>
      <c r="D3085" s="25"/>
      <c r="E3085" s="25"/>
      <c r="F3085" s="25"/>
      <c r="G3085" s="25"/>
      <c r="H3085" s="25"/>
      <c r="I3085" s="25"/>
      <c r="J3085" s="25"/>
      <c r="K3085" s="25"/>
      <c r="L3085" s="25"/>
      <c r="M3085" s="42" t="s">
        <v>253</v>
      </c>
      <c r="N3085" s="41">
        <v>45085</v>
      </c>
      <c r="O3085" s="25">
        <v>154</v>
      </c>
      <c r="P3085" s="25">
        <v>0</v>
      </c>
      <c r="Q3085" s="25"/>
      <c r="R3085" s="25"/>
      <c r="S3085" s="25"/>
      <c r="T3085" s="10"/>
    </row>
    <row r="3086" s="35" customFormat="1" ht="18.5" customHeight="1" spans="1:20">
      <c r="A3086" s="9"/>
      <c r="B3086" s="25"/>
      <c r="C3086" s="25"/>
      <c r="D3086" s="25"/>
      <c r="E3086" s="25"/>
      <c r="F3086" s="25"/>
      <c r="G3086" s="25"/>
      <c r="H3086" s="25"/>
      <c r="I3086" s="25"/>
      <c r="J3086" s="25"/>
      <c r="K3086" s="25"/>
      <c r="L3086" s="25"/>
      <c r="M3086" s="42" t="s">
        <v>253</v>
      </c>
      <c r="N3086" s="41">
        <v>45085</v>
      </c>
      <c r="O3086" s="25">
        <v>93</v>
      </c>
      <c r="P3086" s="25">
        <v>0</v>
      </c>
      <c r="Q3086" s="25"/>
      <c r="R3086" s="25"/>
      <c r="S3086" s="25"/>
      <c r="T3086" s="10"/>
    </row>
    <row r="3087" s="35" customFormat="1" ht="18.5" customHeight="1" spans="1:20">
      <c r="A3087" s="9"/>
      <c r="B3087" s="25"/>
      <c r="C3087" s="25"/>
      <c r="D3087" s="25"/>
      <c r="E3087" s="25"/>
      <c r="F3087" s="25"/>
      <c r="G3087" s="25"/>
      <c r="H3087" s="25"/>
      <c r="I3087" s="25"/>
      <c r="J3087" s="25"/>
      <c r="K3087" s="25"/>
      <c r="L3087" s="25"/>
      <c r="M3087" s="42" t="s">
        <v>253</v>
      </c>
      <c r="N3087" s="41">
        <v>45084</v>
      </c>
      <c r="O3087" s="25">
        <v>524</v>
      </c>
      <c r="P3087" s="25">
        <v>0</v>
      </c>
      <c r="Q3087" s="25"/>
      <c r="R3087" s="25"/>
      <c r="S3087" s="25"/>
      <c r="T3087" s="10"/>
    </row>
    <row r="3088" s="35" customFormat="1" ht="18.5" customHeight="1" spans="1:20">
      <c r="A3088" s="9"/>
      <c r="B3088" s="25"/>
      <c r="C3088" s="25"/>
      <c r="D3088" s="25"/>
      <c r="E3088" s="25"/>
      <c r="F3088" s="25"/>
      <c r="G3088" s="25"/>
      <c r="H3088" s="25"/>
      <c r="I3088" s="25"/>
      <c r="J3088" s="25"/>
      <c r="K3088" s="25"/>
      <c r="L3088" s="25"/>
      <c r="M3088" s="42" t="s">
        <v>253</v>
      </c>
      <c r="N3088" s="41">
        <v>45084</v>
      </c>
      <c r="O3088" s="25">
        <v>85</v>
      </c>
      <c r="P3088" s="25">
        <v>0</v>
      </c>
      <c r="Q3088" s="25"/>
      <c r="R3088" s="25"/>
      <c r="S3088" s="25"/>
      <c r="T3088" s="10"/>
    </row>
    <row r="3089" s="35" customFormat="1" ht="18.5" customHeight="1" spans="1:20">
      <c r="A3089" s="9"/>
      <c r="B3089" s="25"/>
      <c r="C3089" s="25"/>
      <c r="D3089" s="25"/>
      <c r="E3089" s="25"/>
      <c r="F3089" s="25"/>
      <c r="G3089" s="25"/>
      <c r="H3089" s="25"/>
      <c r="I3089" s="25"/>
      <c r="J3089" s="25"/>
      <c r="K3089" s="25"/>
      <c r="L3089" s="25"/>
      <c r="M3089" s="42" t="s">
        <v>253</v>
      </c>
      <c r="N3089" s="41">
        <v>45084</v>
      </c>
      <c r="O3089" s="25">
        <v>188</v>
      </c>
      <c r="P3089" s="25">
        <v>0</v>
      </c>
      <c r="Q3089" s="25"/>
      <c r="R3089" s="25"/>
      <c r="S3089" s="25"/>
      <c r="T3089" s="10"/>
    </row>
    <row r="3090" s="35" customFormat="1" ht="18.5" customHeight="1" spans="1:20">
      <c r="A3090" s="9"/>
      <c r="B3090" s="25"/>
      <c r="C3090" s="25"/>
      <c r="D3090" s="25"/>
      <c r="E3090" s="25"/>
      <c r="F3090" s="25"/>
      <c r="G3090" s="25"/>
      <c r="H3090" s="25"/>
      <c r="I3090" s="25"/>
      <c r="J3090" s="25"/>
      <c r="K3090" s="25"/>
      <c r="L3090" s="25"/>
      <c r="M3090" s="42" t="s">
        <v>253</v>
      </c>
      <c r="N3090" s="41">
        <v>45084</v>
      </c>
      <c r="O3090" s="25">
        <v>78</v>
      </c>
      <c r="P3090" s="25">
        <v>0</v>
      </c>
      <c r="Q3090" s="25"/>
      <c r="R3090" s="25"/>
      <c r="S3090" s="25"/>
      <c r="T3090" s="10"/>
    </row>
    <row r="3091" s="35" customFormat="1" ht="18.5" customHeight="1" spans="1:20">
      <c r="A3091" s="9"/>
      <c r="B3091" s="25"/>
      <c r="C3091" s="25"/>
      <c r="D3091" s="25"/>
      <c r="E3091" s="25"/>
      <c r="F3091" s="25"/>
      <c r="G3091" s="25"/>
      <c r="H3091" s="25"/>
      <c r="I3091" s="25"/>
      <c r="J3091" s="25"/>
      <c r="K3091" s="25"/>
      <c r="L3091" s="25"/>
      <c r="M3091" s="42" t="s">
        <v>253</v>
      </c>
      <c r="N3091" s="41">
        <v>45084</v>
      </c>
      <c r="O3091" s="25">
        <v>140</v>
      </c>
      <c r="P3091" s="25">
        <v>0</v>
      </c>
      <c r="Q3091" s="25"/>
      <c r="R3091" s="25"/>
      <c r="S3091" s="25"/>
      <c r="T3091" s="10"/>
    </row>
    <row r="3092" s="35" customFormat="1" ht="18.5" customHeight="1" spans="1:20">
      <c r="A3092" s="9"/>
      <c r="B3092" s="25"/>
      <c r="C3092" s="25"/>
      <c r="D3092" s="25"/>
      <c r="E3092" s="25"/>
      <c r="F3092" s="25"/>
      <c r="G3092" s="25"/>
      <c r="H3092" s="25"/>
      <c r="I3092" s="25"/>
      <c r="J3092" s="25"/>
      <c r="K3092" s="25"/>
      <c r="L3092" s="25"/>
      <c r="M3092" s="42" t="s">
        <v>253</v>
      </c>
      <c r="N3092" s="41">
        <v>45084</v>
      </c>
      <c r="O3092" s="25">
        <v>413</v>
      </c>
      <c r="P3092" s="25">
        <v>0</v>
      </c>
      <c r="Q3092" s="25"/>
      <c r="R3092" s="25"/>
      <c r="S3092" s="25"/>
      <c r="T3092" s="10"/>
    </row>
    <row r="3093" s="35" customFormat="1" ht="18.5" customHeight="1" spans="1:20">
      <c r="A3093" s="9"/>
      <c r="B3093" s="25"/>
      <c r="C3093" s="25"/>
      <c r="D3093" s="25"/>
      <c r="E3093" s="25"/>
      <c r="F3093" s="25"/>
      <c r="G3093" s="25"/>
      <c r="H3093" s="25"/>
      <c r="I3093" s="25"/>
      <c r="J3093" s="25"/>
      <c r="K3093" s="25"/>
      <c r="L3093" s="25"/>
      <c r="M3093" s="42" t="s">
        <v>253</v>
      </c>
      <c r="N3093" s="41">
        <v>45084</v>
      </c>
      <c r="O3093" s="25">
        <v>163</v>
      </c>
      <c r="P3093" s="25">
        <v>0</v>
      </c>
      <c r="Q3093" s="25"/>
      <c r="R3093" s="25"/>
      <c r="S3093" s="25"/>
      <c r="T3093" s="10"/>
    </row>
    <row r="3094" s="35" customFormat="1" ht="18.5" customHeight="1" spans="1:20">
      <c r="A3094" s="9"/>
      <c r="B3094" s="25"/>
      <c r="C3094" s="25"/>
      <c r="D3094" s="25"/>
      <c r="E3094" s="25"/>
      <c r="F3094" s="25"/>
      <c r="G3094" s="25"/>
      <c r="H3094" s="25"/>
      <c r="I3094" s="25"/>
      <c r="J3094" s="25"/>
      <c r="K3094" s="25"/>
      <c r="L3094" s="25"/>
      <c r="M3094" s="42" t="s">
        <v>253</v>
      </c>
      <c r="N3094" s="41">
        <v>45083</v>
      </c>
      <c r="O3094" s="25">
        <v>124</v>
      </c>
      <c r="P3094" s="25">
        <v>0</v>
      </c>
      <c r="Q3094" s="25"/>
      <c r="R3094" s="25"/>
      <c r="S3094" s="25"/>
      <c r="T3094" s="10"/>
    </row>
    <row r="3095" s="35" customFormat="1" ht="18.5" customHeight="1" spans="1:20">
      <c r="A3095" s="9"/>
      <c r="B3095" s="25"/>
      <c r="C3095" s="25"/>
      <c r="D3095" s="25"/>
      <c r="E3095" s="25"/>
      <c r="F3095" s="25"/>
      <c r="G3095" s="25"/>
      <c r="H3095" s="25"/>
      <c r="I3095" s="25"/>
      <c r="J3095" s="25"/>
      <c r="K3095" s="25"/>
      <c r="L3095" s="25"/>
      <c r="M3095" s="42" t="s">
        <v>253</v>
      </c>
      <c r="N3095" s="41">
        <v>45083</v>
      </c>
      <c r="O3095" s="25">
        <v>111</v>
      </c>
      <c r="P3095" s="25">
        <v>0</v>
      </c>
      <c r="Q3095" s="25"/>
      <c r="R3095" s="25"/>
      <c r="S3095" s="25"/>
      <c r="T3095" s="10"/>
    </row>
    <row r="3096" s="35" customFormat="1" ht="18.5" customHeight="1" spans="1:20">
      <c r="A3096" s="9"/>
      <c r="B3096" s="25"/>
      <c r="C3096" s="25"/>
      <c r="D3096" s="25"/>
      <c r="E3096" s="25"/>
      <c r="F3096" s="25"/>
      <c r="G3096" s="25"/>
      <c r="H3096" s="25"/>
      <c r="I3096" s="25"/>
      <c r="J3096" s="25"/>
      <c r="K3096" s="25"/>
      <c r="L3096" s="25"/>
      <c r="M3096" s="42" t="s">
        <v>253</v>
      </c>
      <c r="N3096" s="41">
        <v>45083</v>
      </c>
      <c r="O3096" s="25">
        <v>173</v>
      </c>
      <c r="P3096" s="25">
        <v>0</v>
      </c>
      <c r="Q3096" s="25"/>
      <c r="R3096" s="25"/>
      <c r="S3096" s="25"/>
      <c r="T3096" s="10"/>
    </row>
    <row r="3097" s="35" customFormat="1" ht="18.5" customHeight="1" spans="1:20">
      <c r="A3097" s="9"/>
      <c r="B3097" s="25"/>
      <c r="C3097" s="25"/>
      <c r="D3097" s="25"/>
      <c r="E3097" s="25"/>
      <c r="F3097" s="25"/>
      <c r="G3097" s="25"/>
      <c r="H3097" s="25"/>
      <c r="I3097" s="25"/>
      <c r="J3097" s="25"/>
      <c r="K3097" s="25"/>
      <c r="L3097" s="25"/>
      <c r="M3097" s="42" t="s">
        <v>253</v>
      </c>
      <c r="N3097" s="41">
        <v>45082</v>
      </c>
      <c r="O3097" s="25">
        <v>145</v>
      </c>
      <c r="P3097" s="25">
        <v>0</v>
      </c>
      <c r="Q3097" s="25"/>
      <c r="R3097" s="25"/>
      <c r="S3097" s="25"/>
      <c r="T3097" s="10"/>
    </row>
    <row r="3098" s="35" customFormat="1" ht="18.5" customHeight="1" spans="1:20">
      <c r="A3098" s="9"/>
      <c r="B3098" s="25"/>
      <c r="C3098" s="25"/>
      <c r="D3098" s="25"/>
      <c r="E3098" s="25"/>
      <c r="F3098" s="25"/>
      <c r="G3098" s="25"/>
      <c r="H3098" s="25"/>
      <c r="I3098" s="25"/>
      <c r="J3098" s="25"/>
      <c r="K3098" s="25"/>
      <c r="L3098" s="25"/>
      <c r="M3098" s="42" t="s">
        <v>253</v>
      </c>
      <c r="N3098" s="41">
        <v>45082</v>
      </c>
      <c r="O3098" s="25">
        <v>64</v>
      </c>
      <c r="P3098" s="25">
        <v>0</v>
      </c>
      <c r="Q3098" s="25"/>
      <c r="R3098" s="25"/>
      <c r="S3098" s="25"/>
      <c r="T3098" s="10"/>
    </row>
    <row r="3099" s="35" customFormat="1" ht="18.5" customHeight="1" spans="1:20">
      <c r="A3099" s="9"/>
      <c r="B3099" s="25"/>
      <c r="C3099" s="25"/>
      <c r="D3099" s="25"/>
      <c r="E3099" s="25"/>
      <c r="F3099" s="25"/>
      <c r="G3099" s="25"/>
      <c r="H3099" s="25"/>
      <c r="I3099" s="25"/>
      <c r="J3099" s="25"/>
      <c r="K3099" s="25"/>
      <c r="L3099" s="25"/>
      <c r="M3099" s="42" t="s">
        <v>253</v>
      </c>
      <c r="N3099" s="41">
        <v>45082</v>
      </c>
      <c r="O3099" s="25">
        <v>182</v>
      </c>
      <c r="P3099" s="25">
        <v>0</v>
      </c>
      <c r="Q3099" s="25"/>
      <c r="R3099" s="25"/>
      <c r="S3099" s="25"/>
      <c r="T3099" s="10"/>
    </row>
    <row r="3100" s="35" customFormat="1" ht="18.5" customHeight="1" spans="1:20">
      <c r="A3100" s="9"/>
      <c r="B3100" s="25"/>
      <c r="C3100" s="25"/>
      <c r="D3100" s="25"/>
      <c r="E3100" s="25"/>
      <c r="F3100" s="25"/>
      <c r="G3100" s="25"/>
      <c r="H3100" s="25"/>
      <c r="I3100" s="25"/>
      <c r="J3100" s="25"/>
      <c r="K3100" s="25"/>
      <c r="L3100" s="25"/>
      <c r="M3100" s="42" t="s">
        <v>253</v>
      </c>
      <c r="N3100" s="41">
        <v>45081</v>
      </c>
      <c r="O3100" s="25">
        <v>102</v>
      </c>
      <c r="P3100" s="25">
        <v>0</v>
      </c>
      <c r="Q3100" s="25"/>
      <c r="R3100" s="25"/>
      <c r="S3100" s="25"/>
      <c r="T3100" s="10"/>
    </row>
    <row r="3101" s="35" customFormat="1" ht="18.5" customHeight="1" spans="1:20">
      <c r="A3101" s="9"/>
      <c r="B3101" s="25"/>
      <c r="C3101" s="25"/>
      <c r="D3101" s="25"/>
      <c r="E3101" s="25"/>
      <c r="F3101" s="25"/>
      <c r="G3101" s="25"/>
      <c r="H3101" s="25"/>
      <c r="I3101" s="25"/>
      <c r="J3101" s="25"/>
      <c r="K3101" s="25"/>
      <c r="L3101" s="25"/>
      <c r="M3101" s="42" t="s">
        <v>253</v>
      </c>
      <c r="N3101" s="41">
        <v>45016</v>
      </c>
      <c r="O3101" s="25">
        <v>563</v>
      </c>
      <c r="P3101" s="25">
        <v>0</v>
      </c>
      <c r="Q3101" s="25"/>
      <c r="R3101" s="25"/>
      <c r="S3101" s="25"/>
      <c r="T3101" s="10"/>
    </row>
    <row r="3102" s="35" customFormat="1" ht="18.5" customHeight="1" spans="1:20">
      <c r="A3102" s="9"/>
      <c r="B3102" s="25"/>
      <c r="C3102" s="25"/>
      <c r="D3102" s="25"/>
      <c r="E3102" s="25"/>
      <c r="F3102" s="25"/>
      <c r="G3102" s="25"/>
      <c r="H3102" s="25"/>
      <c r="I3102" s="25"/>
      <c r="J3102" s="25"/>
      <c r="K3102" s="25"/>
      <c r="L3102" s="25"/>
      <c r="M3102" s="42" t="s">
        <v>253</v>
      </c>
      <c r="N3102" s="41">
        <v>45080</v>
      </c>
      <c r="O3102" s="25">
        <v>90</v>
      </c>
      <c r="P3102" s="25">
        <v>0</v>
      </c>
      <c r="Q3102" s="25"/>
      <c r="R3102" s="25"/>
      <c r="S3102" s="25"/>
      <c r="T3102" s="10"/>
    </row>
    <row r="3103" s="35" customFormat="1" ht="18.5" customHeight="1" spans="1:20">
      <c r="A3103" s="9"/>
      <c r="B3103" s="25"/>
      <c r="C3103" s="25"/>
      <c r="D3103" s="25"/>
      <c r="E3103" s="25"/>
      <c r="F3103" s="25"/>
      <c r="G3103" s="25"/>
      <c r="H3103" s="25"/>
      <c r="I3103" s="25"/>
      <c r="J3103" s="25"/>
      <c r="K3103" s="25"/>
      <c r="L3103" s="25"/>
      <c r="M3103" s="42" t="s">
        <v>253</v>
      </c>
      <c r="N3103" s="41">
        <v>45079</v>
      </c>
      <c r="O3103" s="25">
        <v>421</v>
      </c>
      <c r="P3103" s="25">
        <v>0</v>
      </c>
      <c r="Q3103" s="25"/>
      <c r="R3103" s="25"/>
      <c r="S3103" s="25"/>
      <c r="T3103" s="10"/>
    </row>
    <row r="3104" s="35" customFormat="1" ht="18.5" customHeight="1" spans="1:20">
      <c r="A3104" s="9"/>
      <c r="B3104" s="25"/>
      <c r="C3104" s="25"/>
      <c r="D3104" s="25"/>
      <c r="E3104" s="25"/>
      <c r="F3104" s="25"/>
      <c r="G3104" s="25"/>
      <c r="H3104" s="25"/>
      <c r="I3104" s="25"/>
      <c r="J3104" s="25"/>
      <c r="K3104" s="25"/>
      <c r="L3104" s="25"/>
      <c r="M3104" s="42" t="s">
        <v>253</v>
      </c>
      <c r="N3104" s="41">
        <v>45079</v>
      </c>
      <c r="O3104" s="25">
        <v>224</v>
      </c>
      <c r="P3104" s="25">
        <v>0</v>
      </c>
      <c r="Q3104" s="25"/>
      <c r="R3104" s="25"/>
      <c r="S3104" s="25"/>
      <c r="T3104" s="10"/>
    </row>
    <row r="3105" s="35" customFormat="1" ht="18.5" customHeight="1" spans="1:20">
      <c r="A3105" s="9"/>
      <c r="B3105" s="25"/>
      <c r="C3105" s="25"/>
      <c r="D3105" s="25"/>
      <c r="E3105" s="25"/>
      <c r="F3105" s="25"/>
      <c r="G3105" s="25"/>
      <c r="H3105" s="25"/>
      <c r="I3105" s="25"/>
      <c r="J3105" s="25"/>
      <c r="K3105" s="25"/>
      <c r="L3105" s="25"/>
      <c r="M3105" s="42" t="s">
        <v>253</v>
      </c>
      <c r="N3105" s="41">
        <v>45079</v>
      </c>
      <c r="O3105" s="25">
        <v>181</v>
      </c>
      <c r="P3105" s="25">
        <v>0</v>
      </c>
      <c r="Q3105" s="25"/>
      <c r="R3105" s="25"/>
      <c r="S3105" s="25"/>
      <c r="T3105" s="10"/>
    </row>
    <row r="3106" s="35" customFormat="1" ht="18.5" customHeight="1" spans="1:20">
      <c r="A3106" s="9"/>
      <c r="B3106" s="25"/>
      <c r="C3106" s="25"/>
      <c r="D3106" s="25"/>
      <c r="E3106" s="25"/>
      <c r="F3106" s="25"/>
      <c r="G3106" s="25"/>
      <c r="H3106" s="25"/>
      <c r="I3106" s="25"/>
      <c r="J3106" s="25"/>
      <c r="K3106" s="25"/>
      <c r="L3106" s="25"/>
      <c r="M3106" s="42" t="s">
        <v>253</v>
      </c>
      <c r="N3106" s="41">
        <v>45079</v>
      </c>
      <c r="O3106" s="25">
        <v>665</v>
      </c>
      <c r="P3106" s="25">
        <v>0</v>
      </c>
      <c r="Q3106" s="25"/>
      <c r="R3106" s="25"/>
      <c r="S3106" s="25"/>
      <c r="T3106" s="10"/>
    </row>
    <row r="3107" s="35" customFormat="1" ht="18.5" customHeight="1" spans="1:20">
      <c r="A3107" s="9"/>
      <c r="B3107" s="25"/>
      <c r="C3107" s="25"/>
      <c r="D3107" s="25"/>
      <c r="E3107" s="25"/>
      <c r="F3107" s="25"/>
      <c r="G3107" s="25"/>
      <c r="H3107" s="25"/>
      <c r="I3107" s="25"/>
      <c r="J3107" s="25"/>
      <c r="K3107" s="25"/>
      <c r="L3107" s="25"/>
      <c r="M3107" s="42" t="s">
        <v>253</v>
      </c>
      <c r="N3107" s="41">
        <v>45079</v>
      </c>
      <c r="O3107" s="25">
        <v>212</v>
      </c>
      <c r="P3107" s="25">
        <v>0</v>
      </c>
      <c r="Q3107" s="25"/>
      <c r="R3107" s="25"/>
      <c r="S3107" s="25"/>
      <c r="T3107" s="10"/>
    </row>
    <row r="3108" s="35" customFormat="1" ht="18.5" customHeight="1" spans="1:20">
      <c r="A3108" s="9"/>
      <c r="B3108" s="25"/>
      <c r="C3108" s="25"/>
      <c r="D3108" s="25"/>
      <c r="E3108" s="25"/>
      <c r="F3108" s="25"/>
      <c r="G3108" s="25"/>
      <c r="H3108" s="25"/>
      <c r="I3108" s="25"/>
      <c r="J3108" s="25"/>
      <c r="K3108" s="25"/>
      <c r="L3108" s="25"/>
      <c r="M3108" s="42" t="s">
        <v>253</v>
      </c>
      <c r="N3108" s="41">
        <v>45079</v>
      </c>
      <c r="O3108" s="25">
        <v>250</v>
      </c>
      <c r="P3108" s="25">
        <v>0</v>
      </c>
      <c r="Q3108" s="25"/>
      <c r="R3108" s="25"/>
      <c r="S3108" s="25"/>
      <c r="T3108" s="10"/>
    </row>
    <row r="3109" s="35" customFormat="1" ht="18.5" customHeight="1" spans="1:20">
      <c r="A3109" s="9"/>
      <c r="B3109" s="25"/>
      <c r="C3109" s="25"/>
      <c r="D3109" s="25"/>
      <c r="E3109" s="25"/>
      <c r="F3109" s="25"/>
      <c r="G3109" s="25"/>
      <c r="H3109" s="25"/>
      <c r="I3109" s="25"/>
      <c r="J3109" s="25"/>
      <c r="K3109" s="25"/>
      <c r="L3109" s="25"/>
      <c r="M3109" s="42" t="s">
        <v>253</v>
      </c>
      <c r="N3109" s="41">
        <v>45079</v>
      </c>
      <c r="O3109" s="25">
        <v>287</v>
      </c>
      <c r="P3109" s="25">
        <v>0</v>
      </c>
      <c r="Q3109" s="25"/>
      <c r="R3109" s="25"/>
      <c r="S3109" s="25"/>
      <c r="T3109" s="10"/>
    </row>
    <row r="3110" s="35" customFormat="1" ht="18.5" customHeight="1" spans="1:20">
      <c r="A3110" s="9"/>
      <c r="B3110" s="25"/>
      <c r="C3110" s="25"/>
      <c r="D3110" s="25"/>
      <c r="E3110" s="25"/>
      <c r="F3110" s="25"/>
      <c r="G3110" s="25"/>
      <c r="H3110" s="25"/>
      <c r="I3110" s="25"/>
      <c r="J3110" s="25"/>
      <c r="K3110" s="25"/>
      <c r="L3110" s="25"/>
      <c r="M3110" s="42" t="s">
        <v>253</v>
      </c>
      <c r="N3110" s="41">
        <v>45078</v>
      </c>
      <c r="O3110" s="25">
        <v>391</v>
      </c>
      <c r="P3110" s="25">
        <v>0</v>
      </c>
      <c r="Q3110" s="25"/>
      <c r="R3110" s="25"/>
      <c r="S3110" s="25"/>
      <c r="T3110" s="10"/>
    </row>
    <row r="3111" s="35" customFormat="1" ht="18.5" customHeight="1" spans="1:20">
      <c r="A3111" s="9"/>
      <c r="B3111" s="25"/>
      <c r="C3111" s="25"/>
      <c r="D3111" s="25"/>
      <c r="E3111" s="25"/>
      <c r="F3111" s="25"/>
      <c r="G3111" s="25"/>
      <c r="H3111" s="25"/>
      <c r="I3111" s="25"/>
      <c r="J3111" s="25"/>
      <c r="K3111" s="25"/>
      <c r="L3111" s="25"/>
      <c r="M3111" s="42" t="s">
        <v>253</v>
      </c>
      <c r="N3111" s="41">
        <v>45078</v>
      </c>
      <c r="O3111" s="25">
        <v>1819</v>
      </c>
      <c r="P3111" s="25">
        <v>0</v>
      </c>
      <c r="Q3111" s="25"/>
      <c r="R3111" s="25"/>
      <c r="S3111" s="25"/>
      <c r="T3111" s="10"/>
    </row>
    <row r="3112" s="35" customFormat="1" ht="18.5" customHeight="1" spans="1:20">
      <c r="A3112" s="9"/>
      <c r="B3112" s="25"/>
      <c r="C3112" s="25"/>
      <c r="D3112" s="25"/>
      <c r="E3112" s="25"/>
      <c r="F3112" s="25"/>
      <c r="G3112" s="25"/>
      <c r="H3112" s="25"/>
      <c r="I3112" s="25"/>
      <c r="J3112" s="25"/>
      <c r="K3112" s="25"/>
      <c r="L3112" s="25"/>
      <c r="M3112" s="42" t="s">
        <v>253</v>
      </c>
      <c r="N3112" s="41">
        <v>45078</v>
      </c>
      <c r="O3112" s="25">
        <v>160</v>
      </c>
      <c r="P3112" s="25">
        <v>0</v>
      </c>
      <c r="Q3112" s="25"/>
      <c r="R3112" s="25"/>
      <c r="S3112" s="25"/>
      <c r="T3112" s="10"/>
    </row>
    <row r="3113" s="35" customFormat="1" ht="18.5" customHeight="1" spans="1:20">
      <c r="A3113" s="9"/>
      <c r="B3113" s="25"/>
      <c r="C3113" s="25"/>
      <c r="D3113" s="25"/>
      <c r="E3113" s="25"/>
      <c r="F3113" s="25"/>
      <c r="G3113" s="25"/>
      <c r="H3113" s="25"/>
      <c r="I3113" s="25"/>
      <c r="J3113" s="25"/>
      <c r="K3113" s="25"/>
      <c r="L3113" s="25"/>
      <c r="M3113" s="42" t="s">
        <v>253</v>
      </c>
      <c r="N3113" s="41">
        <v>45078</v>
      </c>
      <c r="O3113" s="25">
        <v>178</v>
      </c>
      <c r="P3113" s="25">
        <v>0</v>
      </c>
      <c r="Q3113" s="25"/>
      <c r="R3113" s="25"/>
      <c r="S3113" s="25"/>
      <c r="T3113" s="10"/>
    </row>
    <row r="3114" s="35" customFormat="1" ht="18.5" customHeight="1" spans="1:20">
      <c r="A3114" s="9"/>
      <c r="B3114" s="25"/>
      <c r="C3114" s="25"/>
      <c r="D3114" s="25"/>
      <c r="E3114" s="25"/>
      <c r="F3114" s="25"/>
      <c r="G3114" s="25"/>
      <c r="H3114" s="25"/>
      <c r="I3114" s="25"/>
      <c r="J3114" s="25"/>
      <c r="K3114" s="25"/>
      <c r="L3114" s="25"/>
      <c r="M3114" s="42" t="s">
        <v>253</v>
      </c>
      <c r="N3114" s="41">
        <v>45078</v>
      </c>
      <c r="O3114" s="25">
        <v>320</v>
      </c>
      <c r="P3114" s="25">
        <v>0</v>
      </c>
      <c r="Q3114" s="25"/>
      <c r="R3114" s="25"/>
      <c r="S3114" s="25"/>
      <c r="T3114" s="10"/>
    </row>
    <row r="3115" s="35" customFormat="1" ht="18.5" customHeight="1" spans="1:20">
      <c r="A3115" s="9"/>
      <c r="B3115" s="25"/>
      <c r="C3115" s="25"/>
      <c r="D3115" s="25"/>
      <c r="E3115" s="25"/>
      <c r="F3115" s="25"/>
      <c r="G3115" s="25"/>
      <c r="H3115" s="25"/>
      <c r="I3115" s="25"/>
      <c r="J3115" s="25"/>
      <c r="K3115" s="25"/>
      <c r="L3115" s="25"/>
      <c r="M3115" s="42" t="s">
        <v>253</v>
      </c>
      <c r="N3115" s="41">
        <v>45078</v>
      </c>
      <c r="O3115" s="25">
        <v>1118</v>
      </c>
      <c r="P3115" s="25">
        <v>0</v>
      </c>
      <c r="Q3115" s="25"/>
      <c r="R3115" s="25"/>
      <c r="S3115" s="25"/>
      <c r="T3115" s="10"/>
    </row>
    <row r="3116" s="35" customFormat="1" ht="18.5" customHeight="1" spans="1:20">
      <c r="A3116" s="9"/>
      <c r="B3116" s="25"/>
      <c r="C3116" s="25"/>
      <c r="D3116" s="25"/>
      <c r="E3116" s="25"/>
      <c r="F3116" s="25"/>
      <c r="G3116" s="25"/>
      <c r="H3116" s="25"/>
      <c r="I3116" s="25"/>
      <c r="J3116" s="25"/>
      <c r="K3116" s="25"/>
      <c r="L3116" s="25"/>
      <c r="M3116" s="42" t="s">
        <v>253</v>
      </c>
      <c r="N3116" s="41">
        <v>45078</v>
      </c>
      <c r="O3116" s="25">
        <v>91</v>
      </c>
      <c r="P3116" s="25">
        <v>0</v>
      </c>
      <c r="Q3116" s="25"/>
      <c r="R3116" s="25"/>
      <c r="S3116" s="25"/>
      <c r="T3116" s="10"/>
    </row>
    <row r="3117" s="35" customFormat="1" ht="18.5" customHeight="1" spans="1:20">
      <c r="A3117" s="9"/>
      <c r="B3117" s="25"/>
      <c r="C3117" s="25"/>
      <c r="D3117" s="25"/>
      <c r="E3117" s="25"/>
      <c r="F3117" s="25"/>
      <c r="G3117" s="25"/>
      <c r="H3117" s="25"/>
      <c r="I3117" s="25"/>
      <c r="J3117" s="25"/>
      <c r="K3117" s="25"/>
      <c r="L3117" s="25"/>
      <c r="M3117" s="42" t="s">
        <v>253</v>
      </c>
      <c r="N3117" s="41">
        <v>45078</v>
      </c>
      <c r="O3117" s="25">
        <v>115</v>
      </c>
      <c r="P3117" s="25">
        <v>0</v>
      </c>
      <c r="Q3117" s="25"/>
      <c r="R3117" s="25"/>
      <c r="S3117" s="25"/>
      <c r="T3117" s="10"/>
    </row>
    <row r="3118" s="35" customFormat="1" ht="18.5" customHeight="1" spans="1:20">
      <c r="A3118" s="9"/>
      <c r="B3118" s="25"/>
      <c r="C3118" s="25"/>
      <c r="D3118" s="25"/>
      <c r="E3118" s="25"/>
      <c r="F3118" s="25"/>
      <c r="G3118" s="25"/>
      <c r="H3118" s="25"/>
      <c r="I3118" s="25"/>
      <c r="J3118" s="25"/>
      <c r="K3118" s="25"/>
      <c r="L3118" s="25"/>
      <c r="M3118" s="42" t="s">
        <v>253</v>
      </c>
      <c r="N3118" s="41">
        <v>45077</v>
      </c>
      <c r="O3118" s="25">
        <v>116</v>
      </c>
      <c r="P3118" s="25">
        <v>0</v>
      </c>
      <c r="Q3118" s="25"/>
      <c r="R3118" s="25"/>
      <c r="S3118" s="25"/>
      <c r="T3118" s="10"/>
    </row>
    <row r="3119" s="35" customFormat="1" ht="18.5" customHeight="1" spans="1:20">
      <c r="A3119" s="9"/>
      <c r="B3119" s="25"/>
      <c r="C3119" s="25"/>
      <c r="D3119" s="25"/>
      <c r="E3119" s="25"/>
      <c r="F3119" s="25"/>
      <c r="G3119" s="25"/>
      <c r="H3119" s="25"/>
      <c r="I3119" s="25"/>
      <c r="J3119" s="25"/>
      <c r="K3119" s="25"/>
      <c r="L3119" s="25"/>
      <c r="M3119" s="42" t="s">
        <v>253</v>
      </c>
      <c r="N3119" s="41">
        <v>45077</v>
      </c>
      <c r="O3119" s="25">
        <v>219</v>
      </c>
      <c r="P3119" s="25">
        <v>0</v>
      </c>
      <c r="Q3119" s="25"/>
      <c r="R3119" s="25"/>
      <c r="S3119" s="25"/>
      <c r="T3119" s="10"/>
    </row>
    <row r="3120" s="35" customFormat="1" ht="18.5" customHeight="1" spans="1:20">
      <c r="A3120" s="9"/>
      <c r="B3120" s="25"/>
      <c r="C3120" s="25"/>
      <c r="D3120" s="25"/>
      <c r="E3120" s="25"/>
      <c r="F3120" s="25"/>
      <c r="G3120" s="25"/>
      <c r="H3120" s="25"/>
      <c r="I3120" s="25"/>
      <c r="J3120" s="25"/>
      <c r="K3120" s="25"/>
      <c r="L3120" s="25"/>
      <c r="M3120" s="42" t="s">
        <v>253</v>
      </c>
      <c r="N3120" s="41">
        <v>45076</v>
      </c>
      <c r="O3120" s="25">
        <v>117</v>
      </c>
      <c r="P3120" s="25">
        <v>0</v>
      </c>
      <c r="Q3120" s="25"/>
      <c r="R3120" s="25"/>
      <c r="S3120" s="25"/>
      <c r="T3120" s="10"/>
    </row>
    <row r="3121" s="35" customFormat="1" ht="18.5" customHeight="1" spans="1:20">
      <c r="A3121" s="9"/>
      <c r="B3121" s="25"/>
      <c r="C3121" s="25"/>
      <c r="D3121" s="25"/>
      <c r="E3121" s="25"/>
      <c r="F3121" s="25"/>
      <c r="G3121" s="25"/>
      <c r="H3121" s="25"/>
      <c r="I3121" s="25"/>
      <c r="J3121" s="25"/>
      <c r="K3121" s="25"/>
      <c r="L3121" s="25"/>
      <c r="M3121" s="42" t="s">
        <v>253</v>
      </c>
      <c r="N3121" s="41">
        <v>45076</v>
      </c>
      <c r="O3121" s="25">
        <v>286</v>
      </c>
      <c r="P3121" s="25">
        <v>0</v>
      </c>
      <c r="Q3121" s="25"/>
      <c r="R3121" s="25"/>
      <c r="S3121" s="25"/>
      <c r="T3121" s="10"/>
    </row>
    <row r="3122" s="35" customFormat="1" ht="18.5" customHeight="1" spans="1:20">
      <c r="A3122" s="9"/>
      <c r="B3122" s="25"/>
      <c r="C3122" s="25"/>
      <c r="D3122" s="25"/>
      <c r="E3122" s="25"/>
      <c r="F3122" s="25"/>
      <c r="G3122" s="25"/>
      <c r="H3122" s="25"/>
      <c r="I3122" s="25"/>
      <c r="J3122" s="25"/>
      <c r="K3122" s="25"/>
      <c r="L3122" s="25"/>
      <c r="M3122" s="42" t="s">
        <v>253</v>
      </c>
      <c r="N3122" s="41">
        <v>45076</v>
      </c>
      <c r="O3122" s="25">
        <v>80</v>
      </c>
      <c r="P3122" s="25">
        <v>0</v>
      </c>
      <c r="Q3122" s="25"/>
      <c r="R3122" s="25"/>
      <c r="S3122" s="25"/>
      <c r="T3122" s="10"/>
    </row>
    <row r="3123" s="35" customFormat="1" ht="18.5" customHeight="1" spans="1:20">
      <c r="A3123" s="9"/>
      <c r="B3123" s="25"/>
      <c r="C3123" s="25"/>
      <c r="D3123" s="25"/>
      <c r="E3123" s="25"/>
      <c r="F3123" s="25"/>
      <c r="G3123" s="25"/>
      <c r="H3123" s="25"/>
      <c r="I3123" s="25"/>
      <c r="J3123" s="25"/>
      <c r="K3123" s="25"/>
      <c r="L3123" s="25"/>
      <c r="M3123" s="42" t="s">
        <v>253</v>
      </c>
      <c r="N3123" s="41">
        <v>45076</v>
      </c>
      <c r="O3123" s="25">
        <v>117</v>
      </c>
      <c r="P3123" s="25">
        <v>0</v>
      </c>
      <c r="Q3123" s="25"/>
      <c r="R3123" s="25"/>
      <c r="S3123" s="25"/>
      <c r="T3123" s="10"/>
    </row>
    <row r="3124" s="35" customFormat="1" ht="18.5" customHeight="1" spans="1:20">
      <c r="A3124" s="9"/>
      <c r="B3124" s="25"/>
      <c r="C3124" s="25"/>
      <c r="D3124" s="25"/>
      <c r="E3124" s="25"/>
      <c r="F3124" s="25"/>
      <c r="G3124" s="25"/>
      <c r="H3124" s="25"/>
      <c r="I3124" s="25"/>
      <c r="J3124" s="25"/>
      <c r="K3124" s="25"/>
      <c r="L3124" s="25"/>
      <c r="M3124" s="42" t="s">
        <v>253</v>
      </c>
      <c r="N3124" s="41">
        <v>45075</v>
      </c>
      <c r="O3124" s="25">
        <v>127</v>
      </c>
      <c r="P3124" s="25">
        <v>0</v>
      </c>
      <c r="Q3124" s="25"/>
      <c r="R3124" s="25"/>
      <c r="S3124" s="25"/>
      <c r="T3124" s="10"/>
    </row>
    <row r="3125" s="35" customFormat="1" ht="18.5" customHeight="1" spans="1:20">
      <c r="A3125" s="9"/>
      <c r="B3125" s="25"/>
      <c r="C3125" s="25"/>
      <c r="D3125" s="25"/>
      <c r="E3125" s="25"/>
      <c r="F3125" s="25"/>
      <c r="G3125" s="25"/>
      <c r="H3125" s="25"/>
      <c r="I3125" s="25"/>
      <c r="J3125" s="25"/>
      <c r="K3125" s="25"/>
      <c r="L3125" s="25"/>
      <c r="M3125" s="42" t="s">
        <v>253</v>
      </c>
      <c r="N3125" s="41">
        <v>45075</v>
      </c>
      <c r="O3125" s="25">
        <v>94</v>
      </c>
      <c r="P3125" s="25">
        <v>0</v>
      </c>
      <c r="Q3125" s="25"/>
      <c r="R3125" s="25"/>
      <c r="S3125" s="25"/>
      <c r="T3125" s="10"/>
    </row>
    <row r="3126" s="35" customFormat="1" ht="18.5" customHeight="1" spans="1:20">
      <c r="A3126" s="9"/>
      <c r="B3126" s="25"/>
      <c r="C3126" s="25"/>
      <c r="D3126" s="25"/>
      <c r="E3126" s="25"/>
      <c r="F3126" s="25"/>
      <c r="G3126" s="25"/>
      <c r="H3126" s="25"/>
      <c r="I3126" s="25"/>
      <c r="J3126" s="25"/>
      <c r="K3126" s="25"/>
      <c r="L3126" s="25"/>
      <c r="M3126" s="42" t="s">
        <v>253</v>
      </c>
      <c r="N3126" s="41">
        <v>45075</v>
      </c>
      <c r="O3126" s="25">
        <v>240</v>
      </c>
      <c r="P3126" s="25">
        <v>0</v>
      </c>
      <c r="Q3126" s="25"/>
      <c r="R3126" s="25"/>
      <c r="S3126" s="25"/>
      <c r="T3126" s="10"/>
    </row>
    <row r="3127" s="35" customFormat="1" ht="18.5" customHeight="1" spans="1:20">
      <c r="A3127" s="9"/>
      <c r="B3127" s="25"/>
      <c r="C3127" s="25"/>
      <c r="D3127" s="25"/>
      <c r="E3127" s="25"/>
      <c r="F3127" s="25"/>
      <c r="G3127" s="25"/>
      <c r="H3127" s="25"/>
      <c r="I3127" s="25"/>
      <c r="J3127" s="25"/>
      <c r="K3127" s="25"/>
      <c r="L3127" s="25"/>
      <c r="M3127" s="42" t="s">
        <v>253</v>
      </c>
      <c r="N3127" s="41">
        <v>45075</v>
      </c>
      <c r="O3127" s="25">
        <v>111</v>
      </c>
      <c r="P3127" s="25">
        <v>0</v>
      </c>
      <c r="Q3127" s="25"/>
      <c r="R3127" s="25"/>
      <c r="S3127" s="25"/>
      <c r="T3127" s="10"/>
    </row>
    <row r="3128" s="35" customFormat="1" ht="18.5" customHeight="1" spans="1:20">
      <c r="A3128" s="9"/>
      <c r="B3128" s="25"/>
      <c r="C3128" s="25"/>
      <c r="D3128" s="25"/>
      <c r="E3128" s="25"/>
      <c r="F3128" s="25"/>
      <c r="G3128" s="25"/>
      <c r="H3128" s="25"/>
      <c r="I3128" s="25"/>
      <c r="J3128" s="25"/>
      <c r="K3128" s="25"/>
      <c r="L3128" s="25"/>
      <c r="M3128" s="42" t="s">
        <v>253</v>
      </c>
      <c r="N3128" s="41">
        <v>45075</v>
      </c>
      <c r="O3128" s="25">
        <v>169</v>
      </c>
      <c r="P3128" s="25">
        <v>0</v>
      </c>
      <c r="Q3128" s="25"/>
      <c r="R3128" s="25"/>
      <c r="S3128" s="25"/>
      <c r="T3128" s="10"/>
    </row>
    <row r="3129" s="35" customFormat="1" ht="18.5" customHeight="1" spans="1:20">
      <c r="A3129" s="9"/>
      <c r="B3129" s="25"/>
      <c r="C3129" s="25"/>
      <c r="D3129" s="25"/>
      <c r="E3129" s="25"/>
      <c r="F3129" s="25"/>
      <c r="G3129" s="25"/>
      <c r="H3129" s="25"/>
      <c r="I3129" s="25"/>
      <c r="J3129" s="25"/>
      <c r="K3129" s="25"/>
      <c r="L3129" s="25"/>
      <c r="M3129" s="42" t="s">
        <v>253</v>
      </c>
      <c r="N3129" s="41">
        <v>45075</v>
      </c>
      <c r="O3129" s="25">
        <v>180</v>
      </c>
      <c r="P3129" s="25">
        <v>0</v>
      </c>
      <c r="Q3129" s="25"/>
      <c r="R3129" s="25"/>
      <c r="S3129" s="25"/>
      <c r="T3129" s="10"/>
    </row>
    <row r="3130" s="35" customFormat="1" ht="18.5" customHeight="1" spans="1:20">
      <c r="A3130" s="9"/>
      <c r="B3130" s="25"/>
      <c r="C3130" s="25"/>
      <c r="D3130" s="25"/>
      <c r="E3130" s="25"/>
      <c r="F3130" s="25"/>
      <c r="G3130" s="25"/>
      <c r="H3130" s="25"/>
      <c r="I3130" s="25"/>
      <c r="J3130" s="25"/>
      <c r="K3130" s="25"/>
      <c r="L3130" s="25"/>
      <c r="M3130" s="42" t="s">
        <v>253</v>
      </c>
      <c r="N3130" s="41">
        <v>45075</v>
      </c>
      <c r="O3130" s="25">
        <v>266</v>
      </c>
      <c r="P3130" s="25">
        <v>0</v>
      </c>
      <c r="Q3130" s="25"/>
      <c r="R3130" s="25"/>
      <c r="S3130" s="25"/>
      <c r="T3130" s="10"/>
    </row>
    <row r="3131" s="35" customFormat="1" ht="18.5" customHeight="1" spans="1:20">
      <c r="A3131" s="9"/>
      <c r="B3131" s="25"/>
      <c r="C3131" s="25"/>
      <c r="D3131" s="25"/>
      <c r="E3131" s="25"/>
      <c r="F3131" s="25"/>
      <c r="G3131" s="25"/>
      <c r="H3131" s="25"/>
      <c r="I3131" s="25"/>
      <c r="J3131" s="25"/>
      <c r="K3131" s="25"/>
      <c r="L3131" s="25"/>
      <c r="M3131" s="42" t="s">
        <v>253</v>
      </c>
      <c r="N3131" s="41">
        <v>45074</v>
      </c>
      <c r="O3131" s="25">
        <v>103</v>
      </c>
      <c r="P3131" s="25">
        <v>0</v>
      </c>
      <c r="Q3131" s="25"/>
      <c r="R3131" s="25"/>
      <c r="S3131" s="25"/>
      <c r="T3131" s="10"/>
    </row>
    <row r="3132" s="35" customFormat="1" ht="18.5" customHeight="1" spans="1:20">
      <c r="A3132" s="9"/>
      <c r="B3132" s="25"/>
      <c r="C3132" s="25"/>
      <c r="D3132" s="25"/>
      <c r="E3132" s="25"/>
      <c r="F3132" s="25"/>
      <c r="G3132" s="25"/>
      <c r="H3132" s="25"/>
      <c r="I3132" s="25"/>
      <c r="J3132" s="25"/>
      <c r="K3132" s="25"/>
      <c r="L3132" s="25"/>
      <c r="M3132" s="42" t="s">
        <v>253</v>
      </c>
      <c r="N3132" s="41">
        <v>45074</v>
      </c>
      <c r="O3132" s="25">
        <v>755</v>
      </c>
      <c r="P3132" s="25">
        <v>0</v>
      </c>
      <c r="Q3132" s="25"/>
      <c r="R3132" s="25"/>
      <c r="S3132" s="25"/>
      <c r="T3132" s="10"/>
    </row>
    <row r="3133" s="35" customFormat="1" ht="18.5" customHeight="1" spans="1:20">
      <c r="A3133" s="9"/>
      <c r="B3133" s="25"/>
      <c r="C3133" s="25"/>
      <c r="D3133" s="25"/>
      <c r="E3133" s="25"/>
      <c r="F3133" s="25"/>
      <c r="G3133" s="25"/>
      <c r="H3133" s="25"/>
      <c r="I3133" s="25"/>
      <c r="J3133" s="25"/>
      <c r="K3133" s="25"/>
      <c r="L3133" s="25"/>
      <c r="M3133" s="42" t="s">
        <v>253</v>
      </c>
      <c r="N3133" s="41">
        <v>45074</v>
      </c>
      <c r="O3133" s="25">
        <v>1162</v>
      </c>
      <c r="P3133" s="25">
        <v>0</v>
      </c>
      <c r="Q3133" s="25"/>
      <c r="R3133" s="25"/>
      <c r="S3133" s="25"/>
      <c r="T3133" s="10"/>
    </row>
    <row r="3134" s="35" customFormat="1" ht="18.5" customHeight="1" spans="1:20">
      <c r="A3134" s="9"/>
      <c r="B3134" s="25"/>
      <c r="C3134" s="25"/>
      <c r="D3134" s="25"/>
      <c r="E3134" s="25"/>
      <c r="F3134" s="25"/>
      <c r="G3134" s="25"/>
      <c r="H3134" s="25"/>
      <c r="I3134" s="25"/>
      <c r="J3134" s="25"/>
      <c r="K3134" s="25"/>
      <c r="L3134" s="25"/>
      <c r="M3134" s="42" t="s">
        <v>253</v>
      </c>
      <c r="N3134" s="41">
        <v>45074</v>
      </c>
      <c r="O3134" s="25">
        <v>117</v>
      </c>
      <c r="P3134" s="25">
        <v>0</v>
      </c>
      <c r="Q3134" s="25"/>
      <c r="R3134" s="25"/>
      <c r="S3134" s="25"/>
      <c r="T3134" s="10"/>
    </row>
    <row r="3135" s="35" customFormat="1" ht="18.5" customHeight="1" spans="1:20">
      <c r="A3135" s="9"/>
      <c r="B3135" s="25"/>
      <c r="C3135" s="25"/>
      <c r="D3135" s="25"/>
      <c r="E3135" s="25"/>
      <c r="F3135" s="25"/>
      <c r="G3135" s="25"/>
      <c r="H3135" s="25"/>
      <c r="I3135" s="25"/>
      <c r="J3135" s="25"/>
      <c r="K3135" s="25"/>
      <c r="L3135" s="25"/>
      <c r="M3135" s="42" t="s">
        <v>253</v>
      </c>
      <c r="N3135" s="41">
        <v>45074</v>
      </c>
      <c r="O3135" s="25">
        <v>132</v>
      </c>
      <c r="P3135" s="25">
        <v>0</v>
      </c>
      <c r="Q3135" s="25"/>
      <c r="R3135" s="25"/>
      <c r="S3135" s="25"/>
      <c r="T3135" s="10"/>
    </row>
    <row r="3136" s="35" customFormat="1" ht="18.5" customHeight="1" spans="1:20">
      <c r="A3136" s="9"/>
      <c r="B3136" s="25"/>
      <c r="C3136" s="25"/>
      <c r="D3136" s="25"/>
      <c r="E3136" s="25"/>
      <c r="F3136" s="25"/>
      <c r="G3136" s="25"/>
      <c r="H3136" s="25"/>
      <c r="I3136" s="25"/>
      <c r="J3136" s="25"/>
      <c r="K3136" s="25"/>
      <c r="L3136" s="25"/>
      <c r="M3136" s="42" t="s">
        <v>253</v>
      </c>
      <c r="N3136" s="41">
        <v>45074</v>
      </c>
      <c r="O3136" s="25">
        <v>269</v>
      </c>
      <c r="P3136" s="25">
        <v>0</v>
      </c>
      <c r="Q3136" s="25"/>
      <c r="R3136" s="25"/>
      <c r="S3136" s="25"/>
      <c r="T3136" s="10"/>
    </row>
    <row r="3137" s="35" customFormat="1" ht="18.5" customHeight="1" spans="1:20">
      <c r="A3137" s="9"/>
      <c r="B3137" s="25"/>
      <c r="C3137" s="25"/>
      <c r="D3137" s="25"/>
      <c r="E3137" s="25"/>
      <c r="F3137" s="25"/>
      <c r="G3137" s="25"/>
      <c r="H3137" s="25"/>
      <c r="I3137" s="25"/>
      <c r="J3137" s="25"/>
      <c r="K3137" s="25"/>
      <c r="L3137" s="25"/>
      <c r="M3137" s="42" t="s">
        <v>253</v>
      </c>
      <c r="N3137" s="41">
        <v>45073</v>
      </c>
      <c r="O3137" s="25">
        <v>339</v>
      </c>
      <c r="P3137" s="25">
        <v>0</v>
      </c>
      <c r="Q3137" s="25"/>
      <c r="R3137" s="25"/>
      <c r="S3137" s="25"/>
      <c r="T3137" s="10"/>
    </row>
    <row r="3138" s="35" customFormat="1" ht="18.5" customHeight="1" spans="1:20">
      <c r="A3138" s="9"/>
      <c r="B3138" s="25"/>
      <c r="C3138" s="25"/>
      <c r="D3138" s="25"/>
      <c r="E3138" s="25"/>
      <c r="F3138" s="25"/>
      <c r="G3138" s="25"/>
      <c r="H3138" s="25"/>
      <c r="I3138" s="25"/>
      <c r="J3138" s="25"/>
      <c r="K3138" s="25"/>
      <c r="L3138" s="25"/>
      <c r="M3138" s="42" t="s">
        <v>253</v>
      </c>
      <c r="N3138" s="41">
        <v>45073</v>
      </c>
      <c r="O3138" s="25">
        <v>139</v>
      </c>
      <c r="P3138" s="25">
        <v>0</v>
      </c>
      <c r="Q3138" s="25"/>
      <c r="R3138" s="25"/>
      <c r="S3138" s="25"/>
      <c r="T3138" s="10"/>
    </row>
    <row r="3139" s="35" customFormat="1" ht="18.5" customHeight="1" spans="1:20">
      <c r="A3139" s="9"/>
      <c r="B3139" s="25"/>
      <c r="C3139" s="25"/>
      <c r="D3139" s="25"/>
      <c r="E3139" s="25"/>
      <c r="F3139" s="25"/>
      <c r="G3139" s="25"/>
      <c r="H3139" s="25"/>
      <c r="I3139" s="25"/>
      <c r="J3139" s="25"/>
      <c r="K3139" s="25"/>
      <c r="L3139" s="25"/>
      <c r="M3139" s="42" t="s">
        <v>253</v>
      </c>
      <c r="N3139" s="41">
        <v>45073</v>
      </c>
      <c r="O3139" s="25">
        <v>80</v>
      </c>
      <c r="P3139" s="25">
        <v>0</v>
      </c>
      <c r="Q3139" s="25"/>
      <c r="R3139" s="25"/>
      <c r="S3139" s="25"/>
      <c r="T3139" s="10"/>
    </row>
    <row r="3140" s="35" customFormat="1" ht="18.5" customHeight="1" spans="1:20">
      <c r="A3140" s="9"/>
      <c r="B3140" s="25"/>
      <c r="C3140" s="25"/>
      <c r="D3140" s="25"/>
      <c r="E3140" s="25"/>
      <c r="F3140" s="25"/>
      <c r="G3140" s="25"/>
      <c r="H3140" s="25"/>
      <c r="I3140" s="25"/>
      <c r="J3140" s="25"/>
      <c r="K3140" s="25"/>
      <c r="L3140" s="25"/>
      <c r="M3140" s="42" t="s">
        <v>253</v>
      </c>
      <c r="N3140" s="41">
        <v>45072</v>
      </c>
      <c r="O3140" s="25">
        <v>153</v>
      </c>
      <c r="P3140" s="25">
        <v>0</v>
      </c>
      <c r="Q3140" s="25"/>
      <c r="R3140" s="25"/>
      <c r="S3140" s="25"/>
      <c r="T3140" s="10"/>
    </row>
    <row r="3141" s="35" customFormat="1" ht="18.5" customHeight="1" spans="1:20">
      <c r="A3141" s="9"/>
      <c r="B3141" s="25"/>
      <c r="C3141" s="25"/>
      <c r="D3141" s="25"/>
      <c r="E3141" s="25"/>
      <c r="F3141" s="25"/>
      <c r="G3141" s="25"/>
      <c r="H3141" s="25"/>
      <c r="I3141" s="25"/>
      <c r="J3141" s="25"/>
      <c r="K3141" s="25"/>
      <c r="L3141" s="25"/>
      <c r="M3141" s="42" t="s">
        <v>253</v>
      </c>
      <c r="N3141" s="41">
        <v>45072</v>
      </c>
      <c r="O3141" s="25">
        <v>172</v>
      </c>
      <c r="P3141" s="25">
        <v>0</v>
      </c>
      <c r="Q3141" s="25"/>
      <c r="R3141" s="25"/>
      <c r="S3141" s="25"/>
      <c r="T3141" s="10"/>
    </row>
    <row r="3142" s="35" customFormat="1" ht="18.5" customHeight="1" spans="1:20">
      <c r="A3142" s="9"/>
      <c r="B3142" s="25"/>
      <c r="C3142" s="25"/>
      <c r="D3142" s="25"/>
      <c r="E3142" s="25"/>
      <c r="F3142" s="25"/>
      <c r="G3142" s="25"/>
      <c r="H3142" s="25"/>
      <c r="I3142" s="25"/>
      <c r="J3142" s="25"/>
      <c r="K3142" s="25"/>
      <c r="L3142" s="25"/>
      <c r="M3142" s="42" t="s">
        <v>253</v>
      </c>
      <c r="N3142" s="41">
        <v>45072</v>
      </c>
      <c r="O3142" s="25">
        <v>211</v>
      </c>
      <c r="P3142" s="25">
        <v>0</v>
      </c>
      <c r="Q3142" s="25"/>
      <c r="R3142" s="25"/>
      <c r="S3142" s="25"/>
      <c r="T3142" s="10"/>
    </row>
    <row r="3143" s="35" customFormat="1" ht="18.5" customHeight="1" spans="1:20">
      <c r="A3143" s="9"/>
      <c r="B3143" s="25"/>
      <c r="C3143" s="25"/>
      <c r="D3143" s="25"/>
      <c r="E3143" s="25"/>
      <c r="F3143" s="25"/>
      <c r="G3143" s="25"/>
      <c r="H3143" s="25"/>
      <c r="I3143" s="25"/>
      <c r="J3143" s="25"/>
      <c r="K3143" s="25"/>
      <c r="L3143" s="25"/>
      <c r="M3143" s="42" t="s">
        <v>253</v>
      </c>
      <c r="N3143" s="41">
        <v>45072</v>
      </c>
      <c r="O3143" s="25">
        <v>307</v>
      </c>
      <c r="P3143" s="25">
        <v>0</v>
      </c>
      <c r="Q3143" s="25"/>
      <c r="R3143" s="25"/>
      <c r="S3143" s="25"/>
      <c r="T3143" s="10"/>
    </row>
    <row r="3144" s="35" customFormat="1" ht="18.5" customHeight="1" spans="1:20">
      <c r="A3144" s="9"/>
      <c r="B3144" s="25"/>
      <c r="C3144" s="25"/>
      <c r="D3144" s="25"/>
      <c r="E3144" s="25"/>
      <c r="F3144" s="25"/>
      <c r="G3144" s="25"/>
      <c r="H3144" s="25"/>
      <c r="I3144" s="25"/>
      <c r="J3144" s="25"/>
      <c r="K3144" s="25"/>
      <c r="L3144" s="25"/>
      <c r="M3144" s="42" t="s">
        <v>253</v>
      </c>
      <c r="N3144" s="41">
        <v>45071</v>
      </c>
      <c r="O3144" s="25">
        <v>208</v>
      </c>
      <c r="P3144" s="25">
        <v>0</v>
      </c>
      <c r="Q3144" s="25"/>
      <c r="R3144" s="25"/>
      <c r="S3144" s="25"/>
      <c r="T3144" s="10"/>
    </row>
    <row r="3145" s="35" customFormat="1" ht="18.5" customHeight="1" spans="1:20">
      <c r="A3145" s="9"/>
      <c r="B3145" s="25"/>
      <c r="C3145" s="25"/>
      <c r="D3145" s="25"/>
      <c r="E3145" s="25"/>
      <c r="F3145" s="25"/>
      <c r="G3145" s="25"/>
      <c r="H3145" s="25"/>
      <c r="I3145" s="25"/>
      <c r="J3145" s="25"/>
      <c r="K3145" s="25"/>
      <c r="L3145" s="25"/>
      <c r="M3145" s="42" t="s">
        <v>253</v>
      </c>
      <c r="N3145" s="41">
        <v>45071</v>
      </c>
      <c r="O3145" s="25">
        <v>120</v>
      </c>
      <c r="P3145" s="25">
        <v>0</v>
      </c>
      <c r="Q3145" s="25"/>
      <c r="R3145" s="25"/>
      <c r="S3145" s="25"/>
      <c r="T3145" s="10"/>
    </row>
    <row r="3146" s="35" customFormat="1" ht="18.5" customHeight="1" spans="1:20">
      <c r="A3146" s="9"/>
      <c r="B3146" s="25"/>
      <c r="C3146" s="25"/>
      <c r="D3146" s="25"/>
      <c r="E3146" s="25"/>
      <c r="F3146" s="25"/>
      <c r="G3146" s="25"/>
      <c r="H3146" s="25"/>
      <c r="I3146" s="25"/>
      <c r="J3146" s="25"/>
      <c r="K3146" s="25"/>
      <c r="L3146" s="25"/>
      <c r="M3146" s="42" t="s">
        <v>253</v>
      </c>
      <c r="N3146" s="41">
        <v>45071</v>
      </c>
      <c r="O3146" s="25">
        <v>417</v>
      </c>
      <c r="P3146" s="25">
        <v>0</v>
      </c>
      <c r="Q3146" s="25"/>
      <c r="R3146" s="25"/>
      <c r="S3146" s="25"/>
      <c r="T3146" s="10"/>
    </row>
    <row r="3147" s="35" customFormat="1" ht="18.5" customHeight="1" spans="1:20">
      <c r="A3147" s="9"/>
      <c r="B3147" s="25"/>
      <c r="C3147" s="25"/>
      <c r="D3147" s="25"/>
      <c r="E3147" s="25"/>
      <c r="F3147" s="25"/>
      <c r="G3147" s="25"/>
      <c r="H3147" s="25"/>
      <c r="I3147" s="25"/>
      <c r="J3147" s="25"/>
      <c r="K3147" s="25"/>
      <c r="L3147" s="25"/>
      <c r="M3147" s="42" t="s">
        <v>253</v>
      </c>
      <c r="N3147" s="41">
        <v>45070</v>
      </c>
      <c r="O3147" s="25">
        <v>100</v>
      </c>
      <c r="P3147" s="25">
        <v>0</v>
      </c>
      <c r="Q3147" s="25"/>
      <c r="R3147" s="25"/>
      <c r="S3147" s="25"/>
      <c r="T3147" s="10"/>
    </row>
    <row r="3148" s="35" customFormat="1" ht="18.5" customHeight="1" spans="1:20">
      <c r="A3148" s="9"/>
      <c r="B3148" s="25"/>
      <c r="C3148" s="25"/>
      <c r="D3148" s="25"/>
      <c r="E3148" s="25"/>
      <c r="F3148" s="25"/>
      <c r="G3148" s="25"/>
      <c r="H3148" s="25"/>
      <c r="I3148" s="25"/>
      <c r="J3148" s="25"/>
      <c r="K3148" s="25"/>
      <c r="L3148" s="25"/>
      <c r="M3148" s="42" t="s">
        <v>253</v>
      </c>
      <c r="N3148" s="41">
        <v>45070</v>
      </c>
      <c r="O3148" s="25">
        <v>78</v>
      </c>
      <c r="P3148" s="25">
        <v>0</v>
      </c>
      <c r="Q3148" s="25"/>
      <c r="R3148" s="25"/>
      <c r="S3148" s="25"/>
      <c r="T3148" s="10"/>
    </row>
    <row r="3149" s="35" customFormat="1" ht="18.5" customHeight="1" spans="1:20">
      <c r="A3149" s="9"/>
      <c r="B3149" s="25"/>
      <c r="C3149" s="25"/>
      <c r="D3149" s="25"/>
      <c r="E3149" s="25"/>
      <c r="F3149" s="25"/>
      <c r="G3149" s="25"/>
      <c r="H3149" s="25"/>
      <c r="I3149" s="25"/>
      <c r="J3149" s="25"/>
      <c r="K3149" s="25"/>
      <c r="L3149" s="25"/>
      <c r="M3149" s="42" t="s">
        <v>253</v>
      </c>
      <c r="N3149" s="41">
        <v>45070</v>
      </c>
      <c r="O3149" s="25">
        <v>96</v>
      </c>
      <c r="P3149" s="25">
        <v>0</v>
      </c>
      <c r="Q3149" s="25"/>
      <c r="R3149" s="25"/>
      <c r="S3149" s="25"/>
      <c r="T3149" s="10"/>
    </row>
    <row r="3150" s="35" customFormat="1" ht="18.5" customHeight="1" spans="1:20">
      <c r="A3150" s="9"/>
      <c r="B3150" s="25"/>
      <c r="C3150" s="25"/>
      <c r="D3150" s="25"/>
      <c r="E3150" s="25"/>
      <c r="F3150" s="25"/>
      <c r="G3150" s="25"/>
      <c r="H3150" s="25"/>
      <c r="I3150" s="25"/>
      <c r="J3150" s="25"/>
      <c r="K3150" s="25"/>
      <c r="L3150" s="25"/>
      <c r="M3150" s="42" t="s">
        <v>253</v>
      </c>
      <c r="N3150" s="41">
        <v>45069</v>
      </c>
      <c r="O3150" s="25">
        <v>151</v>
      </c>
      <c r="P3150" s="25">
        <v>0</v>
      </c>
      <c r="Q3150" s="25"/>
      <c r="R3150" s="25"/>
      <c r="S3150" s="25"/>
      <c r="T3150" s="10"/>
    </row>
    <row r="3151" s="35" customFormat="1" ht="18.5" customHeight="1" spans="1:20">
      <c r="A3151" s="9"/>
      <c r="B3151" s="25"/>
      <c r="C3151" s="25"/>
      <c r="D3151" s="25"/>
      <c r="E3151" s="25"/>
      <c r="F3151" s="25"/>
      <c r="G3151" s="25"/>
      <c r="H3151" s="25"/>
      <c r="I3151" s="25"/>
      <c r="J3151" s="25"/>
      <c r="K3151" s="25"/>
      <c r="L3151" s="25"/>
      <c r="M3151" s="42" t="s">
        <v>253</v>
      </c>
      <c r="N3151" s="41">
        <v>45069</v>
      </c>
      <c r="O3151" s="25">
        <v>97</v>
      </c>
      <c r="P3151" s="25">
        <v>0</v>
      </c>
      <c r="Q3151" s="25"/>
      <c r="R3151" s="25"/>
      <c r="S3151" s="25"/>
      <c r="T3151" s="10"/>
    </row>
    <row r="3152" s="35" customFormat="1" ht="18.5" customHeight="1" spans="1:20">
      <c r="A3152" s="9"/>
      <c r="B3152" s="25"/>
      <c r="C3152" s="25"/>
      <c r="D3152" s="25"/>
      <c r="E3152" s="25"/>
      <c r="F3152" s="25"/>
      <c r="G3152" s="25"/>
      <c r="H3152" s="25"/>
      <c r="I3152" s="25"/>
      <c r="J3152" s="25"/>
      <c r="K3152" s="25"/>
      <c r="L3152" s="25"/>
      <c r="M3152" s="42" t="s">
        <v>253</v>
      </c>
      <c r="N3152" s="41">
        <v>45069</v>
      </c>
      <c r="O3152" s="25">
        <v>196</v>
      </c>
      <c r="P3152" s="25">
        <v>0</v>
      </c>
      <c r="Q3152" s="25"/>
      <c r="R3152" s="25"/>
      <c r="S3152" s="25"/>
      <c r="T3152" s="10"/>
    </row>
    <row r="3153" s="35" customFormat="1" ht="18.5" customHeight="1" spans="1:20">
      <c r="A3153" s="9"/>
      <c r="B3153" s="25"/>
      <c r="C3153" s="25"/>
      <c r="D3153" s="25"/>
      <c r="E3153" s="25"/>
      <c r="F3153" s="25"/>
      <c r="G3153" s="25"/>
      <c r="H3153" s="25"/>
      <c r="I3153" s="25"/>
      <c r="J3153" s="25"/>
      <c r="K3153" s="25"/>
      <c r="L3153" s="25"/>
      <c r="M3153" s="42" t="s">
        <v>253</v>
      </c>
      <c r="N3153" s="41">
        <v>45069</v>
      </c>
      <c r="O3153" s="25">
        <v>177</v>
      </c>
      <c r="P3153" s="25">
        <v>0</v>
      </c>
      <c r="Q3153" s="25"/>
      <c r="R3153" s="25"/>
      <c r="S3153" s="25"/>
      <c r="T3153" s="10"/>
    </row>
    <row r="3154" s="35" customFormat="1" ht="18.5" customHeight="1" spans="1:20">
      <c r="A3154" s="9"/>
      <c r="B3154" s="25"/>
      <c r="C3154" s="25"/>
      <c r="D3154" s="25"/>
      <c r="E3154" s="25"/>
      <c r="F3154" s="25"/>
      <c r="G3154" s="25"/>
      <c r="H3154" s="25"/>
      <c r="I3154" s="25"/>
      <c r="J3154" s="25"/>
      <c r="K3154" s="25"/>
      <c r="L3154" s="25"/>
      <c r="M3154" s="42" t="s">
        <v>253</v>
      </c>
      <c r="N3154" s="41">
        <v>45069</v>
      </c>
      <c r="O3154" s="25">
        <v>133</v>
      </c>
      <c r="P3154" s="25">
        <v>0</v>
      </c>
      <c r="Q3154" s="25"/>
      <c r="R3154" s="25"/>
      <c r="S3154" s="25"/>
      <c r="T3154" s="10"/>
    </row>
    <row r="3155" s="35" customFormat="1" ht="18.5" customHeight="1" spans="1:20">
      <c r="A3155" s="9"/>
      <c r="B3155" s="25"/>
      <c r="C3155" s="25"/>
      <c r="D3155" s="25"/>
      <c r="E3155" s="25"/>
      <c r="F3155" s="25"/>
      <c r="G3155" s="25"/>
      <c r="H3155" s="25"/>
      <c r="I3155" s="25"/>
      <c r="J3155" s="25"/>
      <c r="K3155" s="25"/>
      <c r="L3155" s="25"/>
      <c r="M3155" s="42" t="s">
        <v>253</v>
      </c>
      <c r="N3155" s="41">
        <v>45068</v>
      </c>
      <c r="O3155" s="25">
        <v>678</v>
      </c>
      <c r="P3155" s="25">
        <v>0</v>
      </c>
      <c r="Q3155" s="25"/>
      <c r="R3155" s="25"/>
      <c r="S3155" s="25"/>
      <c r="T3155" s="10"/>
    </row>
    <row r="3156" s="35" customFormat="1" ht="18.5" customHeight="1" spans="1:20">
      <c r="A3156" s="9"/>
      <c r="B3156" s="25"/>
      <c r="C3156" s="25"/>
      <c r="D3156" s="25"/>
      <c r="E3156" s="25"/>
      <c r="F3156" s="25"/>
      <c r="G3156" s="25"/>
      <c r="H3156" s="25"/>
      <c r="I3156" s="25"/>
      <c r="J3156" s="25"/>
      <c r="K3156" s="25"/>
      <c r="L3156" s="25"/>
      <c r="M3156" s="42" t="s">
        <v>253</v>
      </c>
      <c r="N3156" s="41">
        <v>45069</v>
      </c>
      <c r="O3156" s="25">
        <v>147</v>
      </c>
      <c r="P3156" s="25">
        <v>0</v>
      </c>
      <c r="Q3156" s="25"/>
      <c r="R3156" s="25"/>
      <c r="S3156" s="25"/>
      <c r="T3156" s="10"/>
    </row>
    <row r="3157" s="35" customFormat="1" ht="18.5" customHeight="1" spans="1:20">
      <c r="A3157" s="9"/>
      <c r="B3157" s="25"/>
      <c r="C3157" s="25"/>
      <c r="D3157" s="25"/>
      <c r="E3157" s="25"/>
      <c r="F3157" s="25"/>
      <c r="G3157" s="25"/>
      <c r="H3157" s="25"/>
      <c r="I3157" s="25"/>
      <c r="J3157" s="25"/>
      <c r="K3157" s="25"/>
      <c r="L3157" s="25"/>
      <c r="M3157" s="42" t="s">
        <v>253</v>
      </c>
      <c r="N3157" s="41">
        <v>45069</v>
      </c>
      <c r="O3157" s="25">
        <v>100</v>
      </c>
      <c r="P3157" s="25">
        <v>0</v>
      </c>
      <c r="Q3157" s="25"/>
      <c r="R3157" s="25"/>
      <c r="S3157" s="25"/>
      <c r="T3157" s="10"/>
    </row>
    <row r="3158" s="35" customFormat="1" ht="18.5" customHeight="1" spans="1:20">
      <c r="A3158" s="9"/>
      <c r="B3158" s="25"/>
      <c r="C3158" s="25"/>
      <c r="D3158" s="25"/>
      <c r="E3158" s="25"/>
      <c r="F3158" s="25"/>
      <c r="G3158" s="25"/>
      <c r="H3158" s="25"/>
      <c r="I3158" s="25"/>
      <c r="J3158" s="25"/>
      <c r="K3158" s="25"/>
      <c r="L3158" s="25"/>
      <c r="M3158" s="42" t="s">
        <v>253</v>
      </c>
      <c r="N3158" s="41">
        <v>45069</v>
      </c>
      <c r="O3158" s="25">
        <v>597</v>
      </c>
      <c r="P3158" s="25">
        <v>0</v>
      </c>
      <c r="Q3158" s="25"/>
      <c r="R3158" s="25"/>
      <c r="S3158" s="25"/>
      <c r="T3158" s="10"/>
    </row>
    <row r="3159" s="35" customFormat="1" ht="18.5" customHeight="1" spans="1:20">
      <c r="A3159" s="9"/>
      <c r="B3159" s="25"/>
      <c r="C3159" s="25"/>
      <c r="D3159" s="25"/>
      <c r="E3159" s="25"/>
      <c r="F3159" s="25"/>
      <c r="G3159" s="25"/>
      <c r="H3159" s="25"/>
      <c r="I3159" s="25"/>
      <c r="J3159" s="25"/>
      <c r="K3159" s="25"/>
      <c r="L3159" s="25"/>
      <c r="M3159" s="42" t="s">
        <v>253</v>
      </c>
      <c r="N3159" s="41">
        <v>45068</v>
      </c>
      <c r="O3159" s="25">
        <v>142</v>
      </c>
      <c r="P3159" s="25">
        <v>0</v>
      </c>
      <c r="Q3159" s="25"/>
      <c r="R3159" s="25"/>
      <c r="S3159" s="25"/>
      <c r="T3159" s="10"/>
    </row>
    <row r="3160" s="35" customFormat="1" ht="18.5" customHeight="1" spans="1:20">
      <c r="A3160" s="9"/>
      <c r="B3160" s="25"/>
      <c r="C3160" s="25"/>
      <c r="D3160" s="25"/>
      <c r="E3160" s="25"/>
      <c r="F3160" s="25"/>
      <c r="G3160" s="25"/>
      <c r="H3160" s="25"/>
      <c r="I3160" s="25"/>
      <c r="J3160" s="25"/>
      <c r="K3160" s="25"/>
      <c r="L3160" s="25"/>
      <c r="M3160" s="42" t="s">
        <v>253</v>
      </c>
      <c r="N3160" s="41">
        <v>45068</v>
      </c>
      <c r="O3160" s="25">
        <v>116</v>
      </c>
      <c r="P3160" s="25">
        <v>0</v>
      </c>
      <c r="Q3160" s="25"/>
      <c r="R3160" s="25"/>
      <c r="S3160" s="25"/>
      <c r="T3160" s="10"/>
    </row>
    <row r="3161" s="35" customFormat="1" ht="18.5" customHeight="1" spans="1:20">
      <c r="A3161" s="9"/>
      <c r="B3161" s="25"/>
      <c r="C3161" s="25"/>
      <c r="D3161" s="25"/>
      <c r="E3161" s="25"/>
      <c r="F3161" s="25"/>
      <c r="G3161" s="25"/>
      <c r="H3161" s="25"/>
      <c r="I3161" s="25"/>
      <c r="J3161" s="25"/>
      <c r="K3161" s="25"/>
      <c r="L3161" s="25"/>
      <c r="M3161" s="42" t="s">
        <v>253</v>
      </c>
      <c r="N3161" s="41">
        <v>45068</v>
      </c>
      <c r="O3161" s="25">
        <v>141</v>
      </c>
      <c r="P3161" s="25">
        <v>0</v>
      </c>
      <c r="Q3161" s="25"/>
      <c r="R3161" s="25"/>
      <c r="S3161" s="25"/>
      <c r="T3161" s="10"/>
    </row>
    <row r="3162" s="35" customFormat="1" ht="18.5" customHeight="1" spans="1:20">
      <c r="A3162" s="9"/>
      <c r="B3162" s="25"/>
      <c r="C3162" s="25"/>
      <c r="D3162" s="25"/>
      <c r="E3162" s="25"/>
      <c r="F3162" s="25"/>
      <c r="G3162" s="25"/>
      <c r="H3162" s="25"/>
      <c r="I3162" s="25"/>
      <c r="J3162" s="25"/>
      <c r="K3162" s="25"/>
      <c r="L3162" s="25"/>
      <c r="M3162" s="42" t="s">
        <v>253</v>
      </c>
      <c r="N3162" s="41">
        <v>45068</v>
      </c>
      <c r="O3162" s="25">
        <v>160</v>
      </c>
      <c r="P3162" s="25">
        <v>0</v>
      </c>
      <c r="Q3162" s="25"/>
      <c r="R3162" s="25"/>
      <c r="S3162" s="25"/>
      <c r="T3162" s="10"/>
    </row>
    <row r="3163" s="35" customFormat="1" ht="18.5" customHeight="1" spans="1:20">
      <c r="A3163" s="9"/>
      <c r="B3163" s="25"/>
      <c r="C3163" s="25"/>
      <c r="D3163" s="25"/>
      <c r="E3163" s="25"/>
      <c r="F3163" s="25"/>
      <c r="G3163" s="25"/>
      <c r="H3163" s="25"/>
      <c r="I3163" s="25"/>
      <c r="J3163" s="25"/>
      <c r="K3163" s="25"/>
      <c r="L3163" s="25"/>
      <c r="M3163" s="42" t="s">
        <v>253</v>
      </c>
      <c r="N3163" s="41">
        <v>45068</v>
      </c>
      <c r="O3163" s="25">
        <v>220</v>
      </c>
      <c r="P3163" s="25">
        <v>0</v>
      </c>
      <c r="Q3163" s="25"/>
      <c r="R3163" s="25"/>
      <c r="S3163" s="25"/>
      <c r="T3163" s="10"/>
    </row>
    <row r="3164" s="35" customFormat="1" ht="18.5" customHeight="1" spans="1:20">
      <c r="A3164" s="9"/>
      <c r="B3164" s="25"/>
      <c r="C3164" s="25"/>
      <c r="D3164" s="25"/>
      <c r="E3164" s="25"/>
      <c r="F3164" s="25"/>
      <c r="G3164" s="25"/>
      <c r="H3164" s="25"/>
      <c r="I3164" s="25"/>
      <c r="J3164" s="25"/>
      <c r="K3164" s="25"/>
      <c r="L3164" s="25"/>
      <c r="M3164" s="42" t="s">
        <v>253</v>
      </c>
      <c r="N3164" s="41">
        <v>45068</v>
      </c>
      <c r="O3164" s="25">
        <v>126</v>
      </c>
      <c r="P3164" s="25">
        <v>0</v>
      </c>
      <c r="Q3164" s="25"/>
      <c r="R3164" s="25"/>
      <c r="S3164" s="25"/>
      <c r="T3164" s="10"/>
    </row>
    <row r="3165" s="35" customFormat="1" ht="18.5" customHeight="1" spans="1:20">
      <c r="A3165" s="9"/>
      <c r="B3165" s="25"/>
      <c r="C3165" s="25"/>
      <c r="D3165" s="25"/>
      <c r="E3165" s="25"/>
      <c r="F3165" s="25"/>
      <c r="G3165" s="25"/>
      <c r="H3165" s="25"/>
      <c r="I3165" s="25"/>
      <c r="J3165" s="25"/>
      <c r="K3165" s="25"/>
      <c r="L3165" s="25"/>
      <c r="M3165" s="42" t="s">
        <v>253</v>
      </c>
      <c r="N3165" s="41">
        <v>45068</v>
      </c>
      <c r="O3165" s="25">
        <v>80</v>
      </c>
      <c r="P3165" s="25">
        <v>0</v>
      </c>
      <c r="Q3165" s="25"/>
      <c r="R3165" s="25"/>
      <c r="S3165" s="25"/>
      <c r="T3165" s="10"/>
    </row>
    <row r="3166" s="35" customFormat="1" ht="18.5" customHeight="1" spans="1:20">
      <c r="A3166" s="9"/>
      <c r="B3166" s="25"/>
      <c r="C3166" s="25"/>
      <c r="D3166" s="25"/>
      <c r="E3166" s="25"/>
      <c r="F3166" s="25"/>
      <c r="G3166" s="25"/>
      <c r="H3166" s="25"/>
      <c r="I3166" s="25"/>
      <c r="J3166" s="25"/>
      <c r="K3166" s="25"/>
      <c r="L3166" s="25"/>
      <c r="M3166" s="42" t="s">
        <v>253</v>
      </c>
      <c r="N3166" s="41">
        <v>45068</v>
      </c>
      <c r="O3166" s="25">
        <v>482</v>
      </c>
      <c r="P3166" s="25">
        <v>0</v>
      </c>
      <c r="Q3166" s="25"/>
      <c r="R3166" s="25"/>
      <c r="S3166" s="25"/>
      <c r="T3166" s="10"/>
    </row>
    <row r="3167" s="35" customFormat="1" ht="18.5" customHeight="1" spans="1:20">
      <c r="A3167" s="9"/>
      <c r="B3167" s="25"/>
      <c r="C3167" s="25"/>
      <c r="D3167" s="25"/>
      <c r="E3167" s="25"/>
      <c r="F3167" s="25"/>
      <c r="G3167" s="25"/>
      <c r="H3167" s="25"/>
      <c r="I3167" s="25"/>
      <c r="J3167" s="25"/>
      <c r="K3167" s="25"/>
      <c r="L3167" s="25"/>
      <c r="M3167" s="42" t="s">
        <v>253</v>
      </c>
      <c r="N3167" s="41">
        <v>45068</v>
      </c>
      <c r="O3167" s="25">
        <v>361</v>
      </c>
      <c r="P3167" s="25">
        <v>0</v>
      </c>
      <c r="Q3167" s="25"/>
      <c r="R3167" s="25"/>
      <c r="S3167" s="25"/>
      <c r="T3167" s="10"/>
    </row>
    <row r="3168" s="35" customFormat="1" ht="18.5" customHeight="1" spans="1:20">
      <c r="A3168" s="9"/>
      <c r="B3168" s="25"/>
      <c r="C3168" s="25"/>
      <c r="D3168" s="25"/>
      <c r="E3168" s="25"/>
      <c r="F3168" s="25"/>
      <c r="G3168" s="25"/>
      <c r="H3168" s="25"/>
      <c r="I3168" s="25"/>
      <c r="J3168" s="25"/>
      <c r="K3168" s="25"/>
      <c r="L3168" s="25"/>
      <c r="M3168" s="42" t="s">
        <v>253</v>
      </c>
      <c r="N3168" s="41">
        <v>45067</v>
      </c>
      <c r="O3168" s="25">
        <v>328</v>
      </c>
      <c r="P3168" s="25">
        <v>0</v>
      </c>
      <c r="Q3168" s="25"/>
      <c r="R3168" s="25"/>
      <c r="S3168" s="25"/>
      <c r="T3168" s="10"/>
    </row>
    <row r="3169" s="35" customFormat="1" ht="18.5" customHeight="1" spans="1:20">
      <c r="A3169" s="9"/>
      <c r="B3169" s="25"/>
      <c r="C3169" s="25"/>
      <c r="D3169" s="25"/>
      <c r="E3169" s="25"/>
      <c r="F3169" s="25"/>
      <c r="G3169" s="25"/>
      <c r="H3169" s="25"/>
      <c r="I3169" s="25"/>
      <c r="J3169" s="25"/>
      <c r="K3169" s="25"/>
      <c r="L3169" s="25"/>
      <c r="M3169" s="42" t="s">
        <v>253</v>
      </c>
      <c r="N3169" s="41">
        <v>45067</v>
      </c>
      <c r="O3169" s="25">
        <v>84</v>
      </c>
      <c r="P3169" s="25">
        <v>0</v>
      </c>
      <c r="Q3169" s="25"/>
      <c r="R3169" s="25"/>
      <c r="S3169" s="25"/>
      <c r="T3169" s="10"/>
    </row>
    <row r="3170" s="35" customFormat="1" ht="18.5" customHeight="1" spans="1:20">
      <c r="A3170" s="9"/>
      <c r="B3170" s="25"/>
      <c r="C3170" s="25"/>
      <c r="D3170" s="25"/>
      <c r="E3170" s="25"/>
      <c r="F3170" s="25"/>
      <c r="G3170" s="25"/>
      <c r="H3170" s="25"/>
      <c r="I3170" s="25"/>
      <c r="J3170" s="25"/>
      <c r="K3170" s="25"/>
      <c r="L3170" s="25"/>
      <c r="M3170" s="42" t="s">
        <v>253</v>
      </c>
      <c r="N3170" s="41">
        <v>45067</v>
      </c>
      <c r="O3170" s="25">
        <v>99</v>
      </c>
      <c r="P3170" s="25">
        <v>0</v>
      </c>
      <c r="Q3170" s="25"/>
      <c r="R3170" s="25"/>
      <c r="S3170" s="25"/>
      <c r="T3170" s="10"/>
    </row>
    <row r="3171" s="35" customFormat="1" ht="18.5" customHeight="1" spans="1:20">
      <c r="A3171" s="9"/>
      <c r="B3171" s="25"/>
      <c r="C3171" s="25"/>
      <c r="D3171" s="25"/>
      <c r="E3171" s="25"/>
      <c r="F3171" s="25"/>
      <c r="G3171" s="25"/>
      <c r="H3171" s="25"/>
      <c r="I3171" s="25"/>
      <c r="J3171" s="25"/>
      <c r="K3171" s="25"/>
      <c r="L3171" s="25"/>
      <c r="M3171" s="42" t="s">
        <v>253</v>
      </c>
      <c r="N3171" s="41">
        <v>45067</v>
      </c>
      <c r="O3171" s="25">
        <v>776</v>
      </c>
      <c r="P3171" s="25">
        <v>0</v>
      </c>
      <c r="Q3171" s="25"/>
      <c r="R3171" s="25"/>
      <c r="S3171" s="25"/>
      <c r="T3171" s="10"/>
    </row>
    <row r="3172" s="35" customFormat="1" ht="18.5" customHeight="1" spans="1:20">
      <c r="A3172" s="9"/>
      <c r="B3172" s="25"/>
      <c r="C3172" s="25"/>
      <c r="D3172" s="25"/>
      <c r="E3172" s="25"/>
      <c r="F3172" s="25"/>
      <c r="G3172" s="25"/>
      <c r="H3172" s="25"/>
      <c r="I3172" s="25"/>
      <c r="J3172" s="25"/>
      <c r="K3172" s="25"/>
      <c r="L3172" s="25"/>
      <c r="M3172" s="42" t="s">
        <v>253</v>
      </c>
      <c r="N3172" s="41">
        <v>45067</v>
      </c>
      <c r="O3172" s="25">
        <v>193</v>
      </c>
      <c r="P3172" s="25">
        <v>0</v>
      </c>
      <c r="Q3172" s="25"/>
      <c r="R3172" s="25"/>
      <c r="S3172" s="25"/>
      <c r="T3172" s="10"/>
    </row>
    <row r="3173" s="35" customFormat="1" ht="18.5" customHeight="1" spans="1:20">
      <c r="A3173" s="9"/>
      <c r="B3173" s="25"/>
      <c r="C3173" s="25"/>
      <c r="D3173" s="25"/>
      <c r="E3173" s="25"/>
      <c r="F3173" s="25"/>
      <c r="G3173" s="25"/>
      <c r="H3173" s="25"/>
      <c r="I3173" s="25"/>
      <c r="J3173" s="25"/>
      <c r="K3173" s="25"/>
      <c r="L3173" s="25"/>
      <c r="M3173" s="42" t="s">
        <v>253</v>
      </c>
      <c r="N3173" s="41">
        <v>45065</v>
      </c>
      <c r="O3173" s="25">
        <v>111</v>
      </c>
      <c r="P3173" s="25">
        <v>0</v>
      </c>
      <c r="Q3173" s="25"/>
      <c r="R3173" s="25"/>
      <c r="S3173" s="25"/>
      <c r="T3173" s="10"/>
    </row>
    <row r="3174" s="35" customFormat="1" ht="18.5" customHeight="1" spans="1:20">
      <c r="A3174" s="9"/>
      <c r="B3174" s="25"/>
      <c r="C3174" s="25"/>
      <c r="D3174" s="25"/>
      <c r="E3174" s="25"/>
      <c r="F3174" s="25"/>
      <c r="G3174" s="25"/>
      <c r="H3174" s="25"/>
      <c r="I3174" s="25"/>
      <c r="J3174" s="25"/>
      <c r="K3174" s="25"/>
      <c r="L3174" s="25"/>
      <c r="M3174" s="42" t="s">
        <v>253</v>
      </c>
      <c r="N3174" s="41">
        <v>45065</v>
      </c>
      <c r="O3174" s="25">
        <v>388</v>
      </c>
      <c r="P3174" s="25">
        <v>0</v>
      </c>
      <c r="Q3174" s="25"/>
      <c r="R3174" s="25"/>
      <c r="S3174" s="25"/>
      <c r="T3174" s="10"/>
    </row>
    <row r="3175" s="35" customFormat="1" ht="18.5" customHeight="1" spans="1:20">
      <c r="A3175" s="9"/>
      <c r="B3175" s="25"/>
      <c r="C3175" s="25"/>
      <c r="D3175" s="25"/>
      <c r="E3175" s="25"/>
      <c r="F3175" s="25"/>
      <c r="G3175" s="25"/>
      <c r="H3175" s="25"/>
      <c r="I3175" s="25"/>
      <c r="J3175" s="25"/>
      <c r="K3175" s="25"/>
      <c r="L3175" s="25"/>
      <c r="M3175" s="42" t="s">
        <v>253</v>
      </c>
      <c r="N3175" s="41">
        <v>45065</v>
      </c>
      <c r="O3175" s="25">
        <v>116</v>
      </c>
      <c r="P3175" s="25">
        <v>0</v>
      </c>
      <c r="Q3175" s="25"/>
      <c r="R3175" s="25"/>
      <c r="S3175" s="25"/>
      <c r="T3175" s="10"/>
    </row>
    <row r="3176" s="35" customFormat="1" ht="18.5" customHeight="1" spans="1:20">
      <c r="A3176" s="9"/>
      <c r="B3176" s="25"/>
      <c r="C3176" s="25"/>
      <c r="D3176" s="25"/>
      <c r="E3176" s="25"/>
      <c r="F3176" s="25"/>
      <c r="G3176" s="25"/>
      <c r="H3176" s="25"/>
      <c r="I3176" s="25"/>
      <c r="J3176" s="25"/>
      <c r="K3176" s="25"/>
      <c r="L3176" s="25"/>
      <c r="M3176" s="42" t="s">
        <v>253</v>
      </c>
      <c r="N3176" s="41">
        <v>45065</v>
      </c>
      <c r="O3176" s="25">
        <v>108</v>
      </c>
      <c r="P3176" s="25">
        <v>0</v>
      </c>
      <c r="Q3176" s="25"/>
      <c r="R3176" s="25"/>
      <c r="S3176" s="25"/>
      <c r="T3176" s="10"/>
    </row>
    <row r="3177" s="35" customFormat="1" ht="18.5" customHeight="1" spans="1:20">
      <c r="A3177" s="9"/>
      <c r="B3177" s="25"/>
      <c r="C3177" s="25"/>
      <c r="D3177" s="25"/>
      <c r="E3177" s="25"/>
      <c r="F3177" s="25"/>
      <c r="G3177" s="25"/>
      <c r="H3177" s="25"/>
      <c r="I3177" s="25"/>
      <c r="J3177" s="25"/>
      <c r="K3177" s="25"/>
      <c r="L3177" s="25"/>
      <c r="M3177" s="42" t="s">
        <v>253</v>
      </c>
      <c r="N3177" s="41">
        <v>45065</v>
      </c>
      <c r="O3177" s="25">
        <v>93</v>
      </c>
      <c r="P3177" s="25">
        <v>0</v>
      </c>
      <c r="Q3177" s="25"/>
      <c r="R3177" s="25"/>
      <c r="S3177" s="25"/>
      <c r="T3177" s="10"/>
    </row>
    <row r="3178" s="35" customFormat="1" ht="18.5" customHeight="1" spans="1:20">
      <c r="A3178" s="9"/>
      <c r="B3178" s="25"/>
      <c r="C3178" s="25"/>
      <c r="D3178" s="25"/>
      <c r="E3178" s="25"/>
      <c r="F3178" s="25"/>
      <c r="G3178" s="25"/>
      <c r="H3178" s="25"/>
      <c r="I3178" s="25"/>
      <c r="J3178" s="25"/>
      <c r="K3178" s="25"/>
      <c r="L3178" s="25"/>
      <c r="M3178" s="42" t="s">
        <v>253</v>
      </c>
      <c r="N3178" s="41">
        <v>45065</v>
      </c>
      <c r="O3178" s="25">
        <v>254</v>
      </c>
      <c r="P3178" s="25">
        <v>0</v>
      </c>
      <c r="Q3178" s="25"/>
      <c r="R3178" s="25"/>
      <c r="S3178" s="25"/>
      <c r="T3178" s="10"/>
    </row>
    <row r="3179" s="35" customFormat="1" ht="18.5" customHeight="1" spans="1:20">
      <c r="A3179" s="9"/>
      <c r="B3179" s="25"/>
      <c r="C3179" s="25"/>
      <c r="D3179" s="25"/>
      <c r="E3179" s="25"/>
      <c r="F3179" s="25"/>
      <c r="G3179" s="25"/>
      <c r="H3179" s="25"/>
      <c r="I3179" s="25"/>
      <c r="J3179" s="25"/>
      <c r="K3179" s="25"/>
      <c r="L3179" s="25"/>
      <c r="M3179" s="42" t="s">
        <v>253</v>
      </c>
      <c r="N3179" s="41">
        <v>45065</v>
      </c>
      <c r="O3179" s="25">
        <v>216</v>
      </c>
      <c r="P3179" s="25">
        <v>0</v>
      </c>
      <c r="Q3179" s="25"/>
      <c r="R3179" s="25"/>
      <c r="S3179" s="25"/>
      <c r="T3179" s="10"/>
    </row>
    <row r="3180" s="35" customFormat="1" ht="18.5" customHeight="1" spans="1:20">
      <c r="A3180" s="9"/>
      <c r="B3180" s="25"/>
      <c r="C3180" s="25"/>
      <c r="D3180" s="25"/>
      <c r="E3180" s="25"/>
      <c r="F3180" s="25"/>
      <c r="G3180" s="25"/>
      <c r="H3180" s="25"/>
      <c r="I3180" s="25"/>
      <c r="J3180" s="25"/>
      <c r="K3180" s="25"/>
      <c r="L3180" s="25"/>
      <c r="M3180" s="42" t="s">
        <v>253</v>
      </c>
      <c r="N3180" s="41">
        <v>45065</v>
      </c>
      <c r="O3180" s="25">
        <v>95</v>
      </c>
      <c r="P3180" s="25">
        <v>0</v>
      </c>
      <c r="Q3180" s="25"/>
      <c r="R3180" s="25"/>
      <c r="S3180" s="25"/>
      <c r="T3180" s="10"/>
    </row>
    <row r="3181" s="35" customFormat="1" ht="18.5" customHeight="1" spans="1:20">
      <c r="A3181" s="9"/>
      <c r="B3181" s="25"/>
      <c r="C3181" s="25"/>
      <c r="D3181" s="25"/>
      <c r="E3181" s="25"/>
      <c r="F3181" s="25"/>
      <c r="G3181" s="25"/>
      <c r="H3181" s="25"/>
      <c r="I3181" s="25"/>
      <c r="J3181" s="25"/>
      <c r="K3181" s="25"/>
      <c r="L3181" s="25"/>
      <c r="M3181" s="42" t="s">
        <v>253</v>
      </c>
      <c r="N3181" s="41">
        <v>45064</v>
      </c>
      <c r="O3181" s="25">
        <v>88</v>
      </c>
      <c r="P3181" s="25">
        <v>0</v>
      </c>
      <c r="Q3181" s="25"/>
      <c r="R3181" s="25"/>
      <c r="S3181" s="25"/>
      <c r="T3181" s="10"/>
    </row>
    <row r="3182" s="35" customFormat="1" ht="18.5" customHeight="1" spans="1:20">
      <c r="A3182" s="9"/>
      <c r="B3182" s="25"/>
      <c r="C3182" s="25"/>
      <c r="D3182" s="25"/>
      <c r="E3182" s="25"/>
      <c r="F3182" s="25"/>
      <c r="G3182" s="25"/>
      <c r="H3182" s="25"/>
      <c r="I3182" s="25"/>
      <c r="J3182" s="25"/>
      <c r="K3182" s="25"/>
      <c r="L3182" s="25"/>
      <c r="M3182" s="42" t="s">
        <v>253</v>
      </c>
      <c r="N3182" s="41">
        <v>45064</v>
      </c>
      <c r="O3182" s="25">
        <v>114</v>
      </c>
      <c r="P3182" s="25">
        <v>0</v>
      </c>
      <c r="Q3182" s="25"/>
      <c r="R3182" s="25"/>
      <c r="S3182" s="25"/>
      <c r="T3182" s="10"/>
    </row>
    <row r="3183" s="35" customFormat="1" ht="18.5" customHeight="1" spans="1:20">
      <c r="A3183" s="9"/>
      <c r="B3183" s="25"/>
      <c r="C3183" s="25"/>
      <c r="D3183" s="25"/>
      <c r="E3183" s="25"/>
      <c r="F3183" s="25"/>
      <c r="G3183" s="25"/>
      <c r="H3183" s="25"/>
      <c r="I3183" s="25"/>
      <c r="J3183" s="25"/>
      <c r="K3183" s="25"/>
      <c r="L3183" s="25"/>
      <c r="M3183" s="42" t="s">
        <v>253</v>
      </c>
      <c r="N3183" s="41">
        <v>45064</v>
      </c>
      <c r="O3183" s="25">
        <v>114</v>
      </c>
      <c r="P3183" s="25">
        <v>0</v>
      </c>
      <c r="Q3183" s="25"/>
      <c r="R3183" s="25"/>
      <c r="S3183" s="25"/>
      <c r="T3183" s="10"/>
    </row>
    <row r="3184" s="35" customFormat="1" ht="18.5" customHeight="1" spans="1:20">
      <c r="A3184" s="9"/>
      <c r="B3184" s="25"/>
      <c r="C3184" s="25"/>
      <c r="D3184" s="25"/>
      <c r="E3184" s="25"/>
      <c r="F3184" s="25"/>
      <c r="G3184" s="25"/>
      <c r="H3184" s="25"/>
      <c r="I3184" s="25"/>
      <c r="J3184" s="25"/>
      <c r="K3184" s="25"/>
      <c r="L3184" s="25"/>
      <c r="M3184" s="42" t="s">
        <v>253</v>
      </c>
      <c r="N3184" s="41">
        <v>45064</v>
      </c>
      <c r="O3184" s="25">
        <v>277</v>
      </c>
      <c r="P3184" s="25">
        <v>0</v>
      </c>
      <c r="Q3184" s="25"/>
      <c r="R3184" s="25"/>
      <c r="S3184" s="25"/>
      <c r="T3184" s="10"/>
    </row>
    <row r="3185" s="35" customFormat="1" ht="18.5" customHeight="1" spans="1:20">
      <c r="A3185" s="9"/>
      <c r="B3185" s="25"/>
      <c r="C3185" s="25"/>
      <c r="D3185" s="25"/>
      <c r="E3185" s="25"/>
      <c r="F3185" s="25"/>
      <c r="G3185" s="25"/>
      <c r="H3185" s="25"/>
      <c r="I3185" s="25"/>
      <c r="J3185" s="25"/>
      <c r="K3185" s="25"/>
      <c r="L3185" s="25"/>
      <c r="M3185" s="42" t="s">
        <v>253</v>
      </c>
      <c r="N3185" s="41">
        <v>45064</v>
      </c>
      <c r="O3185" s="25">
        <v>387</v>
      </c>
      <c r="P3185" s="25">
        <v>0</v>
      </c>
      <c r="Q3185" s="25"/>
      <c r="R3185" s="25"/>
      <c r="S3185" s="25"/>
      <c r="T3185" s="10"/>
    </row>
    <row r="3186" s="35" customFormat="1" ht="18.5" customHeight="1" spans="1:20">
      <c r="A3186" s="9"/>
      <c r="B3186" s="25"/>
      <c r="C3186" s="25"/>
      <c r="D3186" s="25"/>
      <c r="E3186" s="25"/>
      <c r="F3186" s="25"/>
      <c r="G3186" s="25"/>
      <c r="H3186" s="25"/>
      <c r="I3186" s="25"/>
      <c r="J3186" s="25"/>
      <c r="K3186" s="25"/>
      <c r="L3186" s="25"/>
      <c r="M3186" s="42" t="s">
        <v>253</v>
      </c>
      <c r="N3186" s="41">
        <v>45063</v>
      </c>
      <c r="O3186" s="25">
        <v>186</v>
      </c>
      <c r="P3186" s="25">
        <v>0</v>
      </c>
      <c r="Q3186" s="25"/>
      <c r="R3186" s="25"/>
      <c r="S3186" s="25"/>
      <c r="T3186" s="10"/>
    </row>
    <row r="3187" s="35" customFormat="1" ht="18.5" customHeight="1" spans="1:20">
      <c r="A3187" s="9"/>
      <c r="B3187" s="25"/>
      <c r="C3187" s="25"/>
      <c r="D3187" s="25"/>
      <c r="E3187" s="25"/>
      <c r="F3187" s="25"/>
      <c r="G3187" s="25"/>
      <c r="H3187" s="25"/>
      <c r="I3187" s="25"/>
      <c r="J3187" s="25"/>
      <c r="K3187" s="25"/>
      <c r="L3187" s="25"/>
      <c r="M3187" s="42" t="s">
        <v>253</v>
      </c>
      <c r="N3187" s="41">
        <v>45063</v>
      </c>
      <c r="O3187" s="25">
        <v>111</v>
      </c>
      <c r="P3187" s="25">
        <v>0</v>
      </c>
      <c r="Q3187" s="25"/>
      <c r="R3187" s="25"/>
      <c r="S3187" s="25"/>
      <c r="T3187" s="10"/>
    </row>
    <row r="3188" s="35" customFormat="1" ht="18.5" customHeight="1" spans="1:20">
      <c r="A3188" s="9"/>
      <c r="B3188" s="25"/>
      <c r="C3188" s="25"/>
      <c r="D3188" s="25"/>
      <c r="E3188" s="25"/>
      <c r="F3188" s="25"/>
      <c r="G3188" s="25"/>
      <c r="H3188" s="25"/>
      <c r="I3188" s="25"/>
      <c r="J3188" s="25"/>
      <c r="K3188" s="25"/>
      <c r="L3188" s="25"/>
      <c r="M3188" s="42" t="s">
        <v>253</v>
      </c>
      <c r="N3188" s="41">
        <v>45041</v>
      </c>
      <c r="O3188" s="25">
        <v>213</v>
      </c>
      <c r="P3188" s="25">
        <v>0</v>
      </c>
      <c r="Q3188" s="25"/>
      <c r="R3188" s="25"/>
      <c r="S3188" s="25"/>
      <c r="T3188" s="10"/>
    </row>
    <row r="3189" s="35" customFormat="1" ht="18.5" customHeight="1" spans="1:20">
      <c r="A3189" s="9"/>
      <c r="B3189" s="25"/>
      <c r="C3189" s="25"/>
      <c r="D3189" s="25"/>
      <c r="E3189" s="25"/>
      <c r="F3189" s="25"/>
      <c r="G3189" s="25"/>
      <c r="H3189" s="25"/>
      <c r="I3189" s="25"/>
      <c r="J3189" s="25"/>
      <c r="K3189" s="25"/>
      <c r="L3189" s="25"/>
      <c r="M3189" s="42" t="s">
        <v>253</v>
      </c>
      <c r="N3189" s="41">
        <v>45063</v>
      </c>
      <c r="O3189" s="25">
        <v>136</v>
      </c>
      <c r="P3189" s="25">
        <v>0</v>
      </c>
      <c r="Q3189" s="25"/>
      <c r="R3189" s="25"/>
      <c r="S3189" s="25"/>
      <c r="T3189" s="10"/>
    </row>
    <row r="3190" s="35" customFormat="1" ht="18.5" customHeight="1" spans="1:20">
      <c r="A3190" s="9"/>
      <c r="B3190" s="25"/>
      <c r="C3190" s="25"/>
      <c r="D3190" s="25"/>
      <c r="E3190" s="25"/>
      <c r="F3190" s="25"/>
      <c r="G3190" s="25"/>
      <c r="H3190" s="25"/>
      <c r="I3190" s="25"/>
      <c r="J3190" s="25"/>
      <c r="K3190" s="25"/>
      <c r="L3190" s="25"/>
      <c r="M3190" s="42" t="s">
        <v>253</v>
      </c>
      <c r="N3190" s="41">
        <v>45063</v>
      </c>
      <c r="O3190" s="25">
        <v>589</v>
      </c>
      <c r="P3190" s="25">
        <v>0</v>
      </c>
      <c r="Q3190" s="25"/>
      <c r="R3190" s="25"/>
      <c r="S3190" s="25"/>
      <c r="T3190" s="10"/>
    </row>
    <row r="3191" s="35" customFormat="1" ht="18.5" customHeight="1" spans="1:20">
      <c r="A3191" s="9"/>
      <c r="B3191" s="25"/>
      <c r="C3191" s="25"/>
      <c r="D3191" s="25"/>
      <c r="E3191" s="25"/>
      <c r="F3191" s="25"/>
      <c r="G3191" s="25"/>
      <c r="H3191" s="25"/>
      <c r="I3191" s="25"/>
      <c r="J3191" s="25"/>
      <c r="K3191" s="25"/>
      <c r="L3191" s="25"/>
      <c r="M3191" s="42" t="s">
        <v>253</v>
      </c>
      <c r="N3191" s="41">
        <v>45062</v>
      </c>
      <c r="O3191" s="25">
        <v>259</v>
      </c>
      <c r="P3191" s="25">
        <v>0</v>
      </c>
      <c r="Q3191" s="25"/>
      <c r="R3191" s="25"/>
      <c r="S3191" s="25"/>
      <c r="T3191" s="10"/>
    </row>
    <row r="3192" s="35" customFormat="1" ht="18.5" customHeight="1" spans="1:20">
      <c r="A3192" s="9"/>
      <c r="B3192" s="25"/>
      <c r="C3192" s="25"/>
      <c r="D3192" s="25"/>
      <c r="E3192" s="25"/>
      <c r="F3192" s="25"/>
      <c r="G3192" s="25"/>
      <c r="H3192" s="25"/>
      <c r="I3192" s="25"/>
      <c r="J3192" s="25"/>
      <c r="K3192" s="25"/>
      <c r="L3192" s="25"/>
      <c r="M3192" s="42" t="s">
        <v>253</v>
      </c>
      <c r="N3192" s="41">
        <v>45062</v>
      </c>
      <c r="O3192" s="25">
        <v>173</v>
      </c>
      <c r="P3192" s="25">
        <v>0</v>
      </c>
      <c r="Q3192" s="25"/>
      <c r="R3192" s="25"/>
      <c r="S3192" s="25"/>
      <c r="T3192" s="10"/>
    </row>
    <row r="3193" s="35" customFormat="1" ht="18.5" customHeight="1" spans="1:20">
      <c r="A3193" s="9"/>
      <c r="B3193" s="25"/>
      <c r="C3193" s="25"/>
      <c r="D3193" s="25"/>
      <c r="E3193" s="25"/>
      <c r="F3193" s="25"/>
      <c r="G3193" s="25"/>
      <c r="H3193" s="25"/>
      <c r="I3193" s="25"/>
      <c r="J3193" s="25"/>
      <c r="K3193" s="25"/>
      <c r="L3193" s="25"/>
      <c r="M3193" s="42" t="s">
        <v>253</v>
      </c>
      <c r="N3193" s="41">
        <v>45062</v>
      </c>
      <c r="O3193" s="25">
        <v>534</v>
      </c>
      <c r="P3193" s="25">
        <v>0</v>
      </c>
      <c r="Q3193" s="25"/>
      <c r="R3193" s="25"/>
      <c r="S3193" s="25"/>
      <c r="T3193" s="10"/>
    </row>
    <row r="3194" s="35" customFormat="1" ht="18.5" customHeight="1" spans="1:20">
      <c r="A3194" s="9"/>
      <c r="B3194" s="25"/>
      <c r="C3194" s="25"/>
      <c r="D3194" s="25"/>
      <c r="E3194" s="25"/>
      <c r="F3194" s="25"/>
      <c r="G3194" s="25"/>
      <c r="H3194" s="25"/>
      <c r="I3194" s="25"/>
      <c r="J3194" s="25"/>
      <c r="K3194" s="25"/>
      <c r="L3194" s="25"/>
      <c r="M3194" s="42" t="s">
        <v>253</v>
      </c>
      <c r="N3194" s="41">
        <v>45062</v>
      </c>
      <c r="O3194" s="25">
        <v>403</v>
      </c>
      <c r="P3194" s="25">
        <v>0</v>
      </c>
      <c r="Q3194" s="25"/>
      <c r="R3194" s="25"/>
      <c r="S3194" s="25"/>
      <c r="T3194" s="10"/>
    </row>
    <row r="3195" s="35" customFormat="1" ht="18.5" customHeight="1" spans="1:20">
      <c r="A3195" s="9"/>
      <c r="B3195" s="25"/>
      <c r="C3195" s="25"/>
      <c r="D3195" s="25"/>
      <c r="E3195" s="25"/>
      <c r="F3195" s="25"/>
      <c r="G3195" s="25"/>
      <c r="H3195" s="25"/>
      <c r="I3195" s="25"/>
      <c r="J3195" s="25"/>
      <c r="K3195" s="25"/>
      <c r="L3195" s="25"/>
      <c r="M3195" s="42" t="s">
        <v>253</v>
      </c>
      <c r="N3195" s="41">
        <v>45061</v>
      </c>
      <c r="O3195" s="25">
        <v>124</v>
      </c>
      <c r="P3195" s="25">
        <v>0</v>
      </c>
      <c r="Q3195" s="25"/>
      <c r="R3195" s="25"/>
      <c r="S3195" s="25"/>
      <c r="T3195" s="10"/>
    </row>
    <row r="3196" s="35" customFormat="1" ht="18.5" customHeight="1" spans="1:20">
      <c r="A3196" s="9"/>
      <c r="B3196" s="25"/>
      <c r="C3196" s="25"/>
      <c r="D3196" s="25"/>
      <c r="E3196" s="25"/>
      <c r="F3196" s="25"/>
      <c r="G3196" s="25"/>
      <c r="H3196" s="25"/>
      <c r="I3196" s="25"/>
      <c r="J3196" s="25"/>
      <c r="K3196" s="25"/>
      <c r="L3196" s="25"/>
      <c r="M3196" s="42" t="s">
        <v>253</v>
      </c>
      <c r="N3196" s="41">
        <v>45061</v>
      </c>
      <c r="O3196" s="25">
        <v>649</v>
      </c>
      <c r="P3196" s="25">
        <v>0</v>
      </c>
      <c r="Q3196" s="25"/>
      <c r="R3196" s="25"/>
      <c r="S3196" s="25"/>
      <c r="T3196" s="10"/>
    </row>
    <row r="3197" s="35" customFormat="1" ht="18.5" customHeight="1" spans="1:20">
      <c r="A3197" s="9"/>
      <c r="B3197" s="25"/>
      <c r="C3197" s="25"/>
      <c r="D3197" s="25"/>
      <c r="E3197" s="25"/>
      <c r="F3197" s="25"/>
      <c r="G3197" s="25"/>
      <c r="H3197" s="25"/>
      <c r="I3197" s="25"/>
      <c r="J3197" s="25"/>
      <c r="K3197" s="25"/>
      <c r="L3197" s="25"/>
      <c r="M3197" s="42" t="s">
        <v>253</v>
      </c>
      <c r="N3197" s="41">
        <v>45061</v>
      </c>
      <c r="O3197" s="25">
        <v>169</v>
      </c>
      <c r="P3197" s="25">
        <v>0</v>
      </c>
      <c r="Q3197" s="25"/>
      <c r="R3197" s="25"/>
      <c r="S3197" s="25"/>
      <c r="T3197" s="10"/>
    </row>
    <row r="3198" s="35" customFormat="1" ht="18.5" customHeight="1" spans="1:20">
      <c r="A3198" s="9"/>
      <c r="B3198" s="25"/>
      <c r="C3198" s="25"/>
      <c r="D3198" s="25"/>
      <c r="E3198" s="25"/>
      <c r="F3198" s="25"/>
      <c r="G3198" s="25"/>
      <c r="H3198" s="25"/>
      <c r="I3198" s="25"/>
      <c r="J3198" s="25"/>
      <c r="K3198" s="25"/>
      <c r="L3198" s="25"/>
      <c r="M3198" s="42" t="s">
        <v>253</v>
      </c>
      <c r="N3198" s="41">
        <v>45061</v>
      </c>
      <c r="O3198" s="25">
        <v>346</v>
      </c>
      <c r="P3198" s="25">
        <v>0</v>
      </c>
      <c r="Q3198" s="25"/>
      <c r="R3198" s="25"/>
      <c r="S3198" s="25"/>
      <c r="T3198" s="10"/>
    </row>
    <row r="3199" s="35" customFormat="1" ht="18.5" customHeight="1" spans="1:20">
      <c r="A3199" s="9"/>
      <c r="B3199" s="25"/>
      <c r="C3199" s="25"/>
      <c r="D3199" s="25"/>
      <c r="E3199" s="25"/>
      <c r="F3199" s="25"/>
      <c r="G3199" s="25"/>
      <c r="H3199" s="25"/>
      <c r="I3199" s="25"/>
      <c r="J3199" s="25"/>
      <c r="K3199" s="25"/>
      <c r="L3199" s="25"/>
      <c r="M3199" s="42" t="s">
        <v>253</v>
      </c>
      <c r="N3199" s="41">
        <v>45061</v>
      </c>
      <c r="O3199" s="25">
        <v>175</v>
      </c>
      <c r="P3199" s="25">
        <v>0</v>
      </c>
      <c r="Q3199" s="25"/>
      <c r="R3199" s="25"/>
      <c r="S3199" s="25"/>
      <c r="T3199" s="10"/>
    </row>
    <row r="3200" s="35" customFormat="1" ht="18.5" customHeight="1" spans="1:20">
      <c r="A3200" s="9"/>
      <c r="B3200" s="25"/>
      <c r="C3200" s="25"/>
      <c r="D3200" s="25"/>
      <c r="E3200" s="25"/>
      <c r="F3200" s="25"/>
      <c r="G3200" s="25"/>
      <c r="H3200" s="25"/>
      <c r="I3200" s="25"/>
      <c r="J3200" s="25"/>
      <c r="K3200" s="25"/>
      <c r="L3200" s="25"/>
      <c r="M3200" s="42" t="s">
        <v>253</v>
      </c>
      <c r="N3200" s="41">
        <v>45061</v>
      </c>
      <c r="O3200" s="25">
        <v>308</v>
      </c>
      <c r="P3200" s="25">
        <v>0</v>
      </c>
      <c r="Q3200" s="25"/>
      <c r="R3200" s="25"/>
      <c r="S3200" s="25"/>
      <c r="T3200" s="10"/>
    </row>
    <row r="3201" s="35" customFormat="1" ht="18.5" customHeight="1" spans="1:20">
      <c r="A3201" s="9"/>
      <c r="B3201" s="25"/>
      <c r="C3201" s="25"/>
      <c r="D3201" s="25"/>
      <c r="E3201" s="25"/>
      <c r="F3201" s="25"/>
      <c r="G3201" s="25"/>
      <c r="H3201" s="25"/>
      <c r="I3201" s="25"/>
      <c r="J3201" s="25"/>
      <c r="K3201" s="25"/>
      <c r="L3201" s="25"/>
      <c r="M3201" s="42" t="s">
        <v>253</v>
      </c>
      <c r="N3201" s="41">
        <v>45058</v>
      </c>
      <c r="O3201" s="25">
        <v>107</v>
      </c>
      <c r="P3201" s="25">
        <v>0</v>
      </c>
      <c r="Q3201" s="25"/>
      <c r="R3201" s="25"/>
      <c r="S3201" s="25"/>
      <c r="T3201" s="10"/>
    </row>
    <row r="3202" s="35" customFormat="1" ht="18.5" customHeight="1" spans="1:20">
      <c r="A3202" s="9"/>
      <c r="B3202" s="25"/>
      <c r="C3202" s="25"/>
      <c r="D3202" s="25"/>
      <c r="E3202" s="25"/>
      <c r="F3202" s="25"/>
      <c r="G3202" s="25"/>
      <c r="H3202" s="25"/>
      <c r="I3202" s="25"/>
      <c r="J3202" s="25"/>
      <c r="K3202" s="25"/>
      <c r="L3202" s="25"/>
      <c r="M3202" s="42" t="s">
        <v>253</v>
      </c>
      <c r="N3202" s="41">
        <v>45061</v>
      </c>
      <c r="O3202" s="25">
        <v>130</v>
      </c>
      <c r="P3202" s="25">
        <v>0</v>
      </c>
      <c r="Q3202" s="25"/>
      <c r="R3202" s="25"/>
      <c r="S3202" s="25"/>
      <c r="T3202" s="10"/>
    </row>
    <row r="3203" s="35" customFormat="1" ht="18.5" customHeight="1" spans="1:20">
      <c r="A3203" s="9"/>
      <c r="B3203" s="25"/>
      <c r="C3203" s="25"/>
      <c r="D3203" s="25"/>
      <c r="E3203" s="25"/>
      <c r="F3203" s="25"/>
      <c r="G3203" s="25"/>
      <c r="H3203" s="25"/>
      <c r="I3203" s="25"/>
      <c r="J3203" s="25"/>
      <c r="K3203" s="25"/>
      <c r="L3203" s="25"/>
      <c r="M3203" s="42" t="s">
        <v>253</v>
      </c>
      <c r="N3203" s="41">
        <v>45060</v>
      </c>
      <c r="O3203" s="25">
        <v>138</v>
      </c>
      <c r="P3203" s="25">
        <v>0</v>
      </c>
      <c r="Q3203" s="25"/>
      <c r="R3203" s="25"/>
      <c r="S3203" s="25"/>
      <c r="T3203" s="10"/>
    </row>
    <row r="3204" s="35" customFormat="1" ht="18.5" customHeight="1" spans="1:20">
      <c r="A3204" s="9"/>
      <c r="B3204" s="25"/>
      <c r="C3204" s="25"/>
      <c r="D3204" s="25"/>
      <c r="E3204" s="25"/>
      <c r="F3204" s="25"/>
      <c r="G3204" s="25"/>
      <c r="H3204" s="25"/>
      <c r="I3204" s="25"/>
      <c r="J3204" s="25"/>
      <c r="K3204" s="25"/>
      <c r="L3204" s="25"/>
      <c r="M3204" s="42" t="s">
        <v>253</v>
      </c>
      <c r="N3204" s="41">
        <v>45060</v>
      </c>
      <c r="O3204" s="25">
        <v>218</v>
      </c>
      <c r="P3204" s="25">
        <v>0</v>
      </c>
      <c r="Q3204" s="25"/>
      <c r="R3204" s="25"/>
      <c r="S3204" s="25"/>
      <c r="T3204" s="10"/>
    </row>
    <row r="3205" s="35" customFormat="1" ht="18.5" customHeight="1" spans="1:20">
      <c r="A3205" s="9"/>
      <c r="B3205" s="25"/>
      <c r="C3205" s="25"/>
      <c r="D3205" s="25"/>
      <c r="E3205" s="25"/>
      <c r="F3205" s="25"/>
      <c r="G3205" s="25"/>
      <c r="H3205" s="25"/>
      <c r="I3205" s="25"/>
      <c r="J3205" s="25"/>
      <c r="K3205" s="25"/>
      <c r="L3205" s="25"/>
      <c r="M3205" s="42" t="s">
        <v>253</v>
      </c>
      <c r="N3205" s="41">
        <v>45060</v>
      </c>
      <c r="O3205" s="25">
        <v>112</v>
      </c>
      <c r="P3205" s="25">
        <v>0</v>
      </c>
      <c r="Q3205" s="25"/>
      <c r="R3205" s="25"/>
      <c r="S3205" s="25"/>
      <c r="T3205" s="10"/>
    </row>
    <row r="3206" s="35" customFormat="1" ht="18.5" customHeight="1" spans="1:20">
      <c r="A3206" s="9"/>
      <c r="B3206" s="25"/>
      <c r="C3206" s="25"/>
      <c r="D3206" s="25"/>
      <c r="E3206" s="25"/>
      <c r="F3206" s="25"/>
      <c r="G3206" s="25"/>
      <c r="H3206" s="25"/>
      <c r="I3206" s="25"/>
      <c r="J3206" s="25"/>
      <c r="K3206" s="25"/>
      <c r="L3206" s="25"/>
      <c r="M3206" s="42" t="s">
        <v>253</v>
      </c>
      <c r="N3206" s="41">
        <v>45059</v>
      </c>
      <c r="O3206" s="25">
        <v>618</v>
      </c>
      <c r="P3206" s="25">
        <v>0</v>
      </c>
      <c r="Q3206" s="25"/>
      <c r="R3206" s="25"/>
      <c r="S3206" s="25"/>
      <c r="T3206" s="10"/>
    </row>
    <row r="3207" s="35" customFormat="1" ht="18.5" customHeight="1" spans="1:20">
      <c r="A3207" s="9"/>
      <c r="B3207" s="25"/>
      <c r="C3207" s="25"/>
      <c r="D3207" s="25"/>
      <c r="E3207" s="25"/>
      <c r="F3207" s="25"/>
      <c r="G3207" s="25"/>
      <c r="H3207" s="25"/>
      <c r="I3207" s="25"/>
      <c r="J3207" s="25"/>
      <c r="K3207" s="25"/>
      <c r="L3207" s="25"/>
      <c r="M3207" s="42" t="s">
        <v>253</v>
      </c>
      <c r="N3207" s="41">
        <v>45059</v>
      </c>
      <c r="O3207" s="25">
        <v>169</v>
      </c>
      <c r="P3207" s="25">
        <v>0</v>
      </c>
      <c r="Q3207" s="25"/>
      <c r="R3207" s="25"/>
      <c r="S3207" s="25"/>
      <c r="T3207" s="10"/>
    </row>
    <row r="3208" s="35" customFormat="1" ht="18.5" customHeight="1" spans="1:20">
      <c r="A3208" s="9"/>
      <c r="B3208" s="25"/>
      <c r="C3208" s="25"/>
      <c r="D3208" s="25"/>
      <c r="E3208" s="25"/>
      <c r="F3208" s="25"/>
      <c r="G3208" s="25"/>
      <c r="H3208" s="25"/>
      <c r="I3208" s="25"/>
      <c r="J3208" s="25"/>
      <c r="K3208" s="25"/>
      <c r="L3208" s="25"/>
      <c r="M3208" s="42" t="s">
        <v>253</v>
      </c>
      <c r="N3208" s="41">
        <v>45059</v>
      </c>
      <c r="O3208" s="25">
        <v>117</v>
      </c>
      <c r="P3208" s="25">
        <v>0</v>
      </c>
      <c r="Q3208" s="25"/>
      <c r="R3208" s="25"/>
      <c r="S3208" s="25"/>
      <c r="T3208" s="10"/>
    </row>
    <row r="3209" s="35" customFormat="1" ht="18.5" customHeight="1" spans="1:20">
      <c r="A3209" s="9"/>
      <c r="B3209" s="25"/>
      <c r="C3209" s="25"/>
      <c r="D3209" s="25"/>
      <c r="E3209" s="25"/>
      <c r="F3209" s="25"/>
      <c r="G3209" s="25"/>
      <c r="H3209" s="25"/>
      <c r="I3209" s="25"/>
      <c r="J3209" s="25"/>
      <c r="K3209" s="25"/>
      <c r="L3209" s="25"/>
      <c r="M3209" s="42" t="s">
        <v>253</v>
      </c>
      <c r="N3209" s="41">
        <v>45058</v>
      </c>
      <c r="O3209" s="25">
        <v>78</v>
      </c>
      <c r="P3209" s="25">
        <v>0</v>
      </c>
      <c r="Q3209" s="25"/>
      <c r="R3209" s="25"/>
      <c r="S3209" s="25"/>
      <c r="T3209" s="10"/>
    </row>
    <row r="3210" s="35" customFormat="1" ht="18.5" customHeight="1" spans="1:20">
      <c r="A3210" s="9"/>
      <c r="B3210" s="25"/>
      <c r="C3210" s="25"/>
      <c r="D3210" s="25"/>
      <c r="E3210" s="25"/>
      <c r="F3210" s="25"/>
      <c r="G3210" s="25"/>
      <c r="H3210" s="25"/>
      <c r="I3210" s="25"/>
      <c r="J3210" s="25"/>
      <c r="K3210" s="25"/>
      <c r="L3210" s="25"/>
      <c r="M3210" s="42" t="s">
        <v>253</v>
      </c>
      <c r="N3210" s="41">
        <v>45058</v>
      </c>
      <c r="O3210" s="25">
        <v>296</v>
      </c>
      <c r="P3210" s="25">
        <v>0</v>
      </c>
      <c r="Q3210" s="25"/>
      <c r="R3210" s="25"/>
      <c r="S3210" s="25"/>
      <c r="T3210" s="10"/>
    </row>
    <row r="3211" s="35" customFormat="1" ht="18.5" customHeight="1" spans="1:20">
      <c r="A3211" s="9"/>
      <c r="B3211" s="25"/>
      <c r="C3211" s="25"/>
      <c r="D3211" s="25"/>
      <c r="E3211" s="25"/>
      <c r="F3211" s="25"/>
      <c r="G3211" s="25"/>
      <c r="H3211" s="25"/>
      <c r="I3211" s="25"/>
      <c r="J3211" s="25"/>
      <c r="K3211" s="25"/>
      <c r="L3211" s="25"/>
      <c r="M3211" s="42" t="s">
        <v>253</v>
      </c>
      <c r="N3211" s="41">
        <v>45058</v>
      </c>
      <c r="O3211" s="25">
        <v>87</v>
      </c>
      <c r="P3211" s="25">
        <v>0</v>
      </c>
      <c r="Q3211" s="25"/>
      <c r="R3211" s="25"/>
      <c r="S3211" s="25"/>
      <c r="T3211" s="10"/>
    </row>
    <row r="3212" s="35" customFormat="1" ht="18.5" customHeight="1" spans="1:20">
      <c r="A3212" s="9"/>
      <c r="B3212" s="25"/>
      <c r="C3212" s="25"/>
      <c r="D3212" s="25"/>
      <c r="E3212" s="25"/>
      <c r="F3212" s="25"/>
      <c r="G3212" s="25"/>
      <c r="H3212" s="25"/>
      <c r="I3212" s="25"/>
      <c r="J3212" s="25"/>
      <c r="K3212" s="25"/>
      <c r="L3212" s="25"/>
      <c r="M3212" s="42" t="s">
        <v>253</v>
      </c>
      <c r="N3212" s="41">
        <v>45043</v>
      </c>
      <c r="O3212" s="25">
        <v>195</v>
      </c>
      <c r="P3212" s="25">
        <v>0</v>
      </c>
      <c r="Q3212" s="25"/>
      <c r="R3212" s="25"/>
      <c r="S3212" s="25"/>
      <c r="T3212" s="10"/>
    </row>
    <row r="3213" s="35" customFormat="1" ht="18.5" customHeight="1" spans="1:20">
      <c r="A3213" s="9"/>
      <c r="B3213" s="25"/>
      <c r="C3213" s="25"/>
      <c r="D3213" s="25"/>
      <c r="E3213" s="25"/>
      <c r="F3213" s="25"/>
      <c r="G3213" s="25"/>
      <c r="H3213" s="25"/>
      <c r="I3213" s="25"/>
      <c r="J3213" s="25"/>
      <c r="K3213" s="25"/>
      <c r="L3213" s="25"/>
      <c r="M3213" s="42" t="s">
        <v>253</v>
      </c>
      <c r="N3213" s="41">
        <v>45057</v>
      </c>
      <c r="O3213" s="25">
        <v>329</v>
      </c>
      <c r="P3213" s="25">
        <v>0</v>
      </c>
      <c r="Q3213" s="25"/>
      <c r="R3213" s="25"/>
      <c r="S3213" s="25"/>
      <c r="T3213" s="10"/>
    </row>
    <row r="3214" s="35" customFormat="1" ht="18.5" customHeight="1" spans="1:20">
      <c r="A3214" s="9"/>
      <c r="B3214" s="25"/>
      <c r="C3214" s="25"/>
      <c r="D3214" s="25"/>
      <c r="E3214" s="25"/>
      <c r="F3214" s="25"/>
      <c r="G3214" s="25"/>
      <c r="H3214" s="25"/>
      <c r="I3214" s="25"/>
      <c r="J3214" s="25"/>
      <c r="K3214" s="25"/>
      <c r="L3214" s="25"/>
      <c r="M3214" s="42" t="s">
        <v>253</v>
      </c>
      <c r="N3214" s="41">
        <v>45058</v>
      </c>
      <c r="O3214" s="25">
        <v>280</v>
      </c>
      <c r="P3214" s="25">
        <v>0</v>
      </c>
      <c r="Q3214" s="25"/>
      <c r="R3214" s="25"/>
      <c r="S3214" s="25"/>
      <c r="T3214" s="10"/>
    </row>
    <row r="3215" s="35" customFormat="1" ht="18.5" customHeight="1" spans="1:20">
      <c r="A3215" s="9"/>
      <c r="B3215" s="25"/>
      <c r="C3215" s="25"/>
      <c r="D3215" s="25"/>
      <c r="E3215" s="25"/>
      <c r="F3215" s="25"/>
      <c r="G3215" s="25"/>
      <c r="H3215" s="25"/>
      <c r="I3215" s="25"/>
      <c r="J3215" s="25"/>
      <c r="K3215" s="25"/>
      <c r="L3215" s="25"/>
      <c r="M3215" s="42" t="s">
        <v>253</v>
      </c>
      <c r="N3215" s="41">
        <v>45058</v>
      </c>
      <c r="O3215" s="25">
        <v>456</v>
      </c>
      <c r="P3215" s="25">
        <v>0</v>
      </c>
      <c r="Q3215" s="25"/>
      <c r="R3215" s="25"/>
      <c r="S3215" s="25"/>
      <c r="T3215" s="10"/>
    </row>
    <row r="3216" s="35" customFormat="1" ht="18.5" customHeight="1" spans="1:20">
      <c r="A3216" s="9"/>
      <c r="B3216" s="25"/>
      <c r="C3216" s="25"/>
      <c r="D3216" s="25"/>
      <c r="E3216" s="25"/>
      <c r="F3216" s="25"/>
      <c r="G3216" s="25"/>
      <c r="H3216" s="25"/>
      <c r="I3216" s="25"/>
      <c r="J3216" s="25"/>
      <c r="K3216" s="25"/>
      <c r="L3216" s="25"/>
      <c r="M3216" s="42" t="s">
        <v>253</v>
      </c>
      <c r="N3216" s="41">
        <v>45058</v>
      </c>
      <c r="O3216" s="25">
        <v>369</v>
      </c>
      <c r="P3216" s="25">
        <v>0</v>
      </c>
      <c r="Q3216" s="25"/>
      <c r="R3216" s="25"/>
      <c r="S3216" s="25"/>
      <c r="T3216" s="10"/>
    </row>
    <row r="3217" s="35" customFormat="1" ht="18.5" customHeight="1" spans="1:20">
      <c r="A3217" s="9"/>
      <c r="B3217" s="25"/>
      <c r="C3217" s="25"/>
      <c r="D3217" s="25"/>
      <c r="E3217" s="25"/>
      <c r="F3217" s="25"/>
      <c r="G3217" s="25"/>
      <c r="H3217" s="25"/>
      <c r="I3217" s="25"/>
      <c r="J3217" s="25"/>
      <c r="K3217" s="25"/>
      <c r="L3217" s="25"/>
      <c r="M3217" s="42" t="s">
        <v>253</v>
      </c>
      <c r="N3217" s="41">
        <v>45058</v>
      </c>
      <c r="O3217" s="25">
        <v>91</v>
      </c>
      <c r="P3217" s="25">
        <v>0</v>
      </c>
      <c r="Q3217" s="25"/>
      <c r="R3217" s="25"/>
      <c r="S3217" s="25"/>
      <c r="T3217" s="10"/>
    </row>
    <row r="3218" s="35" customFormat="1" ht="18.5" customHeight="1" spans="1:20">
      <c r="A3218" s="9"/>
      <c r="B3218" s="25"/>
      <c r="C3218" s="25"/>
      <c r="D3218" s="25"/>
      <c r="E3218" s="25"/>
      <c r="F3218" s="25"/>
      <c r="G3218" s="25"/>
      <c r="H3218" s="25"/>
      <c r="I3218" s="25"/>
      <c r="J3218" s="25"/>
      <c r="K3218" s="25"/>
      <c r="L3218" s="25"/>
      <c r="M3218" s="42" t="s">
        <v>253</v>
      </c>
      <c r="N3218" s="41">
        <v>45057</v>
      </c>
      <c r="O3218" s="25">
        <v>162</v>
      </c>
      <c r="P3218" s="25">
        <v>0</v>
      </c>
      <c r="Q3218" s="25"/>
      <c r="R3218" s="25"/>
      <c r="S3218" s="25"/>
      <c r="T3218" s="10"/>
    </row>
    <row r="3219" s="35" customFormat="1" ht="18.5" customHeight="1" spans="1:20">
      <c r="A3219" s="9"/>
      <c r="B3219" s="25"/>
      <c r="C3219" s="25"/>
      <c r="D3219" s="25"/>
      <c r="E3219" s="25"/>
      <c r="F3219" s="25"/>
      <c r="G3219" s="25"/>
      <c r="H3219" s="25"/>
      <c r="I3219" s="25"/>
      <c r="J3219" s="25"/>
      <c r="K3219" s="25"/>
      <c r="L3219" s="25"/>
      <c r="M3219" s="42" t="s">
        <v>253</v>
      </c>
      <c r="N3219" s="41">
        <v>45057</v>
      </c>
      <c r="O3219" s="25">
        <v>454</v>
      </c>
      <c r="P3219" s="25">
        <v>0</v>
      </c>
      <c r="Q3219" s="25"/>
      <c r="R3219" s="25"/>
      <c r="S3219" s="25"/>
      <c r="T3219" s="10"/>
    </row>
    <row r="3220" s="35" customFormat="1" ht="18.5" customHeight="1" spans="1:20">
      <c r="A3220" s="9"/>
      <c r="B3220" s="25"/>
      <c r="C3220" s="25"/>
      <c r="D3220" s="25"/>
      <c r="E3220" s="25"/>
      <c r="F3220" s="25"/>
      <c r="G3220" s="25"/>
      <c r="H3220" s="25"/>
      <c r="I3220" s="25"/>
      <c r="J3220" s="25"/>
      <c r="K3220" s="25"/>
      <c r="L3220" s="25"/>
      <c r="M3220" s="42" t="s">
        <v>253</v>
      </c>
      <c r="N3220" s="41">
        <v>45057</v>
      </c>
      <c r="O3220" s="25">
        <v>197</v>
      </c>
      <c r="P3220" s="25">
        <v>0</v>
      </c>
      <c r="Q3220" s="25"/>
      <c r="R3220" s="25"/>
      <c r="S3220" s="25"/>
      <c r="T3220" s="10"/>
    </row>
    <row r="3221" s="35" customFormat="1" ht="18.5" customHeight="1" spans="1:20">
      <c r="A3221" s="9"/>
      <c r="B3221" s="25"/>
      <c r="C3221" s="25"/>
      <c r="D3221" s="25"/>
      <c r="E3221" s="25"/>
      <c r="F3221" s="25"/>
      <c r="G3221" s="25"/>
      <c r="H3221" s="25"/>
      <c r="I3221" s="25"/>
      <c r="J3221" s="25"/>
      <c r="K3221" s="25"/>
      <c r="L3221" s="25"/>
      <c r="M3221" s="42" t="s">
        <v>253</v>
      </c>
      <c r="N3221" s="41">
        <v>45057</v>
      </c>
      <c r="O3221" s="25">
        <v>197</v>
      </c>
      <c r="P3221" s="25">
        <v>0</v>
      </c>
      <c r="Q3221" s="25"/>
      <c r="R3221" s="25"/>
      <c r="S3221" s="25"/>
      <c r="T3221" s="10"/>
    </row>
    <row r="3222" s="35" customFormat="1" ht="18.5" customHeight="1" spans="1:20">
      <c r="A3222" s="9"/>
      <c r="B3222" s="25"/>
      <c r="C3222" s="25"/>
      <c r="D3222" s="25"/>
      <c r="E3222" s="25"/>
      <c r="F3222" s="25"/>
      <c r="G3222" s="25"/>
      <c r="H3222" s="25"/>
      <c r="I3222" s="25"/>
      <c r="J3222" s="25"/>
      <c r="K3222" s="25"/>
      <c r="L3222" s="25"/>
      <c r="M3222" s="42" t="s">
        <v>253</v>
      </c>
      <c r="N3222" s="41">
        <v>45057</v>
      </c>
      <c r="O3222" s="25">
        <v>216</v>
      </c>
      <c r="P3222" s="25">
        <v>0</v>
      </c>
      <c r="Q3222" s="25"/>
      <c r="R3222" s="25"/>
      <c r="S3222" s="25"/>
      <c r="T3222" s="10"/>
    </row>
    <row r="3223" s="35" customFormat="1" ht="18.5" customHeight="1" spans="1:20">
      <c r="A3223" s="9"/>
      <c r="B3223" s="25"/>
      <c r="C3223" s="25"/>
      <c r="D3223" s="25"/>
      <c r="E3223" s="25"/>
      <c r="F3223" s="25"/>
      <c r="G3223" s="25"/>
      <c r="H3223" s="25"/>
      <c r="I3223" s="25"/>
      <c r="J3223" s="25"/>
      <c r="K3223" s="25"/>
      <c r="L3223" s="25"/>
      <c r="M3223" s="42" t="s">
        <v>253</v>
      </c>
      <c r="N3223" s="41">
        <v>45057</v>
      </c>
      <c r="O3223" s="25">
        <v>236</v>
      </c>
      <c r="P3223" s="25">
        <v>0</v>
      </c>
      <c r="Q3223" s="25"/>
      <c r="R3223" s="25"/>
      <c r="S3223" s="25"/>
      <c r="T3223" s="10"/>
    </row>
    <row r="3224" s="35" customFormat="1" ht="18.5" customHeight="1" spans="1:20">
      <c r="A3224" s="9"/>
      <c r="B3224" s="25"/>
      <c r="C3224" s="25"/>
      <c r="D3224" s="25"/>
      <c r="E3224" s="25"/>
      <c r="F3224" s="25"/>
      <c r="G3224" s="25"/>
      <c r="H3224" s="25"/>
      <c r="I3224" s="25"/>
      <c r="J3224" s="25"/>
      <c r="K3224" s="25"/>
      <c r="L3224" s="25"/>
      <c r="M3224" s="42" t="s">
        <v>253</v>
      </c>
      <c r="N3224" s="41">
        <v>45057</v>
      </c>
      <c r="O3224" s="25">
        <v>97</v>
      </c>
      <c r="P3224" s="25">
        <v>0</v>
      </c>
      <c r="Q3224" s="25"/>
      <c r="R3224" s="25"/>
      <c r="S3224" s="25"/>
      <c r="T3224" s="10"/>
    </row>
    <row r="3225" s="35" customFormat="1" ht="18.5" customHeight="1" spans="1:20">
      <c r="A3225" s="9"/>
      <c r="B3225" s="25"/>
      <c r="C3225" s="25"/>
      <c r="D3225" s="25"/>
      <c r="E3225" s="25"/>
      <c r="F3225" s="25"/>
      <c r="G3225" s="25"/>
      <c r="H3225" s="25"/>
      <c r="I3225" s="25"/>
      <c r="J3225" s="25"/>
      <c r="K3225" s="25"/>
      <c r="L3225" s="25"/>
      <c r="M3225" s="42" t="s">
        <v>253</v>
      </c>
      <c r="N3225" s="41">
        <v>45057</v>
      </c>
      <c r="O3225" s="25">
        <v>196</v>
      </c>
      <c r="P3225" s="25">
        <v>0</v>
      </c>
      <c r="Q3225" s="25"/>
      <c r="R3225" s="25"/>
      <c r="S3225" s="25"/>
      <c r="T3225" s="10"/>
    </row>
    <row r="3226" s="35" customFormat="1" ht="18.5" customHeight="1" spans="1:20">
      <c r="A3226" s="9"/>
      <c r="B3226" s="25"/>
      <c r="C3226" s="25"/>
      <c r="D3226" s="25"/>
      <c r="E3226" s="25"/>
      <c r="F3226" s="25"/>
      <c r="G3226" s="25"/>
      <c r="H3226" s="25"/>
      <c r="I3226" s="25"/>
      <c r="J3226" s="25"/>
      <c r="K3226" s="25"/>
      <c r="L3226" s="25"/>
      <c r="M3226" s="42" t="s">
        <v>253</v>
      </c>
      <c r="N3226" s="41">
        <v>45057</v>
      </c>
      <c r="O3226" s="25">
        <v>153</v>
      </c>
      <c r="P3226" s="25">
        <v>0</v>
      </c>
      <c r="Q3226" s="25"/>
      <c r="R3226" s="25"/>
      <c r="S3226" s="25"/>
      <c r="T3226" s="10"/>
    </row>
    <row r="3227" s="35" customFormat="1" ht="18.5" customHeight="1" spans="1:20">
      <c r="A3227" s="9"/>
      <c r="B3227" s="25"/>
      <c r="C3227" s="25"/>
      <c r="D3227" s="25"/>
      <c r="E3227" s="25"/>
      <c r="F3227" s="25"/>
      <c r="G3227" s="25"/>
      <c r="H3227" s="25"/>
      <c r="I3227" s="25"/>
      <c r="J3227" s="25"/>
      <c r="K3227" s="25"/>
      <c r="L3227" s="25"/>
      <c r="M3227" s="42" t="s">
        <v>253</v>
      </c>
      <c r="N3227" s="41">
        <v>45056</v>
      </c>
      <c r="O3227" s="25">
        <v>199</v>
      </c>
      <c r="P3227" s="25">
        <v>0</v>
      </c>
      <c r="Q3227" s="25"/>
      <c r="R3227" s="25"/>
      <c r="S3227" s="25"/>
      <c r="T3227" s="10"/>
    </row>
    <row r="3228" s="35" customFormat="1" ht="18.5" customHeight="1" spans="1:20">
      <c r="A3228" s="9"/>
      <c r="B3228" s="25"/>
      <c r="C3228" s="25"/>
      <c r="D3228" s="25"/>
      <c r="E3228" s="25"/>
      <c r="F3228" s="25"/>
      <c r="G3228" s="25"/>
      <c r="H3228" s="25"/>
      <c r="I3228" s="25"/>
      <c r="J3228" s="25"/>
      <c r="K3228" s="25"/>
      <c r="L3228" s="25"/>
      <c r="M3228" s="42" t="s">
        <v>253</v>
      </c>
      <c r="N3228" s="41">
        <v>45056</v>
      </c>
      <c r="O3228" s="25">
        <v>185</v>
      </c>
      <c r="P3228" s="25">
        <v>0</v>
      </c>
      <c r="Q3228" s="25"/>
      <c r="R3228" s="25"/>
      <c r="S3228" s="25"/>
      <c r="T3228" s="10"/>
    </row>
    <row r="3229" s="35" customFormat="1" ht="18.5" customHeight="1" spans="1:20">
      <c r="A3229" s="9"/>
      <c r="B3229" s="25"/>
      <c r="C3229" s="25"/>
      <c r="D3229" s="25"/>
      <c r="E3229" s="25"/>
      <c r="F3229" s="25"/>
      <c r="G3229" s="25"/>
      <c r="H3229" s="25"/>
      <c r="I3229" s="25"/>
      <c r="J3229" s="25"/>
      <c r="K3229" s="25"/>
      <c r="L3229" s="25"/>
      <c r="M3229" s="42" t="s">
        <v>253</v>
      </c>
      <c r="N3229" s="41">
        <v>45056</v>
      </c>
      <c r="O3229" s="25">
        <v>179</v>
      </c>
      <c r="P3229" s="25">
        <v>0</v>
      </c>
      <c r="Q3229" s="25"/>
      <c r="R3229" s="25"/>
      <c r="S3229" s="25"/>
      <c r="T3229" s="10"/>
    </row>
    <row r="3230" s="35" customFormat="1" ht="18.5" customHeight="1" spans="1:20">
      <c r="A3230" s="9"/>
      <c r="B3230" s="25"/>
      <c r="C3230" s="25"/>
      <c r="D3230" s="25"/>
      <c r="E3230" s="25"/>
      <c r="F3230" s="25"/>
      <c r="G3230" s="25"/>
      <c r="H3230" s="25"/>
      <c r="I3230" s="25"/>
      <c r="J3230" s="25"/>
      <c r="K3230" s="25"/>
      <c r="L3230" s="25"/>
      <c r="M3230" s="42" t="s">
        <v>253</v>
      </c>
      <c r="N3230" s="41">
        <v>45056</v>
      </c>
      <c r="O3230" s="25">
        <v>178</v>
      </c>
      <c r="P3230" s="25">
        <v>0</v>
      </c>
      <c r="Q3230" s="25"/>
      <c r="R3230" s="25"/>
      <c r="S3230" s="25"/>
      <c r="T3230" s="10"/>
    </row>
    <row r="3231" s="35" customFormat="1" ht="18.5" customHeight="1" spans="1:20">
      <c r="A3231" s="9"/>
      <c r="B3231" s="25"/>
      <c r="C3231" s="25"/>
      <c r="D3231" s="25"/>
      <c r="E3231" s="25"/>
      <c r="F3231" s="25"/>
      <c r="G3231" s="25"/>
      <c r="H3231" s="25"/>
      <c r="I3231" s="25"/>
      <c r="J3231" s="25"/>
      <c r="K3231" s="25"/>
      <c r="L3231" s="25"/>
      <c r="M3231" s="42" t="s">
        <v>253</v>
      </c>
      <c r="N3231" s="41">
        <v>45056</v>
      </c>
      <c r="O3231" s="25">
        <v>243</v>
      </c>
      <c r="P3231" s="25">
        <v>0</v>
      </c>
      <c r="Q3231" s="25"/>
      <c r="R3231" s="25"/>
      <c r="S3231" s="25"/>
      <c r="T3231" s="10"/>
    </row>
    <row r="3232" s="35" customFormat="1" ht="18.5" customHeight="1" spans="1:20">
      <c r="A3232" s="9"/>
      <c r="B3232" s="25"/>
      <c r="C3232" s="25"/>
      <c r="D3232" s="25"/>
      <c r="E3232" s="25"/>
      <c r="F3232" s="25"/>
      <c r="G3232" s="25"/>
      <c r="H3232" s="25"/>
      <c r="I3232" s="25"/>
      <c r="J3232" s="25"/>
      <c r="K3232" s="25"/>
      <c r="L3232" s="25"/>
      <c r="M3232" s="42" t="s">
        <v>253</v>
      </c>
      <c r="N3232" s="41">
        <v>45056</v>
      </c>
      <c r="O3232" s="25">
        <v>135</v>
      </c>
      <c r="P3232" s="25">
        <v>0</v>
      </c>
      <c r="Q3232" s="25"/>
      <c r="R3232" s="25"/>
      <c r="S3232" s="25"/>
      <c r="T3232" s="10"/>
    </row>
    <row r="3233" s="35" customFormat="1" ht="18.5" customHeight="1" spans="1:20">
      <c r="A3233" s="9"/>
      <c r="B3233" s="25"/>
      <c r="C3233" s="25"/>
      <c r="D3233" s="25"/>
      <c r="E3233" s="25"/>
      <c r="F3233" s="25"/>
      <c r="G3233" s="25"/>
      <c r="H3233" s="25"/>
      <c r="I3233" s="25"/>
      <c r="J3233" s="25"/>
      <c r="K3233" s="25"/>
      <c r="L3233" s="25"/>
      <c r="M3233" s="42" t="s">
        <v>253</v>
      </c>
      <c r="N3233" s="41">
        <v>45056</v>
      </c>
      <c r="O3233" s="25">
        <v>157</v>
      </c>
      <c r="P3233" s="25">
        <v>0</v>
      </c>
      <c r="Q3233" s="25"/>
      <c r="R3233" s="25"/>
      <c r="S3233" s="25"/>
      <c r="T3233" s="10"/>
    </row>
    <row r="3234" s="35" customFormat="1" ht="18.5" customHeight="1" spans="1:20">
      <c r="A3234" s="9"/>
      <c r="B3234" s="25"/>
      <c r="C3234" s="25"/>
      <c r="D3234" s="25"/>
      <c r="E3234" s="25"/>
      <c r="F3234" s="25"/>
      <c r="G3234" s="25"/>
      <c r="H3234" s="25"/>
      <c r="I3234" s="25"/>
      <c r="J3234" s="25"/>
      <c r="K3234" s="25"/>
      <c r="L3234" s="25"/>
      <c r="M3234" s="42" t="s">
        <v>253</v>
      </c>
      <c r="N3234" s="41">
        <v>45056</v>
      </c>
      <c r="O3234" s="25">
        <v>93</v>
      </c>
      <c r="P3234" s="25">
        <v>0</v>
      </c>
      <c r="Q3234" s="25"/>
      <c r="R3234" s="25"/>
      <c r="S3234" s="25"/>
      <c r="T3234" s="10"/>
    </row>
    <row r="3235" s="35" customFormat="1" ht="18.5" customHeight="1" spans="1:20">
      <c r="A3235" s="9"/>
      <c r="B3235" s="25"/>
      <c r="C3235" s="25"/>
      <c r="D3235" s="25"/>
      <c r="E3235" s="25"/>
      <c r="F3235" s="25"/>
      <c r="G3235" s="25"/>
      <c r="H3235" s="25"/>
      <c r="I3235" s="25"/>
      <c r="J3235" s="25"/>
      <c r="K3235" s="25"/>
      <c r="L3235" s="25"/>
      <c r="M3235" s="42" t="s">
        <v>253</v>
      </c>
      <c r="N3235" s="41">
        <v>45056</v>
      </c>
      <c r="O3235" s="25">
        <v>388</v>
      </c>
      <c r="P3235" s="25">
        <v>0</v>
      </c>
      <c r="Q3235" s="25"/>
      <c r="R3235" s="25"/>
      <c r="S3235" s="25"/>
      <c r="T3235" s="10"/>
    </row>
    <row r="3236" s="35" customFormat="1" ht="18.5" customHeight="1" spans="1:20">
      <c r="A3236" s="9"/>
      <c r="B3236" s="25"/>
      <c r="C3236" s="25"/>
      <c r="D3236" s="25"/>
      <c r="E3236" s="25"/>
      <c r="F3236" s="25"/>
      <c r="G3236" s="25"/>
      <c r="H3236" s="25"/>
      <c r="I3236" s="25"/>
      <c r="J3236" s="25"/>
      <c r="K3236" s="25"/>
      <c r="L3236" s="25"/>
      <c r="M3236" s="42" t="s">
        <v>253</v>
      </c>
      <c r="N3236" s="41">
        <v>45055</v>
      </c>
      <c r="O3236" s="25">
        <v>89</v>
      </c>
      <c r="P3236" s="25">
        <v>0</v>
      </c>
      <c r="Q3236" s="25"/>
      <c r="R3236" s="25"/>
      <c r="S3236" s="25"/>
      <c r="T3236" s="10"/>
    </row>
    <row r="3237" s="35" customFormat="1" ht="18.5" customHeight="1" spans="1:20">
      <c r="A3237" s="9"/>
      <c r="B3237" s="25"/>
      <c r="C3237" s="25"/>
      <c r="D3237" s="25"/>
      <c r="E3237" s="25"/>
      <c r="F3237" s="25"/>
      <c r="G3237" s="25"/>
      <c r="H3237" s="25"/>
      <c r="I3237" s="25"/>
      <c r="J3237" s="25"/>
      <c r="K3237" s="25"/>
      <c r="L3237" s="25"/>
      <c r="M3237" s="42" t="s">
        <v>253</v>
      </c>
      <c r="N3237" s="41">
        <v>45055</v>
      </c>
      <c r="O3237" s="25">
        <v>290</v>
      </c>
      <c r="P3237" s="25">
        <v>0</v>
      </c>
      <c r="Q3237" s="25"/>
      <c r="R3237" s="25"/>
      <c r="S3237" s="25"/>
      <c r="T3237" s="10"/>
    </row>
    <row r="3238" s="35" customFormat="1" ht="18.5" customHeight="1" spans="1:20">
      <c r="A3238" s="9"/>
      <c r="B3238" s="25"/>
      <c r="C3238" s="25"/>
      <c r="D3238" s="25"/>
      <c r="E3238" s="25"/>
      <c r="F3238" s="25"/>
      <c r="G3238" s="25"/>
      <c r="H3238" s="25"/>
      <c r="I3238" s="25"/>
      <c r="J3238" s="25"/>
      <c r="K3238" s="25"/>
      <c r="L3238" s="25"/>
      <c r="M3238" s="42" t="s">
        <v>253</v>
      </c>
      <c r="N3238" s="41">
        <v>45055</v>
      </c>
      <c r="O3238" s="25">
        <v>130</v>
      </c>
      <c r="P3238" s="25">
        <v>0</v>
      </c>
      <c r="Q3238" s="25"/>
      <c r="R3238" s="25"/>
      <c r="S3238" s="25"/>
      <c r="T3238" s="10"/>
    </row>
    <row r="3239" s="35" customFormat="1" ht="18.5" customHeight="1" spans="1:20">
      <c r="A3239" s="9"/>
      <c r="B3239" s="25"/>
      <c r="C3239" s="25"/>
      <c r="D3239" s="25"/>
      <c r="E3239" s="25"/>
      <c r="F3239" s="25"/>
      <c r="G3239" s="25"/>
      <c r="H3239" s="25"/>
      <c r="I3239" s="25"/>
      <c r="J3239" s="25"/>
      <c r="K3239" s="25"/>
      <c r="L3239" s="25"/>
      <c r="M3239" s="42" t="s">
        <v>253</v>
      </c>
      <c r="N3239" s="41">
        <v>45055</v>
      </c>
      <c r="O3239" s="25">
        <v>183</v>
      </c>
      <c r="P3239" s="25">
        <v>0</v>
      </c>
      <c r="Q3239" s="25"/>
      <c r="R3239" s="25"/>
      <c r="S3239" s="25"/>
      <c r="T3239" s="10"/>
    </row>
    <row r="3240" s="35" customFormat="1" ht="18.5" customHeight="1" spans="1:20">
      <c r="A3240" s="9"/>
      <c r="B3240" s="25"/>
      <c r="C3240" s="25"/>
      <c r="D3240" s="25"/>
      <c r="E3240" s="25"/>
      <c r="F3240" s="25"/>
      <c r="G3240" s="25"/>
      <c r="H3240" s="25"/>
      <c r="I3240" s="25"/>
      <c r="J3240" s="25"/>
      <c r="K3240" s="25"/>
      <c r="L3240" s="25"/>
      <c r="M3240" s="42" t="s">
        <v>253</v>
      </c>
      <c r="N3240" s="41">
        <v>45055</v>
      </c>
      <c r="O3240" s="25">
        <v>141</v>
      </c>
      <c r="P3240" s="25">
        <v>0</v>
      </c>
      <c r="Q3240" s="25"/>
      <c r="R3240" s="25"/>
      <c r="S3240" s="25"/>
      <c r="T3240" s="10"/>
    </row>
    <row r="3241" s="35" customFormat="1" ht="18.5" customHeight="1" spans="1:20">
      <c r="A3241" s="9"/>
      <c r="B3241" s="25"/>
      <c r="C3241" s="25"/>
      <c r="D3241" s="25"/>
      <c r="E3241" s="25"/>
      <c r="F3241" s="25"/>
      <c r="G3241" s="25"/>
      <c r="H3241" s="25"/>
      <c r="I3241" s="25"/>
      <c r="J3241" s="25"/>
      <c r="K3241" s="25"/>
      <c r="L3241" s="25"/>
      <c r="M3241" s="42" t="s">
        <v>253</v>
      </c>
      <c r="N3241" s="41">
        <v>45055</v>
      </c>
      <c r="O3241" s="25">
        <v>92</v>
      </c>
      <c r="P3241" s="25">
        <v>0</v>
      </c>
      <c r="Q3241" s="25"/>
      <c r="R3241" s="25"/>
      <c r="S3241" s="25"/>
      <c r="T3241" s="10"/>
    </row>
    <row r="3242" s="35" customFormat="1" ht="18.5" customHeight="1" spans="1:20">
      <c r="A3242" s="9"/>
      <c r="B3242" s="25"/>
      <c r="C3242" s="25"/>
      <c r="D3242" s="25"/>
      <c r="E3242" s="25"/>
      <c r="F3242" s="25"/>
      <c r="G3242" s="25"/>
      <c r="H3242" s="25"/>
      <c r="I3242" s="25"/>
      <c r="J3242" s="25"/>
      <c r="K3242" s="25"/>
      <c r="L3242" s="25"/>
      <c r="M3242" s="42" t="s">
        <v>253</v>
      </c>
      <c r="N3242" s="41">
        <v>45051</v>
      </c>
      <c r="O3242" s="25">
        <v>186</v>
      </c>
      <c r="P3242" s="25">
        <v>0</v>
      </c>
      <c r="Q3242" s="25"/>
      <c r="R3242" s="25"/>
      <c r="S3242" s="25"/>
      <c r="T3242" s="10"/>
    </row>
    <row r="3243" s="35" customFormat="1" ht="18.5" customHeight="1" spans="1:20">
      <c r="A3243" s="9"/>
      <c r="B3243" s="25"/>
      <c r="C3243" s="25"/>
      <c r="D3243" s="25"/>
      <c r="E3243" s="25"/>
      <c r="F3243" s="25"/>
      <c r="G3243" s="25"/>
      <c r="H3243" s="25"/>
      <c r="I3243" s="25"/>
      <c r="J3243" s="25"/>
      <c r="K3243" s="25"/>
      <c r="L3243" s="25"/>
      <c r="M3243" s="42" t="s">
        <v>253</v>
      </c>
      <c r="N3243" s="41">
        <v>45037</v>
      </c>
      <c r="O3243" s="25">
        <v>906</v>
      </c>
      <c r="P3243" s="25">
        <v>0</v>
      </c>
      <c r="Q3243" s="25"/>
      <c r="R3243" s="25"/>
      <c r="S3243" s="25"/>
      <c r="T3243" s="10"/>
    </row>
    <row r="3244" s="35" customFormat="1" ht="18.5" customHeight="1" spans="1:20">
      <c r="A3244" s="9"/>
      <c r="B3244" s="25"/>
      <c r="C3244" s="25"/>
      <c r="D3244" s="25"/>
      <c r="E3244" s="25"/>
      <c r="F3244" s="25"/>
      <c r="G3244" s="25"/>
      <c r="H3244" s="25"/>
      <c r="I3244" s="25"/>
      <c r="J3244" s="25"/>
      <c r="K3244" s="25"/>
      <c r="L3244" s="25"/>
      <c r="M3244" s="42" t="s">
        <v>253</v>
      </c>
      <c r="N3244" s="41">
        <v>45055</v>
      </c>
      <c r="O3244" s="25">
        <v>126</v>
      </c>
      <c r="P3244" s="25">
        <v>0</v>
      </c>
      <c r="Q3244" s="25"/>
      <c r="R3244" s="25"/>
      <c r="S3244" s="25"/>
      <c r="T3244" s="10"/>
    </row>
    <row r="3245" s="35" customFormat="1" ht="18.5" customHeight="1" spans="1:20">
      <c r="A3245" s="9"/>
      <c r="B3245" s="25"/>
      <c r="C3245" s="25"/>
      <c r="D3245" s="25"/>
      <c r="E3245" s="25"/>
      <c r="F3245" s="25"/>
      <c r="G3245" s="25"/>
      <c r="H3245" s="25"/>
      <c r="I3245" s="25"/>
      <c r="J3245" s="25"/>
      <c r="K3245" s="25"/>
      <c r="L3245" s="25"/>
      <c r="M3245" s="42" t="s">
        <v>253</v>
      </c>
      <c r="N3245" s="41">
        <v>45055</v>
      </c>
      <c r="O3245" s="25">
        <v>117</v>
      </c>
      <c r="P3245" s="25">
        <v>0</v>
      </c>
      <c r="Q3245" s="25"/>
      <c r="R3245" s="25"/>
      <c r="S3245" s="25"/>
      <c r="T3245" s="10"/>
    </row>
    <row r="3246" s="35" customFormat="1" ht="18.5" customHeight="1" spans="1:20">
      <c r="A3246" s="9"/>
      <c r="B3246" s="25"/>
      <c r="C3246" s="25"/>
      <c r="D3246" s="25"/>
      <c r="E3246" s="25"/>
      <c r="F3246" s="25"/>
      <c r="G3246" s="25"/>
      <c r="H3246" s="25"/>
      <c r="I3246" s="25"/>
      <c r="J3246" s="25"/>
      <c r="K3246" s="25"/>
      <c r="L3246" s="25"/>
      <c r="M3246" s="42" t="s">
        <v>253</v>
      </c>
      <c r="N3246" s="41">
        <v>45055</v>
      </c>
      <c r="O3246" s="25">
        <v>192</v>
      </c>
      <c r="P3246" s="25">
        <v>0</v>
      </c>
      <c r="Q3246" s="25"/>
      <c r="R3246" s="25"/>
      <c r="S3246" s="25"/>
      <c r="T3246" s="10"/>
    </row>
    <row r="3247" s="35" customFormat="1" ht="18.5" customHeight="1" spans="1:20">
      <c r="A3247" s="9"/>
      <c r="B3247" s="25"/>
      <c r="C3247" s="25"/>
      <c r="D3247" s="25"/>
      <c r="E3247" s="25"/>
      <c r="F3247" s="25"/>
      <c r="G3247" s="25"/>
      <c r="H3247" s="25"/>
      <c r="I3247" s="25"/>
      <c r="J3247" s="25"/>
      <c r="K3247" s="25"/>
      <c r="L3247" s="25"/>
      <c r="M3247" s="42" t="s">
        <v>253</v>
      </c>
      <c r="N3247" s="41">
        <v>45055</v>
      </c>
      <c r="O3247" s="25">
        <v>123</v>
      </c>
      <c r="P3247" s="25">
        <v>0</v>
      </c>
      <c r="Q3247" s="25"/>
      <c r="R3247" s="25"/>
      <c r="S3247" s="25"/>
      <c r="T3247" s="10"/>
    </row>
    <row r="3248" s="35" customFormat="1" ht="18.5" customHeight="1" spans="1:20">
      <c r="A3248" s="9"/>
      <c r="B3248" s="25"/>
      <c r="C3248" s="25"/>
      <c r="D3248" s="25"/>
      <c r="E3248" s="25"/>
      <c r="F3248" s="25"/>
      <c r="G3248" s="25"/>
      <c r="H3248" s="25"/>
      <c r="I3248" s="25"/>
      <c r="J3248" s="25"/>
      <c r="K3248" s="25"/>
      <c r="L3248" s="25"/>
      <c r="M3248" s="42" t="s">
        <v>253</v>
      </c>
      <c r="N3248" s="41">
        <v>45055</v>
      </c>
      <c r="O3248" s="25">
        <v>133</v>
      </c>
      <c r="P3248" s="25">
        <v>0</v>
      </c>
      <c r="Q3248" s="25"/>
      <c r="R3248" s="25"/>
      <c r="S3248" s="25"/>
      <c r="T3248" s="10"/>
    </row>
    <row r="3249" s="35" customFormat="1" ht="18.5" customHeight="1" spans="1:20">
      <c r="A3249" s="9"/>
      <c r="B3249" s="25"/>
      <c r="C3249" s="25"/>
      <c r="D3249" s="25"/>
      <c r="E3249" s="25"/>
      <c r="F3249" s="25"/>
      <c r="G3249" s="25"/>
      <c r="H3249" s="25"/>
      <c r="I3249" s="25"/>
      <c r="J3249" s="25"/>
      <c r="K3249" s="25"/>
      <c r="L3249" s="25"/>
      <c r="M3249" s="42" t="s">
        <v>253</v>
      </c>
      <c r="N3249" s="41">
        <v>45054</v>
      </c>
      <c r="O3249" s="25">
        <v>91</v>
      </c>
      <c r="P3249" s="25">
        <v>0</v>
      </c>
      <c r="Q3249" s="25"/>
      <c r="R3249" s="25"/>
      <c r="S3249" s="25"/>
      <c r="T3249" s="10"/>
    </row>
    <row r="3250" s="35" customFormat="1" ht="18.5" customHeight="1" spans="1:20">
      <c r="A3250" s="9"/>
      <c r="B3250" s="25"/>
      <c r="C3250" s="25"/>
      <c r="D3250" s="25"/>
      <c r="E3250" s="25"/>
      <c r="F3250" s="25"/>
      <c r="G3250" s="25"/>
      <c r="H3250" s="25"/>
      <c r="I3250" s="25"/>
      <c r="J3250" s="25"/>
      <c r="K3250" s="25"/>
      <c r="L3250" s="25"/>
      <c r="M3250" s="42" t="s">
        <v>253</v>
      </c>
      <c r="N3250" s="41">
        <v>45054</v>
      </c>
      <c r="O3250" s="25">
        <v>284</v>
      </c>
      <c r="P3250" s="25">
        <v>0</v>
      </c>
      <c r="Q3250" s="25"/>
      <c r="R3250" s="25"/>
      <c r="S3250" s="25"/>
      <c r="T3250" s="10"/>
    </row>
    <row r="3251" s="35" customFormat="1" ht="18.5" customHeight="1" spans="1:20">
      <c r="A3251" s="9"/>
      <c r="B3251" s="25"/>
      <c r="C3251" s="25"/>
      <c r="D3251" s="25"/>
      <c r="E3251" s="25"/>
      <c r="F3251" s="25"/>
      <c r="G3251" s="25"/>
      <c r="H3251" s="25"/>
      <c r="I3251" s="25"/>
      <c r="J3251" s="25"/>
      <c r="K3251" s="25"/>
      <c r="L3251" s="25"/>
      <c r="M3251" s="42" t="s">
        <v>253</v>
      </c>
      <c r="N3251" s="41">
        <v>45054</v>
      </c>
      <c r="O3251" s="25">
        <v>257</v>
      </c>
      <c r="P3251" s="25">
        <v>0</v>
      </c>
      <c r="Q3251" s="25"/>
      <c r="R3251" s="25"/>
      <c r="S3251" s="25"/>
      <c r="T3251" s="10"/>
    </row>
    <row r="3252" s="35" customFormat="1" ht="18.5" customHeight="1" spans="1:20">
      <c r="A3252" s="9"/>
      <c r="B3252" s="25"/>
      <c r="C3252" s="25"/>
      <c r="D3252" s="25"/>
      <c r="E3252" s="25"/>
      <c r="F3252" s="25"/>
      <c r="G3252" s="25"/>
      <c r="H3252" s="25"/>
      <c r="I3252" s="25"/>
      <c r="J3252" s="25"/>
      <c r="K3252" s="25"/>
      <c r="L3252" s="25"/>
      <c r="M3252" s="42" t="s">
        <v>253</v>
      </c>
      <c r="N3252" s="41">
        <v>45054</v>
      </c>
      <c r="O3252" s="25">
        <v>281</v>
      </c>
      <c r="P3252" s="25">
        <v>0</v>
      </c>
      <c r="Q3252" s="25"/>
      <c r="R3252" s="25"/>
      <c r="S3252" s="25"/>
      <c r="T3252" s="10"/>
    </row>
    <row r="3253" s="35" customFormat="1" ht="18.5" customHeight="1" spans="1:20">
      <c r="A3253" s="9"/>
      <c r="B3253" s="25"/>
      <c r="C3253" s="25"/>
      <c r="D3253" s="25"/>
      <c r="E3253" s="25"/>
      <c r="F3253" s="25"/>
      <c r="G3253" s="25"/>
      <c r="H3253" s="25"/>
      <c r="I3253" s="25"/>
      <c r="J3253" s="25"/>
      <c r="K3253" s="25"/>
      <c r="L3253" s="25"/>
      <c r="M3253" s="42" t="s">
        <v>253</v>
      </c>
      <c r="N3253" s="41">
        <v>45054</v>
      </c>
      <c r="O3253" s="25">
        <v>119</v>
      </c>
      <c r="P3253" s="25">
        <v>0</v>
      </c>
      <c r="Q3253" s="25"/>
      <c r="R3253" s="25"/>
      <c r="S3253" s="25"/>
      <c r="T3253" s="10"/>
    </row>
    <row r="3254" s="35" customFormat="1" ht="18.5" customHeight="1" spans="1:20">
      <c r="A3254" s="9"/>
      <c r="B3254" s="25"/>
      <c r="C3254" s="25"/>
      <c r="D3254" s="25"/>
      <c r="E3254" s="25"/>
      <c r="F3254" s="25"/>
      <c r="G3254" s="25"/>
      <c r="H3254" s="25"/>
      <c r="I3254" s="25"/>
      <c r="J3254" s="25"/>
      <c r="K3254" s="25"/>
      <c r="L3254" s="25"/>
      <c r="M3254" s="42" t="s">
        <v>253</v>
      </c>
      <c r="N3254" s="41">
        <v>45054</v>
      </c>
      <c r="O3254" s="25">
        <v>777</v>
      </c>
      <c r="P3254" s="25">
        <v>0</v>
      </c>
      <c r="Q3254" s="25"/>
      <c r="R3254" s="25"/>
      <c r="S3254" s="25"/>
      <c r="T3254" s="10"/>
    </row>
    <row r="3255" s="35" customFormat="1" ht="18.5" customHeight="1" spans="1:20">
      <c r="A3255" s="9"/>
      <c r="B3255" s="25"/>
      <c r="C3255" s="25"/>
      <c r="D3255" s="25"/>
      <c r="E3255" s="25"/>
      <c r="F3255" s="25"/>
      <c r="G3255" s="25"/>
      <c r="H3255" s="25"/>
      <c r="I3255" s="25"/>
      <c r="J3255" s="25"/>
      <c r="K3255" s="25"/>
      <c r="L3255" s="25"/>
      <c r="M3255" s="42" t="s">
        <v>253</v>
      </c>
      <c r="N3255" s="41">
        <v>45054</v>
      </c>
      <c r="O3255" s="25">
        <v>143</v>
      </c>
      <c r="P3255" s="25">
        <v>0</v>
      </c>
      <c r="Q3255" s="25"/>
      <c r="R3255" s="25"/>
      <c r="S3255" s="25"/>
      <c r="T3255" s="10"/>
    </row>
    <row r="3256" s="35" customFormat="1" ht="18.5" customHeight="1" spans="1:20">
      <c r="A3256" s="9"/>
      <c r="B3256" s="25"/>
      <c r="C3256" s="25"/>
      <c r="D3256" s="25"/>
      <c r="E3256" s="25"/>
      <c r="F3256" s="25"/>
      <c r="G3256" s="25"/>
      <c r="H3256" s="25"/>
      <c r="I3256" s="25"/>
      <c r="J3256" s="25"/>
      <c r="K3256" s="25"/>
      <c r="L3256" s="25"/>
      <c r="M3256" s="42" t="s">
        <v>253</v>
      </c>
      <c r="N3256" s="41">
        <v>45054</v>
      </c>
      <c r="O3256" s="25">
        <v>246</v>
      </c>
      <c r="P3256" s="25">
        <v>0</v>
      </c>
      <c r="Q3256" s="25"/>
      <c r="R3256" s="25"/>
      <c r="S3256" s="25"/>
      <c r="T3256" s="10"/>
    </row>
    <row r="3257" s="35" customFormat="1" ht="18.5" customHeight="1" spans="1:20">
      <c r="A3257" s="9"/>
      <c r="B3257" s="25"/>
      <c r="C3257" s="25"/>
      <c r="D3257" s="25"/>
      <c r="E3257" s="25"/>
      <c r="F3257" s="25"/>
      <c r="G3257" s="25"/>
      <c r="H3257" s="25"/>
      <c r="I3257" s="25"/>
      <c r="J3257" s="25"/>
      <c r="K3257" s="25"/>
      <c r="L3257" s="25"/>
      <c r="M3257" s="42" t="s">
        <v>253</v>
      </c>
      <c r="N3257" s="41">
        <v>45053</v>
      </c>
      <c r="O3257" s="25">
        <v>171</v>
      </c>
      <c r="P3257" s="25">
        <v>0</v>
      </c>
      <c r="Q3257" s="25"/>
      <c r="R3257" s="25"/>
      <c r="S3257" s="25"/>
      <c r="T3257" s="10"/>
    </row>
    <row r="3258" s="35" customFormat="1" ht="18.5" customHeight="1" spans="1:20">
      <c r="A3258" s="9"/>
      <c r="B3258" s="25"/>
      <c r="C3258" s="25"/>
      <c r="D3258" s="25"/>
      <c r="E3258" s="25"/>
      <c r="F3258" s="25"/>
      <c r="G3258" s="25"/>
      <c r="H3258" s="25"/>
      <c r="I3258" s="25"/>
      <c r="J3258" s="25"/>
      <c r="K3258" s="25"/>
      <c r="L3258" s="25"/>
      <c r="M3258" s="42" t="s">
        <v>253</v>
      </c>
      <c r="N3258" s="41">
        <v>45053</v>
      </c>
      <c r="O3258" s="25">
        <v>84</v>
      </c>
      <c r="P3258" s="25">
        <v>0</v>
      </c>
      <c r="Q3258" s="25"/>
      <c r="R3258" s="25"/>
      <c r="S3258" s="25"/>
      <c r="T3258" s="10"/>
    </row>
    <row r="3259" s="35" customFormat="1" ht="18.5" customHeight="1" spans="1:20">
      <c r="A3259" s="9"/>
      <c r="B3259" s="25"/>
      <c r="C3259" s="25"/>
      <c r="D3259" s="25"/>
      <c r="E3259" s="25"/>
      <c r="F3259" s="25"/>
      <c r="G3259" s="25"/>
      <c r="H3259" s="25"/>
      <c r="I3259" s="25"/>
      <c r="J3259" s="25"/>
      <c r="K3259" s="25"/>
      <c r="L3259" s="25"/>
      <c r="M3259" s="42" t="s">
        <v>253</v>
      </c>
      <c r="N3259" s="41">
        <v>45053</v>
      </c>
      <c r="O3259" s="25">
        <v>175</v>
      </c>
      <c r="P3259" s="25">
        <v>0</v>
      </c>
      <c r="Q3259" s="25"/>
      <c r="R3259" s="25"/>
      <c r="S3259" s="25"/>
      <c r="T3259" s="10"/>
    </row>
    <row r="3260" s="35" customFormat="1" ht="18.5" customHeight="1" spans="1:20">
      <c r="A3260" s="9"/>
      <c r="B3260" s="25"/>
      <c r="C3260" s="25"/>
      <c r="D3260" s="25"/>
      <c r="E3260" s="25"/>
      <c r="F3260" s="25"/>
      <c r="G3260" s="25"/>
      <c r="H3260" s="25"/>
      <c r="I3260" s="25"/>
      <c r="J3260" s="25"/>
      <c r="K3260" s="25"/>
      <c r="L3260" s="25"/>
      <c r="M3260" s="42" t="s">
        <v>253</v>
      </c>
      <c r="N3260" s="41">
        <v>45053</v>
      </c>
      <c r="O3260" s="25">
        <v>221</v>
      </c>
      <c r="P3260" s="25">
        <v>0</v>
      </c>
      <c r="Q3260" s="25"/>
      <c r="R3260" s="25"/>
      <c r="S3260" s="25"/>
      <c r="T3260" s="10"/>
    </row>
    <row r="3261" s="35" customFormat="1" ht="18.5" customHeight="1" spans="1:20">
      <c r="A3261" s="9"/>
      <c r="B3261" s="25"/>
      <c r="C3261" s="25"/>
      <c r="D3261" s="25"/>
      <c r="E3261" s="25"/>
      <c r="F3261" s="25"/>
      <c r="G3261" s="25"/>
      <c r="H3261" s="25"/>
      <c r="I3261" s="25"/>
      <c r="J3261" s="25"/>
      <c r="K3261" s="25"/>
      <c r="L3261" s="25"/>
      <c r="M3261" s="42" t="s">
        <v>253</v>
      </c>
      <c r="N3261" s="41">
        <v>45053</v>
      </c>
      <c r="O3261" s="25">
        <v>921</v>
      </c>
      <c r="P3261" s="25">
        <v>0</v>
      </c>
      <c r="Q3261" s="25"/>
      <c r="R3261" s="25"/>
      <c r="S3261" s="25"/>
      <c r="T3261" s="10"/>
    </row>
    <row r="3262" s="35" customFormat="1" ht="18.5" customHeight="1" spans="1:20">
      <c r="A3262" s="9"/>
      <c r="B3262" s="25"/>
      <c r="C3262" s="25"/>
      <c r="D3262" s="25"/>
      <c r="E3262" s="25"/>
      <c r="F3262" s="25"/>
      <c r="G3262" s="25"/>
      <c r="H3262" s="25"/>
      <c r="I3262" s="25"/>
      <c r="J3262" s="25"/>
      <c r="K3262" s="25"/>
      <c r="L3262" s="25"/>
      <c r="M3262" s="42" t="s">
        <v>253</v>
      </c>
      <c r="N3262" s="41">
        <v>45052</v>
      </c>
      <c r="O3262" s="25">
        <v>144</v>
      </c>
      <c r="P3262" s="25">
        <v>0</v>
      </c>
      <c r="Q3262" s="25"/>
      <c r="R3262" s="25"/>
      <c r="S3262" s="25"/>
      <c r="T3262" s="10"/>
    </row>
    <row r="3263" s="35" customFormat="1" ht="18.5" customHeight="1" spans="1:20">
      <c r="A3263" s="9"/>
      <c r="B3263" s="25"/>
      <c r="C3263" s="25"/>
      <c r="D3263" s="25"/>
      <c r="E3263" s="25"/>
      <c r="F3263" s="25"/>
      <c r="G3263" s="25"/>
      <c r="H3263" s="25"/>
      <c r="I3263" s="25"/>
      <c r="J3263" s="25"/>
      <c r="K3263" s="25"/>
      <c r="L3263" s="25"/>
      <c r="M3263" s="42" t="s">
        <v>253</v>
      </c>
      <c r="N3263" s="41">
        <v>45052</v>
      </c>
      <c r="O3263" s="25">
        <v>129</v>
      </c>
      <c r="P3263" s="25">
        <v>0</v>
      </c>
      <c r="Q3263" s="25"/>
      <c r="R3263" s="25"/>
      <c r="S3263" s="25"/>
      <c r="T3263" s="10"/>
    </row>
    <row r="3264" s="35" customFormat="1" ht="18.5" customHeight="1" spans="1:20">
      <c r="A3264" s="9"/>
      <c r="B3264" s="25"/>
      <c r="C3264" s="25"/>
      <c r="D3264" s="25"/>
      <c r="E3264" s="25"/>
      <c r="F3264" s="25"/>
      <c r="G3264" s="25"/>
      <c r="H3264" s="25"/>
      <c r="I3264" s="25"/>
      <c r="J3264" s="25"/>
      <c r="K3264" s="25"/>
      <c r="L3264" s="25"/>
      <c r="M3264" s="42" t="s">
        <v>253</v>
      </c>
      <c r="N3264" s="41">
        <v>45052</v>
      </c>
      <c r="O3264" s="25">
        <v>959</v>
      </c>
      <c r="P3264" s="25">
        <v>0</v>
      </c>
      <c r="Q3264" s="25"/>
      <c r="R3264" s="25"/>
      <c r="S3264" s="25"/>
      <c r="T3264" s="10"/>
    </row>
    <row r="3265" s="35" customFormat="1" ht="18.5" customHeight="1" spans="1:20">
      <c r="A3265" s="9"/>
      <c r="B3265" s="25"/>
      <c r="C3265" s="25"/>
      <c r="D3265" s="25"/>
      <c r="E3265" s="25"/>
      <c r="F3265" s="25"/>
      <c r="G3265" s="25"/>
      <c r="H3265" s="25"/>
      <c r="I3265" s="25"/>
      <c r="J3265" s="25"/>
      <c r="K3265" s="25"/>
      <c r="L3265" s="25"/>
      <c r="M3265" s="42" t="s">
        <v>253</v>
      </c>
      <c r="N3265" s="41">
        <v>45052</v>
      </c>
      <c r="O3265" s="25">
        <v>561</v>
      </c>
      <c r="P3265" s="25">
        <v>0</v>
      </c>
      <c r="Q3265" s="25"/>
      <c r="R3265" s="25"/>
      <c r="S3265" s="25"/>
      <c r="T3265" s="10"/>
    </row>
    <row r="3266" s="35" customFormat="1" ht="18.5" customHeight="1" spans="1:20">
      <c r="A3266" s="9"/>
      <c r="B3266" s="25"/>
      <c r="C3266" s="25"/>
      <c r="D3266" s="25"/>
      <c r="E3266" s="25"/>
      <c r="F3266" s="25"/>
      <c r="G3266" s="25"/>
      <c r="H3266" s="25"/>
      <c r="I3266" s="25"/>
      <c r="J3266" s="25"/>
      <c r="K3266" s="25"/>
      <c r="L3266" s="25"/>
      <c r="M3266" s="42" t="s">
        <v>253</v>
      </c>
      <c r="N3266" s="41">
        <v>45052</v>
      </c>
      <c r="O3266" s="25">
        <v>336</v>
      </c>
      <c r="P3266" s="25">
        <v>0</v>
      </c>
      <c r="Q3266" s="25"/>
      <c r="R3266" s="25"/>
      <c r="S3266" s="25"/>
      <c r="T3266" s="10"/>
    </row>
    <row r="3267" s="35" customFormat="1" ht="18.5" customHeight="1" spans="1:20">
      <c r="A3267" s="9"/>
      <c r="B3267" s="25"/>
      <c r="C3267" s="25"/>
      <c r="D3267" s="25"/>
      <c r="E3267" s="25"/>
      <c r="F3267" s="25"/>
      <c r="G3267" s="25"/>
      <c r="H3267" s="25"/>
      <c r="I3267" s="25"/>
      <c r="J3267" s="25"/>
      <c r="K3267" s="25"/>
      <c r="L3267" s="25"/>
      <c r="M3267" s="42" t="s">
        <v>253</v>
      </c>
      <c r="N3267" s="41">
        <v>45052</v>
      </c>
      <c r="O3267" s="25">
        <v>338</v>
      </c>
      <c r="P3267" s="25">
        <v>0</v>
      </c>
      <c r="Q3267" s="25"/>
      <c r="R3267" s="25"/>
      <c r="S3267" s="25"/>
      <c r="T3267" s="10"/>
    </row>
    <row r="3268" s="35" customFormat="1" ht="18.5" customHeight="1" spans="1:20">
      <c r="A3268" s="9"/>
      <c r="B3268" s="25"/>
      <c r="C3268" s="25"/>
      <c r="D3268" s="25"/>
      <c r="E3268" s="25"/>
      <c r="F3268" s="25"/>
      <c r="G3268" s="25"/>
      <c r="H3268" s="25"/>
      <c r="I3268" s="25"/>
      <c r="J3268" s="25"/>
      <c r="K3268" s="25"/>
      <c r="L3268" s="25"/>
      <c r="M3268" s="42" t="s">
        <v>253</v>
      </c>
      <c r="N3268" s="41">
        <v>45052</v>
      </c>
      <c r="O3268" s="25">
        <v>390</v>
      </c>
      <c r="P3268" s="25">
        <v>0</v>
      </c>
      <c r="Q3268" s="25"/>
      <c r="R3268" s="25"/>
      <c r="S3268" s="25"/>
      <c r="T3268" s="10"/>
    </row>
    <row r="3269" s="35" customFormat="1" ht="18.5" customHeight="1" spans="1:20">
      <c r="A3269" s="9"/>
      <c r="B3269" s="25"/>
      <c r="C3269" s="25"/>
      <c r="D3269" s="25"/>
      <c r="E3269" s="25"/>
      <c r="F3269" s="25"/>
      <c r="G3269" s="25"/>
      <c r="H3269" s="25"/>
      <c r="I3269" s="25"/>
      <c r="J3269" s="25"/>
      <c r="K3269" s="25"/>
      <c r="L3269" s="25"/>
      <c r="M3269" s="42" t="s">
        <v>253</v>
      </c>
      <c r="N3269" s="41">
        <v>45051</v>
      </c>
      <c r="O3269" s="25">
        <v>210</v>
      </c>
      <c r="P3269" s="25">
        <v>0</v>
      </c>
      <c r="Q3269" s="25"/>
      <c r="R3269" s="25"/>
      <c r="S3269" s="25"/>
      <c r="T3269" s="10"/>
    </row>
    <row r="3270" s="35" customFormat="1" ht="18.5" customHeight="1" spans="1:20">
      <c r="A3270" s="9"/>
      <c r="B3270" s="25"/>
      <c r="C3270" s="25"/>
      <c r="D3270" s="25"/>
      <c r="E3270" s="25"/>
      <c r="F3270" s="25"/>
      <c r="G3270" s="25"/>
      <c r="H3270" s="25"/>
      <c r="I3270" s="25"/>
      <c r="J3270" s="25"/>
      <c r="K3270" s="25"/>
      <c r="L3270" s="25"/>
      <c r="M3270" s="42" t="s">
        <v>253</v>
      </c>
      <c r="N3270" s="41">
        <v>45051</v>
      </c>
      <c r="O3270" s="25">
        <v>207</v>
      </c>
      <c r="P3270" s="25">
        <v>0</v>
      </c>
      <c r="Q3270" s="25"/>
      <c r="R3270" s="25"/>
      <c r="S3270" s="25"/>
      <c r="T3270" s="10"/>
    </row>
    <row r="3271" s="35" customFormat="1" ht="18.5" customHeight="1" spans="1:20">
      <c r="A3271" s="9"/>
      <c r="B3271" s="25"/>
      <c r="C3271" s="25"/>
      <c r="D3271" s="25"/>
      <c r="E3271" s="25"/>
      <c r="F3271" s="25"/>
      <c r="G3271" s="25"/>
      <c r="H3271" s="25"/>
      <c r="I3271" s="25"/>
      <c r="J3271" s="25"/>
      <c r="K3271" s="25"/>
      <c r="L3271" s="25"/>
      <c r="M3271" s="42" t="s">
        <v>253</v>
      </c>
      <c r="N3271" s="41">
        <v>45051</v>
      </c>
      <c r="O3271" s="25">
        <v>337</v>
      </c>
      <c r="P3271" s="25">
        <v>0</v>
      </c>
      <c r="Q3271" s="25"/>
      <c r="R3271" s="25"/>
      <c r="S3271" s="25"/>
      <c r="T3271" s="10"/>
    </row>
    <row r="3272" s="35" customFormat="1" ht="18.5" customHeight="1" spans="1:20">
      <c r="A3272" s="9"/>
      <c r="B3272" s="25"/>
      <c r="C3272" s="25"/>
      <c r="D3272" s="25"/>
      <c r="E3272" s="25"/>
      <c r="F3272" s="25"/>
      <c r="G3272" s="25"/>
      <c r="H3272" s="25"/>
      <c r="I3272" s="25"/>
      <c r="J3272" s="25"/>
      <c r="K3272" s="25"/>
      <c r="L3272" s="25"/>
      <c r="M3272" s="42" t="s">
        <v>253</v>
      </c>
      <c r="N3272" s="41">
        <v>45051</v>
      </c>
      <c r="O3272" s="25">
        <v>498</v>
      </c>
      <c r="P3272" s="25">
        <v>0</v>
      </c>
      <c r="Q3272" s="25"/>
      <c r="R3272" s="25"/>
      <c r="S3272" s="25"/>
      <c r="T3272" s="10"/>
    </row>
    <row r="3273" s="35" customFormat="1" ht="18.5" customHeight="1" spans="1:20">
      <c r="A3273" s="9"/>
      <c r="B3273" s="25"/>
      <c r="C3273" s="25"/>
      <c r="D3273" s="25"/>
      <c r="E3273" s="25"/>
      <c r="F3273" s="25"/>
      <c r="G3273" s="25"/>
      <c r="H3273" s="25"/>
      <c r="I3273" s="25"/>
      <c r="J3273" s="25"/>
      <c r="K3273" s="25"/>
      <c r="L3273" s="25"/>
      <c r="M3273" s="42" t="s">
        <v>253</v>
      </c>
      <c r="N3273" s="41">
        <v>45051</v>
      </c>
      <c r="O3273" s="25">
        <v>157</v>
      </c>
      <c r="P3273" s="25">
        <v>0</v>
      </c>
      <c r="Q3273" s="25"/>
      <c r="R3273" s="25"/>
      <c r="S3273" s="25"/>
      <c r="T3273" s="10"/>
    </row>
    <row r="3274" s="35" customFormat="1" ht="18.5" customHeight="1" spans="1:20">
      <c r="A3274" s="9"/>
      <c r="B3274" s="25"/>
      <c r="C3274" s="25"/>
      <c r="D3274" s="25"/>
      <c r="E3274" s="25"/>
      <c r="F3274" s="25"/>
      <c r="G3274" s="25"/>
      <c r="H3274" s="25"/>
      <c r="I3274" s="25"/>
      <c r="J3274" s="25"/>
      <c r="K3274" s="25"/>
      <c r="L3274" s="25"/>
      <c r="M3274" s="42" t="s">
        <v>253</v>
      </c>
      <c r="N3274" s="41">
        <v>45051</v>
      </c>
      <c r="O3274" s="25">
        <v>382</v>
      </c>
      <c r="P3274" s="25">
        <v>0</v>
      </c>
      <c r="Q3274" s="25"/>
      <c r="R3274" s="25"/>
      <c r="S3274" s="25"/>
      <c r="T3274" s="10"/>
    </row>
    <row r="3275" s="35" customFormat="1" ht="18.5" customHeight="1" spans="1:20">
      <c r="A3275" s="9"/>
      <c r="B3275" s="25"/>
      <c r="C3275" s="25"/>
      <c r="D3275" s="25"/>
      <c r="E3275" s="25"/>
      <c r="F3275" s="25"/>
      <c r="G3275" s="25"/>
      <c r="H3275" s="25"/>
      <c r="I3275" s="25"/>
      <c r="J3275" s="25"/>
      <c r="K3275" s="25"/>
      <c r="L3275" s="25"/>
      <c r="M3275" s="42" t="s">
        <v>253</v>
      </c>
      <c r="N3275" s="41">
        <v>45051</v>
      </c>
      <c r="O3275" s="25">
        <v>1253</v>
      </c>
      <c r="P3275" s="25">
        <v>0</v>
      </c>
      <c r="Q3275" s="25"/>
      <c r="R3275" s="25"/>
      <c r="S3275" s="25"/>
      <c r="T3275" s="10"/>
    </row>
    <row r="3276" s="35" customFormat="1" ht="18.5" customHeight="1" spans="1:20">
      <c r="A3276" s="9"/>
      <c r="B3276" s="25"/>
      <c r="C3276" s="25"/>
      <c r="D3276" s="25"/>
      <c r="E3276" s="25"/>
      <c r="F3276" s="25"/>
      <c r="G3276" s="25"/>
      <c r="H3276" s="25"/>
      <c r="I3276" s="25"/>
      <c r="J3276" s="25"/>
      <c r="K3276" s="25"/>
      <c r="L3276" s="25"/>
      <c r="M3276" s="42" t="s">
        <v>253</v>
      </c>
      <c r="N3276" s="41">
        <v>45051</v>
      </c>
      <c r="O3276" s="25">
        <v>298</v>
      </c>
      <c r="P3276" s="25">
        <v>0</v>
      </c>
      <c r="Q3276" s="25"/>
      <c r="R3276" s="25"/>
      <c r="S3276" s="25"/>
      <c r="T3276" s="10"/>
    </row>
    <row r="3277" s="35" customFormat="1" ht="18.5" customHeight="1" spans="1:20">
      <c r="A3277" s="9"/>
      <c r="B3277" s="25"/>
      <c r="C3277" s="25"/>
      <c r="D3277" s="25"/>
      <c r="E3277" s="25"/>
      <c r="F3277" s="25"/>
      <c r="G3277" s="25"/>
      <c r="H3277" s="25"/>
      <c r="I3277" s="25"/>
      <c r="J3277" s="25"/>
      <c r="K3277" s="25"/>
      <c r="L3277" s="25"/>
      <c r="M3277" s="42" t="s">
        <v>253</v>
      </c>
      <c r="N3277" s="41">
        <v>45051</v>
      </c>
      <c r="O3277" s="25">
        <v>184</v>
      </c>
      <c r="P3277" s="25">
        <v>0</v>
      </c>
      <c r="Q3277" s="25"/>
      <c r="R3277" s="25"/>
      <c r="S3277" s="25"/>
      <c r="T3277" s="10"/>
    </row>
    <row r="3278" s="35" customFormat="1" ht="18.5" customHeight="1" spans="1:20">
      <c r="A3278" s="9"/>
      <c r="B3278" s="25"/>
      <c r="C3278" s="25"/>
      <c r="D3278" s="25"/>
      <c r="E3278" s="25"/>
      <c r="F3278" s="25"/>
      <c r="G3278" s="25"/>
      <c r="H3278" s="25"/>
      <c r="I3278" s="25"/>
      <c r="J3278" s="25"/>
      <c r="K3278" s="25"/>
      <c r="L3278" s="25"/>
      <c r="M3278" s="42" t="s">
        <v>253</v>
      </c>
      <c r="N3278" s="41">
        <v>45051</v>
      </c>
      <c r="O3278" s="25">
        <v>103</v>
      </c>
      <c r="P3278" s="25">
        <v>0</v>
      </c>
      <c r="Q3278" s="25"/>
      <c r="R3278" s="25"/>
      <c r="S3278" s="25"/>
      <c r="T3278" s="10"/>
    </row>
    <row r="3279" s="35" customFormat="1" ht="18.5" customHeight="1" spans="1:20">
      <c r="A3279" s="9"/>
      <c r="B3279" s="25"/>
      <c r="C3279" s="25"/>
      <c r="D3279" s="25"/>
      <c r="E3279" s="25"/>
      <c r="F3279" s="25"/>
      <c r="G3279" s="25"/>
      <c r="H3279" s="25"/>
      <c r="I3279" s="25"/>
      <c r="J3279" s="25"/>
      <c r="K3279" s="25"/>
      <c r="L3279" s="25"/>
      <c r="M3279" s="42" t="s">
        <v>253</v>
      </c>
      <c r="N3279" s="41">
        <v>45051</v>
      </c>
      <c r="O3279" s="25">
        <v>139</v>
      </c>
      <c r="P3279" s="25">
        <v>0</v>
      </c>
      <c r="Q3279" s="25"/>
      <c r="R3279" s="25"/>
      <c r="S3279" s="25"/>
      <c r="T3279" s="10"/>
    </row>
    <row r="3280" s="35" customFormat="1" ht="18.5" customHeight="1" spans="1:20">
      <c r="A3280" s="9"/>
      <c r="B3280" s="25"/>
      <c r="C3280" s="25"/>
      <c r="D3280" s="25"/>
      <c r="E3280" s="25"/>
      <c r="F3280" s="25"/>
      <c r="G3280" s="25"/>
      <c r="H3280" s="25"/>
      <c r="I3280" s="25"/>
      <c r="J3280" s="25"/>
      <c r="K3280" s="25"/>
      <c r="L3280" s="25"/>
      <c r="M3280" s="42" t="s">
        <v>253</v>
      </c>
      <c r="N3280" s="41">
        <v>45050</v>
      </c>
      <c r="O3280" s="25">
        <v>157</v>
      </c>
      <c r="P3280" s="25">
        <v>0</v>
      </c>
      <c r="Q3280" s="25"/>
      <c r="R3280" s="25"/>
      <c r="S3280" s="25"/>
      <c r="T3280" s="10"/>
    </row>
    <row r="3281" s="35" customFormat="1" ht="18.5" customHeight="1" spans="1:20">
      <c r="A3281" s="9"/>
      <c r="B3281" s="25"/>
      <c r="C3281" s="25"/>
      <c r="D3281" s="25"/>
      <c r="E3281" s="25"/>
      <c r="F3281" s="25"/>
      <c r="G3281" s="25"/>
      <c r="H3281" s="25"/>
      <c r="I3281" s="25"/>
      <c r="J3281" s="25"/>
      <c r="K3281" s="25"/>
      <c r="L3281" s="25"/>
      <c r="M3281" s="42" t="s">
        <v>253</v>
      </c>
      <c r="N3281" s="41">
        <v>45050</v>
      </c>
      <c r="O3281" s="25">
        <v>175</v>
      </c>
      <c r="P3281" s="25">
        <v>0</v>
      </c>
      <c r="Q3281" s="25"/>
      <c r="R3281" s="25"/>
      <c r="S3281" s="25"/>
      <c r="T3281" s="10"/>
    </row>
    <row r="3282" s="35" customFormat="1" ht="18.5" customHeight="1" spans="1:20">
      <c r="A3282" s="9"/>
      <c r="B3282" s="25"/>
      <c r="C3282" s="25"/>
      <c r="D3282" s="25"/>
      <c r="E3282" s="25"/>
      <c r="F3282" s="25"/>
      <c r="G3282" s="25"/>
      <c r="H3282" s="25"/>
      <c r="I3282" s="25"/>
      <c r="J3282" s="25"/>
      <c r="K3282" s="25"/>
      <c r="L3282" s="25"/>
      <c r="M3282" s="42" t="s">
        <v>253</v>
      </c>
      <c r="N3282" s="41">
        <v>45050</v>
      </c>
      <c r="O3282" s="25">
        <v>302</v>
      </c>
      <c r="P3282" s="25">
        <v>0</v>
      </c>
      <c r="Q3282" s="25"/>
      <c r="R3282" s="25"/>
      <c r="S3282" s="25"/>
      <c r="T3282" s="10"/>
    </row>
    <row r="3283" s="35" customFormat="1" ht="18.5" customHeight="1" spans="1:20">
      <c r="A3283" s="9"/>
      <c r="B3283" s="25"/>
      <c r="C3283" s="25"/>
      <c r="D3283" s="25"/>
      <c r="E3283" s="25"/>
      <c r="F3283" s="25"/>
      <c r="G3283" s="25"/>
      <c r="H3283" s="25"/>
      <c r="I3283" s="25"/>
      <c r="J3283" s="25"/>
      <c r="K3283" s="25"/>
      <c r="L3283" s="25"/>
      <c r="M3283" s="42" t="s">
        <v>253</v>
      </c>
      <c r="N3283" s="41">
        <v>45050</v>
      </c>
      <c r="O3283" s="25">
        <v>291</v>
      </c>
      <c r="P3283" s="25">
        <v>0</v>
      </c>
      <c r="Q3283" s="25"/>
      <c r="R3283" s="25"/>
      <c r="S3283" s="25"/>
      <c r="T3283" s="10"/>
    </row>
    <row r="3284" s="35" customFormat="1" ht="18.5" customHeight="1" spans="1:20">
      <c r="A3284" s="9"/>
      <c r="B3284" s="25"/>
      <c r="C3284" s="25"/>
      <c r="D3284" s="25"/>
      <c r="E3284" s="25"/>
      <c r="F3284" s="25"/>
      <c r="G3284" s="25"/>
      <c r="H3284" s="25"/>
      <c r="I3284" s="25"/>
      <c r="J3284" s="25"/>
      <c r="K3284" s="25"/>
      <c r="L3284" s="25"/>
      <c r="M3284" s="42" t="s">
        <v>253</v>
      </c>
      <c r="N3284" s="41">
        <v>45050</v>
      </c>
      <c r="O3284" s="25">
        <v>114</v>
      </c>
      <c r="P3284" s="25">
        <v>0</v>
      </c>
      <c r="Q3284" s="25"/>
      <c r="R3284" s="25"/>
      <c r="S3284" s="25"/>
      <c r="T3284" s="10"/>
    </row>
    <row r="3285" s="35" customFormat="1" ht="18.5" customHeight="1" spans="1:20">
      <c r="A3285" s="9"/>
      <c r="B3285" s="25"/>
      <c r="C3285" s="25"/>
      <c r="D3285" s="25"/>
      <c r="E3285" s="25"/>
      <c r="F3285" s="25"/>
      <c r="G3285" s="25"/>
      <c r="H3285" s="25"/>
      <c r="I3285" s="25"/>
      <c r="J3285" s="25"/>
      <c r="K3285" s="25"/>
      <c r="L3285" s="25"/>
      <c r="M3285" s="42" t="s">
        <v>253</v>
      </c>
      <c r="N3285" s="41">
        <v>45050</v>
      </c>
      <c r="O3285" s="25">
        <v>118</v>
      </c>
      <c r="P3285" s="25">
        <v>0</v>
      </c>
      <c r="Q3285" s="25"/>
      <c r="R3285" s="25"/>
      <c r="S3285" s="25"/>
      <c r="T3285" s="10"/>
    </row>
    <row r="3286" s="35" customFormat="1" ht="18.5" customHeight="1" spans="1:20">
      <c r="A3286" s="9"/>
      <c r="B3286" s="25"/>
      <c r="C3286" s="25"/>
      <c r="D3286" s="25"/>
      <c r="E3286" s="25"/>
      <c r="F3286" s="25"/>
      <c r="G3286" s="25"/>
      <c r="H3286" s="25"/>
      <c r="I3286" s="25"/>
      <c r="J3286" s="25"/>
      <c r="K3286" s="25"/>
      <c r="L3286" s="25"/>
      <c r="M3286" s="42" t="s">
        <v>253</v>
      </c>
      <c r="N3286" s="41">
        <v>45050</v>
      </c>
      <c r="O3286" s="25">
        <v>105</v>
      </c>
      <c r="P3286" s="25">
        <v>0</v>
      </c>
      <c r="Q3286" s="25"/>
      <c r="R3286" s="25"/>
      <c r="S3286" s="25"/>
      <c r="T3286" s="10"/>
    </row>
    <row r="3287" s="35" customFormat="1" ht="18.5" customHeight="1" spans="1:20">
      <c r="A3287" s="9"/>
      <c r="B3287" s="25"/>
      <c r="C3287" s="25"/>
      <c r="D3287" s="25"/>
      <c r="E3287" s="25"/>
      <c r="F3287" s="25"/>
      <c r="G3287" s="25"/>
      <c r="H3287" s="25"/>
      <c r="I3287" s="25"/>
      <c r="J3287" s="25"/>
      <c r="K3287" s="25"/>
      <c r="L3287" s="25"/>
      <c r="M3287" s="42" t="s">
        <v>253</v>
      </c>
      <c r="N3287" s="41">
        <v>45050</v>
      </c>
      <c r="O3287" s="25">
        <v>721</v>
      </c>
      <c r="P3287" s="25">
        <v>0</v>
      </c>
      <c r="Q3287" s="25"/>
      <c r="R3287" s="25"/>
      <c r="S3287" s="25"/>
      <c r="T3287" s="10"/>
    </row>
    <row r="3288" s="35" customFormat="1" ht="18.5" customHeight="1" spans="1:20">
      <c r="A3288" s="9"/>
      <c r="B3288" s="25"/>
      <c r="C3288" s="25"/>
      <c r="D3288" s="25"/>
      <c r="E3288" s="25"/>
      <c r="F3288" s="25"/>
      <c r="G3288" s="25"/>
      <c r="H3288" s="25"/>
      <c r="I3288" s="25"/>
      <c r="J3288" s="25"/>
      <c r="K3288" s="25"/>
      <c r="L3288" s="25"/>
      <c r="M3288" s="42" t="s">
        <v>253</v>
      </c>
      <c r="N3288" s="41">
        <v>45050</v>
      </c>
      <c r="O3288" s="25">
        <v>101</v>
      </c>
      <c r="P3288" s="25">
        <v>0</v>
      </c>
      <c r="Q3288" s="25"/>
      <c r="R3288" s="25"/>
      <c r="S3288" s="25"/>
      <c r="T3288" s="10"/>
    </row>
    <row r="3289" s="35" customFormat="1" ht="18.5" customHeight="1" spans="1:20">
      <c r="A3289" s="9"/>
      <c r="B3289" s="25"/>
      <c r="C3289" s="25"/>
      <c r="D3289" s="25"/>
      <c r="E3289" s="25"/>
      <c r="F3289" s="25"/>
      <c r="G3289" s="25"/>
      <c r="H3289" s="25"/>
      <c r="I3289" s="25"/>
      <c r="J3289" s="25"/>
      <c r="K3289" s="25"/>
      <c r="L3289" s="25"/>
      <c r="M3289" s="42" t="s">
        <v>253</v>
      </c>
      <c r="N3289" s="41">
        <v>45050</v>
      </c>
      <c r="O3289" s="25">
        <v>301</v>
      </c>
      <c r="P3289" s="25">
        <v>0</v>
      </c>
      <c r="Q3289" s="25"/>
      <c r="R3289" s="25"/>
      <c r="S3289" s="25"/>
      <c r="T3289" s="10"/>
    </row>
    <row r="3290" s="35" customFormat="1" ht="18.5" customHeight="1" spans="1:20">
      <c r="A3290" s="9"/>
      <c r="B3290" s="25"/>
      <c r="C3290" s="25"/>
      <c r="D3290" s="25"/>
      <c r="E3290" s="25"/>
      <c r="F3290" s="25"/>
      <c r="G3290" s="25"/>
      <c r="H3290" s="25"/>
      <c r="I3290" s="25"/>
      <c r="J3290" s="25"/>
      <c r="K3290" s="25"/>
      <c r="L3290" s="25"/>
      <c r="M3290" s="42" t="s">
        <v>253</v>
      </c>
      <c r="N3290" s="41">
        <v>45050</v>
      </c>
      <c r="O3290" s="25">
        <v>195</v>
      </c>
      <c r="P3290" s="25">
        <v>0</v>
      </c>
      <c r="Q3290" s="25"/>
      <c r="R3290" s="25"/>
      <c r="S3290" s="25"/>
      <c r="T3290" s="10"/>
    </row>
    <row r="3291" s="35" customFormat="1" ht="18.5" customHeight="1" spans="1:20">
      <c r="A3291" s="9"/>
      <c r="B3291" s="25"/>
      <c r="C3291" s="25"/>
      <c r="D3291" s="25"/>
      <c r="E3291" s="25"/>
      <c r="F3291" s="25"/>
      <c r="G3291" s="25"/>
      <c r="H3291" s="25"/>
      <c r="I3291" s="25"/>
      <c r="J3291" s="25"/>
      <c r="K3291" s="25"/>
      <c r="L3291" s="25"/>
      <c r="M3291" s="42" t="s">
        <v>253</v>
      </c>
      <c r="N3291" s="41">
        <v>45050</v>
      </c>
      <c r="O3291" s="25">
        <v>417</v>
      </c>
      <c r="P3291" s="25">
        <v>0</v>
      </c>
      <c r="Q3291" s="25"/>
      <c r="R3291" s="25"/>
      <c r="S3291" s="25"/>
      <c r="T3291" s="10"/>
    </row>
    <row r="3292" s="35" customFormat="1" ht="18.5" customHeight="1" spans="1:20">
      <c r="A3292" s="9"/>
      <c r="B3292" s="25"/>
      <c r="C3292" s="25"/>
      <c r="D3292" s="25"/>
      <c r="E3292" s="25"/>
      <c r="F3292" s="25"/>
      <c r="G3292" s="25"/>
      <c r="H3292" s="25"/>
      <c r="I3292" s="25"/>
      <c r="J3292" s="25"/>
      <c r="K3292" s="25"/>
      <c r="L3292" s="25"/>
      <c r="M3292" s="42" t="s">
        <v>253</v>
      </c>
      <c r="N3292" s="41">
        <v>45049</v>
      </c>
      <c r="O3292" s="25">
        <v>148</v>
      </c>
      <c r="P3292" s="25">
        <v>0</v>
      </c>
      <c r="Q3292" s="25"/>
      <c r="R3292" s="25"/>
      <c r="S3292" s="25"/>
      <c r="T3292" s="10"/>
    </row>
    <row r="3293" s="35" customFormat="1" ht="18.5" customHeight="1" spans="1:20">
      <c r="A3293" s="9"/>
      <c r="B3293" s="25"/>
      <c r="C3293" s="25"/>
      <c r="D3293" s="25"/>
      <c r="E3293" s="25"/>
      <c r="F3293" s="25"/>
      <c r="G3293" s="25"/>
      <c r="H3293" s="25"/>
      <c r="I3293" s="25"/>
      <c r="J3293" s="25"/>
      <c r="K3293" s="25"/>
      <c r="L3293" s="25"/>
      <c r="M3293" s="42" t="s">
        <v>253</v>
      </c>
      <c r="N3293" s="41">
        <v>45049</v>
      </c>
      <c r="O3293" s="25">
        <v>74</v>
      </c>
      <c r="P3293" s="25">
        <v>0</v>
      </c>
      <c r="Q3293" s="25"/>
      <c r="R3293" s="25"/>
      <c r="S3293" s="25"/>
      <c r="T3293" s="10"/>
    </row>
    <row r="3294" s="35" customFormat="1" ht="18.5" customHeight="1" spans="1:20">
      <c r="A3294" s="9"/>
      <c r="B3294" s="25"/>
      <c r="C3294" s="25"/>
      <c r="D3294" s="25"/>
      <c r="E3294" s="25"/>
      <c r="F3294" s="25"/>
      <c r="G3294" s="25"/>
      <c r="H3294" s="25"/>
      <c r="I3294" s="25"/>
      <c r="J3294" s="25"/>
      <c r="K3294" s="25"/>
      <c r="L3294" s="25"/>
      <c r="M3294" s="42" t="s">
        <v>253</v>
      </c>
      <c r="N3294" s="41">
        <v>45049</v>
      </c>
      <c r="O3294" s="25">
        <v>139</v>
      </c>
      <c r="P3294" s="25">
        <v>0</v>
      </c>
      <c r="Q3294" s="25"/>
      <c r="R3294" s="25"/>
      <c r="S3294" s="25"/>
      <c r="T3294" s="10"/>
    </row>
    <row r="3295" s="35" customFormat="1" ht="18.5" customHeight="1" spans="1:20">
      <c r="A3295" s="9"/>
      <c r="B3295" s="25"/>
      <c r="C3295" s="25"/>
      <c r="D3295" s="25"/>
      <c r="E3295" s="25"/>
      <c r="F3295" s="25"/>
      <c r="G3295" s="25"/>
      <c r="H3295" s="25"/>
      <c r="I3295" s="25"/>
      <c r="J3295" s="25"/>
      <c r="K3295" s="25"/>
      <c r="L3295" s="25"/>
      <c r="M3295" s="42" t="s">
        <v>253</v>
      </c>
      <c r="N3295" s="41">
        <v>45049</v>
      </c>
      <c r="O3295" s="25">
        <v>198</v>
      </c>
      <c r="P3295" s="25">
        <v>0</v>
      </c>
      <c r="Q3295" s="25"/>
      <c r="R3295" s="25"/>
      <c r="S3295" s="25"/>
      <c r="T3295" s="10"/>
    </row>
    <row r="3296" s="35" customFormat="1" ht="18.5" customHeight="1" spans="1:20">
      <c r="A3296" s="9"/>
      <c r="B3296" s="25"/>
      <c r="C3296" s="25"/>
      <c r="D3296" s="25"/>
      <c r="E3296" s="25"/>
      <c r="F3296" s="25"/>
      <c r="G3296" s="25"/>
      <c r="H3296" s="25"/>
      <c r="I3296" s="25"/>
      <c r="J3296" s="25"/>
      <c r="K3296" s="25"/>
      <c r="L3296" s="25"/>
      <c r="M3296" s="42" t="s">
        <v>253</v>
      </c>
      <c r="N3296" s="41">
        <v>45049</v>
      </c>
      <c r="O3296" s="25">
        <v>149</v>
      </c>
      <c r="P3296" s="25">
        <v>0</v>
      </c>
      <c r="Q3296" s="25"/>
      <c r="R3296" s="25"/>
      <c r="S3296" s="25"/>
      <c r="T3296" s="10"/>
    </row>
    <row r="3297" s="35" customFormat="1" ht="18.5" customHeight="1" spans="1:20">
      <c r="A3297" s="9"/>
      <c r="B3297" s="25"/>
      <c r="C3297" s="25"/>
      <c r="D3297" s="25"/>
      <c r="E3297" s="25"/>
      <c r="F3297" s="25"/>
      <c r="G3297" s="25"/>
      <c r="H3297" s="25"/>
      <c r="I3297" s="25"/>
      <c r="J3297" s="25"/>
      <c r="K3297" s="25"/>
      <c r="L3297" s="25"/>
      <c r="M3297" s="42" t="s">
        <v>253</v>
      </c>
      <c r="N3297" s="41">
        <v>45049</v>
      </c>
      <c r="O3297" s="25">
        <v>980</v>
      </c>
      <c r="P3297" s="25">
        <v>0</v>
      </c>
      <c r="Q3297" s="25"/>
      <c r="R3297" s="25"/>
      <c r="S3297" s="25"/>
      <c r="T3297" s="10"/>
    </row>
    <row r="3298" s="35" customFormat="1" ht="18.5" customHeight="1" spans="1:20">
      <c r="A3298" s="9"/>
      <c r="B3298" s="25"/>
      <c r="C3298" s="25"/>
      <c r="D3298" s="25"/>
      <c r="E3298" s="25"/>
      <c r="F3298" s="25"/>
      <c r="G3298" s="25"/>
      <c r="H3298" s="25"/>
      <c r="I3298" s="25"/>
      <c r="J3298" s="25"/>
      <c r="K3298" s="25"/>
      <c r="L3298" s="25"/>
      <c r="M3298" s="42" t="s">
        <v>253</v>
      </c>
      <c r="N3298" s="41">
        <v>45049</v>
      </c>
      <c r="O3298" s="25">
        <v>261</v>
      </c>
      <c r="P3298" s="25">
        <v>0</v>
      </c>
      <c r="Q3298" s="25"/>
      <c r="R3298" s="25"/>
      <c r="S3298" s="25"/>
      <c r="T3298" s="10"/>
    </row>
    <row r="3299" s="35" customFormat="1" ht="18.5" customHeight="1" spans="1:20">
      <c r="A3299" s="9"/>
      <c r="B3299" s="25"/>
      <c r="C3299" s="25"/>
      <c r="D3299" s="25"/>
      <c r="E3299" s="25"/>
      <c r="F3299" s="25"/>
      <c r="G3299" s="25"/>
      <c r="H3299" s="25"/>
      <c r="I3299" s="25"/>
      <c r="J3299" s="25"/>
      <c r="K3299" s="25"/>
      <c r="L3299" s="25"/>
      <c r="M3299" s="42" t="s">
        <v>253</v>
      </c>
      <c r="N3299" s="41">
        <v>45049</v>
      </c>
      <c r="O3299" s="25">
        <v>256</v>
      </c>
      <c r="P3299" s="25">
        <v>0</v>
      </c>
      <c r="Q3299" s="25"/>
      <c r="R3299" s="25"/>
      <c r="S3299" s="25"/>
      <c r="T3299" s="10"/>
    </row>
    <row r="3300" s="35" customFormat="1" ht="18.5" customHeight="1" spans="1:20">
      <c r="A3300" s="9"/>
      <c r="B3300" s="25"/>
      <c r="C3300" s="25"/>
      <c r="D3300" s="25"/>
      <c r="E3300" s="25"/>
      <c r="F3300" s="25"/>
      <c r="G3300" s="25"/>
      <c r="H3300" s="25"/>
      <c r="I3300" s="25"/>
      <c r="J3300" s="25"/>
      <c r="K3300" s="25"/>
      <c r="L3300" s="25"/>
      <c r="M3300" s="42" t="s">
        <v>253</v>
      </c>
      <c r="N3300" s="41">
        <v>45049</v>
      </c>
      <c r="O3300" s="25">
        <v>162</v>
      </c>
      <c r="P3300" s="25">
        <v>0</v>
      </c>
      <c r="Q3300" s="25"/>
      <c r="R3300" s="25"/>
      <c r="S3300" s="25"/>
      <c r="T3300" s="10"/>
    </row>
    <row r="3301" s="35" customFormat="1" ht="18.5" customHeight="1" spans="1:20">
      <c r="A3301" s="9"/>
      <c r="B3301" s="25"/>
      <c r="C3301" s="25"/>
      <c r="D3301" s="25"/>
      <c r="E3301" s="25"/>
      <c r="F3301" s="25"/>
      <c r="G3301" s="25"/>
      <c r="H3301" s="25"/>
      <c r="I3301" s="25"/>
      <c r="J3301" s="25"/>
      <c r="K3301" s="25"/>
      <c r="L3301" s="25"/>
      <c r="M3301" s="42" t="s">
        <v>253</v>
      </c>
      <c r="N3301" s="41">
        <v>45049</v>
      </c>
      <c r="O3301" s="25">
        <v>339</v>
      </c>
      <c r="P3301" s="25">
        <v>0</v>
      </c>
      <c r="Q3301" s="25"/>
      <c r="R3301" s="25"/>
      <c r="S3301" s="25"/>
      <c r="T3301" s="10"/>
    </row>
    <row r="3302" s="35" customFormat="1" ht="18.5" customHeight="1" spans="1:20">
      <c r="A3302" s="9"/>
      <c r="B3302" s="25"/>
      <c r="C3302" s="25"/>
      <c r="D3302" s="25"/>
      <c r="E3302" s="25"/>
      <c r="F3302" s="25"/>
      <c r="G3302" s="25"/>
      <c r="H3302" s="25"/>
      <c r="I3302" s="25"/>
      <c r="J3302" s="25"/>
      <c r="K3302" s="25"/>
      <c r="L3302" s="25"/>
      <c r="M3302" s="42" t="s">
        <v>253</v>
      </c>
      <c r="N3302" s="41">
        <v>45048</v>
      </c>
      <c r="O3302" s="25">
        <v>136</v>
      </c>
      <c r="P3302" s="25">
        <v>0</v>
      </c>
      <c r="Q3302" s="25"/>
      <c r="R3302" s="25"/>
      <c r="S3302" s="25"/>
      <c r="T3302" s="10"/>
    </row>
    <row r="3303" s="35" customFormat="1" ht="18.5" customHeight="1" spans="1:20">
      <c r="A3303" s="9"/>
      <c r="B3303" s="25"/>
      <c r="C3303" s="25"/>
      <c r="D3303" s="25"/>
      <c r="E3303" s="25"/>
      <c r="F3303" s="25"/>
      <c r="G3303" s="25"/>
      <c r="H3303" s="25"/>
      <c r="I3303" s="25"/>
      <c r="J3303" s="25"/>
      <c r="K3303" s="25"/>
      <c r="L3303" s="25"/>
      <c r="M3303" s="42" t="s">
        <v>253</v>
      </c>
      <c r="N3303" s="41">
        <v>45048</v>
      </c>
      <c r="O3303" s="25">
        <v>87</v>
      </c>
      <c r="P3303" s="25">
        <v>0</v>
      </c>
      <c r="Q3303" s="25"/>
      <c r="R3303" s="25"/>
      <c r="S3303" s="25"/>
      <c r="T3303" s="10"/>
    </row>
    <row r="3304" s="35" customFormat="1" ht="18.5" customHeight="1" spans="1:20">
      <c r="A3304" s="9"/>
      <c r="B3304" s="25"/>
      <c r="C3304" s="25"/>
      <c r="D3304" s="25"/>
      <c r="E3304" s="25"/>
      <c r="F3304" s="25"/>
      <c r="G3304" s="25"/>
      <c r="H3304" s="25"/>
      <c r="I3304" s="25"/>
      <c r="J3304" s="25"/>
      <c r="K3304" s="25"/>
      <c r="L3304" s="25"/>
      <c r="M3304" s="42" t="s">
        <v>253</v>
      </c>
      <c r="N3304" s="41">
        <v>45048</v>
      </c>
      <c r="O3304" s="25">
        <v>104</v>
      </c>
      <c r="P3304" s="25">
        <v>0</v>
      </c>
      <c r="Q3304" s="25"/>
      <c r="R3304" s="25"/>
      <c r="S3304" s="25"/>
      <c r="T3304" s="10"/>
    </row>
    <row r="3305" s="35" customFormat="1" ht="18.5" customHeight="1" spans="1:20">
      <c r="A3305" s="9"/>
      <c r="B3305" s="25"/>
      <c r="C3305" s="25"/>
      <c r="D3305" s="25"/>
      <c r="E3305" s="25"/>
      <c r="F3305" s="25"/>
      <c r="G3305" s="25"/>
      <c r="H3305" s="25"/>
      <c r="I3305" s="25"/>
      <c r="J3305" s="25"/>
      <c r="K3305" s="25"/>
      <c r="L3305" s="25"/>
      <c r="M3305" s="42" t="s">
        <v>253</v>
      </c>
      <c r="N3305" s="41">
        <v>45048</v>
      </c>
      <c r="O3305" s="25">
        <v>184</v>
      </c>
      <c r="P3305" s="25">
        <v>0</v>
      </c>
      <c r="Q3305" s="25"/>
      <c r="R3305" s="25"/>
      <c r="S3305" s="25"/>
      <c r="T3305" s="10"/>
    </row>
    <row r="3306" s="35" customFormat="1" ht="18.5" customHeight="1" spans="1:20">
      <c r="A3306" s="9"/>
      <c r="B3306" s="25"/>
      <c r="C3306" s="25"/>
      <c r="D3306" s="25"/>
      <c r="E3306" s="25"/>
      <c r="F3306" s="25"/>
      <c r="G3306" s="25"/>
      <c r="H3306" s="25"/>
      <c r="I3306" s="25"/>
      <c r="J3306" s="25"/>
      <c r="K3306" s="25"/>
      <c r="L3306" s="25"/>
      <c r="M3306" s="42" t="s">
        <v>253</v>
      </c>
      <c r="N3306" s="41">
        <v>45048</v>
      </c>
      <c r="O3306" s="25">
        <v>202</v>
      </c>
      <c r="P3306" s="25">
        <v>0</v>
      </c>
      <c r="Q3306" s="25"/>
      <c r="R3306" s="25"/>
      <c r="S3306" s="25"/>
      <c r="T3306" s="10"/>
    </row>
    <row r="3307" s="35" customFormat="1" ht="18.5" customHeight="1" spans="1:20">
      <c r="A3307" s="9"/>
      <c r="B3307" s="25"/>
      <c r="C3307" s="25"/>
      <c r="D3307" s="25"/>
      <c r="E3307" s="25"/>
      <c r="F3307" s="25"/>
      <c r="G3307" s="25"/>
      <c r="H3307" s="25"/>
      <c r="I3307" s="25"/>
      <c r="J3307" s="25"/>
      <c r="K3307" s="25"/>
      <c r="L3307" s="25"/>
      <c r="M3307" s="42" t="s">
        <v>253</v>
      </c>
      <c r="N3307" s="41">
        <v>45048</v>
      </c>
      <c r="O3307" s="25">
        <v>158</v>
      </c>
      <c r="P3307" s="25">
        <v>0</v>
      </c>
      <c r="Q3307" s="25"/>
      <c r="R3307" s="25"/>
      <c r="S3307" s="25"/>
      <c r="T3307" s="10"/>
    </row>
    <row r="3308" s="35" customFormat="1" ht="18.5" customHeight="1" spans="1:20">
      <c r="A3308" s="9"/>
      <c r="B3308" s="25"/>
      <c r="C3308" s="25"/>
      <c r="D3308" s="25"/>
      <c r="E3308" s="25"/>
      <c r="F3308" s="25"/>
      <c r="G3308" s="25"/>
      <c r="H3308" s="25"/>
      <c r="I3308" s="25"/>
      <c r="J3308" s="25"/>
      <c r="K3308" s="25"/>
      <c r="L3308" s="25"/>
      <c r="M3308" s="42" t="s">
        <v>253</v>
      </c>
      <c r="N3308" s="41">
        <v>45048</v>
      </c>
      <c r="O3308" s="25">
        <v>225</v>
      </c>
      <c r="P3308" s="25">
        <v>0</v>
      </c>
      <c r="Q3308" s="25"/>
      <c r="R3308" s="25"/>
      <c r="S3308" s="25"/>
      <c r="T3308" s="10"/>
    </row>
    <row r="3309" s="35" customFormat="1" ht="18.5" customHeight="1" spans="1:20">
      <c r="A3309" s="9"/>
      <c r="B3309" s="25"/>
      <c r="C3309" s="25"/>
      <c r="D3309" s="25"/>
      <c r="E3309" s="25"/>
      <c r="F3309" s="25"/>
      <c r="G3309" s="25"/>
      <c r="H3309" s="25"/>
      <c r="I3309" s="25"/>
      <c r="J3309" s="25"/>
      <c r="K3309" s="25"/>
      <c r="L3309" s="25"/>
      <c r="M3309" s="42" t="s">
        <v>253</v>
      </c>
      <c r="N3309" s="41">
        <v>45048</v>
      </c>
      <c r="O3309" s="25">
        <v>520</v>
      </c>
      <c r="P3309" s="25">
        <v>0</v>
      </c>
      <c r="Q3309" s="25"/>
      <c r="R3309" s="25"/>
      <c r="S3309" s="25"/>
      <c r="T3309" s="10"/>
    </row>
    <row r="3310" s="35" customFormat="1" ht="18.5" customHeight="1" spans="1:20">
      <c r="A3310" s="9"/>
      <c r="B3310" s="25"/>
      <c r="C3310" s="25"/>
      <c r="D3310" s="25"/>
      <c r="E3310" s="25"/>
      <c r="F3310" s="25"/>
      <c r="G3310" s="25"/>
      <c r="H3310" s="25"/>
      <c r="I3310" s="25"/>
      <c r="J3310" s="25"/>
      <c r="K3310" s="25"/>
      <c r="L3310" s="25"/>
      <c r="M3310" s="42" t="s">
        <v>253</v>
      </c>
      <c r="N3310" s="41">
        <v>45048</v>
      </c>
      <c r="O3310" s="25">
        <v>92</v>
      </c>
      <c r="P3310" s="25">
        <v>0</v>
      </c>
      <c r="Q3310" s="25"/>
      <c r="R3310" s="25"/>
      <c r="S3310" s="25"/>
      <c r="T3310" s="10"/>
    </row>
    <row r="3311" s="35" customFormat="1" ht="18.5" customHeight="1" spans="1:20">
      <c r="A3311" s="9"/>
      <c r="B3311" s="25"/>
      <c r="C3311" s="25"/>
      <c r="D3311" s="25"/>
      <c r="E3311" s="25"/>
      <c r="F3311" s="25"/>
      <c r="G3311" s="25"/>
      <c r="H3311" s="25"/>
      <c r="I3311" s="25"/>
      <c r="J3311" s="25"/>
      <c r="K3311" s="25"/>
      <c r="L3311" s="25"/>
      <c r="M3311" s="42" t="s">
        <v>253</v>
      </c>
      <c r="N3311" s="41">
        <v>45048</v>
      </c>
      <c r="O3311" s="25">
        <v>169</v>
      </c>
      <c r="P3311" s="25">
        <v>0</v>
      </c>
      <c r="Q3311" s="25"/>
      <c r="R3311" s="25"/>
      <c r="S3311" s="25"/>
      <c r="T3311" s="10"/>
    </row>
    <row r="3312" s="35" customFormat="1" ht="18.5" customHeight="1" spans="1:20">
      <c r="A3312" s="9"/>
      <c r="B3312" s="25"/>
      <c r="C3312" s="25"/>
      <c r="D3312" s="25"/>
      <c r="E3312" s="25"/>
      <c r="F3312" s="25"/>
      <c r="G3312" s="25"/>
      <c r="H3312" s="25"/>
      <c r="I3312" s="25"/>
      <c r="J3312" s="25"/>
      <c r="K3312" s="25"/>
      <c r="L3312" s="25"/>
      <c r="M3312" s="42" t="s">
        <v>253</v>
      </c>
      <c r="N3312" s="41">
        <v>45048</v>
      </c>
      <c r="O3312" s="25">
        <v>335</v>
      </c>
      <c r="P3312" s="25">
        <v>0</v>
      </c>
      <c r="Q3312" s="25"/>
      <c r="R3312" s="25"/>
      <c r="S3312" s="25"/>
      <c r="T3312" s="10"/>
    </row>
    <row r="3313" s="35" customFormat="1" ht="18.5" customHeight="1" spans="1:20">
      <c r="A3313" s="9"/>
      <c r="B3313" s="25"/>
      <c r="C3313" s="25"/>
      <c r="D3313" s="25"/>
      <c r="E3313" s="25"/>
      <c r="F3313" s="25"/>
      <c r="G3313" s="25"/>
      <c r="H3313" s="25"/>
      <c r="I3313" s="25"/>
      <c r="J3313" s="25"/>
      <c r="K3313" s="25"/>
      <c r="L3313" s="25"/>
      <c r="M3313" s="42" t="s">
        <v>253</v>
      </c>
      <c r="N3313" s="41">
        <v>45048</v>
      </c>
      <c r="O3313" s="25">
        <v>305</v>
      </c>
      <c r="P3313" s="25">
        <v>0</v>
      </c>
      <c r="Q3313" s="25"/>
      <c r="R3313" s="25"/>
      <c r="S3313" s="25"/>
      <c r="T3313" s="10"/>
    </row>
    <row r="3314" s="35" customFormat="1" ht="18.5" customHeight="1" spans="1:20">
      <c r="A3314" s="9"/>
      <c r="B3314" s="25"/>
      <c r="C3314" s="25"/>
      <c r="D3314" s="25"/>
      <c r="E3314" s="25"/>
      <c r="F3314" s="25"/>
      <c r="G3314" s="25"/>
      <c r="H3314" s="25"/>
      <c r="I3314" s="25"/>
      <c r="J3314" s="25"/>
      <c r="K3314" s="25"/>
      <c r="L3314" s="25"/>
      <c r="M3314" s="42" t="s">
        <v>253</v>
      </c>
      <c r="N3314" s="41">
        <v>45048</v>
      </c>
      <c r="O3314" s="25">
        <v>92</v>
      </c>
      <c r="P3314" s="25">
        <v>0</v>
      </c>
      <c r="Q3314" s="25"/>
      <c r="R3314" s="25"/>
      <c r="S3314" s="25"/>
      <c r="T3314" s="10"/>
    </row>
    <row r="3315" s="35" customFormat="1" ht="18.5" customHeight="1" spans="1:20">
      <c r="A3315" s="9"/>
      <c r="B3315" s="25"/>
      <c r="C3315" s="25"/>
      <c r="D3315" s="25"/>
      <c r="E3315" s="25"/>
      <c r="F3315" s="25"/>
      <c r="G3315" s="25"/>
      <c r="H3315" s="25"/>
      <c r="I3315" s="25"/>
      <c r="J3315" s="25"/>
      <c r="K3315" s="25"/>
      <c r="L3315" s="25"/>
      <c r="M3315" s="42" t="s">
        <v>253</v>
      </c>
      <c r="N3315" s="41">
        <v>45048</v>
      </c>
      <c r="O3315" s="25">
        <v>191</v>
      </c>
      <c r="P3315" s="25">
        <v>0</v>
      </c>
      <c r="Q3315" s="25"/>
      <c r="R3315" s="25"/>
      <c r="S3315" s="25"/>
      <c r="T3315" s="10"/>
    </row>
    <row r="3316" s="35" customFormat="1" ht="18.5" customHeight="1" spans="1:20">
      <c r="A3316" s="9"/>
      <c r="B3316" s="25"/>
      <c r="C3316" s="25"/>
      <c r="D3316" s="25"/>
      <c r="E3316" s="25"/>
      <c r="F3316" s="25"/>
      <c r="G3316" s="25"/>
      <c r="H3316" s="25"/>
      <c r="I3316" s="25"/>
      <c r="J3316" s="25"/>
      <c r="K3316" s="25"/>
      <c r="L3316" s="25"/>
      <c r="M3316" s="42" t="s">
        <v>253</v>
      </c>
      <c r="N3316" s="41">
        <v>45048</v>
      </c>
      <c r="O3316" s="25">
        <v>201</v>
      </c>
      <c r="P3316" s="25">
        <v>0</v>
      </c>
      <c r="Q3316" s="25"/>
      <c r="R3316" s="25"/>
      <c r="S3316" s="25"/>
      <c r="T3316" s="10"/>
    </row>
    <row r="3317" s="35" customFormat="1" ht="18.5" customHeight="1" spans="1:20">
      <c r="A3317" s="9"/>
      <c r="B3317" s="25"/>
      <c r="C3317" s="25"/>
      <c r="D3317" s="25"/>
      <c r="E3317" s="25"/>
      <c r="F3317" s="25"/>
      <c r="G3317" s="25"/>
      <c r="H3317" s="25"/>
      <c r="I3317" s="25"/>
      <c r="J3317" s="25"/>
      <c r="K3317" s="25"/>
      <c r="L3317" s="25"/>
      <c r="M3317" s="42" t="s">
        <v>253</v>
      </c>
      <c r="N3317" s="41">
        <v>45048</v>
      </c>
      <c r="O3317" s="25">
        <v>102</v>
      </c>
      <c r="P3317" s="25">
        <v>0</v>
      </c>
      <c r="Q3317" s="25"/>
      <c r="R3317" s="25"/>
      <c r="S3317" s="25"/>
      <c r="T3317" s="10"/>
    </row>
    <row r="3318" s="35" customFormat="1" ht="18.5" customHeight="1" spans="1:20">
      <c r="A3318" s="9"/>
      <c r="B3318" s="25"/>
      <c r="C3318" s="25"/>
      <c r="D3318" s="25"/>
      <c r="E3318" s="25"/>
      <c r="F3318" s="25"/>
      <c r="G3318" s="25"/>
      <c r="H3318" s="25"/>
      <c r="I3318" s="25"/>
      <c r="J3318" s="25"/>
      <c r="K3318" s="25"/>
      <c r="L3318" s="25"/>
      <c r="M3318" s="42" t="s">
        <v>253</v>
      </c>
      <c r="N3318" s="41">
        <v>45048</v>
      </c>
      <c r="O3318" s="25">
        <v>227</v>
      </c>
      <c r="P3318" s="25">
        <v>0</v>
      </c>
      <c r="Q3318" s="25"/>
      <c r="R3318" s="25"/>
      <c r="S3318" s="25"/>
      <c r="T3318" s="10"/>
    </row>
    <row r="3319" s="35" customFormat="1" ht="18.5" customHeight="1" spans="1:20">
      <c r="A3319" s="9"/>
      <c r="B3319" s="25"/>
      <c r="C3319" s="25"/>
      <c r="D3319" s="25"/>
      <c r="E3319" s="25"/>
      <c r="F3319" s="25"/>
      <c r="G3319" s="25"/>
      <c r="H3319" s="25"/>
      <c r="I3319" s="25"/>
      <c r="J3319" s="25"/>
      <c r="K3319" s="25"/>
      <c r="L3319" s="25"/>
      <c r="M3319" s="42" t="s">
        <v>253</v>
      </c>
      <c r="N3319" s="41">
        <v>45048</v>
      </c>
      <c r="O3319" s="25">
        <v>314</v>
      </c>
      <c r="P3319" s="25">
        <v>0</v>
      </c>
      <c r="Q3319" s="25"/>
      <c r="R3319" s="25"/>
      <c r="S3319" s="25"/>
      <c r="T3319" s="10"/>
    </row>
    <row r="3320" s="35" customFormat="1" ht="18.5" customHeight="1" spans="1:20">
      <c r="A3320" s="9"/>
      <c r="B3320" s="25"/>
      <c r="C3320" s="25"/>
      <c r="D3320" s="25"/>
      <c r="E3320" s="25"/>
      <c r="F3320" s="25"/>
      <c r="G3320" s="25"/>
      <c r="H3320" s="25"/>
      <c r="I3320" s="25"/>
      <c r="J3320" s="25"/>
      <c r="K3320" s="25"/>
      <c r="L3320" s="25"/>
      <c r="M3320" s="42" t="s">
        <v>253</v>
      </c>
      <c r="N3320" s="41">
        <v>45048</v>
      </c>
      <c r="O3320" s="25">
        <v>180</v>
      </c>
      <c r="P3320" s="25">
        <v>0</v>
      </c>
      <c r="Q3320" s="25"/>
      <c r="R3320" s="25"/>
      <c r="S3320" s="25"/>
      <c r="T3320" s="10"/>
    </row>
    <row r="3321" s="35" customFormat="1" ht="18.5" customHeight="1" spans="1:20">
      <c r="A3321" s="9"/>
      <c r="B3321" s="25"/>
      <c r="C3321" s="25"/>
      <c r="D3321" s="25"/>
      <c r="E3321" s="25"/>
      <c r="F3321" s="25"/>
      <c r="G3321" s="25"/>
      <c r="H3321" s="25"/>
      <c r="I3321" s="25"/>
      <c r="J3321" s="25"/>
      <c r="K3321" s="25"/>
      <c r="L3321" s="25"/>
      <c r="M3321" s="42" t="s">
        <v>253</v>
      </c>
      <c r="N3321" s="41">
        <v>45047</v>
      </c>
      <c r="O3321" s="25">
        <v>343</v>
      </c>
      <c r="P3321" s="25">
        <v>0</v>
      </c>
      <c r="Q3321" s="25"/>
      <c r="R3321" s="25"/>
      <c r="S3321" s="25"/>
      <c r="T3321" s="10"/>
    </row>
    <row r="3322" s="35" customFormat="1" ht="18.5" customHeight="1" spans="1:20">
      <c r="A3322" s="9"/>
      <c r="B3322" s="25"/>
      <c r="C3322" s="25"/>
      <c r="D3322" s="25"/>
      <c r="E3322" s="25"/>
      <c r="F3322" s="25"/>
      <c r="G3322" s="25"/>
      <c r="H3322" s="25"/>
      <c r="I3322" s="25"/>
      <c r="J3322" s="25"/>
      <c r="K3322" s="25"/>
      <c r="L3322" s="25"/>
      <c r="M3322" s="42" t="s">
        <v>253</v>
      </c>
      <c r="N3322" s="41">
        <v>45047</v>
      </c>
      <c r="O3322" s="25">
        <v>284</v>
      </c>
      <c r="P3322" s="25">
        <v>0</v>
      </c>
      <c r="Q3322" s="25"/>
      <c r="R3322" s="25"/>
      <c r="S3322" s="25"/>
      <c r="T3322" s="10"/>
    </row>
    <row r="3323" s="35" customFormat="1" ht="18.5" customHeight="1" spans="1:20">
      <c r="A3323" s="9"/>
      <c r="B3323" s="25"/>
      <c r="C3323" s="25"/>
      <c r="D3323" s="25"/>
      <c r="E3323" s="25"/>
      <c r="F3323" s="25"/>
      <c r="G3323" s="25"/>
      <c r="H3323" s="25"/>
      <c r="I3323" s="25"/>
      <c r="J3323" s="25"/>
      <c r="K3323" s="25"/>
      <c r="L3323" s="25"/>
      <c r="M3323" s="42" t="s">
        <v>253</v>
      </c>
      <c r="N3323" s="41">
        <v>45047</v>
      </c>
      <c r="O3323" s="25">
        <v>1820</v>
      </c>
      <c r="P3323" s="25">
        <v>0</v>
      </c>
      <c r="Q3323" s="25"/>
      <c r="R3323" s="25"/>
      <c r="S3323" s="25"/>
      <c r="T3323" s="10"/>
    </row>
    <row r="3324" s="35" customFormat="1" ht="18.5" customHeight="1" spans="1:20">
      <c r="A3324" s="9"/>
      <c r="B3324" s="25"/>
      <c r="C3324" s="25"/>
      <c r="D3324" s="25"/>
      <c r="E3324" s="25"/>
      <c r="F3324" s="25"/>
      <c r="G3324" s="25"/>
      <c r="H3324" s="25"/>
      <c r="I3324" s="25"/>
      <c r="J3324" s="25"/>
      <c r="K3324" s="25"/>
      <c r="L3324" s="25"/>
      <c r="M3324" s="42" t="s">
        <v>253</v>
      </c>
      <c r="N3324" s="41">
        <v>45047</v>
      </c>
      <c r="O3324" s="25">
        <v>188</v>
      </c>
      <c r="P3324" s="25">
        <v>0</v>
      </c>
      <c r="Q3324" s="25"/>
      <c r="R3324" s="25"/>
      <c r="S3324" s="25"/>
      <c r="T3324" s="10"/>
    </row>
    <row r="3325" s="35" customFormat="1" ht="18.5" customHeight="1" spans="1:20">
      <c r="A3325" s="9"/>
      <c r="B3325" s="25"/>
      <c r="C3325" s="25"/>
      <c r="D3325" s="25"/>
      <c r="E3325" s="25"/>
      <c r="F3325" s="25"/>
      <c r="G3325" s="25"/>
      <c r="H3325" s="25"/>
      <c r="I3325" s="25"/>
      <c r="J3325" s="25"/>
      <c r="K3325" s="25"/>
      <c r="L3325" s="25"/>
      <c r="M3325" s="42" t="s">
        <v>253</v>
      </c>
      <c r="N3325" s="41">
        <v>45047</v>
      </c>
      <c r="O3325" s="25">
        <v>178</v>
      </c>
      <c r="P3325" s="25">
        <v>0</v>
      </c>
      <c r="Q3325" s="25"/>
      <c r="R3325" s="25"/>
      <c r="S3325" s="25"/>
      <c r="T3325" s="10"/>
    </row>
    <row r="3326" s="35" customFormat="1" ht="18.5" customHeight="1" spans="1:20">
      <c r="A3326" s="9"/>
      <c r="B3326" s="25"/>
      <c r="C3326" s="25"/>
      <c r="D3326" s="25"/>
      <c r="E3326" s="25"/>
      <c r="F3326" s="25"/>
      <c r="G3326" s="25"/>
      <c r="H3326" s="25"/>
      <c r="I3326" s="25"/>
      <c r="J3326" s="25"/>
      <c r="K3326" s="25"/>
      <c r="L3326" s="25"/>
      <c r="M3326" s="42" t="s">
        <v>253</v>
      </c>
      <c r="N3326" s="41">
        <v>45047</v>
      </c>
      <c r="O3326" s="25">
        <v>300</v>
      </c>
      <c r="P3326" s="25">
        <v>0</v>
      </c>
      <c r="Q3326" s="25"/>
      <c r="R3326" s="25"/>
      <c r="S3326" s="25"/>
      <c r="T3326" s="10"/>
    </row>
    <row r="3327" s="35" customFormat="1" ht="18.5" customHeight="1" spans="1:20">
      <c r="A3327" s="9"/>
      <c r="B3327" s="25"/>
      <c r="C3327" s="25"/>
      <c r="D3327" s="25"/>
      <c r="E3327" s="25"/>
      <c r="F3327" s="25"/>
      <c r="G3327" s="25"/>
      <c r="H3327" s="25"/>
      <c r="I3327" s="25"/>
      <c r="J3327" s="25"/>
      <c r="K3327" s="25"/>
      <c r="L3327" s="25"/>
      <c r="M3327" s="42" t="s">
        <v>253</v>
      </c>
      <c r="N3327" s="41">
        <v>45047</v>
      </c>
      <c r="O3327" s="25">
        <v>88</v>
      </c>
      <c r="P3327" s="25">
        <v>0</v>
      </c>
      <c r="Q3327" s="25"/>
      <c r="R3327" s="25"/>
      <c r="S3327" s="25"/>
      <c r="T3327" s="10"/>
    </row>
    <row r="3328" s="35" customFormat="1" ht="18.5" customHeight="1" spans="1:20">
      <c r="A3328" s="9"/>
      <c r="B3328" s="25"/>
      <c r="C3328" s="25"/>
      <c r="D3328" s="25"/>
      <c r="E3328" s="25"/>
      <c r="F3328" s="25"/>
      <c r="G3328" s="25"/>
      <c r="H3328" s="25"/>
      <c r="I3328" s="25"/>
      <c r="J3328" s="25"/>
      <c r="K3328" s="25"/>
      <c r="L3328" s="25"/>
      <c r="M3328" s="42" t="s">
        <v>253</v>
      </c>
      <c r="N3328" s="41">
        <v>45047</v>
      </c>
      <c r="O3328" s="25">
        <v>96</v>
      </c>
      <c r="P3328" s="25">
        <v>0</v>
      </c>
      <c r="Q3328" s="25"/>
      <c r="R3328" s="25"/>
      <c r="S3328" s="25"/>
      <c r="T3328" s="10"/>
    </row>
    <row r="3329" s="35" customFormat="1" ht="18.5" customHeight="1" spans="1:20">
      <c r="A3329" s="9"/>
      <c r="B3329" s="25"/>
      <c r="C3329" s="25"/>
      <c r="D3329" s="25"/>
      <c r="E3329" s="25"/>
      <c r="F3329" s="25"/>
      <c r="G3329" s="25"/>
      <c r="H3329" s="25"/>
      <c r="I3329" s="25"/>
      <c r="J3329" s="25"/>
      <c r="K3329" s="25"/>
      <c r="L3329" s="25"/>
      <c r="M3329" s="42" t="s">
        <v>253</v>
      </c>
      <c r="N3329" s="41">
        <v>45046</v>
      </c>
      <c r="O3329" s="25">
        <v>119</v>
      </c>
      <c r="P3329" s="25">
        <v>0</v>
      </c>
      <c r="Q3329" s="25"/>
      <c r="R3329" s="25"/>
      <c r="S3329" s="25"/>
      <c r="T3329" s="10"/>
    </row>
    <row r="3330" s="35" customFormat="1" ht="18.5" customHeight="1" spans="1:20">
      <c r="A3330" s="9"/>
      <c r="B3330" s="25"/>
      <c r="C3330" s="25"/>
      <c r="D3330" s="25"/>
      <c r="E3330" s="25"/>
      <c r="F3330" s="25"/>
      <c r="G3330" s="25"/>
      <c r="H3330" s="25"/>
      <c r="I3330" s="25"/>
      <c r="J3330" s="25"/>
      <c r="K3330" s="25"/>
      <c r="L3330" s="25"/>
      <c r="M3330" s="42" t="s">
        <v>253</v>
      </c>
      <c r="N3330" s="41">
        <v>45046</v>
      </c>
      <c r="O3330" s="25">
        <v>133</v>
      </c>
      <c r="P3330" s="25">
        <v>0</v>
      </c>
      <c r="Q3330" s="25"/>
      <c r="R3330" s="25"/>
      <c r="S3330" s="25"/>
      <c r="T3330" s="10"/>
    </row>
    <row r="3331" s="35" customFormat="1" ht="18.5" customHeight="1" spans="1:20">
      <c r="A3331" s="9"/>
      <c r="B3331" s="25"/>
      <c r="C3331" s="25"/>
      <c r="D3331" s="25"/>
      <c r="E3331" s="25"/>
      <c r="F3331" s="25"/>
      <c r="G3331" s="25"/>
      <c r="H3331" s="25"/>
      <c r="I3331" s="25"/>
      <c r="J3331" s="25"/>
      <c r="K3331" s="25"/>
      <c r="L3331" s="25"/>
      <c r="M3331" s="42" t="s">
        <v>253</v>
      </c>
      <c r="N3331" s="41">
        <v>45046</v>
      </c>
      <c r="O3331" s="25">
        <v>401</v>
      </c>
      <c r="P3331" s="25">
        <v>0</v>
      </c>
      <c r="Q3331" s="25"/>
      <c r="R3331" s="25"/>
      <c r="S3331" s="25"/>
      <c r="T3331" s="10"/>
    </row>
    <row r="3332" s="35" customFormat="1" ht="18.5" customHeight="1" spans="1:20">
      <c r="A3332" s="9"/>
      <c r="B3332" s="25"/>
      <c r="C3332" s="25"/>
      <c r="D3332" s="25"/>
      <c r="E3332" s="25"/>
      <c r="F3332" s="25"/>
      <c r="G3332" s="25"/>
      <c r="H3332" s="25"/>
      <c r="I3332" s="25"/>
      <c r="J3332" s="25"/>
      <c r="K3332" s="25"/>
      <c r="L3332" s="25"/>
      <c r="M3332" s="42" t="s">
        <v>253</v>
      </c>
      <c r="N3332" s="41">
        <v>45045</v>
      </c>
      <c r="O3332" s="25">
        <v>90</v>
      </c>
      <c r="P3332" s="25">
        <v>0</v>
      </c>
      <c r="Q3332" s="25"/>
      <c r="R3332" s="25"/>
      <c r="S3332" s="25"/>
      <c r="T3332" s="10"/>
    </row>
    <row r="3333" s="35" customFormat="1" ht="18.5" customHeight="1" spans="1:20">
      <c r="A3333" s="9"/>
      <c r="B3333" s="25"/>
      <c r="C3333" s="25"/>
      <c r="D3333" s="25"/>
      <c r="E3333" s="25"/>
      <c r="F3333" s="25"/>
      <c r="G3333" s="25"/>
      <c r="H3333" s="25"/>
      <c r="I3333" s="25"/>
      <c r="J3333" s="25"/>
      <c r="K3333" s="25"/>
      <c r="L3333" s="25"/>
      <c r="M3333" s="42" t="s">
        <v>253</v>
      </c>
      <c r="N3333" s="41">
        <v>45045</v>
      </c>
      <c r="O3333" s="25">
        <v>168</v>
      </c>
      <c r="P3333" s="25">
        <v>0</v>
      </c>
      <c r="Q3333" s="25"/>
      <c r="R3333" s="25"/>
      <c r="S3333" s="25"/>
      <c r="T3333" s="10"/>
    </row>
    <row r="3334" s="35" customFormat="1" ht="18.5" customHeight="1" spans="1:20">
      <c r="A3334" s="9"/>
      <c r="B3334" s="25"/>
      <c r="C3334" s="25"/>
      <c r="D3334" s="25"/>
      <c r="E3334" s="25"/>
      <c r="F3334" s="25"/>
      <c r="G3334" s="25"/>
      <c r="H3334" s="25"/>
      <c r="I3334" s="25"/>
      <c r="J3334" s="25"/>
      <c r="K3334" s="25"/>
      <c r="L3334" s="25"/>
      <c r="M3334" s="42" t="s">
        <v>253</v>
      </c>
      <c r="N3334" s="41">
        <v>45045</v>
      </c>
      <c r="O3334" s="25">
        <v>682</v>
      </c>
      <c r="P3334" s="25">
        <v>0</v>
      </c>
      <c r="Q3334" s="25"/>
      <c r="R3334" s="25"/>
      <c r="S3334" s="25"/>
      <c r="T3334" s="10"/>
    </row>
    <row r="3335" s="35" customFormat="1" ht="18.5" customHeight="1" spans="1:20">
      <c r="A3335" s="9"/>
      <c r="B3335" s="25"/>
      <c r="C3335" s="25"/>
      <c r="D3335" s="25"/>
      <c r="E3335" s="25"/>
      <c r="F3335" s="25"/>
      <c r="G3335" s="25"/>
      <c r="H3335" s="25"/>
      <c r="I3335" s="25"/>
      <c r="J3335" s="25"/>
      <c r="K3335" s="25"/>
      <c r="L3335" s="25"/>
      <c r="M3335" s="42" t="s">
        <v>253</v>
      </c>
      <c r="N3335" s="41">
        <v>45045</v>
      </c>
      <c r="O3335" s="25">
        <v>110</v>
      </c>
      <c r="P3335" s="25">
        <v>0</v>
      </c>
      <c r="Q3335" s="25"/>
      <c r="R3335" s="25"/>
      <c r="S3335" s="25"/>
      <c r="T3335" s="10"/>
    </row>
    <row r="3336" s="35" customFormat="1" ht="18.5" customHeight="1" spans="1:20">
      <c r="A3336" s="9"/>
      <c r="B3336" s="25"/>
      <c r="C3336" s="25"/>
      <c r="D3336" s="25"/>
      <c r="E3336" s="25"/>
      <c r="F3336" s="25"/>
      <c r="G3336" s="25"/>
      <c r="H3336" s="25"/>
      <c r="I3336" s="25"/>
      <c r="J3336" s="25"/>
      <c r="K3336" s="25"/>
      <c r="L3336" s="25"/>
      <c r="M3336" s="42" t="s">
        <v>253</v>
      </c>
      <c r="N3336" s="41">
        <v>45045</v>
      </c>
      <c r="O3336" s="25">
        <v>142</v>
      </c>
      <c r="P3336" s="25">
        <v>0</v>
      </c>
      <c r="Q3336" s="25"/>
      <c r="R3336" s="25"/>
      <c r="S3336" s="25"/>
      <c r="T3336" s="10"/>
    </row>
    <row r="3337" s="35" customFormat="1" ht="18.5" customHeight="1" spans="1:20">
      <c r="A3337" s="9"/>
      <c r="B3337" s="25"/>
      <c r="C3337" s="25"/>
      <c r="D3337" s="25"/>
      <c r="E3337" s="25"/>
      <c r="F3337" s="25"/>
      <c r="G3337" s="25"/>
      <c r="H3337" s="25"/>
      <c r="I3337" s="25"/>
      <c r="J3337" s="25"/>
      <c r="K3337" s="25"/>
      <c r="L3337" s="25"/>
      <c r="M3337" s="42" t="s">
        <v>253</v>
      </c>
      <c r="N3337" s="41">
        <v>45045</v>
      </c>
      <c r="O3337" s="25">
        <v>276</v>
      </c>
      <c r="P3337" s="25">
        <v>0</v>
      </c>
      <c r="Q3337" s="25"/>
      <c r="R3337" s="25"/>
      <c r="S3337" s="25"/>
      <c r="T3337" s="10"/>
    </row>
    <row r="3338" s="35" customFormat="1" ht="18.5" customHeight="1" spans="1:20">
      <c r="A3338" s="9"/>
      <c r="B3338" s="25"/>
      <c r="C3338" s="25"/>
      <c r="D3338" s="25"/>
      <c r="E3338" s="25"/>
      <c r="F3338" s="25"/>
      <c r="G3338" s="25"/>
      <c r="H3338" s="25"/>
      <c r="I3338" s="25"/>
      <c r="J3338" s="25"/>
      <c r="K3338" s="25"/>
      <c r="L3338" s="25"/>
      <c r="M3338" s="42" t="s">
        <v>253</v>
      </c>
      <c r="N3338" s="41">
        <v>45045</v>
      </c>
      <c r="O3338" s="25">
        <v>156</v>
      </c>
      <c r="P3338" s="25">
        <v>0</v>
      </c>
      <c r="Q3338" s="25"/>
      <c r="R3338" s="25"/>
      <c r="S3338" s="25"/>
      <c r="T3338" s="10"/>
    </row>
    <row r="3339" s="35" customFormat="1" ht="18.5" customHeight="1" spans="1:20">
      <c r="A3339" s="9"/>
      <c r="B3339" s="25"/>
      <c r="C3339" s="25"/>
      <c r="D3339" s="25"/>
      <c r="E3339" s="25"/>
      <c r="F3339" s="25"/>
      <c r="G3339" s="25"/>
      <c r="H3339" s="25"/>
      <c r="I3339" s="25"/>
      <c r="J3339" s="25"/>
      <c r="K3339" s="25"/>
      <c r="L3339" s="25"/>
      <c r="M3339" s="42" t="s">
        <v>253</v>
      </c>
      <c r="N3339" s="41">
        <v>45044</v>
      </c>
      <c r="O3339" s="25">
        <v>110</v>
      </c>
      <c r="P3339" s="25">
        <v>0</v>
      </c>
      <c r="Q3339" s="25"/>
      <c r="R3339" s="25"/>
      <c r="S3339" s="25"/>
      <c r="T3339" s="10"/>
    </row>
    <row r="3340" s="35" customFormat="1" ht="18.5" customHeight="1" spans="1:20">
      <c r="A3340" s="9"/>
      <c r="B3340" s="25"/>
      <c r="C3340" s="25"/>
      <c r="D3340" s="25"/>
      <c r="E3340" s="25"/>
      <c r="F3340" s="25"/>
      <c r="G3340" s="25"/>
      <c r="H3340" s="25"/>
      <c r="I3340" s="25"/>
      <c r="J3340" s="25"/>
      <c r="K3340" s="25"/>
      <c r="L3340" s="25"/>
      <c r="M3340" s="42" t="s">
        <v>253</v>
      </c>
      <c r="N3340" s="41">
        <v>45044</v>
      </c>
      <c r="O3340" s="25">
        <v>127</v>
      </c>
      <c r="P3340" s="25">
        <v>0</v>
      </c>
      <c r="Q3340" s="25"/>
      <c r="R3340" s="25"/>
      <c r="S3340" s="25"/>
      <c r="T3340" s="10"/>
    </row>
    <row r="3341" s="35" customFormat="1" ht="18.5" customHeight="1" spans="1:20">
      <c r="A3341" s="9"/>
      <c r="B3341" s="25"/>
      <c r="C3341" s="25"/>
      <c r="D3341" s="25"/>
      <c r="E3341" s="25"/>
      <c r="F3341" s="25"/>
      <c r="G3341" s="25"/>
      <c r="H3341" s="25"/>
      <c r="I3341" s="25"/>
      <c r="J3341" s="25"/>
      <c r="K3341" s="25"/>
      <c r="L3341" s="25"/>
      <c r="M3341" s="42" t="s">
        <v>253</v>
      </c>
      <c r="N3341" s="41">
        <v>45044</v>
      </c>
      <c r="O3341" s="25">
        <v>115</v>
      </c>
      <c r="P3341" s="25">
        <v>0</v>
      </c>
      <c r="Q3341" s="25"/>
      <c r="R3341" s="25"/>
      <c r="S3341" s="25"/>
      <c r="T3341" s="10"/>
    </row>
    <row r="3342" s="35" customFormat="1" ht="18.5" customHeight="1" spans="1:20">
      <c r="A3342" s="9"/>
      <c r="B3342" s="25"/>
      <c r="C3342" s="25"/>
      <c r="D3342" s="25"/>
      <c r="E3342" s="25"/>
      <c r="F3342" s="25"/>
      <c r="G3342" s="25"/>
      <c r="H3342" s="25"/>
      <c r="I3342" s="25"/>
      <c r="J3342" s="25"/>
      <c r="K3342" s="25"/>
      <c r="L3342" s="25"/>
      <c r="M3342" s="42" t="s">
        <v>253</v>
      </c>
      <c r="N3342" s="41">
        <v>45044</v>
      </c>
      <c r="O3342" s="25">
        <v>90</v>
      </c>
      <c r="P3342" s="25">
        <v>0</v>
      </c>
      <c r="Q3342" s="25"/>
      <c r="R3342" s="25"/>
      <c r="S3342" s="25"/>
      <c r="T3342" s="10"/>
    </row>
    <row r="3343" s="35" customFormat="1" ht="18.5" customHeight="1" spans="1:20">
      <c r="A3343" s="9"/>
      <c r="B3343" s="25"/>
      <c r="C3343" s="25"/>
      <c r="D3343" s="25"/>
      <c r="E3343" s="25"/>
      <c r="F3343" s="25"/>
      <c r="G3343" s="25"/>
      <c r="H3343" s="25"/>
      <c r="I3343" s="25"/>
      <c r="J3343" s="25"/>
      <c r="K3343" s="25"/>
      <c r="L3343" s="25"/>
      <c r="M3343" s="42" t="s">
        <v>253</v>
      </c>
      <c r="N3343" s="41">
        <v>45044</v>
      </c>
      <c r="O3343" s="25">
        <v>472</v>
      </c>
      <c r="P3343" s="25">
        <v>0</v>
      </c>
      <c r="Q3343" s="25"/>
      <c r="R3343" s="25"/>
      <c r="S3343" s="25"/>
      <c r="T3343" s="10"/>
    </row>
    <row r="3344" s="35" customFormat="1" ht="18.5" customHeight="1" spans="1:20">
      <c r="A3344" s="9"/>
      <c r="B3344" s="25"/>
      <c r="C3344" s="25"/>
      <c r="D3344" s="25"/>
      <c r="E3344" s="25"/>
      <c r="F3344" s="25"/>
      <c r="G3344" s="25"/>
      <c r="H3344" s="25"/>
      <c r="I3344" s="25"/>
      <c r="J3344" s="25"/>
      <c r="K3344" s="25"/>
      <c r="L3344" s="25"/>
      <c r="M3344" s="42" t="s">
        <v>253</v>
      </c>
      <c r="N3344" s="41">
        <v>45044</v>
      </c>
      <c r="O3344" s="25">
        <v>146</v>
      </c>
      <c r="P3344" s="25">
        <v>0</v>
      </c>
      <c r="Q3344" s="25"/>
      <c r="R3344" s="25"/>
      <c r="S3344" s="25"/>
      <c r="T3344" s="10"/>
    </row>
    <row r="3345" s="35" customFormat="1" ht="18.5" customHeight="1" spans="1:20">
      <c r="A3345" s="9"/>
      <c r="B3345" s="25"/>
      <c r="C3345" s="25"/>
      <c r="D3345" s="25"/>
      <c r="E3345" s="25"/>
      <c r="F3345" s="25"/>
      <c r="G3345" s="25"/>
      <c r="H3345" s="25"/>
      <c r="I3345" s="25"/>
      <c r="J3345" s="25"/>
      <c r="K3345" s="25"/>
      <c r="L3345" s="25"/>
      <c r="M3345" s="42" t="s">
        <v>253</v>
      </c>
      <c r="N3345" s="41">
        <v>45044</v>
      </c>
      <c r="O3345" s="25">
        <v>126</v>
      </c>
      <c r="P3345" s="25">
        <v>0</v>
      </c>
      <c r="Q3345" s="25"/>
      <c r="R3345" s="25"/>
      <c r="S3345" s="25"/>
      <c r="T3345" s="10"/>
    </row>
    <row r="3346" s="35" customFormat="1" ht="18.5" customHeight="1" spans="1:20">
      <c r="A3346" s="9"/>
      <c r="B3346" s="25"/>
      <c r="C3346" s="25"/>
      <c r="D3346" s="25"/>
      <c r="E3346" s="25"/>
      <c r="F3346" s="25"/>
      <c r="G3346" s="25"/>
      <c r="H3346" s="25"/>
      <c r="I3346" s="25"/>
      <c r="J3346" s="25"/>
      <c r="K3346" s="25"/>
      <c r="L3346" s="25"/>
      <c r="M3346" s="42" t="s">
        <v>253</v>
      </c>
      <c r="N3346" s="41">
        <v>45044</v>
      </c>
      <c r="O3346" s="25">
        <v>159</v>
      </c>
      <c r="P3346" s="25">
        <v>0</v>
      </c>
      <c r="Q3346" s="25"/>
      <c r="R3346" s="25"/>
      <c r="S3346" s="25"/>
      <c r="T3346" s="10"/>
    </row>
    <row r="3347" s="35" customFormat="1" ht="18.5" customHeight="1" spans="1:20">
      <c r="A3347" s="9"/>
      <c r="B3347" s="25"/>
      <c r="C3347" s="25"/>
      <c r="D3347" s="25"/>
      <c r="E3347" s="25"/>
      <c r="F3347" s="25"/>
      <c r="G3347" s="25"/>
      <c r="H3347" s="25"/>
      <c r="I3347" s="25"/>
      <c r="J3347" s="25"/>
      <c r="K3347" s="25"/>
      <c r="L3347" s="25"/>
      <c r="M3347" s="42" t="s">
        <v>253</v>
      </c>
      <c r="N3347" s="41">
        <v>45043</v>
      </c>
      <c r="O3347" s="25">
        <v>437</v>
      </c>
      <c r="P3347" s="25">
        <v>0</v>
      </c>
      <c r="Q3347" s="25"/>
      <c r="R3347" s="25"/>
      <c r="S3347" s="25"/>
      <c r="T3347" s="10"/>
    </row>
    <row r="3348" s="35" customFormat="1" ht="18.5" customHeight="1" spans="1:20">
      <c r="A3348" s="9"/>
      <c r="B3348" s="25"/>
      <c r="C3348" s="25"/>
      <c r="D3348" s="25"/>
      <c r="E3348" s="25"/>
      <c r="F3348" s="25"/>
      <c r="G3348" s="25"/>
      <c r="H3348" s="25"/>
      <c r="I3348" s="25"/>
      <c r="J3348" s="25"/>
      <c r="K3348" s="25"/>
      <c r="L3348" s="25"/>
      <c r="M3348" s="42" t="s">
        <v>253</v>
      </c>
      <c r="N3348" s="41">
        <v>45043</v>
      </c>
      <c r="O3348" s="25">
        <v>114</v>
      </c>
      <c r="P3348" s="25">
        <v>0</v>
      </c>
      <c r="Q3348" s="25"/>
      <c r="R3348" s="25"/>
      <c r="S3348" s="25"/>
      <c r="T3348" s="10"/>
    </row>
    <row r="3349" s="35" customFormat="1" ht="18.5" customHeight="1" spans="1:20">
      <c r="A3349" s="9"/>
      <c r="B3349" s="25"/>
      <c r="C3349" s="25"/>
      <c r="D3349" s="25"/>
      <c r="E3349" s="25"/>
      <c r="F3349" s="25"/>
      <c r="G3349" s="25"/>
      <c r="H3349" s="25"/>
      <c r="I3349" s="25"/>
      <c r="J3349" s="25"/>
      <c r="K3349" s="25"/>
      <c r="L3349" s="25"/>
      <c r="M3349" s="42" t="s">
        <v>253</v>
      </c>
      <c r="N3349" s="41">
        <v>45043</v>
      </c>
      <c r="O3349" s="25">
        <v>122</v>
      </c>
      <c r="P3349" s="25">
        <v>0</v>
      </c>
      <c r="Q3349" s="25"/>
      <c r="R3349" s="25"/>
      <c r="S3349" s="25"/>
      <c r="T3349" s="10"/>
    </row>
    <row r="3350" s="35" customFormat="1" ht="18.5" customHeight="1" spans="1:20">
      <c r="A3350" s="9"/>
      <c r="B3350" s="25"/>
      <c r="C3350" s="25"/>
      <c r="D3350" s="25"/>
      <c r="E3350" s="25"/>
      <c r="F3350" s="25"/>
      <c r="G3350" s="25"/>
      <c r="H3350" s="25"/>
      <c r="I3350" s="25"/>
      <c r="J3350" s="25"/>
      <c r="K3350" s="25"/>
      <c r="L3350" s="25"/>
      <c r="M3350" s="42" t="s">
        <v>253</v>
      </c>
      <c r="N3350" s="41">
        <v>45043</v>
      </c>
      <c r="O3350" s="25">
        <v>312</v>
      </c>
      <c r="P3350" s="25">
        <v>0</v>
      </c>
      <c r="Q3350" s="25"/>
      <c r="R3350" s="25"/>
      <c r="S3350" s="25"/>
      <c r="T3350" s="10"/>
    </row>
    <row r="3351" s="35" customFormat="1" ht="18.5" customHeight="1" spans="1:20">
      <c r="A3351" s="9"/>
      <c r="B3351" s="25"/>
      <c r="C3351" s="25"/>
      <c r="D3351" s="25"/>
      <c r="E3351" s="25"/>
      <c r="F3351" s="25"/>
      <c r="G3351" s="25"/>
      <c r="H3351" s="25"/>
      <c r="I3351" s="25"/>
      <c r="J3351" s="25"/>
      <c r="K3351" s="25"/>
      <c r="L3351" s="25"/>
      <c r="M3351" s="42" t="s">
        <v>253</v>
      </c>
      <c r="N3351" s="41">
        <v>45043</v>
      </c>
      <c r="O3351" s="25">
        <v>137</v>
      </c>
      <c r="P3351" s="25">
        <v>0</v>
      </c>
      <c r="Q3351" s="25"/>
      <c r="R3351" s="25"/>
      <c r="S3351" s="25"/>
      <c r="T3351" s="10"/>
    </row>
    <row r="3352" s="35" customFormat="1" ht="18.5" customHeight="1" spans="1:20">
      <c r="A3352" s="9"/>
      <c r="B3352" s="25"/>
      <c r="C3352" s="25"/>
      <c r="D3352" s="25"/>
      <c r="E3352" s="25"/>
      <c r="F3352" s="25"/>
      <c r="G3352" s="25"/>
      <c r="H3352" s="25"/>
      <c r="I3352" s="25"/>
      <c r="J3352" s="25"/>
      <c r="K3352" s="25"/>
      <c r="L3352" s="25"/>
      <c r="M3352" s="42" t="s">
        <v>253</v>
      </c>
      <c r="N3352" s="41">
        <v>45043</v>
      </c>
      <c r="O3352" s="25">
        <v>172</v>
      </c>
      <c r="P3352" s="25">
        <v>0</v>
      </c>
      <c r="Q3352" s="25"/>
      <c r="R3352" s="25"/>
      <c r="S3352" s="25"/>
      <c r="T3352" s="10"/>
    </row>
    <row r="3353" s="35" customFormat="1" ht="18.5" customHeight="1" spans="1:20">
      <c r="A3353" s="9"/>
      <c r="B3353" s="25"/>
      <c r="C3353" s="25"/>
      <c r="D3353" s="25"/>
      <c r="E3353" s="25"/>
      <c r="F3353" s="25"/>
      <c r="G3353" s="25"/>
      <c r="H3353" s="25"/>
      <c r="I3353" s="25"/>
      <c r="J3353" s="25"/>
      <c r="K3353" s="25"/>
      <c r="L3353" s="25"/>
      <c r="M3353" s="42" t="s">
        <v>253</v>
      </c>
      <c r="N3353" s="41">
        <v>45043</v>
      </c>
      <c r="O3353" s="25">
        <v>83</v>
      </c>
      <c r="P3353" s="25">
        <v>0</v>
      </c>
      <c r="Q3353" s="25"/>
      <c r="R3353" s="25"/>
      <c r="S3353" s="25"/>
      <c r="T3353" s="10"/>
    </row>
    <row r="3354" s="35" customFormat="1" ht="18.5" customHeight="1" spans="1:20">
      <c r="A3354" s="9"/>
      <c r="B3354" s="25"/>
      <c r="C3354" s="25"/>
      <c r="D3354" s="25"/>
      <c r="E3354" s="25"/>
      <c r="F3354" s="25"/>
      <c r="G3354" s="25"/>
      <c r="H3354" s="25"/>
      <c r="I3354" s="25"/>
      <c r="J3354" s="25"/>
      <c r="K3354" s="25"/>
      <c r="L3354" s="25"/>
      <c r="M3354" s="42" t="s">
        <v>253</v>
      </c>
      <c r="N3354" s="41">
        <v>45043</v>
      </c>
      <c r="O3354" s="25">
        <v>159</v>
      </c>
      <c r="P3354" s="25">
        <v>0</v>
      </c>
      <c r="Q3354" s="25"/>
      <c r="R3354" s="25"/>
      <c r="S3354" s="25"/>
      <c r="T3354" s="10"/>
    </row>
    <row r="3355" s="35" customFormat="1" ht="18.5" customHeight="1" spans="1:20">
      <c r="A3355" s="9"/>
      <c r="B3355" s="25"/>
      <c r="C3355" s="25"/>
      <c r="D3355" s="25"/>
      <c r="E3355" s="25"/>
      <c r="F3355" s="25"/>
      <c r="G3355" s="25"/>
      <c r="H3355" s="25"/>
      <c r="I3355" s="25"/>
      <c r="J3355" s="25"/>
      <c r="K3355" s="25"/>
      <c r="L3355" s="25"/>
      <c r="M3355" s="42" t="s">
        <v>253</v>
      </c>
      <c r="N3355" s="41">
        <v>45043</v>
      </c>
      <c r="O3355" s="25">
        <v>257</v>
      </c>
      <c r="P3355" s="25">
        <v>0</v>
      </c>
      <c r="Q3355" s="25"/>
      <c r="R3355" s="25"/>
      <c r="S3355" s="25"/>
      <c r="T3355" s="10"/>
    </row>
    <row r="3356" s="35" customFormat="1" ht="18.5" customHeight="1" spans="1:20">
      <c r="A3356" s="9"/>
      <c r="B3356" s="25"/>
      <c r="C3356" s="25"/>
      <c r="D3356" s="25"/>
      <c r="E3356" s="25"/>
      <c r="F3356" s="25"/>
      <c r="G3356" s="25"/>
      <c r="H3356" s="25"/>
      <c r="I3356" s="25"/>
      <c r="J3356" s="25"/>
      <c r="K3356" s="25"/>
      <c r="L3356" s="25"/>
      <c r="M3356" s="42" t="s">
        <v>253</v>
      </c>
      <c r="N3356" s="41">
        <v>45043</v>
      </c>
      <c r="O3356" s="25">
        <v>151</v>
      </c>
      <c r="P3356" s="25">
        <v>0</v>
      </c>
      <c r="Q3356" s="25"/>
      <c r="R3356" s="25"/>
      <c r="S3356" s="25"/>
      <c r="T3356" s="10"/>
    </row>
    <row r="3357" s="35" customFormat="1" ht="18.5" customHeight="1" spans="1:20">
      <c r="A3357" s="9"/>
      <c r="B3357" s="25"/>
      <c r="C3357" s="25"/>
      <c r="D3357" s="25"/>
      <c r="E3357" s="25"/>
      <c r="F3357" s="25"/>
      <c r="G3357" s="25"/>
      <c r="H3357" s="25"/>
      <c r="I3357" s="25"/>
      <c r="J3357" s="25"/>
      <c r="K3357" s="25"/>
      <c r="L3357" s="25"/>
      <c r="M3357" s="42" t="s">
        <v>253</v>
      </c>
      <c r="N3357" s="41">
        <v>45042</v>
      </c>
      <c r="O3357" s="25">
        <v>140</v>
      </c>
      <c r="P3357" s="25">
        <v>0</v>
      </c>
      <c r="Q3357" s="25"/>
      <c r="R3357" s="25"/>
      <c r="S3357" s="25"/>
      <c r="T3357" s="10"/>
    </row>
    <row r="3358" s="35" customFormat="1" ht="18.5" customHeight="1" spans="1:20">
      <c r="A3358" s="9"/>
      <c r="B3358" s="25"/>
      <c r="C3358" s="25"/>
      <c r="D3358" s="25"/>
      <c r="E3358" s="25"/>
      <c r="F3358" s="25"/>
      <c r="G3358" s="25"/>
      <c r="H3358" s="25"/>
      <c r="I3358" s="25"/>
      <c r="J3358" s="25"/>
      <c r="K3358" s="25"/>
      <c r="L3358" s="25"/>
      <c r="M3358" s="42" t="s">
        <v>253</v>
      </c>
      <c r="N3358" s="41">
        <v>45042</v>
      </c>
      <c r="O3358" s="25">
        <v>131</v>
      </c>
      <c r="P3358" s="25">
        <v>0</v>
      </c>
      <c r="Q3358" s="25"/>
      <c r="R3358" s="25"/>
      <c r="S3358" s="25"/>
      <c r="T3358" s="10"/>
    </row>
    <row r="3359" s="35" customFormat="1" ht="18.5" customHeight="1" spans="1:20">
      <c r="A3359" s="9"/>
      <c r="B3359" s="25"/>
      <c r="C3359" s="25"/>
      <c r="D3359" s="25"/>
      <c r="E3359" s="25"/>
      <c r="F3359" s="25"/>
      <c r="G3359" s="25"/>
      <c r="H3359" s="25"/>
      <c r="I3359" s="25"/>
      <c r="J3359" s="25"/>
      <c r="K3359" s="25"/>
      <c r="L3359" s="25"/>
      <c r="M3359" s="42" t="s">
        <v>253</v>
      </c>
      <c r="N3359" s="41">
        <v>45042</v>
      </c>
      <c r="O3359" s="25">
        <v>173</v>
      </c>
      <c r="P3359" s="25">
        <v>0</v>
      </c>
      <c r="Q3359" s="25"/>
      <c r="R3359" s="25"/>
      <c r="S3359" s="25"/>
      <c r="T3359" s="10"/>
    </row>
    <row r="3360" s="35" customFormat="1" ht="18.5" customHeight="1" spans="1:20">
      <c r="A3360" s="9"/>
      <c r="B3360" s="25"/>
      <c r="C3360" s="25"/>
      <c r="D3360" s="25"/>
      <c r="E3360" s="25"/>
      <c r="F3360" s="25"/>
      <c r="G3360" s="25"/>
      <c r="H3360" s="25"/>
      <c r="I3360" s="25"/>
      <c r="J3360" s="25"/>
      <c r="K3360" s="25"/>
      <c r="L3360" s="25"/>
      <c r="M3360" s="42" t="s">
        <v>253</v>
      </c>
      <c r="N3360" s="41">
        <v>45042</v>
      </c>
      <c r="O3360" s="25">
        <v>176</v>
      </c>
      <c r="P3360" s="25">
        <v>0</v>
      </c>
      <c r="Q3360" s="25"/>
      <c r="R3360" s="25"/>
      <c r="S3360" s="25"/>
      <c r="T3360" s="10"/>
    </row>
    <row r="3361" s="35" customFormat="1" ht="18.5" customHeight="1" spans="1:20">
      <c r="A3361" s="9"/>
      <c r="B3361" s="25"/>
      <c r="C3361" s="25"/>
      <c r="D3361" s="25"/>
      <c r="E3361" s="25"/>
      <c r="F3361" s="25"/>
      <c r="G3361" s="25"/>
      <c r="H3361" s="25"/>
      <c r="I3361" s="25"/>
      <c r="J3361" s="25"/>
      <c r="K3361" s="25"/>
      <c r="L3361" s="25"/>
      <c r="M3361" s="42" t="s">
        <v>253</v>
      </c>
      <c r="N3361" s="41">
        <v>45041</v>
      </c>
      <c r="O3361" s="25">
        <v>122</v>
      </c>
      <c r="P3361" s="25">
        <v>0</v>
      </c>
      <c r="Q3361" s="25"/>
      <c r="R3361" s="25"/>
      <c r="S3361" s="25"/>
      <c r="T3361" s="10"/>
    </row>
    <row r="3362" s="35" customFormat="1" ht="18.5" customHeight="1" spans="1:20">
      <c r="A3362" s="9"/>
      <c r="B3362" s="25"/>
      <c r="C3362" s="25"/>
      <c r="D3362" s="25"/>
      <c r="E3362" s="25"/>
      <c r="F3362" s="25"/>
      <c r="G3362" s="25"/>
      <c r="H3362" s="25"/>
      <c r="I3362" s="25"/>
      <c r="J3362" s="25"/>
      <c r="K3362" s="25"/>
      <c r="L3362" s="25"/>
      <c r="M3362" s="42" t="s">
        <v>253</v>
      </c>
      <c r="N3362" s="41">
        <v>45041</v>
      </c>
      <c r="O3362" s="25">
        <v>190</v>
      </c>
      <c r="P3362" s="25">
        <v>0</v>
      </c>
      <c r="Q3362" s="25"/>
      <c r="R3362" s="25"/>
      <c r="S3362" s="25"/>
      <c r="T3362" s="10"/>
    </row>
    <row r="3363" s="35" customFormat="1" ht="18.5" customHeight="1" spans="1:20">
      <c r="A3363" s="9"/>
      <c r="B3363" s="25"/>
      <c r="C3363" s="25"/>
      <c r="D3363" s="25"/>
      <c r="E3363" s="25"/>
      <c r="F3363" s="25"/>
      <c r="G3363" s="25"/>
      <c r="H3363" s="25"/>
      <c r="I3363" s="25"/>
      <c r="J3363" s="25"/>
      <c r="K3363" s="25"/>
      <c r="L3363" s="25"/>
      <c r="M3363" s="42" t="s">
        <v>253</v>
      </c>
      <c r="N3363" s="41">
        <v>45041</v>
      </c>
      <c r="O3363" s="25">
        <v>196</v>
      </c>
      <c r="P3363" s="25">
        <v>0</v>
      </c>
      <c r="Q3363" s="25"/>
      <c r="R3363" s="25"/>
      <c r="S3363" s="25"/>
      <c r="T3363" s="10"/>
    </row>
    <row r="3364" s="35" customFormat="1" ht="18.5" customHeight="1" spans="1:20">
      <c r="A3364" s="9"/>
      <c r="B3364" s="25"/>
      <c r="C3364" s="25"/>
      <c r="D3364" s="25"/>
      <c r="E3364" s="25"/>
      <c r="F3364" s="25"/>
      <c r="G3364" s="25"/>
      <c r="H3364" s="25"/>
      <c r="I3364" s="25"/>
      <c r="J3364" s="25"/>
      <c r="K3364" s="25"/>
      <c r="L3364" s="25"/>
      <c r="M3364" s="42" t="s">
        <v>253</v>
      </c>
      <c r="N3364" s="41">
        <v>45040</v>
      </c>
      <c r="O3364" s="25">
        <v>271</v>
      </c>
      <c r="P3364" s="25">
        <v>0</v>
      </c>
      <c r="Q3364" s="25"/>
      <c r="R3364" s="25"/>
      <c r="S3364" s="25"/>
      <c r="T3364" s="10"/>
    </row>
    <row r="3365" s="35" customFormat="1" ht="18.5" customHeight="1" spans="1:20">
      <c r="A3365" s="9"/>
      <c r="B3365" s="25"/>
      <c r="C3365" s="25"/>
      <c r="D3365" s="25"/>
      <c r="E3365" s="25"/>
      <c r="F3365" s="25"/>
      <c r="G3365" s="25"/>
      <c r="H3365" s="25"/>
      <c r="I3365" s="25"/>
      <c r="J3365" s="25"/>
      <c r="K3365" s="25"/>
      <c r="L3365" s="25"/>
      <c r="M3365" s="42" t="s">
        <v>253</v>
      </c>
      <c r="N3365" s="41">
        <v>45040</v>
      </c>
      <c r="O3365" s="25">
        <v>184</v>
      </c>
      <c r="P3365" s="25">
        <v>0</v>
      </c>
      <c r="Q3365" s="25"/>
      <c r="R3365" s="25"/>
      <c r="S3365" s="25"/>
      <c r="T3365" s="10"/>
    </row>
    <row r="3366" s="35" customFormat="1" ht="18.5" customHeight="1" spans="1:20">
      <c r="A3366" s="9"/>
      <c r="B3366" s="25"/>
      <c r="C3366" s="25"/>
      <c r="D3366" s="25"/>
      <c r="E3366" s="25"/>
      <c r="F3366" s="25"/>
      <c r="G3366" s="25"/>
      <c r="H3366" s="25"/>
      <c r="I3366" s="25"/>
      <c r="J3366" s="25"/>
      <c r="K3366" s="25"/>
      <c r="L3366" s="25"/>
      <c r="M3366" s="42" t="s">
        <v>253</v>
      </c>
      <c r="N3366" s="41">
        <v>45040</v>
      </c>
      <c r="O3366" s="25">
        <v>122</v>
      </c>
      <c r="P3366" s="25">
        <v>0</v>
      </c>
      <c r="Q3366" s="25"/>
      <c r="R3366" s="25"/>
      <c r="S3366" s="25"/>
      <c r="T3366" s="10"/>
    </row>
    <row r="3367" s="35" customFormat="1" ht="18.5" customHeight="1" spans="1:20">
      <c r="A3367" s="9"/>
      <c r="B3367" s="25"/>
      <c r="C3367" s="25"/>
      <c r="D3367" s="25"/>
      <c r="E3367" s="25"/>
      <c r="F3367" s="25"/>
      <c r="G3367" s="25"/>
      <c r="H3367" s="25"/>
      <c r="I3367" s="25"/>
      <c r="J3367" s="25"/>
      <c r="K3367" s="25"/>
      <c r="L3367" s="25"/>
      <c r="M3367" s="42" t="s">
        <v>253</v>
      </c>
      <c r="N3367" s="41">
        <v>45040</v>
      </c>
      <c r="O3367" s="25">
        <v>1400</v>
      </c>
      <c r="P3367" s="25">
        <v>0</v>
      </c>
      <c r="Q3367" s="25"/>
      <c r="R3367" s="25"/>
      <c r="S3367" s="25"/>
      <c r="T3367" s="10"/>
    </row>
    <row r="3368" s="35" customFormat="1" ht="18.5" customHeight="1" spans="1:20">
      <c r="A3368" s="9"/>
      <c r="B3368" s="25"/>
      <c r="C3368" s="25"/>
      <c r="D3368" s="25"/>
      <c r="E3368" s="25"/>
      <c r="F3368" s="25"/>
      <c r="G3368" s="25"/>
      <c r="H3368" s="25"/>
      <c r="I3368" s="25"/>
      <c r="J3368" s="25"/>
      <c r="K3368" s="25"/>
      <c r="L3368" s="25"/>
      <c r="M3368" s="42" t="s">
        <v>253</v>
      </c>
      <c r="N3368" s="41">
        <v>45039</v>
      </c>
      <c r="O3368" s="25">
        <v>242</v>
      </c>
      <c r="P3368" s="25">
        <v>0</v>
      </c>
      <c r="Q3368" s="25"/>
      <c r="R3368" s="25"/>
      <c r="S3368" s="25"/>
      <c r="T3368" s="10"/>
    </row>
    <row r="3369" s="35" customFormat="1" ht="18.5" customHeight="1" spans="1:20">
      <c r="A3369" s="9"/>
      <c r="B3369" s="25"/>
      <c r="C3369" s="25"/>
      <c r="D3369" s="25"/>
      <c r="E3369" s="25"/>
      <c r="F3369" s="25"/>
      <c r="G3369" s="25"/>
      <c r="H3369" s="25"/>
      <c r="I3369" s="25"/>
      <c r="J3369" s="25"/>
      <c r="K3369" s="25"/>
      <c r="L3369" s="25"/>
      <c r="M3369" s="42" t="s">
        <v>253</v>
      </c>
      <c r="N3369" s="41">
        <v>45039</v>
      </c>
      <c r="O3369" s="25">
        <v>84</v>
      </c>
      <c r="P3369" s="25">
        <v>0</v>
      </c>
      <c r="Q3369" s="25"/>
      <c r="R3369" s="25"/>
      <c r="S3369" s="25"/>
      <c r="T3369" s="10"/>
    </row>
    <row r="3370" s="35" customFormat="1" ht="18.5" customHeight="1" spans="1:20">
      <c r="A3370" s="9"/>
      <c r="B3370" s="25"/>
      <c r="C3370" s="25"/>
      <c r="D3370" s="25"/>
      <c r="E3370" s="25"/>
      <c r="F3370" s="25"/>
      <c r="G3370" s="25"/>
      <c r="H3370" s="25"/>
      <c r="I3370" s="25"/>
      <c r="J3370" s="25"/>
      <c r="K3370" s="25"/>
      <c r="L3370" s="25"/>
      <c r="M3370" s="42" t="s">
        <v>253</v>
      </c>
      <c r="N3370" s="41">
        <v>45039</v>
      </c>
      <c r="O3370" s="25">
        <v>111</v>
      </c>
      <c r="P3370" s="25">
        <v>0</v>
      </c>
      <c r="Q3370" s="25"/>
      <c r="R3370" s="25"/>
      <c r="S3370" s="25"/>
      <c r="T3370" s="10"/>
    </row>
    <row r="3371" s="35" customFormat="1" ht="18.5" customHeight="1" spans="1:20">
      <c r="A3371" s="9"/>
      <c r="B3371" s="25"/>
      <c r="C3371" s="25"/>
      <c r="D3371" s="25"/>
      <c r="E3371" s="25"/>
      <c r="F3371" s="25"/>
      <c r="G3371" s="25"/>
      <c r="H3371" s="25"/>
      <c r="I3371" s="25"/>
      <c r="J3371" s="25"/>
      <c r="K3371" s="25"/>
      <c r="L3371" s="25"/>
      <c r="M3371" s="42" t="s">
        <v>253</v>
      </c>
      <c r="N3371" s="41">
        <v>45039</v>
      </c>
      <c r="O3371" s="25">
        <v>183</v>
      </c>
      <c r="P3371" s="25">
        <v>0</v>
      </c>
      <c r="Q3371" s="25"/>
      <c r="R3371" s="25"/>
      <c r="S3371" s="25"/>
      <c r="T3371" s="10"/>
    </row>
    <row r="3372" s="35" customFormat="1" ht="18.5" customHeight="1" spans="1:20">
      <c r="A3372" s="9"/>
      <c r="B3372" s="25"/>
      <c r="C3372" s="25"/>
      <c r="D3372" s="25"/>
      <c r="E3372" s="25"/>
      <c r="F3372" s="25"/>
      <c r="G3372" s="25"/>
      <c r="H3372" s="25"/>
      <c r="I3372" s="25"/>
      <c r="J3372" s="25"/>
      <c r="K3372" s="25"/>
      <c r="L3372" s="25"/>
      <c r="M3372" s="42" t="s">
        <v>253</v>
      </c>
      <c r="N3372" s="41">
        <v>45038</v>
      </c>
      <c r="O3372" s="25">
        <v>171</v>
      </c>
      <c r="P3372" s="25">
        <v>0</v>
      </c>
      <c r="Q3372" s="25"/>
      <c r="R3372" s="25"/>
      <c r="S3372" s="25"/>
      <c r="T3372" s="10"/>
    </row>
    <row r="3373" s="35" customFormat="1" ht="18.5" customHeight="1" spans="1:20">
      <c r="A3373" s="9"/>
      <c r="B3373" s="25"/>
      <c r="C3373" s="25"/>
      <c r="D3373" s="25"/>
      <c r="E3373" s="25"/>
      <c r="F3373" s="25"/>
      <c r="G3373" s="25"/>
      <c r="H3373" s="25"/>
      <c r="I3373" s="25"/>
      <c r="J3373" s="25"/>
      <c r="K3373" s="25"/>
      <c r="L3373" s="25"/>
      <c r="M3373" s="42" t="s">
        <v>253</v>
      </c>
      <c r="N3373" s="41">
        <v>45037</v>
      </c>
      <c r="O3373" s="25">
        <v>1043</v>
      </c>
      <c r="P3373" s="25">
        <v>0</v>
      </c>
      <c r="Q3373" s="25"/>
      <c r="R3373" s="25"/>
      <c r="S3373" s="25"/>
      <c r="T3373" s="10"/>
    </row>
    <row r="3374" s="35" customFormat="1" ht="18.5" customHeight="1" spans="1:20">
      <c r="A3374" s="9"/>
      <c r="B3374" s="25"/>
      <c r="C3374" s="25"/>
      <c r="D3374" s="25"/>
      <c r="E3374" s="25"/>
      <c r="F3374" s="25"/>
      <c r="G3374" s="25"/>
      <c r="H3374" s="25"/>
      <c r="I3374" s="25"/>
      <c r="J3374" s="25"/>
      <c r="K3374" s="25"/>
      <c r="L3374" s="25"/>
      <c r="M3374" s="42" t="s">
        <v>253</v>
      </c>
      <c r="N3374" s="41">
        <v>45037</v>
      </c>
      <c r="O3374" s="25">
        <v>322</v>
      </c>
      <c r="P3374" s="25">
        <v>0</v>
      </c>
      <c r="Q3374" s="25"/>
      <c r="R3374" s="25"/>
      <c r="S3374" s="25"/>
      <c r="T3374" s="10"/>
    </row>
    <row r="3375" s="35" customFormat="1" ht="18.5" customHeight="1" spans="1:20">
      <c r="A3375" s="9"/>
      <c r="B3375" s="25"/>
      <c r="C3375" s="25"/>
      <c r="D3375" s="25"/>
      <c r="E3375" s="25"/>
      <c r="F3375" s="25"/>
      <c r="G3375" s="25"/>
      <c r="H3375" s="25"/>
      <c r="I3375" s="25"/>
      <c r="J3375" s="25"/>
      <c r="K3375" s="25"/>
      <c r="L3375" s="25"/>
      <c r="M3375" s="42" t="s">
        <v>253</v>
      </c>
      <c r="N3375" s="41">
        <v>45037</v>
      </c>
      <c r="O3375" s="25">
        <v>89</v>
      </c>
      <c r="P3375" s="25">
        <v>0</v>
      </c>
      <c r="Q3375" s="25"/>
      <c r="R3375" s="25"/>
      <c r="S3375" s="25"/>
      <c r="T3375" s="10"/>
    </row>
    <row r="3376" s="35" customFormat="1" ht="18.5" customHeight="1" spans="1:20">
      <c r="A3376" s="9"/>
      <c r="B3376" s="25"/>
      <c r="C3376" s="25"/>
      <c r="D3376" s="25"/>
      <c r="E3376" s="25"/>
      <c r="F3376" s="25"/>
      <c r="G3376" s="25"/>
      <c r="H3376" s="25"/>
      <c r="I3376" s="25"/>
      <c r="J3376" s="25"/>
      <c r="K3376" s="25"/>
      <c r="L3376" s="25"/>
      <c r="M3376" s="42" t="s">
        <v>253</v>
      </c>
      <c r="N3376" s="41">
        <v>45037</v>
      </c>
      <c r="O3376" s="25">
        <v>455</v>
      </c>
      <c r="P3376" s="25">
        <v>0</v>
      </c>
      <c r="Q3376" s="25"/>
      <c r="R3376" s="25"/>
      <c r="S3376" s="25"/>
      <c r="T3376" s="10"/>
    </row>
    <row r="3377" s="35" customFormat="1" ht="18.5" customHeight="1" spans="1:20">
      <c r="A3377" s="9"/>
      <c r="B3377" s="25"/>
      <c r="C3377" s="25"/>
      <c r="D3377" s="25"/>
      <c r="E3377" s="25"/>
      <c r="F3377" s="25"/>
      <c r="G3377" s="25"/>
      <c r="H3377" s="25"/>
      <c r="I3377" s="25"/>
      <c r="J3377" s="25"/>
      <c r="K3377" s="25"/>
      <c r="L3377" s="25"/>
      <c r="M3377" s="42" t="s">
        <v>253</v>
      </c>
      <c r="N3377" s="41">
        <v>45037</v>
      </c>
      <c r="O3377" s="25">
        <v>117</v>
      </c>
      <c r="P3377" s="25">
        <v>0</v>
      </c>
      <c r="Q3377" s="25"/>
      <c r="R3377" s="25"/>
      <c r="S3377" s="25"/>
      <c r="T3377" s="10"/>
    </row>
    <row r="3378" s="35" customFormat="1" ht="18.5" customHeight="1" spans="1:20">
      <c r="A3378" s="9"/>
      <c r="B3378" s="25"/>
      <c r="C3378" s="25"/>
      <c r="D3378" s="25"/>
      <c r="E3378" s="25"/>
      <c r="F3378" s="25"/>
      <c r="G3378" s="25"/>
      <c r="H3378" s="25"/>
      <c r="I3378" s="25"/>
      <c r="J3378" s="25"/>
      <c r="K3378" s="25"/>
      <c r="L3378" s="25"/>
      <c r="M3378" s="42" t="s">
        <v>253</v>
      </c>
      <c r="N3378" s="41">
        <v>45037</v>
      </c>
      <c r="O3378" s="25">
        <v>147</v>
      </c>
      <c r="P3378" s="25">
        <v>0</v>
      </c>
      <c r="Q3378" s="25"/>
      <c r="R3378" s="25"/>
      <c r="S3378" s="25"/>
      <c r="T3378" s="10"/>
    </row>
    <row r="3379" s="35" customFormat="1" ht="18.5" customHeight="1" spans="1:20">
      <c r="A3379" s="9"/>
      <c r="B3379" s="25"/>
      <c r="C3379" s="25"/>
      <c r="D3379" s="25"/>
      <c r="E3379" s="25"/>
      <c r="F3379" s="25"/>
      <c r="G3379" s="25"/>
      <c r="H3379" s="25"/>
      <c r="I3379" s="25"/>
      <c r="J3379" s="25"/>
      <c r="K3379" s="25"/>
      <c r="L3379" s="25"/>
      <c r="M3379" s="42" t="s">
        <v>253</v>
      </c>
      <c r="N3379" s="41">
        <v>45036</v>
      </c>
      <c r="O3379" s="25">
        <v>117</v>
      </c>
      <c r="P3379" s="25">
        <v>0</v>
      </c>
      <c r="Q3379" s="25"/>
      <c r="R3379" s="25"/>
      <c r="S3379" s="25"/>
      <c r="T3379" s="10"/>
    </row>
    <row r="3380" s="35" customFormat="1" ht="18.5" customHeight="1" spans="1:20">
      <c r="A3380" s="9"/>
      <c r="B3380" s="25"/>
      <c r="C3380" s="25"/>
      <c r="D3380" s="25"/>
      <c r="E3380" s="25"/>
      <c r="F3380" s="25"/>
      <c r="G3380" s="25"/>
      <c r="H3380" s="25"/>
      <c r="I3380" s="25"/>
      <c r="J3380" s="25"/>
      <c r="K3380" s="25"/>
      <c r="L3380" s="25"/>
      <c r="M3380" s="42" t="s">
        <v>253</v>
      </c>
      <c r="N3380" s="41">
        <v>45036</v>
      </c>
      <c r="O3380" s="25">
        <v>128</v>
      </c>
      <c r="P3380" s="25">
        <v>0</v>
      </c>
      <c r="Q3380" s="25"/>
      <c r="R3380" s="25"/>
      <c r="S3380" s="25"/>
      <c r="T3380" s="10"/>
    </row>
    <row r="3381" s="35" customFormat="1" ht="18.5" customHeight="1" spans="1:20">
      <c r="A3381" s="9"/>
      <c r="B3381" s="25"/>
      <c r="C3381" s="25"/>
      <c r="D3381" s="25"/>
      <c r="E3381" s="25"/>
      <c r="F3381" s="25"/>
      <c r="G3381" s="25"/>
      <c r="H3381" s="25"/>
      <c r="I3381" s="25"/>
      <c r="J3381" s="25"/>
      <c r="K3381" s="25"/>
      <c r="L3381" s="25"/>
      <c r="M3381" s="42" t="s">
        <v>253</v>
      </c>
      <c r="N3381" s="41">
        <v>45036</v>
      </c>
      <c r="O3381" s="25">
        <v>160</v>
      </c>
      <c r="P3381" s="25">
        <v>0</v>
      </c>
      <c r="Q3381" s="25"/>
      <c r="R3381" s="25"/>
      <c r="S3381" s="25"/>
      <c r="T3381" s="10"/>
    </row>
    <row r="3382" s="35" customFormat="1" ht="18.5" customHeight="1" spans="1:20">
      <c r="A3382" s="9"/>
      <c r="B3382" s="25"/>
      <c r="C3382" s="25"/>
      <c r="D3382" s="25"/>
      <c r="E3382" s="25"/>
      <c r="F3382" s="25"/>
      <c r="G3382" s="25"/>
      <c r="H3382" s="25"/>
      <c r="I3382" s="25"/>
      <c r="J3382" s="25"/>
      <c r="K3382" s="25"/>
      <c r="L3382" s="25"/>
      <c r="M3382" s="42" t="s">
        <v>253</v>
      </c>
      <c r="N3382" s="41">
        <v>45036</v>
      </c>
      <c r="O3382" s="25">
        <v>117</v>
      </c>
      <c r="P3382" s="25">
        <v>0</v>
      </c>
      <c r="Q3382" s="25"/>
      <c r="R3382" s="25"/>
      <c r="S3382" s="25"/>
      <c r="T3382" s="10"/>
    </row>
    <row r="3383" s="35" customFormat="1" ht="18.5" customHeight="1" spans="1:20">
      <c r="A3383" s="9"/>
      <c r="B3383" s="25"/>
      <c r="C3383" s="25"/>
      <c r="D3383" s="25"/>
      <c r="E3383" s="25"/>
      <c r="F3383" s="25"/>
      <c r="G3383" s="25"/>
      <c r="H3383" s="25"/>
      <c r="I3383" s="25"/>
      <c r="J3383" s="25"/>
      <c r="K3383" s="25"/>
      <c r="L3383" s="25"/>
      <c r="M3383" s="42" t="s">
        <v>253</v>
      </c>
      <c r="N3383" s="41">
        <v>45036</v>
      </c>
      <c r="O3383" s="25">
        <v>157</v>
      </c>
      <c r="P3383" s="25">
        <v>0</v>
      </c>
      <c r="Q3383" s="25"/>
      <c r="R3383" s="25"/>
      <c r="S3383" s="25"/>
      <c r="T3383" s="10"/>
    </row>
    <row r="3384" s="35" customFormat="1" ht="18.5" customHeight="1" spans="1:20">
      <c r="A3384" s="9"/>
      <c r="B3384" s="25"/>
      <c r="C3384" s="25"/>
      <c r="D3384" s="25"/>
      <c r="E3384" s="25"/>
      <c r="F3384" s="25"/>
      <c r="G3384" s="25"/>
      <c r="H3384" s="25"/>
      <c r="I3384" s="25"/>
      <c r="J3384" s="25"/>
      <c r="K3384" s="25"/>
      <c r="L3384" s="25"/>
      <c r="M3384" s="42" t="s">
        <v>253</v>
      </c>
      <c r="N3384" s="41">
        <v>45036</v>
      </c>
      <c r="O3384" s="25">
        <v>96</v>
      </c>
      <c r="P3384" s="25">
        <v>0</v>
      </c>
      <c r="Q3384" s="25"/>
      <c r="R3384" s="25"/>
      <c r="S3384" s="25"/>
      <c r="T3384" s="10"/>
    </row>
    <row r="3385" s="35" customFormat="1" ht="18.5" customHeight="1" spans="1:20">
      <c r="A3385" s="9"/>
      <c r="B3385" s="25"/>
      <c r="C3385" s="25"/>
      <c r="D3385" s="25"/>
      <c r="E3385" s="25"/>
      <c r="F3385" s="25"/>
      <c r="G3385" s="25"/>
      <c r="H3385" s="25"/>
      <c r="I3385" s="25"/>
      <c r="J3385" s="25"/>
      <c r="K3385" s="25"/>
      <c r="L3385" s="25"/>
      <c r="M3385" s="42" t="s">
        <v>253</v>
      </c>
      <c r="N3385" s="41">
        <v>45036</v>
      </c>
      <c r="O3385" s="25">
        <v>82</v>
      </c>
      <c r="P3385" s="25">
        <v>0</v>
      </c>
      <c r="Q3385" s="25"/>
      <c r="R3385" s="25"/>
      <c r="S3385" s="25"/>
      <c r="T3385" s="10"/>
    </row>
    <row r="3386" s="35" customFormat="1" ht="18.5" customHeight="1" spans="1:20">
      <c r="A3386" s="9"/>
      <c r="B3386" s="25"/>
      <c r="C3386" s="25"/>
      <c r="D3386" s="25"/>
      <c r="E3386" s="25"/>
      <c r="F3386" s="25"/>
      <c r="G3386" s="25"/>
      <c r="H3386" s="25"/>
      <c r="I3386" s="25"/>
      <c r="J3386" s="25"/>
      <c r="K3386" s="25"/>
      <c r="L3386" s="25"/>
      <c r="M3386" s="42" t="s">
        <v>253</v>
      </c>
      <c r="N3386" s="41">
        <v>45036</v>
      </c>
      <c r="O3386" s="25">
        <v>210</v>
      </c>
      <c r="P3386" s="25">
        <v>0</v>
      </c>
      <c r="Q3386" s="25"/>
      <c r="R3386" s="25"/>
      <c r="S3386" s="25"/>
      <c r="T3386" s="10"/>
    </row>
    <row r="3387" s="35" customFormat="1" ht="18.5" customHeight="1" spans="1:20">
      <c r="A3387" s="9"/>
      <c r="B3387" s="25"/>
      <c r="C3387" s="25"/>
      <c r="D3387" s="25"/>
      <c r="E3387" s="25"/>
      <c r="F3387" s="25"/>
      <c r="G3387" s="25"/>
      <c r="H3387" s="25"/>
      <c r="I3387" s="25"/>
      <c r="J3387" s="25"/>
      <c r="K3387" s="25"/>
      <c r="L3387" s="25"/>
      <c r="M3387" s="42" t="s">
        <v>253</v>
      </c>
      <c r="N3387" s="41">
        <v>45015</v>
      </c>
      <c r="O3387" s="25">
        <v>117</v>
      </c>
      <c r="P3387" s="25">
        <v>0</v>
      </c>
      <c r="Q3387" s="25"/>
      <c r="R3387" s="25"/>
      <c r="S3387" s="25"/>
      <c r="T3387" s="10"/>
    </row>
    <row r="3388" s="35" customFormat="1" ht="18.5" customHeight="1" spans="1:20">
      <c r="A3388" s="9"/>
      <c r="B3388" s="25"/>
      <c r="C3388" s="25"/>
      <c r="D3388" s="25"/>
      <c r="E3388" s="25"/>
      <c r="F3388" s="25"/>
      <c r="G3388" s="25"/>
      <c r="H3388" s="25"/>
      <c r="I3388" s="25"/>
      <c r="J3388" s="25"/>
      <c r="K3388" s="25"/>
      <c r="L3388" s="25"/>
      <c r="M3388" s="42" t="s">
        <v>253</v>
      </c>
      <c r="N3388" s="41">
        <v>45035</v>
      </c>
      <c r="O3388" s="25">
        <v>78</v>
      </c>
      <c r="P3388" s="25">
        <v>0</v>
      </c>
      <c r="Q3388" s="25"/>
      <c r="R3388" s="25"/>
      <c r="S3388" s="25"/>
      <c r="T3388" s="10"/>
    </row>
    <row r="3389" s="35" customFormat="1" ht="18.5" customHeight="1" spans="1:20">
      <c r="A3389" s="9"/>
      <c r="B3389" s="25"/>
      <c r="C3389" s="25"/>
      <c r="D3389" s="25"/>
      <c r="E3389" s="25"/>
      <c r="F3389" s="25"/>
      <c r="G3389" s="25"/>
      <c r="H3389" s="25"/>
      <c r="I3389" s="25"/>
      <c r="J3389" s="25"/>
      <c r="K3389" s="25"/>
      <c r="L3389" s="25"/>
      <c r="M3389" s="42" t="s">
        <v>253</v>
      </c>
      <c r="N3389" s="41">
        <v>45035</v>
      </c>
      <c r="O3389" s="25">
        <v>96</v>
      </c>
      <c r="P3389" s="25">
        <v>0</v>
      </c>
      <c r="Q3389" s="25"/>
      <c r="R3389" s="25"/>
      <c r="S3389" s="25"/>
      <c r="T3389" s="10"/>
    </row>
    <row r="3390" s="35" customFormat="1" ht="18.5" customHeight="1" spans="1:20">
      <c r="A3390" s="9"/>
      <c r="B3390" s="25"/>
      <c r="C3390" s="25"/>
      <c r="D3390" s="25"/>
      <c r="E3390" s="25"/>
      <c r="F3390" s="25"/>
      <c r="G3390" s="25"/>
      <c r="H3390" s="25"/>
      <c r="I3390" s="25"/>
      <c r="J3390" s="25"/>
      <c r="K3390" s="25"/>
      <c r="L3390" s="25"/>
      <c r="M3390" s="42" t="s">
        <v>253</v>
      </c>
      <c r="N3390" s="41">
        <v>45034</v>
      </c>
      <c r="O3390" s="25">
        <v>146</v>
      </c>
      <c r="P3390" s="25">
        <v>0</v>
      </c>
      <c r="Q3390" s="25"/>
      <c r="R3390" s="25"/>
      <c r="S3390" s="25"/>
      <c r="T3390" s="10"/>
    </row>
    <row r="3391" s="35" customFormat="1" ht="18.5" customHeight="1" spans="1:20">
      <c r="A3391" s="9"/>
      <c r="B3391" s="25"/>
      <c r="C3391" s="25"/>
      <c r="D3391" s="25"/>
      <c r="E3391" s="25"/>
      <c r="F3391" s="25"/>
      <c r="G3391" s="25"/>
      <c r="H3391" s="25"/>
      <c r="I3391" s="25"/>
      <c r="J3391" s="25"/>
      <c r="K3391" s="25"/>
      <c r="L3391" s="25"/>
      <c r="M3391" s="42" t="s">
        <v>253</v>
      </c>
      <c r="N3391" s="41">
        <v>45034</v>
      </c>
      <c r="O3391" s="25">
        <v>89</v>
      </c>
      <c r="P3391" s="25">
        <v>0</v>
      </c>
      <c r="Q3391" s="25"/>
      <c r="R3391" s="25"/>
      <c r="S3391" s="25"/>
      <c r="T3391" s="10"/>
    </row>
    <row r="3392" s="35" customFormat="1" ht="18.5" customHeight="1" spans="1:20">
      <c r="A3392" s="9"/>
      <c r="B3392" s="25"/>
      <c r="C3392" s="25"/>
      <c r="D3392" s="25"/>
      <c r="E3392" s="25"/>
      <c r="F3392" s="25"/>
      <c r="G3392" s="25"/>
      <c r="H3392" s="25"/>
      <c r="I3392" s="25"/>
      <c r="J3392" s="25"/>
      <c r="K3392" s="25"/>
      <c r="L3392" s="25"/>
      <c r="M3392" s="42" t="s">
        <v>253</v>
      </c>
      <c r="N3392" s="41">
        <v>45034</v>
      </c>
      <c r="O3392" s="25">
        <v>371</v>
      </c>
      <c r="P3392" s="25">
        <v>0</v>
      </c>
      <c r="Q3392" s="25"/>
      <c r="R3392" s="25"/>
      <c r="S3392" s="25"/>
      <c r="T3392" s="10"/>
    </row>
    <row r="3393" s="35" customFormat="1" ht="18.5" customHeight="1" spans="1:20">
      <c r="A3393" s="9"/>
      <c r="B3393" s="25"/>
      <c r="C3393" s="25"/>
      <c r="D3393" s="25"/>
      <c r="E3393" s="25"/>
      <c r="F3393" s="25"/>
      <c r="G3393" s="25"/>
      <c r="H3393" s="25"/>
      <c r="I3393" s="25"/>
      <c r="J3393" s="25"/>
      <c r="K3393" s="25"/>
      <c r="L3393" s="25"/>
      <c r="M3393" s="42" t="s">
        <v>253</v>
      </c>
      <c r="N3393" s="41">
        <v>45034</v>
      </c>
      <c r="O3393" s="25">
        <v>235</v>
      </c>
      <c r="P3393" s="25">
        <v>0</v>
      </c>
      <c r="Q3393" s="25"/>
      <c r="R3393" s="25"/>
      <c r="S3393" s="25"/>
      <c r="T3393" s="10"/>
    </row>
    <row r="3394" s="35" customFormat="1" ht="18.5" customHeight="1" spans="1:20">
      <c r="A3394" s="9"/>
      <c r="B3394" s="25"/>
      <c r="C3394" s="25"/>
      <c r="D3394" s="25"/>
      <c r="E3394" s="25"/>
      <c r="F3394" s="25"/>
      <c r="G3394" s="25"/>
      <c r="H3394" s="25"/>
      <c r="I3394" s="25"/>
      <c r="J3394" s="25"/>
      <c r="K3394" s="25"/>
      <c r="L3394" s="25"/>
      <c r="M3394" s="42" t="s">
        <v>253</v>
      </c>
      <c r="N3394" s="41">
        <v>45034</v>
      </c>
      <c r="O3394" s="25">
        <v>316</v>
      </c>
      <c r="P3394" s="25">
        <v>0</v>
      </c>
      <c r="Q3394" s="25"/>
      <c r="R3394" s="25"/>
      <c r="S3394" s="25"/>
      <c r="T3394" s="10"/>
    </row>
    <row r="3395" s="35" customFormat="1" ht="18.5" customHeight="1" spans="1:20">
      <c r="A3395" s="9"/>
      <c r="B3395" s="25"/>
      <c r="C3395" s="25"/>
      <c r="D3395" s="25"/>
      <c r="E3395" s="25"/>
      <c r="F3395" s="25"/>
      <c r="G3395" s="25"/>
      <c r="H3395" s="25"/>
      <c r="I3395" s="25"/>
      <c r="J3395" s="25"/>
      <c r="K3395" s="25"/>
      <c r="L3395" s="25"/>
      <c r="M3395" s="42" t="s">
        <v>253</v>
      </c>
      <c r="N3395" s="41">
        <v>45034</v>
      </c>
      <c r="O3395" s="25">
        <v>95</v>
      </c>
      <c r="P3395" s="25">
        <v>0</v>
      </c>
      <c r="Q3395" s="25"/>
      <c r="R3395" s="25"/>
      <c r="S3395" s="25"/>
      <c r="T3395" s="10"/>
    </row>
    <row r="3396" s="35" customFormat="1" ht="18.5" customHeight="1" spans="1:20">
      <c r="A3396" s="9"/>
      <c r="B3396" s="25"/>
      <c r="C3396" s="25"/>
      <c r="D3396" s="25"/>
      <c r="E3396" s="25"/>
      <c r="F3396" s="25"/>
      <c r="G3396" s="25"/>
      <c r="H3396" s="25"/>
      <c r="I3396" s="25"/>
      <c r="J3396" s="25"/>
      <c r="K3396" s="25"/>
      <c r="L3396" s="25"/>
      <c r="M3396" s="42" t="s">
        <v>253</v>
      </c>
      <c r="N3396" s="41">
        <v>45034</v>
      </c>
      <c r="O3396" s="25">
        <v>139</v>
      </c>
      <c r="P3396" s="25">
        <v>0</v>
      </c>
      <c r="Q3396" s="25"/>
      <c r="R3396" s="25"/>
      <c r="S3396" s="25"/>
      <c r="T3396" s="10"/>
    </row>
    <row r="3397" s="35" customFormat="1" ht="18.5" customHeight="1" spans="1:20">
      <c r="A3397" s="9"/>
      <c r="B3397" s="25"/>
      <c r="C3397" s="25"/>
      <c r="D3397" s="25"/>
      <c r="E3397" s="25"/>
      <c r="F3397" s="25"/>
      <c r="G3397" s="25"/>
      <c r="H3397" s="25"/>
      <c r="I3397" s="25"/>
      <c r="J3397" s="25"/>
      <c r="K3397" s="25"/>
      <c r="L3397" s="25"/>
      <c r="M3397" s="42" t="s">
        <v>253</v>
      </c>
      <c r="N3397" s="41">
        <v>45034</v>
      </c>
      <c r="O3397" s="25">
        <v>137</v>
      </c>
      <c r="P3397" s="25">
        <v>0</v>
      </c>
      <c r="Q3397" s="25"/>
      <c r="R3397" s="25"/>
      <c r="S3397" s="25"/>
      <c r="T3397" s="10"/>
    </row>
    <row r="3398" s="35" customFormat="1" ht="18.5" customHeight="1" spans="1:20">
      <c r="A3398" s="9"/>
      <c r="B3398" s="25"/>
      <c r="C3398" s="25"/>
      <c r="D3398" s="25"/>
      <c r="E3398" s="25"/>
      <c r="F3398" s="25"/>
      <c r="G3398" s="25"/>
      <c r="H3398" s="25"/>
      <c r="I3398" s="25"/>
      <c r="J3398" s="25"/>
      <c r="K3398" s="25"/>
      <c r="L3398" s="25"/>
      <c r="M3398" s="42" t="s">
        <v>253</v>
      </c>
      <c r="N3398" s="41">
        <v>45034</v>
      </c>
      <c r="O3398" s="25">
        <v>187</v>
      </c>
      <c r="P3398" s="25">
        <v>0</v>
      </c>
      <c r="Q3398" s="25"/>
      <c r="R3398" s="25"/>
      <c r="S3398" s="25"/>
      <c r="T3398" s="10"/>
    </row>
    <row r="3399" s="35" customFormat="1" ht="18.5" customHeight="1" spans="1:20">
      <c r="A3399" s="9"/>
      <c r="B3399" s="25"/>
      <c r="C3399" s="25"/>
      <c r="D3399" s="25"/>
      <c r="E3399" s="25"/>
      <c r="F3399" s="25"/>
      <c r="G3399" s="25"/>
      <c r="H3399" s="25"/>
      <c r="I3399" s="25"/>
      <c r="J3399" s="25"/>
      <c r="K3399" s="25"/>
      <c r="L3399" s="25"/>
      <c r="M3399" s="42" t="s">
        <v>253</v>
      </c>
      <c r="N3399" s="41">
        <v>45034</v>
      </c>
      <c r="O3399" s="25">
        <v>92</v>
      </c>
      <c r="P3399" s="25">
        <v>0</v>
      </c>
      <c r="Q3399" s="25"/>
      <c r="R3399" s="25"/>
      <c r="S3399" s="25"/>
      <c r="T3399" s="10"/>
    </row>
    <row r="3400" s="35" customFormat="1" ht="18.5" customHeight="1" spans="1:20">
      <c r="A3400" s="9"/>
      <c r="B3400" s="25"/>
      <c r="C3400" s="25"/>
      <c r="D3400" s="25"/>
      <c r="E3400" s="25"/>
      <c r="F3400" s="25"/>
      <c r="G3400" s="25"/>
      <c r="H3400" s="25"/>
      <c r="I3400" s="25"/>
      <c r="J3400" s="25"/>
      <c r="K3400" s="25"/>
      <c r="L3400" s="25"/>
      <c r="M3400" s="42" t="s">
        <v>253</v>
      </c>
      <c r="N3400" s="41">
        <v>45034</v>
      </c>
      <c r="O3400" s="25">
        <v>152</v>
      </c>
      <c r="P3400" s="25">
        <v>0</v>
      </c>
      <c r="Q3400" s="25"/>
      <c r="R3400" s="25"/>
      <c r="S3400" s="25"/>
      <c r="T3400" s="10"/>
    </row>
    <row r="3401" s="35" customFormat="1" ht="18.5" customHeight="1" spans="1:20">
      <c r="A3401" s="9"/>
      <c r="B3401" s="25"/>
      <c r="C3401" s="25"/>
      <c r="D3401" s="25"/>
      <c r="E3401" s="25"/>
      <c r="F3401" s="25"/>
      <c r="G3401" s="25"/>
      <c r="H3401" s="25"/>
      <c r="I3401" s="25"/>
      <c r="J3401" s="25"/>
      <c r="K3401" s="25"/>
      <c r="L3401" s="25"/>
      <c r="M3401" s="42" t="s">
        <v>253</v>
      </c>
      <c r="N3401" s="41">
        <v>45033</v>
      </c>
      <c r="O3401" s="25">
        <v>79</v>
      </c>
      <c r="P3401" s="25">
        <v>0</v>
      </c>
      <c r="Q3401" s="25"/>
      <c r="R3401" s="25"/>
      <c r="S3401" s="25"/>
      <c r="T3401" s="10"/>
    </row>
    <row r="3402" s="35" customFormat="1" ht="18.5" customHeight="1" spans="1:20">
      <c r="A3402" s="9"/>
      <c r="B3402" s="25"/>
      <c r="C3402" s="25"/>
      <c r="D3402" s="25"/>
      <c r="E3402" s="25"/>
      <c r="F3402" s="25"/>
      <c r="G3402" s="25"/>
      <c r="H3402" s="25"/>
      <c r="I3402" s="25"/>
      <c r="J3402" s="25"/>
      <c r="K3402" s="25"/>
      <c r="L3402" s="25"/>
      <c r="M3402" s="42" t="s">
        <v>253</v>
      </c>
      <c r="N3402" s="41">
        <v>45029</v>
      </c>
      <c r="O3402" s="25">
        <v>240</v>
      </c>
      <c r="P3402" s="25">
        <v>0</v>
      </c>
      <c r="Q3402" s="25"/>
      <c r="R3402" s="25"/>
      <c r="S3402" s="25"/>
      <c r="T3402" s="10"/>
    </row>
    <row r="3403" s="35" customFormat="1" ht="18.5" customHeight="1" spans="1:20">
      <c r="A3403" s="9"/>
      <c r="B3403" s="25"/>
      <c r="C3403" s="25"/>
      <c r="D3403" s="25"/>
      <c r="E3403" s="25"/>
      <c r="F3403" s="25"/>
      <c r="G3403" s="25"/>
      <c r="H3403" s="25"/>
      <c r="I3403" s="25"/>
      <c r="J3403" s="25"/>
      <c r="K3403" s="25"/>
      <c r="L3403" s="25"/>
      <c r="M3403" s="42" t="s">
        <v>253</v>
      </c>
      <c r="N3403" s="41">
        <v>45033</v>
      </c>
      <c r="O3403" s="25">
        <v>87</v>
      </c>
      <c r="P3403" s="25">
        <v>0</v>
      </c>
      <c r="Q3403" s="25"/>
      <c r="R3403" s="25"/>
      <c r="S3403" s="25"/>
      <c r="T3403" s="10"/>
    </row>
    <row r="3404" s="35" customFormat="1" ht="18.5" customHeight="1" spans="1:20">
      <c r="A3404" s="9"/>
      <c r="B3404" s="25"/>
      <c r="C3404" s="25"/>
      <c r="D3404" s="25"/>
      <c r="E3404" s="25"/>
      <c r="F3404" s="25"/>
      <c r="G3404" s="25"/>
      <c r="H3404" s="25"/>
      <c r="I3404" s="25"/>
      <c r="J3404" s="25"/>
      <c r="K3404" s="25"/>
      <c r="L3404" s="25"/>
      <c r="M3404" s="42" t="s">
        <v>253</v>
      </c>
      <c r="N3404" s="41">
        <v>45033</v>
      </c>
      <c r="O3404" s="25">
        <v>165</v>
      </c>
      <c r="P3404" s="25">
        <v>0</v>
      </c>
      <c r="Q3404" s="25"/>
      <c r="R3404" s="25"/>
      <c r="S3404" s="25"/>
      <c r="T3404" s="10"/>
    </row>
    <row r="3405" s="35" customFormat="1" ht="18.5" customHeight="1" spans="1:20">
      <c r="A3405" s="9"/>
      <c r="B3405" s="25"/>
      <c r="C3405" s="25"/>
      <c r="D3405" s="25"/>
      <c r="E3405" s="25"/>
      <c r="F3405" s="25"/>
      <c r="G3405" s="25"/>
      <c r="H3405" s="25"/>
      <c r="I3405" s="25"/>
      <c r="J3405" s="25"/>
      <c r="K3405" s="25"/>
      <c r="L3405" s="25"/>
      <c r="M3405" s="42" t="s">
        <v>253</v>
      </c>
      <c r="N3405" s="41">
        <v>45033</v>
      </c>
      <c r="O3405" s="25">
        <v>115</v>
      </c>
      <c r="P3405" s="25">
        <v>0</v>
      </c>
      <c r="Q3405" s="25"/>
      <c r="R3405" s="25"/>
      <c r="S3405" s="25"/>
      <c r="T3405" s="10"/>
    </row>
    <row r="3406" s="35" customFormat="1" ht="18.5" customHeight="1" spans="1:20">
      <c r="A3406" s="9"/>
      <c r="B3406" s="25"/>
      <c r="C3406" s="25"/>
      <c r="D3406" s="25"/>
      <c r="E3406" s="25"/>
      <c r="F3406" s="25"/>
      <c r="G3406" s="25"/>
      <c r="H3406" s="25"/>
      <c r="I3406" s="25"/>
      <c r="J3406" s="25"/>
      <c r="K3406" s="25"/>
      <c r="L3406" s="25"/>
      <c r="M3406" s="42" t="s">
        <v>253</v>
      </c>
      <c r="N3406" s="41">
        <v>45033</v>
      </c>
      <c r="O3406" s="25">
        <v>124</v>
      </c>
      <c r="P3406" s="25">
        <v>0</v>
      </c>
      <c r="Q3406" s="25"/>
      <c r="R3406" s="25"/>
      <c r="S3406" s="25"/>
      <c r="T3406" s="10"/>
    </row>
    <row r="3407" s="35" customFormat="1" ht="18.5" customHeight="1" spans="1:20">
      <c r="A3407" s="9"/>
      <c r="B3407" s="25"/>
      <c r="C3407" s="25"/>
      <c r="D3407" s="25"/>
      <c r="E3407" s="25"/>
      <c r="F3407" s="25"/>
      <c r="G3407" s="25"/>
      <c r="H3407" s="25"/>
      <c r="I3407" s="25"/>
      <c r="J3407" s="25"/>
      <c r="K3407" s="25"/>
      <c r="L3407" s="25"/>
      <c r="M3407" s="42" t="s">
        <v>253</v>
      </c>
      <c r="N3407" s="41">
        <v>45032</v>
      </c>
      <c r="O3407" s="25">
        <v>161</v>
      </c>
      <c r="P3407" s="25">
        <v>0</v>
      </c>
      <c r="Q3407" s="25"/>
      <c r="R3407" s="25"/>
      <c r="S3407" s="25"/>
      <c r="T3407" s="10"/>
    </row>
    <row r="3408" s="35" customFormat="1" ht="18.5" customHeight="1" spans="1:20">
      <c r="A3408" s="9"/>
      <c r="B3408" s="25"/>
      <c r="C3408" s="25"/>
      <c r="D3408" s="25"/>
      <c r="E3408" s="25"/>
      <c r="F3408" s="25"/>
      <c r="G3408" s="25"/>
      <c r="H3408" s="25"/>
      <c r="I3408" s="25"/>
      <c r="J3408" s="25"/>
      <c r="K3408" s="25"/>
      <c r="L3408" s="25"/>
      <c r="M3408" s="42" t="s">
        <v>253</v>
      </c>
      <c r="N3408" s="41">
        <v>45032</v>
      </c>
      <c r="O3408" s="25">
        <v>93</v>
      </c>
      <c r="P3408" s="25">
        <v>0</v>
      </c>
      <c r="Q3408" s="25"/>
      <c r="R3408" s="25"/>
      <c r="S3408" s="25"/>
      <c r="T3408" s="10"/>
    </row>
    <row r="3409" s="35" customFormat="1" ht="18.5" customHeight="1" spans="1:20">
      <c r="A3409" s="9"/>
      <c r="B3409" s="25"/>
      <c r="C3409" s="25"/>
      <c r="D3409" s="25"/>
      <c r="E3409" s="25"/>
      <c r="F3409" s="25"/>
      <c r="G3409" s="25"/>
      <c r="H3409" s="25"/>
      <c r="I3409" s="25"/>
      <c r="J3409" s="25"/>
      <c r="K3409" s="25"/>
      <c r="L3409" s="25"/>
      <c r="M3409" s="42" t="s">
        <v>253</v>
      </c>
      <c r="N3409" s="41">
        <v>45032</v>
      </c>
      <c r="O3409" s="25">
        <v>227</v>
      </c>
      <c r="P3409" s="25">
        <v>0</v>
      </c>
      <c r="Q3409" s="25"/>
      <c r="R3409" s="25"/>
      <c r="S3409" s="25"/>
      <c r="T3409" s="10"/>
    </row>
    <row r="3410" s="35" customFormat="1" ht="18.5" customHeight="1" spans="1:20">
      <c r="A3410" s="9"/>
      <c r="B3410" s="25"/>
      <c r="C3410" s="25"/>
      <c r="D3410" s="25"/>
      <c r="E3410" s="25"/>
      <c r="F3410" s="25"/>
      <c r="G3410" s="25"/>
      <c r="H3410" s="25"/>
      <c r="I3410" s="25"/>
      <c r="J3410" s="25"/>
      <c r="K3410" s="25"/>
      <c r="L3410" s="25"/>
      <c r="M3410" s="42" t="s">
        <v>253</v>
      </c>
      <c r="N3410" s="41">
        <v>45032</v>
      </c>
      <c r="O3410" s="25">
        <v>141</v>
      </c>
      <c r="P3410" s="25">
        <v>0</v>
      </c>
      <c r="Q3410" s="25"/>
      <c r="R3410" s="25"/>
      <c r="S3410" s="25"/>
      <c r="T3410" s="10"/>
    </row>
    <row r="3411" s="35" customFormat="1" ht="18.5" customHeight="1" spans="1:20">
      <c r="A3411" s="9"/>
      <c r="B3411" s="25"/>
      <c r="C3411" s="25"/>
      <c r="D3411" s="25"/>
      <c r="E3411" s="25"/>
      <c r="F3411" s="25"/>
      <c r="G3411" s="25"/>
      <c r="H3411" s="25"/>
      <c r="I3411" s="25"/>
      <c r="J3411" s="25"/>
      <c r="K3411" s="25"/>
      <c r="L3411" s="25"/>
      <c r="M3411" s="42" t="s">
        <v>253</v>
      </c>
      <c r="N3411" s="41">
        <v>45031</v>
      </c>
      <c r="O3411" s="25">
        <v>272</v>
      </c>
      <c r="P3411" s="25">
        <v>0</v>
      </c>
      <c r="Q3411" s="25"/>
      <c r="R3411" s="25"/>
      <c r="S3411" s="25"/>
      <c r="T3411" s="10"/>
    </row>
    <row r="3412" s="35" customFormat="1" ht="18.5" customHeight="1" spans="1:20">
      <c r="A3412" s="9"/>
      <c r="B3412" s="25"/>
      <c r="C3412" s="25"/>
      <c r="D3412" s="25"/>
      <c r="E3412" s="25"/>
      <c r="F3412" s="25"/>
      <c r="G3412" s="25"/>
      <c r="H3412" s="25"/>
      <c r="I3412" s="25"/>
      <c r="J3412" s="25"/>
      <c r="K3412" s="25"/>
      <c r="L3412" s="25"/>
      <c r="M3412" s="42" t="s">
        <v>253</v>
      </c>
      <c r="N3412" s="41">
        <v>45031</v>
      </c>
      <c r="O3412" s="25">
        <v>595</v>
      </c>
      <c r="P3412" s="25">
        <v>0</v>
      </c>
      <c r="Q3412" s="25"/>
      <c r="R3412" s="25"/>
      <c r="S3412" s="25"/>
      <c r="T3412" s="10"/>
    </row>
    <row r="3413" s="35" customFormat="1" ht="18.5" customHeight="1" spans="1:20">
      <c r="A3413" s="9"/>
      <c r="B3413" s="25"/>
      <c r="C3413" s="25"/>
      <c r="D3413" s="25"/>
      <c r="E3413" s="25"/>
      <c r="F3413" s="25"/>
      <c r="G3413" s="25"/>
      <c r="H3413" s="25"/>
      <c r="I3413" s="25"/>
      <c r="J3413" s="25"/>
      <c r="K3413" s="25"/>
      <c r="L3413" s="25"/>
      <c r="M3413" s="42" t="s">
        <v>253</v>
      </c>
      <c r="N3413" s="41">
        <v>45031</v>
      </c>
      <c r="O3413" s="25">
        <v>357</v>
      </c>
      <c r="P3413" s="25">
        <v>0</v>
      </c>
      <c r="Q3413" s="25"/>
      <c r="R3413" s="25"/>
      <c r="S3413" s="25"/>
      <c r="T3413" s="10"/>
    </row>
    <row r="3414" s="35" customFormat="1" ht="18.5" customHeight="1" spans="1:20">
      <c r="A3414" s="9"/>
      <c r="B3414" s="25"/>
      <c r="C3414" s="25"/>
      <c r="D3414" s="25"/>
      <c r="E3414" s="25"/>
      <c r="F3414" s="25"/>
      <c r="G3414" s="25"/>
      <c r="H3414" s="25"/>
      <c r="I3414" s="25"/>
      <c r="J3414" s="25"/>
      <c r="K3414" s="25"/>
      <c r="L3414" s="25"/>
      <c r="M3414" s="42" t="s">
        <v>253</v>
      </c>
      <c r="N3414" s="41">
        <v>45031</v>
      </c>
      <c r="O3414" s="25">
        <v>141</v>
      </c>
      <c r="P3414" s="25">
        <v>0</v>
      </c>
      <c r="Q3414" s="25"/>
      <c r="R3414" s="25"/>
      <c r="S3414" s="25"/>
      <c r="T3414" s="10"/>
    </row>
    <row r="3415" s="35" customFormat="1" ht="18.5" customHeight="1" spans="1:20">
      <c r="A3415" s="9"/>
      <c r="B3415" s="25"/>
      <c r="C3415" s="25"/>
      <c r="D3415" s="25"/>
      <c r="E3415" s="25"/>
      <c r="F3415" s="25"/>
      <c r="G3415" s="25"/>
      <c r="H3415" s="25"/>
      <c r="I3415" s="25"/>
      <c r="J3415" s="25"/>
      <c r="K3415" s="25"/>
      <c r="L3415" s="25"/>
      <c r="M3415" s="42" t="s">
        <v>253</v>
      </c>
      <c r="N3415" s="41">
        <v>45031</v>
      </c>
      <c r="O3415" s="25">
        <v>148</v>
      </c>
      <c r="P3415" s="25">
        <v>0</v>
      </c>
      <c r="Q3415" s="25"/>
      <c r="R3415" s="25"/>
      <c r="S3415" s="25"/>
      <c r="T3415" s="10"/>
    </row>
    <row r="3416" s="35" customFormat="1" ht="18.5" customHeight="1" spans="1:20">
      <c r="A3416" s="9"/>
      <c r="B3416" s="25"/>
      <c r="C3416" s="25"/>
      <c r="D3416" s="25"/>
      <c r="E3416" s="25"/>
      <c r="F3416" s="25"/>
      <c r="G3416" s="25"/>
      <c r="H3416" s="25"/>
      <c r="I3416" s="25"/>
      <c r="J3416" s="25"/>
      <c r="K3416" s="25"/>
      <c r="L3416" s="25"/>
      <c r="M3416" s="42" t="s">
        <v>253</v>
      </c>
      <c r="N3416" s="41">
        <v>45030</v>
      </c>
      <c r="O3416" s="25">
        <v>112</v>
      </c>
      <c r="P3416" s="25">
        <v>0</v>
      </c>
      <c r="Q3416" s="25"/>
      <c r="R3416" s="25"/>
      <c r="S3416" s="25"/>
      <c r="T3416" s="10"/>
    </row>
    <row r="3417" s="35" customFormat="1" ht="18.5" customHeight="1" spans="1:20">
      <c r="A3417" s="9"/>
      <c r="B3417" s="25"/>
      <c r="C3417" s="25"/>
      <c r="D3417" s="25"/>
      <c r="E3417" s="25"/>
      <c r="F3417" s="25"/>
      <c r="G3417" s="25"/>
      <c r="H3417" s="25"/>
      <c r="I3417" s="25"/>
      <c r="J3417" s="25"/>
      <c r="K3417" s="25"/>
      <c r="L3417" s="25"/>
      <c r="M3417" s="42" t="s">
        <v>253</v>
      </c>
      <c r="N3417" s="41">
        <v>45030</v>
      </c>
      <c r="O3417" s="25">
        <v>102</v>
      </c>
      <c r="P3417" s="25">
        <v>0</v>
      </c>
      <c r="Q3417" s="25"/>
      <c r="R3417" s="25"/>
      <c r="S3417" s="25"/>
      <c r="T3417" s="10"/>
    </row>
    <row r="3418" s="35" customFormat="1" ht="18.5" customHeight="1" spans="1:20">
      <c r="A3418" s="9"/>
      <c r="B3418" s="25"/>
      <c r="C3418" s="25"/>
      <c r="D3418" s="25"/>
      <c r="E3418" s="25"/>
      <c r="F3418" s="25"/>
      <c r="G3418" s="25"/>
      <c r="H3418" s="25"/>
      <c r="I3418" s="25"/>
      <c r="J3418" s="25"/>
      <c r="K3418" s="25"/>
      <c r="L3418" s="25"/>
      <c r="M3418" s="42" t="s">
        <v>253</v>
      </c>
      <c r="N3418" s="41">
        <v>45030</v>
      </c>
      <c r="O3418" s="25">
        <v>117</v>
      </c>
      <c r="P3418" s="25">
        <v>0</v>
      </c>
      <c r="Q3418" s="25"/>
      <c r="R3418" s="25"/>
      <c r="S3418" s="25"/>
      <c r="T3418" s="10"/>
    </row>
    <row r="3419" s="35" customFormat="1" ht="18.5" customHeight="1" spans="1:20">
      <c r="A3419" s="9"/>
      <c r="B3419" s="25"/>
      <c r="C3419" s="25"/>
      <c r="D3419" s="25"/>
      <c r="E3419" s="25"/>
      <c r="F3419" s="25"/>
      <c r="G3419" s="25"/>
      <c r="H3419" s="25"/>
      <c r="I3419" s="25"/>
      <c r="J3419" s="25"/>
      <c r="K3419" s="25"/>
      <c r="L3419" s="25"/>
      <c r="M3419" s="42" t="s">
        <v>253</v>
      </c>
      <c r="N3419" s="41">
        <v>45030</v>
      </c>
      <c r="O3419" s="25">
        <v>107</v>
      </c>
      <c r="P3419" s="25">
        <v>0</v>
      </c>
      <c r="Q3419" s="25"/>
      <c r="R3419" s="25"/>
      <c r="S3419" s="25"/>
      <c r="T3419" s="10"/>
    </row>
    <row r="3420" s="35" customFormat="1" ht="18.5" customHeight="1" spans="1:20">
      <c r="A3420" s="9"/>
      <c r="B3420" s="25"/>
      <c r="C3420" s="25"/>
      <c r="D3420" s="25"/>
      <c r="E3420" s="25"/>
      <c r="F3420" s="25"/>
      <c r="G3420" s="25"/>
      <c r="H3420" s="25"/>
      <c r="I3420" s="25"/>
      <c r="J3420" s="25"/>
      <c r="K3420" s="25"/>
      <c r="L3420" s="25"/>
      <c r="M3420" s="42" t="s">
        <v>253</v>
      </c>
      <c r="N3420" s="41">
        <v>45030</v>
      </c>
      <c r="O3420" s="25">
        <v>148</v>
      </c>
      <c r="P3420" s="25">
        <v>0</v>
      </c>
      <c r="Q3420" s="25"/>
      <c r="R3420" s="25"/>
      <c r="S3420" s="25"/>
      <c r="T3420" s="10"/>
    </row>
    <row r="3421" s="35" customFormat="1" ht="18.5" customHeight="1" spans="1:20">
      <c r="A3421" s="9"/>
      <c r="B3421" s="25"/>
      <c r="C3421" s="25"/>
      <c r="D3421" s="25"/>
      <c r="E3421" s="25"/>
      <c r="F3421" s="25"/>
      <c r="G3421" s="25"/>
      <c r="H3421" s="25"/>
      <c r="I3421" s="25"/>
      <c r="J3421" s="25"/>
      <c r="K3421" s="25"/>
      <c r="L3421" s="25"/>
      <c r="M3421" s="42" t="s">
        <v>253</v>
      </c>
      <c r="N3421" s="41">
        <v>45030</v>
      </c>
      <c r="O3421" s="25">
        <v>200</v>
      </c>
      <c r="P3421" s="25">
        <v>0</v>
      </c>
      <c r="Q3421" s="25"/>
      <c r="R3421" s="25"/>
      <c r="S3421" s="25"/>
      <c r="T3421" s="10"/>
    </row>
    <row r="3422" s="35" customFormat="1" ht="18.5" customHeight="1" spans="1:20">
      <c r="A3422" s="9"/>
      <c r="B3422" s="25"/>
      <c r="C3422" s="25"/>
      <c r="D3422" s="25"/>
      <c r="E3422" s="25"/>
      <c r="F3422" s="25"/>
      <c r="G3422" s="25"/>
      <c r="H3422" s="25"/>
      <c r="I3422" s="25"/>
      <c r="J3422" s="25"/>
      <c r="K3422" s="25"/>
      <c r="L3422" s="25"/>
      <c r="M3422" s="42" t="s">
        <v>253</v>
      </c>
      <c r="N3422" s="41">
        <v>45030</v>
      </c>
      <c r="O3422" s="25">
        <v>149</v>
      </c>
      <c r="P3422" s="25">
        <v>0</v>
      </c>
      <c r="Q3422" s="25"/>
      <c r="R3422" s="25"/>
      <c r="S3422" s="25"/>
      <c r="T3422" s="10"/>
    </row>
    <row r="3423" s="35" customFormat="1" ht="18.5" customHeight="1" spans="1:20">
      <c r="A3423" s="9"/>
      <c r="B3423" s="25"/>
      <c r="C3423" s="25"/>
      <c r="D3423" s="25"/>
      <c r="E3423" s="25"/>
      <c r="F3423" s="25"/>
      <c r="G3423" s="25"/>
      <c r="H3423" s="25"/>
      <c r="I3423" s="25"/>
      <c r="J3423" s="25"/>
      <c r="K3423" s="25"/>
      <c r="L3423" s="25"/>
      <c r="M3423" s="42" t="s">
        <v>253</v>
      </c>
      <c r="N3423" s="41">
        <v>45030</v>
      </c>
      <c r="O3423" s="25">
        <v>100</v>
      </c>
      <c r="P3423" s="25">
        <v>0</v>
      </c>
      <c r="Q3423" s="25"/>
      <c r="R3423" s="25"/>
      <c r="S3423" s="25"/>
      <c r="T3423" s="10"/>
    </row>
    <row r="3424" s="35" customFormat="1" ht="18.5" customHeight="1" spans="1:20">
      <c r="A3424" s="9"/>
      <c r="B3424" s="25"/>
      <c r="C3424" s="25"/>
      <c r="D3424" s="25"/>
      <c r="E3424" s="25"/>
      <c r="F3424" s="25"/>
      <c r="G3424" s="25"/>
      <c r="H3424" s="25"/>
      <c r="I3424" s="25"/>
      <c r="J3424" s="25"/>
      <c r="K3424" s="25"/>
      <c r="L3424" s="25"/>
      <c r="M3424" s="42" t="s">
        <v>253</v>
      </c>
      <c r="N3424" s="41">
        <v>45030</v>
      </c>
      <c r="O3424" s="25">
        <v>180</v>
      </c>
      <c r="P3424" s="25">
        <v>0</v>
      </c>
      <c r="Q3424" s="25"/>
      <c r="R3424" s="25"/>
      <c r="S3424" s="25"/>
      <c r="T3424" s="10"/>
    </row>
    <row r="3425" s="35" customFormat="1" ht="18.5" customHeight="1" spans="1:20">
      <c r="A3425" s="9"/>
      <c r="B3425" s="25"/>
      <c r="C3425" s="25"/>
      <c r="D3425" s="25"/>
      <c r="E3425" s="25"/>
      <c r="F3425" s="25"/>
      <c r="G3425" s="25"/>
      <c r="H3425" s="25"/>
      <c r="I3425" s="25"/>
      <c r="J3425" s="25"/>
      <c r="K3425" s="25"/>
      <c r="L3425" s="25"/>
      <c r="M3425" s="42" t="s">
        <v>253</v>
      </c>
      <c r="N3425" s="41">
        <v>45029</v>
      </c>
      <c r="O3425" s="25">
        <v>173</v>
      </c>
      <c r="P3425" s="25">
        <v>0</v>
      </c>
      <c r="Q3425" s="25"/>
      <c r="R3425" s="25"/>
      <c r="S3425" s="25"/>
      <c r="T3425" s="10"/>
    </row>
    <row r="3426" s="35" customFormat="1" ht="18.5" customHeight="1" spans="1:20">
      <c r="A3426" s="9"/>
      <c r="B3426" s="25"/>
      <c r="C3426" s="25"/>
      <c r="D3426" s="25"/>
      <c r="E3426" s="25"/>
      <c r="F3426" s="25"/>
      <c r="G3426" s="25"/>
      <c r="H3426" s="25"/>
      <c r="I3426" s="25"/>
      <c r="J3426" s="25"/>
      <c r="K3426" s="25"/>
      <c r="L3426" s="25"/>
      <c r="M3426" s="42" t="s">
        <v>253</v>
      </c>
      <c r="N3426" s="41">
        <v>45029</v>
      </c>
      <c r="O3426" s="25">
        <v>393</v>
      </c>
      <c r="P3426" s="25">
        <v>0</v>
      </c>
      <c r="Q3426" s="25"/>
      <c r="R3426" s="25"/>
      <c r="S3426" s="25"/>
      <c r="T3426" s="10"/>
    </row>
    <row r="3427" s="35" customFormat="1" ht="18.5" customHeight="1" spans="1:20">
      <c r="A3427" s="9"/>
      <c r="B3427" s="25"/>
      <c r="C3427" s="25"/>
      <c r="D3427" s="25"/>
      <c r="E3427" s="25"/>
      <c r="F3427" s="25"/>
      <c r="G3427" s="25"/>
      <c r="H3427" s="25"/>
      <c r="I3427" s="25"/>
      <c r="J3427" s="25"/>
      <c r="K3427" s="25"/>
      <c r="L3427" s="25"/>
      <c r="M3427" s="42" t="s">
        <v>253</v>
      </c>
      <c r="N3427" s="41">
        <v>45029</v>
      </c>
      <c r="O3427" s="25">
        <v>91</v>
      </c>
      <c r="P3427" s="25">
        <v>0</v>
      </c>
      <c r="Q3427" s="25"/>
      <c r="R3427" s="25"/>
      <c r="S3427" s="25"/>
      <c r="T3427" s="10"/>
    </row>
    <row r="3428" s="35" customFormat="1" ht="18.5" customHeight="1" spans="1:20">
      <c r="A3428" s="9"/>
      <c r="B3428" s="25"/>
      <c r="C3428" s="25"/>
      <c r="D3428" s="25"/>
      <c r="E3428" s="25"/>
      <c r="F3428" s="25"/>
      <c r="G3428" s="25"/>
      <c r="H3428" s="25"/>
      <c r="I3428" s="25"/>
      <c r="J3428" s="25"/>
      <c r="K3428" s="25"/>
      <c r="L3428" s="25"/>
      <c r="M3428" s="42" t="s">
        <v>253</v>
      </c>
      <c r="N3428" s="41">
        <v>45029</v>
      </c>
      <c r="O3428" s="25">
        <v>402</v>
      </c>
      <c r="P3428" s="25">
        <v>0</v>
      </c>
      <c r="Q3428" s="25"/>
      <c r="R3428" s="25"/>
      <c r="S3428" s="25"/>
      <c r="T3428" s="10"/>
    </row>
    <row r="3429" s="35" customFormat="1" ht="18.5" customHeight="1" spans="1:20">
      <c r="A3429" s="9"/>
      <c r="B3429" s="25"/>
      <c r="C3429" s="25"/>
      <c r="D3429" s="25"/>
      <c r="E3429" s="25"/>
      <c r="F3429" s="25"/>
      <c r="G3429" s="25"/>
      <c r="H3429" s="25"/>
      <c r="I3429" s="25"/>
      <c r="J3429" s="25"/>
      <c r="K3429" s="25"/>
      <c r="L3429" s="25"/>
      <c r="M3429" s="42" t="s">
        <v>253</v>
      </c>
      <c r="N3429" s="41">
        <v>45029</v>
      </c>
      <c r="O3429" s="25">
        <v>136</v>
      </c>
      <c r="P3429" s="25">
        <v>0</v>
      </c>
      <c r="Q3429" s="25"/>
      <c r="R3429" s="25"/>
      <c r="S3429" s="25"/>
      <c r="T3429" s="10"/>
    </row>
    <row r="3430" s="35" customFormat="1" ht="18.5" customHeight="1" spans="1:20">
      <c r="A3430" s="9"/>
      <c r="B3430" s="25"/>
      <c r="C3430" s="25"/>
      <c r="D3430" s="25"/>
      <c r="E3430" s="25"/>
      <c r="F3430" s="25"/>
      <c r="G3430" s="25"/>
      <c r="H3430" s="25"/>
      <c r="I3430" s="25"/>
      <c r="J3430" s="25"/>
      <c r="K3430" s="25"/>
      <c r="L3430" s="25"/>
      <c r="M3430" s="42" t="s">
        <v>253</v>
      </c>
      <c r="N3430" s="41">
        <v>45029</v>
      </c>
      <c r="O3430" s="25">
        <v>146</v>
      </c>
      <c r="P3430" s="25">
        <v>0</v>
      </c>
      <c r="Q3430" s="25"/>
      <c r="R3430" s="25"/>
      <c r="S3430" s="25"/>
      <c r="T3430" s="10"/>
    </row>
    <row r="3431" s="35" customFormat="1" ht="18.5" customHeight="1" spans="1:20">
      <c r="A3431" s="9"/>
      <c r="B3431" s="25"/>
      <c r="C3431" s="25"/>
      <c r="D3431" s="25"/>
      <c r="E3431" s="25"/>
      <c r="F3431" s="25"/>
      <c r="G3431" s="25"/>
      <c r="H3431" s="25"/>
      <c r="I3431" s="25"/>
      <c r="J3431" s="25"/>
      <c r="K3431" s="25"/>
      <c r="L3431" s="25"/>
      <c r="M3431" s="42" t="s">
        <v>253</v>
      </c>
      <c r="N3431" s="41">
        <v>45028</v>
      </c>
      <c r="O3431" s="25">
        <v>109</v>
      </c>
      <c r="P3431" s="25">
        <v>0</v>
      </c>
      <c r="Q3431" s="25"/>
      <c r="R3431" s="25"/>
      <c r="S3431" s="25"/>
      <c r="T3431" s="10"/>
    </row>
    <row r="3432" s="35" customFormat="1" ht="18.5" customHeight="1" spans="1:20">
      <c r="A3432" s="9"/>
      <c r="B3432" s="25"/>
      <c r="C3432" s="25"/>
      <c r="D3432" s="25"/>
      <c r="E3432" s="25"/>
      <c r="F3432" s="25"/>
      <c r="G3432" s="25"/>
      <c r="H3432" s="25"/>
      <c r="I3432" s="25"/>
      <c r="J3432" s="25"/>
      <c r="K3432" s="25"/>
      <c r="L3432" s="25"/>
      <c r="M3432" s="42" t="s">
        <v>253</v>
      </c>
      <c r="N3432" s="41">
        <v>45028</v>
      </c>
      <c r="O3432" s="25">
        <v>459</v>
      </c>
      <c r="P3432" s="25">
        <v>0</v>
      </c>
      <c r="Q3432" s="25"/>
      <c r="R3432" s="25"/>
      <c r="S3432" s="25"/>
      <c r="T3432" s="10"/>
    </row>
    <row r="3433" s="35" customFormat="1" ht="18.5" customHeight="1" spans="1:20">
      <c r="A3433" s="9"/>
      <c r="B3433" s="25"/>
      <c r="C3433" s="25"/>
      <c r="D3433" s="25"/>
      <c r="E3433" s="25"/>
      <c r="F3433" s="25"/>
      <c r="G3433" s="25"/>
      <c r="H3433" s="25"/>
      <c r="I3433" s="25"/>
      <c r="J3433" s="25"/>
      <c r="K3433" s="25"/>
      <c r="L3433" s="25"/>
      <c r="M3433" s="42" t="s">
        <v>253</v>
      </c>
      <c r="N3433" s="41">
        <v>45028</v>
      </c>
      <c r="O3433" s="25">
        <v>317</v>
      </c>
      <c r="P3433" s="25">
        <v>0</v>
      </c>
      <c r="Q3433" s="25"/>
      <c r="R3433" s="25"/>
      <c r="S3433" s="25"/>
      <c r="T3433" s="10"/>
    </row>
    <row r="3434" s="35" customFormat="1" ht="18.5" customHeight="1" spans="1:20">
      <c r="A3434" s="9"/>
      <c r="B3434" s="25"/>
      <c r="C3434" s="25"/>
      <c r="D3434" s="25"/>
      <c r="E3434" s="25"/>
      <c r="F3434" s="25"/>
      <c r="G3434" s="25"/>
      <c r="H3434" s="25"/>
      <c r="I3434" s="25"/>
      <c r="J3434" s="25"/>
      <c r="K3434" s="25"/>
      <c r="L3434" s="25"/>
      <c r="M3434" s="42" t="s">
        <v>253</v>
      </c>
      <c r="N3434" s="41">
        <v>45028</v>
      </c>
      <c r="O3434" s="25">
        <v>138</v>
      </c>
      <c r="P3434" s="25">
        <v>0</v>
      </c>
      <c r="Q3434" s="25"/>
      <c r="R3434" s="25"/>
      <c r="S3434" s="25"/>
      <c r="T3434" s="10"/>
    </row>
    <row r="3435" s="35" customFormat="1" ht="18.5" customHeight="1" spans="1:20">
      <c r="A3435" s="9"/>
      <c r="B3435" s="25"/>
      <c r="C3435" s="25"/>
      <c r="D3435" s="25"/>
      <c r="E3435" s="25"/>
      <c r="F3435" s="25"/>
      <c r="G3435" s="25"/>
      <c r="H3435" s="25"/>
      <c r="I3435" s="25"/>
      <c r="J3435" s="25"/>
      <c r="K3435" s="25"/>
      <c r="L3435" s="25"/>
      <c r="M3435" s="42" t="s">
        <v>253</v>
      </c>
      <c r="N3435" s="41">
        <v>45028</v>
      </c>
      <c r="O3435" s="25">
        <v>246</v>
      </c>
      <c r="P3435" s="25">
        <v>0</v>
      </c>
      <c r="Q3435" s="25"/>
      <c r="R3435" s="25"/>
      <c r="S3435" s="25"/>
      <c r="T3435" s="10"/>
    </row>
    <row r="3436" s="35" customFormat="1" ht="18.5" customHeight="1" spans="1:20">
      <c r="A3436" s="9"/>
      <c r="B3436" s="25"/>
      <c r="C3436" s="25"/>
      <c r="D3436" s="25"/>
      <c r="E3436" s="25"/>
      <c r="F3436" s="25"/>
      <c r="G3436" s="25"/>
      <c r="H3436" s="25"/>
      <c r="I3436" s="25"/>
      <c r="J3436" s="25"/>
      <c r="K3436" s="25"/>
      <c r="L3436" s="25"/>
      <c r="M3436" s="42" t="s">
        <v>253</v>
      </c>
      <c r="N3436" s="41">
        <v>45028</v>
      </c>
      <c r="O3436" s="25">
        <v>131</v>
      </c>
      <c r="P3436" s="25">
        <v>0</v>
      </c>
      <c r="Q3436" s="25"/>
      <c r="R3436" s="25"/>
      <c r="S3436" s="25"/>
      <c r="T3436" s="10"/>
    </row>
    <row r="3437" s="35" customFormat="1" ht="18.5" customHeight="1" spans="1:20">
      <c r="A3437" s="9"/>
      <c r="B3437" s="25"/>
      <c r="C3437" s="25"/>
      <c r="D3437" s="25"/>
      <c r="E3437" s="25"/>
      <c r="F3437" s="25"/>
      <c r="G3437" s="25"/>
      <c r="H3437" s="25"/>
      <c r="I3437" s="25"/>
      <c r="J3437" s="25"/>
      <c r="K3437" s="25"/>
      <c r="L3437" s="25"/>
      <c r="M3437" s="42" t="s">
        <v>253</v>
      </c>
      <c r="N3437" s="41">
        <v>45028</v>
      </c>
      <c r="O3437" s="25">
        <v>251</v>
      </c>
      <c r="P3437" s="25">
        <v>0</v>
      </c>
      <c r="Q3437" s="25"/>
      <c r="R3437" s="25"/>
      <c r="S3437" s="25"/>
      <c r="T3437" s="10"/>
    </row>
    <row r="3438" s="35" customFormat="1" ht="18.5" customHeight="1" spans="1:20">
      <c r="A3438" s="9"/>
      <c r="B3438" s="25"/>
      <c r="C3438" s="25"/>
      <c r="D3438" s="25"/>
      <c r="E3438" s="25"/>
      <c r="F3438" s="25"/>
      <c r="G3438" s="25"/>
      <c r="H3438" s="25"/>
      <c r="I3438" s="25"/>
      <c r="J3438" s="25"/>
      <c r="K3438" s="25"/>
      <c r="L3438" s="25"/>
      <c r="M3438" s="42" t="s">
        <v>253</v>
      </c>
      <c r="N3438" s="41">
        <v>45028</v>
      </c>
      <c r="O3438" s="25">
        <v>178</v>
      </c>
      <c r="P3438" s="25">
        <v>0</v>
      </c>
      <c r="Q3438" s="25"/>
      <c r="R3438" s="25"/>
      <c r="S3438" s="25"/>
      <c r="T3438" s="10"/>
    </row>
    <row r="3439" s="35" customFormat="1" ht="18.5" customHeight="1" spans="1:20">
      <c r="A3439" s="9"/>
      <c r="B3439" s="25"/>
      <c r="C3439" s="25"/>
      <c r="D3439" s="25"/>
      <c r="E3439" s="25"/>
      <c r="F3439" s="25"/>
      <c r="G3439" s="25"/>
      <c r="H3439" s="25"/>
      <c r="I3439" s="25"/>
      <c r="J3439" s="25"/>
      <c r="K3439" s="25"/>
      <c r="L3439" s="25"/>
      <c r="M3439" s="42" t="s">
        <v>253</v>
      </c>
      <c r="N3439" s="41">
        <v>45028</v>
      </c>
      <c r="O3439" s="25">
        <v>159</v>
      </c>
      <c r="P3439" s="25">
        <v>0</v>
      </c>
      <c r="Q3439" s="25"/>
      <c r="R3439" s="25"/>
      <c r="S3439" s="25"/>
      <c r="T3439" s="10"/>
    </row>
    <row r="3440" s="35" customFormat="1" ht="18.5" customHeight="1" spans="1:20">
      <c r="A3440" s="9"/>
      <c r="B3440" s="25"/>
      <c r="C3440" s="25"/>
      <c r="D3440" s="25"/>
      <c r="E3440" s="25"/>
      <c r="F3440" s="25"/>
      <c r="G3440" s="25"/>
      <c r="H3440" s="25"/>
      <c r="I3440" s="25"/>
      <c r="J3440" s="25"/>
      <c r="K3440" s="25"/>
      <c r="L3440" s="25"/>
      <c r="M3440" s="42" t="s">
        <v>253</v>
      </c>
      <c r="N3440" s="41">
        <v>45028</v>
      </c>
      <c r="O3440" s="25">
        <v>233</v>
      </c>
      <c r="P3440" s="25">
        <v>0</v>
      </c>
      <c r="Q3440" s="25"/>
      <c r="R3440" s="25"/>
      <c r="S3440" s="25"/>
      <c r="T3440" s="10"/>
    </row>
    <row r="3441" s="35" customFormat="1" ht="18.5" customHeight="1" spans="1:20">
      <c r="A3441" s="9"/>
      <c r="B3441" s="25"/>
      <c r="C3441" s="25"/>
      <c r="D3441" s="25"/>
      <c r="E3441" s="25"/>
      <c r="F3441" s="25"/>
      <c r="G3441" s="25"/>
      <c r="H3441" s="25"/>
      <c r="I3441" s="25"/>
      <c r="J3441" s="25"/>
      <c r="K3441" s="25"/>
      <c r="L3441" s="25"/>
      <c r="M3441" s="42" t="s">
        <v>253</v>
      </c>
      <c r="N3441" s="41">
        <v>45028</v>
      </c>
      <c r="O3441" s="25">
        <v>145</v>
      </c>
      <c r="P3441" s="25">
        <v>0</v>
      </c>
      <c r="Q3441" s="25"/>
      <c r="R3441" s="25"/>
      <c r="S3441" s="25"/>
      <c r="T3441" s="10"/>
    </row>
    <row r="3442" s="35" customFormat="1" ht="18.5" customHeight="1" spans="1:20">
      <c r="A3442" s="9"/>
      <c r="B3442" s="25"/>
      <c r="C3442" s="25"/>
      <c r="D3442" s="25"/>
      <c r="E3442" s="25"/>
      <c r="F3442" s="25"/>
      <c r="G3442" s="25"/>
      <c r="H3442" s="25"/>
      <c r="I3442" s="25"/>
      <c r="J3442" s="25"/>
      <c r="K3442" s="25"/>
      <c r="L3442" s="25"/>
      <c r="M3442" s="42" t="s">
        <v>253</v>
      </c>
      <c r="N3442" s="41">
        <v>45027</v>
      </c>
      <c r="O3442" s="25">
        <v>178</v>
      </c>
      <c r="P3442" s="25">
        <v>0</v>
      </c>
      <c r="Q3442" s="25"/>
      <c r="R3442" s="25"/>
      <c r="S3442" s="25"/>
      <c r="T3442" s="10"/>
    </row>
    <row r="3443" s="35" customFormat="1" ht="18.5" customHeight="1" spans="1:20">
      <c r="A3443" s="9"/>
      <c r="B3443" s="25"/>
      <c r="C3443" s="25"/>
      <c r="D3443" s="25"/>
      <c r="E3443" s="25"/>
      <c r="F3443" s="25"/>
      <c r="G3443" s="25"/>
      <c r="H3443" s="25"/>
      <c r="I3443" s="25"/>
      <c r="J3443" s="25"/>
      <c r="K3443" s="25"/>
      <c r="L3443" s="25"/>
      <c r="M3443" s="42" t="s">
        <v>253</v>
      </c>
      <c r="N3443" s="41">
        <v>45027</v>
      </c>
      <c r="O3443" s="25">
        <v>138</v>
      </c>
      <c r="P3443" s="25">
        <v>0</v>
      </c>
      <c r="Q3443" s="25"/>
      <c r="R3443" s="25"/>
      <c r="S3443" s="25"/>
      <c r="T3443" s="10"/>
    </row>
    <row r="3444" s="35" customFormat="1" ht="18.5" customHeight="1" spans="1:20">
      <c r="A3444" s="9"/>
      <c r="B3444" s="25"/>
      <c r="C3444" s="25"/>
      <c r="D3444" s="25"/>
      <c r="E3444" s="25"/>
      <c r="F3444" s="25"/>
      <c r="G3444" s="25"/>
      <c r="H3444" s="25"/>
      <c r="I3444" s="25"/>
      <c r="J3444" s="25"/>
      <c r="K3444" s="25"/>
      <c r="L3444" s="25"/>
      <c r="M3444" s="42" t="s">
        <v>253</v>
      </c>
      <c r="N3444" s="41">
        <v>45027</v>
      </c>
      <c r="O3444" s="25">
        <v>207</v>
      </c>
      <c r="P3444" s="25">
        <v>0</v>
      </c>
      <c r="Q3444" s="25"/>
      <c r="R3444" s="25"/>
      <c r="S3444" s="25"/>
      <c r="T3444" s="10"/>
    </row>
    <row r="3445" s="35" customFormat="1" ht="18.5" customHeight="1" spans="1:20">
      <c r="A3445" s="9"/>
      <c r="B3445" s="25"/>
      <c r="C3445" s="25"/>
      <c r="D3445" s="25"/>
      <c r="E3445" s="25"/>
      <c r="F3445" s="25"/>
      <c r="G3445" s="25"/>
      <c r="H3445" s="25"/>
      <c r="I3445" s="25"/>
      <c r="J3445" s="25"/>
      <c r="K3445" s="25"/>
      <c r="L3445" s="25"/>
      <c r="M3445" s="42" t="s">
        <v>253</v>
      </c>
      <c r="N3445" s="41">
        <v>45027</v>
      </c>
      <c r="O3445" s="25">
        <v>108</v>
      </c>
      <c r="P3445" s="25">
        <v>0</v>
      </c>
      <c r="Q3445" s="25"/>
      <c r="R3445" s="25"/>
      <c r="S3445" s="25"/>
      <c r="T3445" s="10"/>
    </row>
    <row r="3446" s="35" customFormat="1" ht="18.5" customHeight="1" spans="1:20">
      <c r="A3446" s="9"/>
      <c r="B3446" s="25"/>
      <c r="C3446" s="25"/>
      <c r="D3446" s="25"/>
      <c r="E3446" s="25"/>
      <c r="F3446" s="25"/>
      <c r="G3446" s="25"/>
      <c r="H3446" s="25"/>
      <c r="I3446" s="25"/>
      <c r="J3446" s="25"/>
      <c r="K3446" s="25"/>
      <c r="L3446" s="25"/>
      <c r="M3446" s="42" t="s">
        <v>253</v>
      </c>
      <c r="N3446" s="41">
        <v>45027</v>
      </c>
      <c r="O3446" s="25">
        <v>469</v>
      </c>
      <c r="P3446" s="25">
        <v>0</v>
      </c>
      <c r="Q3446" s="25"/>
      <c r="R3446" s="25"/>
      <c r="S3446" s="25"/>
      <c r="T3446" s="10"/>
    </row>
    <row r="3447" s="35" customFormat="1" ht="18.5" customHeight="1" spans="1:20">
      <c r="A3447" s="9"/>
      <c r="B3447" s="25"/>
      <c r="C3447" s="25"/>
      <c r="D3447" s="25"/>
      <c r="E3447" s="25"/>
      <c r="F3447" s="25"/>
      <c r="G3447" s="25"/>
      <c r="H3447" s="25"/>
      <c r="I3447" s="25"/>
      <c r="J3447" s="25"/>
      <c r="K3447" s="25"/>
      <c r="L3447" s="25"/>
      <c r="M3447" s="42" t="s">
        <v>253</v>
      </c>
      <c r="N3447" s="41">
        <v>45027</v>
      </c>
      <c r="O3447" s="25">
        <v>204</v>
      </c>
      <c r="P3447" s="25">
        <v>0</v>
      </c>
      <c r="Q3447" s="25"/>
      <c r="R3447" s="25"/>
      <c r="S3447" s="25"/>
      <c r="T3447" s="10"/>
    </row>
    <row r="3448" s="35" customFormat="1" ht="18.5" customHeight="1" spans="1:20">
      <c r="A3448" s="9"/>
      <c r="B3448" s="25"/>
      <c r="C3448" s="25"/>
      <c r="D3448" s="25"/>
      <c r="E3448" s="25"/>
      <c r="F3448" s="25"/>
      <c r="G3448" s="25"/>
      <c r="H3448" s="25"/>
      <c r="I3448" s="25"/>
      <c r="J3448" s="25"/>
      <c r="K3448" s="25"/>
      <c r="L3448" s="25"/>
      <c r="M3448" s="42" t="s">
        <v>253</v>
      </c>
      <c r="N3448" s="41">
        <v>45026</v>
      </c>
      <c r="O3448" s="25">
        <v>137</v>
      </c>
      <c r="P3448" s="25">
        <v>0</v>
      </c>
      <c r="Q3448" s="25"/>
      <c r="R3448" s="25"/>
      <c r="S3448" s="25"/>
      <c r="T3448" s="10"/>
    </row>
    <row r="3449" s="35" customFormat="1" ht="18.5" customHeight="1" spans="1:20">
      <c r="A3449" s="9"/>
      <c r="B3449" s="25"/>
      <c r="C3449" s="25"/>
      <c r="D3449" s="25"/>
      <c r="E3449" s="25"/>
      <c r="F3449" s="25"/>
      <c r="G3449" s="25"/>
      <c r="H3449" s="25"/>
      <c r="I3449" s="25"/>
      <c r="J3449" s="25"/>
      <c r="K3449" s="25"/>
      <c r="L3449" s="25"/>
      <c r="M3449" s="42" t="s">
        <v>253</v>
      </c>
      <c r="N3449" s="41">
        <v>45026</v>
      </c>
      <c r="O3449" s="25">
        <v>119</v>
      </c>
      <c r="P3449" s="25">
        <v>0</v>
      </c>
      <c r="Q3449" s="25"/>
      <c r="R3449" s="25"/>
      <c r="S3449" s="25"/>
      <c r="T3449" s="10"/>
    </row>
    <row r="3450" s="35" customFormat="1" ht="18.5" customHeight="1" spans="1:20">
      <c r="A3450" s="9"/>
      <c r="B3450" s="25"/>
      <c r="C3450" s="25"/>
      <c r="D3450" s="25"/>
      <c r="E3450" s="25"/>
      <c r="F3450" s="25"/>
      <c r="G3450" s="25"/>
      <c r="H3450" s="25"/>
      <c r="I3450" s="25"/>
      <c r="J3450" s="25"/>
      <c r="K3450" s="25"/>
      <c r="L3450" s="25"/>
      <c r="M3450" s="42" t="s">
        <v>253</v>
      </c>
      <c r="N3450" s="41">
        <v>45026</v>
      </c>
      <c r="O3450" s="25">
        <v>111</v>
      </c>
      <c r="P3450" s="25">
        <v>0</v>
      </c>
      <c r="Q3450" s="25"/>
      <c r="R3450" s="25"/>
      <c r="S3450" s="25"/>
      <c r="T3450" s="10"/>
    </row>
    <row r="3451" s="35" customFormat="1" ht="18.5" customHeight="1" spans="1:20">
      <c r="A3451" s="9"/>
      <c r="B3451" s="25"/>
      <c r="C3451" s="25"/>
      <c r="D3451" s="25"/>
      <c r="E3451" s="25"/>
      <c r="F3451" s="25"/>
      <c r="G3451" s="25"/>
      <c r="H3451" s="25"/>
      <c r="I3451" s="25"/>
      <c r="J3451" s="25"/>
      <c r="K3451" s="25"/>
      <c r="L3451" s="25"/>
      <c r="M3451" s="42" t="s">
        <v>253</v>
      </c>
      <c r="N3451" s="41">
        <v>45026</v>
      </c>
      <c r="O3451" s="25">
        <v>170</v>
      </c>
      <c r="P3451" s="25">
        <v>0</v>
      </c>
      <c r="Q3451" s="25"/>
      <c r="R3451" s="25"/>
      <c r="S3451" s="25"/>
      <c r="T3451" s="10"/>
    </row>
    <row r="3452" s="35" customFormat="1" ht="18.5" customHeight="1" spans="1:20">
      <c r="A3452" s="9"/>
      <c r="B3452" s="25"/>
      <c r="C3452" s="25"/>
      <c r="D3452" s="25"/>
      <c r="E3452" s="25"/>
      <c r="F3452" s="25"/>
      <c r="G3452" s="25"/>
      <c r="H3452" s="25"/>
      <c r="I3452" s="25"/>
      <c r="J3452" s="25"/>
      <c r="K3452" s="25"/>
      <c r="L3452" s="25"/>
      <c r="M3452" s="42" t="s">
        <v>253</v>
      </c>
      <c r="N3452" s="41">
        <v>45026</v>
      </c>
      <c r="O3452" s="25">
        <v>140</v>
      </c>
      <c r="P3452" s="25">
        <v>0</v>
      </c>
      <c r="Q3452" s="25"/>
      <c r="R3452" s="25"/>
      <c r="S3452" s="25"/>
      <c r="T3452" s="10"/>
    </row>
    <row r="3453" s="35" customFormat="1" ht="18.5" customHeight="1" spans="1:20">
      <c r="A3453" s="9"/>
      <c r="B3453" s="25"/>
      <c r="C3453" s="25"/>
      <c r="D3453" s="25"/>
      <c r="E3453" s="25"/>
      <c r="F3453" s="25"/>
      <c r="G3453" s="25"/>
      <c r="H3453" s="25"/>
      <c r="I3453" s="25"/>
      <c r="J3453" s="25"/>
      <c r="K3453" s="25"/>
      <c r="L3453" s="25"/>
      <c r="M3453" s="42" t="s">
        <v>253</v>
      </c>
      <c r="N3453" s="41">
        <v>45026</v>
      </c>
      <c r="O3453" s="25">
        <v>131</v>
      </c>
      <c r="P3453" s="25">
        <v>0</v>
      </c>
      <c r="Q3453" s="25"/>
      <c r="R3453" s="25"/>
      <c r="S3453" s="25"/>
      <c r="T3453" s="10"/>
    </row>
    <row r="3454" s="35" customFormat="1" ht="18.5" customHeight="1" spans="1:20">
      <c r="A3454" s="9"/>
      <c r="B3454" s="25"/>
      <c r="C3454" s="25"/>
      <c r="D3454" s="25"/>
      <c r="E3454" s="25"/>
      <c r="F3454" s="25"/>
      <c r="G3454" s="25"/>
      <c r="H3454" s="25"/>
      <c r="I3454" s="25"/>
      <c r="J3454" s="25"/>
      <c r="K3454" s="25"/>
      <c r="L3454" s="25"/>
      <c r="M3454" s="42" t="s">
        <v>253</v>
      </c>
      <c r="N3454" s="41">
        <v>45026</v>
      </c>
      <c r="O3454" s="25">
        <v>133</v>
      </c>
      <c r="P3454" s="25">
        <v>0</v>
      </c>
      <c r="Q3454" s="25"/>
      <c r="R3454" s="25"/>
      <c r="S3454" s="25"/>
      <c r="T3454" s="10"/>
    </row>
    <row r="3455" s="35" customFormat="1" ht="18.5" customHeight="1" spans="1:20">
      <c r="A3455" s="9"/>
      <c r="B3455" s="25"/>
      <c r="C3455" s="25"/>
      <c r="D3455" s="25"/>
      <c r="E3455" s="25"/>
      <c r="F3455" s="25"/>
      <c r="G3455" s="25"/>
      <c r="H3455" s="25"/>
      <c r="I3455" s="25"/>
      <c r="J3455" s="25"/>
      <c r="K3455" s="25"/>
      <c r="L3455" s="25"/>
      <c r="M3455" s="42" t="s">
        <v>253</v>
      </c>
      <c r="N3455" s="41">
        <v>45026</v>
      </c>
      <c r="O3455" s="25">
        <v>157</v>
      </c>
      <c r="P3455" s="25">
        <v>0</v>
      </c>
      <c r="Q3455" s="25"/>
      <c r="R3455" s="25"/>
      <c r="S3455" s="25"/>
      <c r="T3455" s="10"/>
    </row>
    <row r="3456" s="35" customFormat="1" ht="18.5" customHeight="1" spans="1:20">
      <c r="A3456" s="9"/>
      <c r="B3456" s="25"/>
      <c r="C3456" s="25"/>
      <c r="D3456" s="25"/>
      <c r="E3456" s="25"/>
      <c r="F3456" s="25"/>
      <c r="G3456" s="25"/>
      <c r="H3456" s="25"/>
      <c r="I3456" s="25"/>
      <c r="J3456" s="25"/>
      <c r="K3456" s="25"/>
      <c r="L3456" s="25"/>
      <c r="M3456" s="42" t="s">
        <v>253</v>
      </c>
      <c r="N3456" s="41">
        <v>45026</v>
      </c>
      <c r="O3456" s="25">
        <v>197</v>
      </c>
      <c r="P3456" s="25">
        <v>0</v>
      </c>
      <c r="Q3456" s="25"/>
      <c r="R3456" s="25"/>
      <c r="S3456" s="25"/>
      <c r="T3456" s="10"/>
    </row>
    <row r="3457" s="35" customFormat="1" ht="18.5" customHeight="1" spans="1:20">
      <c r="A3457" s="9"/>
      <c r="B3457" s="25"/>
      <c r="C3457" s="25"/>
      <c r="D3457" s="25"/>
      <c r="E3457" s="25"/>
      <c r="F3457" s="25"/>
      <c r="G3457" s="25"/>
      <c r="H3457" s="25"/>
      <c r="I3457" s="25"/>
      <c r="J3457" s="25"/>
      <c r="K3457" s="25"/>
      <c r="L3457" s="25"/>
      <c r="M3457" s="42" t="s">
        <v>253</v>
      </c>
      <c r="N3457" s="41">
        <v>45025</v>
      </c>
      <c r="O3457" s="25">
        <v>160</v>
      </c>
      <c r="P3457" s="25">
        <v>0</v>
      </c>
      <c r="Q3457" s="25"/>
      <c r="R3457" s="25"/>
      <c r="S3457" s="25"/>
      <c r="T3457" s="10"/>
    </row>
    <row r="3458" s="35" customFormat="1" ht="18.5" customHeight="1" spans="1:20">
      <c r="A3458" s="9"/>
      <c r="B3458" s="25"/>
      <c r="C3458" s="25"/>
      <c r="D3458" s="25"/>
      <c r="E3458" s="25"/>
      <c r="F3458" s="25"/>
      <c r="G3458" s="25"/>
      <c r="H3458" s="25"/>
      <c r="I3458" s="25"/>
      <c r="J3458" s="25"/>
      <c r="K3458" s="25"/>
      <c r="L3458" s="25"/>
      <c r="M3458" s="42" t="s">
        <v>253</v>
      </c>
      <c r="N3458" s="41">
        <v>45026</v>
      </c>
      <c r="O3458" s="25">
        <v>103</v>
      </c>
      <c r="P3458" s="25">
        <v>0</v>
      </c>
      <c r="Q3458" s="25"/>
      <c r="R3458" s="25"/>
      <c r="S3458" s="25"/>
      <c r="T3458" s="10"/>
    </row>
    <row r="3459" s="35" customFormat="1" ht="18.5" customHeight="1" spans="1:20">
      <c r="A3459" s="9"/>
      <c r="B3459" s="25"/>
      <c r="C3459" s="25"/>
      <c r="D3459" s="25"/>
      <c r="E3459" s="25"/>
      <c r="F3459" s="25"/>
      <c r="G3459" s="25"/>
      <c r="H3459" s="25"/>
      <c r="I3459" s="25"/>
      <c r="J3459" s="25"/>
      <c r="K3459" s="25"/>
      <c r="L3459" s="25"/>
      <c r="M3459" s="42" t="s">
        <v>253</v>
      </c>
      <c r="N3459" s="41">
        <v>45025</v>
      </c>
      <c r="O3459" s="25">
        <v>164</v>
      </c>
      <c r="P3459" s="25">
        <v>0</v>
      </c>
      <c r="Q3459" s="25"/>
      <c r="R3459" s="25"/>
      <c r="S3459" s="25"/>
      <c r="T3459" s="10"/>
    </row>
    <row r="3460" s="35" customFormat="1" ht="18.5" customHeight="1" spans="1:20">
      <c r="A3460" s="9"/>
      <c r="B3460" s="25"/>
      <c r="C3460" s="25"/>
      <c r="D3460" s="25"/>
      <c r="E3460" s="25"/>
      <c r="F3460" s="25"/>
      <c r="G3460" s="25"/>
      <c r="H3460" s="25"/>
      <c r="I3460" s="25"/>
      <c r="J3460" s="25"/>
      <c r="K3460" s="25"/>
      <c r="L3460" s="25"/>
      <c r="M3460" s="42" t="s">
        <v>253</v>
      </c>
      <c r="N3460" s="41">
        <v>45024</v>
      </c>
      <c r="O3460" s="25">
        <v>205</v>
      </c>
      <c r="P3460" s="25">
        <v>0</v>
      </c>
      <c r="Q3460" s="25"/>
      <c r="R3460" s="25"/>
      <c r="S3460" s="25"/>
      <c r="T3460" s="10"/>
    </row>
    <row r="3461" s="35" customFormat="1" ht="18.5" customHeight="1" spans="1:20">
      <c r="A3461" s="9"/>
      <c r="B3461" s="25"/>
      <c r="C3461" s="25"/>
      <c r="D3461" s="25"/>
      <c r="E3461" s="25"/>
      <c r="F3461" s="25"/>
      <c r="G3461" s="25"/>
      <c r="H3461" s="25"/>
      <c r="I3461" s="25"/>
      <c r="J3461" s="25"/>
      <c r="K3461" s="25"/>
      <c r="L3461" s="25"/>
      <c r="M3461" s="42" t="s">
        <v>253</v>
      </c>
      <c r="N3461" s="41">
        <v>45025</v>
      </c>
      <c r="O3461" s="25">
        <v>194</v>
      </c>
      <c r="P3461" s="25">
        <v>0</v>
      </c>
      <c r="Q3461" s="25"/>
      <c r="R3461" s="25"/>
      <c r="S3461" s="25"/>
      <c r="T3461" s="10"/>
    </row>
    <row r="3462" s="35" customFormat="1" ht="18.5" customHeight="1" spans="1:20">
      <c r="A3462" s="9"/>
      <c r="B3462" s="25"/>
      <c r="C3462" s="25"/>
      <c r="D3462" s="25"/>
      <c r="E3462" s="25"/>
      <c r="F3462" s="25"/>
      <c r="G3462" s="25"/>
      <c r="H3462" s="25"/>
      <c r="I3462" s="25"/>
      <c r="J3462" s="25"/>
      <c r="K3462" s="25"/>
      <c r="L3462" s="25"/>
      <c r="M3462" s="42" t="s">
        <v>253</v>
      </c>
      <c r="N3462" s="41">
        <v>45025</v>
      </c>
      <c r="O3462" s="25">
        <v>154</v>
      </c>
      <c r="P3462" s="25">
        <v>0</v>
      </c>
      <c r="Q3462" s="25"/>
      <c r="R3462" s="25"/>
      <c r="S3462" s="25"/>
      <c r="T3462" s="10"/>
    </row>
    <row r="3463" s="35" customFormat="1" ht="18.5" customHeight="1" spans="1:20">
      <c r="A3463" s="9"/>
      <c r="B3463" s="25"/>
      <c r="C3463" s="25"/>
      <c r="D3463" s="25"/>
      <c r="E3463" s="25"/>
      <c r="F3463" s="25"/>
      <c r="G3463" s="25"/>
      <c r="H3463" s="25"/>
      <c r="I3463" s="25"/>
      <c r="J3463" s="25"/>
      <c r="K3463" s="25"/>
      <c r="L3463" s="25"/>
      <c r="M3463" s="42" t="s">
        <v>253</v>
      </c>
      <c r="N3463" s="41">
        <v>45025</v>
      </c>
      <c r="O3463" s="25">
        <v>182</v>
      </c>
      <c r="P3463" s="25">
        <v>0</v>
      </c>
      <c r="Q3463" s="25"/>
      <c r="R3463" s="25"/>
      <c r="S3463" s="25"/>
      <c r="T3463" s="10"/>
    </row>
    <row r="3464" s="35" customFormat="1" ht="18.5" customHeight="1" spans="1:20">
      <c r="A3464" s="9"/>
      <c r="B3464" s="25"/>
      <c r="C3464" s="25"/>
      <c r="D3464" s="25"/>
      <c r="E3464" s="25"/>
      <c r="F3464" s="25"/>
      <c r="G3464" s="25"/>
      <c r="H3464" s="25"/>
      <c r="I3464" s="25"/>
      <c r="J3464" s="25"/>
      <c r="K3464" s="25"/>
      <c r="L3464" s="25"/>
      <c r="M3464" s="42" t="s">
        <v>253</v>
      </c>
      <c r="N3464" s="41">
        <v>45025</v>
      </c>
      <c r="O3464" s="25">
        <v>217</v>
      </c>
      <c r="P3464" s="25">
        <v>0</v>
      </c>
      <c r="Q3464" s="25"/>
      <c r="R3464" s="25"/>
      <c r="S3464" s="25"/>
      <c r="T3464" s="10"/>
    </row>
    <row r="3465" s="35" customFormat="1" ht="18.5" customHeight="1" spans="1:20">
      <c r="A3465" s="9"/>
      <c r="B3465" s="25"/>
      <c r="C3465" s="25"/>
      <c r="D3465" s="25"/>
      <c r="E3465" s="25"/>
      <c r="F3465" s="25"/>
      <c r="G3465" s="25"/>
      <c r="H3465" s="25"/>
      <c r="I3465" s="25"/>
      <c r="J3465" s="25"/>
      <c r="K3465" s="25"/>
      <c r="L3465" s="25"/>
      <c r="M3465" s="42" t="s">
        <v>253</v>
      </c>
      <c r="N3465" s="41">
        <v>45024</v>
      </c>
      <c r="O3465" s="25">
        <v>79</v>
      </c>
      <c r="P3465" s="25">
        <v>0</v>
      </c>
      <c r="Q3465" s="25"/>
      <c r="R3465" s="25"/>
      <c r="S3465" s="25"/>
      <c r="T3465" s="10"/>
    </row>
    <row r="3466" s="35" customFormat="1" ht="18.5" customHeight="1" spans="1:20">
      <c r="A3466" s="9"/>
      <c r="B3466" s="25"/>
      <c r="C3466" s="25"/>
      <c r="D3466" s="25"/>
      <c r="E3466" s="25"/>
      <c r="F3466" s="25"/>
      <c r="G3466" s="25"/>
      <c r="H3466" s="25"/>
      <c r="I3466" s="25"/>
      <c r="J3466" s="25"/>
      <c r="K3466" s="25"/>
      <c r="L3466" s="25"/>
      <c r="M3466" s="42" t="s">
        <v>253</v>
      </c>
      <c r="N3466" s="41">
        <v>45024</v>
      </c>
      <c r="O3466" s="25">
        <v>287</v>
      </c>
      <c r="P3466" s="25">
        <v>0</v>
      </c>
      <c r="Q3466" s="25"/>
      <c r="R3466" s="25"/>
      <c r="S3466" s="25"/>
      <c r="T3466" s="10"/>
    </row>
    <row r="3467" s="35" customFormat="1" ht="18.5" customHeight="1" spans="1:20">
      <c r="A3467" s="9"/>
      <c r="B3467" s="25"/>
      <c r="C3467" s="25"/>
      <c r="D3467" s="25"/>
      <c r="E3467" s="25"/>
      <c r="F3467" s="25"/>
      <c r="G3467" s="25"/>
      <c r="H3467" s="25"/>
      <c r="I3467" s="25"/>
      <c r="J3467" s="25"/>
      <c r="K3467" s="25"/>
      <c r="L3467" s="25"/>
      <c r="M3467" s="42" t="s">
        <v>253</v>
      </c>
      <c r="N3467" s="41">
        <v>45023</v>
      </c>
      <c r="O3467" s="25">
        <v>160</v>
      </c>
      <c r="P3467" s="25">
        <v>0</v>
      </c>
      <c r="Q3467" s="25"/>
      <c r="R3467" s="25"/>
      <c r="S3467" s="25"/>
      <c r="T3467" s="10"/>
    </row>
    <row r="3468" s="35" customFormat="1" ht="18.5" customHeight="1" spans="1:20">
      <c r="A3468" s="9"/>
      <c r="B3468" s="25"/>
      <c r="C3468" s="25"/>
      <c r="D3468" s="25"/>
      <c r="E3468" s="25"/>
      <c r="F3468" s="25"/>
      <c r="G3468" s="25"/>
      <c r="H3468" s="25"/>
      <c r="I3468" s="25"/>
      <c r="J3468" s="25"/>
      <c r="K3468" s="25"/>
      <c r="L3468" s="25"/>
      <c r="M3468" s="42" t="s">
        <v>253</v>
      </c>
      <c r="N3468" s="41">
        <v>45024</v>
      </c>
      <c r="O3468" s="25">
        <v>443</v>
      </c>
      <c r="P3468" s="25">
        <v>0</v>
      </c>
      <c r="Q3468" s="25"/>
      <c r="R3468" s="25"/>
      <c r="S3468" s="25"/>
      <c r="T3468" s="10"/>
    </row>
    <row r="3469" s="35" customFormat="1" ht="18.5" customHeight="1" spans="1:20">
      <c r="A3469" s="9"/>
      <c r="B3469" s="25"/>
      <c r="C3469" s="25"/>
      <c r="D3469" s="25"/>
      <c r="E3469" s="25"/>
      <c r="F3469" s="25"/>
      <c r="G3469" s="25"/>
      <c r="H3469" s="25"/>
      <c r="I3469" s="25"/>
      <c r="J3469" s="25"/>
      <c r="K3469" s="25"/>
      <c r="L3469" s="25"/>
      <c r="M3469" s="42" t="s">
        <v>253</v>
      </c>
      <c r="N3469" s="41">
        <v>45023</v>
      </c>
      <c r="O3469" s="25">
        <v>803</v>
      </c>
      <c r="P3469" s="25">
        <v>0</v>
      </c>
      <c r="Q3469" s="25"/>
      <c r="R3469" s="25"/>
      <c r="S3469" s="25"/>
      <c r="T3469" s="10"/>
    </row>
    <row r="3470" s="35" customFormat="1" ht="18.5" customHeight="1" spans="1:20">
      <c r="A3470" s="9"/>
      <c r="B3470" s="25"/>
      <c r="C3470" s="25"/>
      <c r="D3470" s="25"/>
      <c r="E3470" s="25"/>
      <c r="F3470" s="25"/>
      <c r="G3470" s="25"/>
      <c r="H3470" s="25"/>
      <c r="I3470" s="25"/>
      <c r="J3470" s="25"/>
      <c r="K3470" s="25"/>
      <c r="L3470" s="25"/>
      <c r="M3470" s="42" t="s">
        <v>253</v>
      </c>
      <c r="N3470" s="41">
        <v>45022</v>
      </c>
      <c r="O3470" s="25">
        <v>247</v>
      </c>
      <c r="P3470" s="25">
        <v>0</v>
      </c>
      <c r="Q3470" s="25"/>
      <c r="R3470" s="25"/>
      <c r="S3470" s="25"/>
      <c r="T3470" s="10"/>
    </row>
    <row r="3471" s="35" customFormat="1" ht="18.5" customHeight="1" spans="1:20">
      <c r="A3471" s="9"/>
      <c r="B3471" s="25"/>
      <c r="C3471" s="25"/>
      <c r="D3471" s="25"/>
      <c r="E3471" s="25"/>
      <c r="F3471" s="25"/>
      <c r="G3471" s="25"/>
      <c r="H3471" s="25"/>
      <c r="I3471" s="25"/>
      <c r="J3471" s="25"/>
      <c r="K3471" s="25"/>
      <c r="L3471" s="25"/>
      <c r="M3471" s="42" t="s">
        <v>253</v>
      </c>
      <c r="N3471" s="41">
        <v>45022</v>
      </c>
      <c r="O3471" s="25">
        <v>159</v>
      </c>
      <c r="P3471" s="25">
        <v>0</v>
      </c>
      <c r="Q3471" s="25"/>
      <c r="R3471" s="25"/>
      <c r="S3471" s="25"/>
      <c r="T3471" s="10"/>
    </row>
    <row r="3472" s="35" customFormat="1" ht="18.5" customHeight="1" spans="1:20">
      <c r="A3472" s="9"/>
      <c r="B3472" s="25"/>
      <c r="C3472" s="25"/>
      <c r="D3472" s="25"/>
      <c r="E3472" s="25"/>
      <c r="F3472" s="25"/>
      <c r="G3472" s="25"/>
      <c r="H3472" s="25"/>
      <c r="I3472" s="25"/>
      <c r="J3472" s="25"/>
      <c r="K3472" s="25"/>
      <c r="L3472" s="25"/>
      <c r="M3472" s="42" t="s">
        <v>253</v>
      </c>
      <c r="N3472" s="41">
        <v>45022</v>
      </c>
      <c r="O3472" s="25">
        <v>194</v>
      </c>
      <c r="P3472" s="25">
        <v>0</v>
      </c>
      <c r="Q3472" s="25"/>
      <c r="R3472" s="25"/>
      <c r="S3472" s="25"/>
      <c r="T3472" s="10"/>
    </row>
    <row r="3473" s="35" customFormat="1" ht="18.5" customHeight="1" spans="1:20">
      <c r="A3473" s="9"/>
      <c r="B3473" s="25"/>
      <c r="C3473" s="25"/>
      <c r="D3473" s="25"/>
      <c r="E3473" s="25"/>
      <c r="F3473" s="25"/>
      <c r="G3473" s="25"/>
      <c r="H3473" s="25"/>
      <c r="I3473" s="25"/>
      <c r="J3473" s="25"/>
      <c r="K3473" s="25"/>
      <c r="L3473" s="25"/>
      <c r="M3473" s="42" t="s">
        <v>253</v>
      </c>
      <c r="N3473" s="41">
        <v>45022</v>
      </c>
      <c r="O3473" s="25">
        <v>311</v>
      </c>
      <c r="P3473" s="25">
        <v>0</v>
      </c>
      <c r="Q3473" s="25"/>
      <c r="R3473" s="25"/>
      <c r="S3473" s="25"/>
      <c r="T3473" s="10"/>
    </row>
    <row r="3474" s="35" customFormat="1" ht="18.5" customHeight="1" spans="1:20">
      <c r="A3474" s="9"/>
      <c r="B3474" s="25"/>
      <c r="C3474" s="25"/>
      <c r="D3474" s="25"/>
      <c r="E3474" s="25"/>
      <c r="F3474" s="25"/>
      <c r="G3474" s="25"/>
      <c r="H3474" s="25"/>
      <c r="I3474" s="25"/>
      <c r="J3474" s="25"/>
      <c r="K3474" s="25"/>
      <c r="L3474" s="25"/>
      <c r="M3474" s="42" t="s">
        <v>253</v>
      </c>
      <c r="N3474" s="41">
        <v>45022</v>
      </c>
      <c r="O3474" s="25">
        <v>118</v>
      </c>
      <c r="P3474" s="25">
        <v>0</v>
      </c>
      <c r="Q3474" s="25"/>
      <c r="R3474" s="25"/>
      <c r="S3474" s="25"/>
      <c r="T3474" s="10"/>
    </row>
    <row r="3475" s="35" customFormat="1" ht="18.5" customHeight="1" spans="1:20">
      <c r="A3475" s="9"/>
      <c r="B3475" s="25"/>
      <c r="C3475" s="25"/>
      <c r="D3475" s="25"/>
      <c r="E3475" s="25"/>
      <c r="F3475" s="25"/>
      <c r="G3475" s="25"/>
      <c r="H3475" s="25"/>
      <c r="I3475" s="25"/>
      <c r="J3475" s="25"/>
      <c r="K3475" s="25"/>
      <c r="L3475" s="25"/>
      <c r="M3475" s="42" t="s">
        <v>253</v>
      </c>
      <c r="N3475" s="41">
        <v>45022</v>
      </c>
      <c r="O3475" s="25">
        <v>113</v>
      </c>
      <c r="P3475" s="25">
        <v>0</v>
      </c>
      <c r="Q3475" s="25"/>
      <c r="R3475" s="25"/>
      <c r="S3475" s="25"/>
      <c r="T3475" s="10"/>
    </row>
    <row r="3476" s="35" customFormat="1" ht="18.5" customHeight="1" spans="1:20">
      <c r="A3476" s="9"/>
      <c r="B3476" s="25"/>
      <c r="C3476" s="25"/>
      <c r="D3476" s="25"/>
      <c r="E3476" s="25"/>
      <c r="F3476" s="25"/>
      <c r="G3476" s="25"/>
      <c r="H3476" s="25"/>
      <c r="I3476" s="25"/>
      <c r="J3476" s="25"/>
      <c r="K3476" s="25"/>
      <c r="L3476" s="25"/>
      <c r="M3476" s="42" t="s">
        <v>253</v>
      </c>
      <c r="N3476" s="41">
        <v>45021</v>
      </c>
      <c r="O3476" s="25">
        <v>146</v>
      </c>
      <c r="P3476" s="25">
        <v>0</v>
      </c>
      <c r="Q3476" s="25"/>
      <c r="R3476" s="25"/>
      <c r="S3476" s="25"/>
      <c r="T3476" s="10"/>
    </row>
    <row r="3477" s="35" customFormat="1" ht="18.5" customHeight="1" spans="1:20">
      <c r="A3477" s="9"/>
      <c r="B3477" s="25"/>
      <c r="C3477" s="25"/>
      <c r="D3477" s="25"/>
      <c r="E3477" s="25"/>
      <c r="F3477" s="25"/>
      <c r="G3477" s="25"/>
      <c r="H3477" s="25"/>
      <c r="I3477" s="25"/>
      <c r="J3477" s="25"/>
      <c r="K3477" s="25"/>
      <c r="L3477" s="25"/>
      <c r="M3477" s="42" t="s">
        <v>253</v>
      </c>
      <c r="N3477" s="41">
        <v>45021</v>
      </c>
      <c r="O3477" s="25">
        <v>268</v>
      </c>
      <c r="P3477" s="25">
        <v>0</v>
      </c>
      <c r="Q3477" s="25"/>
      <c r="R3477" s="25"/>
      <c r="S3477" s="25"/>
      <c r="T3477" s="10"/>
    </row>
    <row r="3478" s="35" customFormat="1" ht="18.5" customHeight="1" spans="1:20">
      <c r="A3478" s="9"/>
      <c r="B3478" s="25"/>
      <c r="C3478" s="25"/>
      <c r="D3478" s="25"/>
      <c r="E3478" s="25"/>
      <c r="F3478" s="25"/>
      <c r="G3478" s="25"/>
      <c r="H3478" s="25"/>
      <c r="I3478" s="25"/>
      <c r="J3478" s="25"/>
      <c r="K3478" s="25"/>
      <c r="L3478" s="25"/>
      <c r="M3478" s="42" t="s">
        <v>253</v>
      </c>
      <c r="N3478" s="41">
        <v>45021</v>
      </c>
      <c r="O3478" s="25">
        <v>227</v>
      </c>
      <c r="P3478" s="25">
        <v>0</v>
      </c>
      <c r="Q3478" s="25"/>
      <c r="R3478" s="25"/>
      <c r="S3478" s="25"/>
      <c r="T3478" s="10"/>
    </row>
    <row r="3479" s="35" customFormat="1" ht="18.5" customHeight="1" spans="1:20">
      <c r="A3479" s="9"/>
      <c r="B3479" s="25"/>
      <c r="C3479" s="25"/>
      <c r="D3479" s="25"/>
      <c r="E3479" s="25"/>
      <c r="F3479" s="25"/>
      <c r="G3479" s="25"/>
      <c r="H3479" s="25"/>
      <c r="I3479" s="25"/>
      <c r="J3479" s="25"/>
      <c r="K3479" s="25"/>
      <c r="L3479" s="25"/>
      <c r="M3479" s="42" t="s">
        <v>253</v>
      </c>
      <c r="N3479" s="41">
        <v>45021</v>
      </c>
      <c r="O3479" s="25">
        <v>173</v>
      </c>
      <c r="P3479" s="25">
        <v>0</v>
      </c>
      <c r="Q3479" s="25"/>
      <c r="R3479" s="25"/>
      <c r="S3479" s="25"/>
      <c r="T3479" s="10"/>
    </row>
    <row r="3480" s="35" customFormat="1" ht="18.5" customHeight="1" spans="1:20">
      <c r="A3480" s="9"/>
      <c r="B3480" s="25"/>
      <c r="C3480" s="25"/>
      <c r="D3480" s="25"/>
      <c r="E3480" s="25"/>
      <c r="F3480" s="25"/>
      <c r="G3480" s="25"/>
      <c r="H3480" s="25"/>
      <c r="I3480" s="25"/>
      <c r="J3480" s="25"/>
      <c r="K3480" s="25"/>
      <c r="L3480" s="25"/>
      <c r="M3480" s="42" t="s">
        <v>253</v>
      </c>
      <c r="N3480" s="41">
        <v>45021</v>
      </c>
      <c r="O3480" s="25">
        <v>188</v>
      </c>
      <c r="P3480" s="25">
        <v>0</v>
      </c>
      <c r="Q3480" s="25"/>
      <c r="R3480" s="25"/>
      <c r="S3480" s="25"/>
      <c r="T3480" s="10"/>
    </row>
    <row r="3481" s="35" customFormat="1" ht="18.5" customHeight="1" spans="1:20">
      <c r="A3481" s="9"/>
      <c r="B3481" s="25"/>
      <c r="C3481" s="25"/>
      <c r="D3481" s="25"/>
      <c r="E3481" s="25"/>
      <c r="F3481" s="25"/>
      <c r="G3481" s="25"/>
      <c r="H3481" s="25"/>
      <c r="I3481" s="25"/>
      <c r="J3481" s="25"/>
      <c r="K3481" s="25"/>
      <c r="L3481" s="25"/>
      <c r="M3481" s="42" t="s">
        <v>253</v>
      </c>
      <c r="N3481" s="41">
        <v>45020</v>
      </c>
      <c r="O3481" s="25">
        <v>173</v>
      </c>
      <c r="P3481" s="25">
        <v>0</v>
      </c>
      <c r="Q3481" s="25"/>
      <c r="R3481" s="25"/>
      <c r="S3481" s="25"/>
      <c r="T3481" s="10"/>
    </row>
    <row r="3482" s="35" customFormat="1" ht="18.5" customHeight="1" spans="1:20">
      <c r="A3482" s="9"/>
      <c r="B3482" s="25"/>
      <c r="C3482" s="25"/>
      <c r="D3482" s="25"/>
      <c r="E3482" s="25"/>
      <c r="F3482" s="25"/>
      <c r="G3482" s="25"/>
      <c r="H3482" s="25"/>
      <c r="I3482" s="25"/>
      <c r="J3482" s="25"/>
      <c r="K3482" s="25"/>
      <c r="L3482" s="25"/>
      <c r="M3482" s="42" t="s">
        <v>253</v>
      </c>
      <c r="N3482" s="41">
        <v>45020</v>
      </c>
      <c r="O3482" s="25">
        <v>166</v>
      </c>
      <c r="P3482" s="25">
        <v>0</v>
      </c>
      <c r="Q3482" s="25"/>
      <c r="R3482" s="25"/>
      <c r="S3482" s="25"/>
      <c r="T3482" s="10"/>
    </row>
    <row r="3483" s="35" customFormat="1" ht="18.5" customHeight="1" spans="1:20">
      <c r="A3483" s="9"/>
      <c r="B3483" s="25"/>
      <c r="C3483" s="25"/>
      <c r="D3483" s="25"/>
      <c r="E3483" s="25"/>
      <c r="F3483" s="25"/>
      <c r="G3483" s="25"/>
      <c r="H3483" s="25"/>
      <c r="I3483" s="25"/>
      <c r="J3483" s="25"/>
      <c r="K3483" s="25"/>
      <c r="L3483" s="25"/>
      <c r="M3483" s="42" t="s">
        <v>253</v>
      </c>
      <c r="N3483" s="41">
        <v>45020</v>
      </c>
      <c r="O3483" s="25">
        <v>109</v>
      </c>
      <c r="P3483" s="25">
        <v>0</v>
      </c>
      <c r="Q3483" s="25"/>
      <c r="R3483" s="25"/>
      <c r="S3483" s="25"/>
      <c r="T3483" s="10"/>
    </row>
    <row r="3484" s="35" customFormat="1" ht="18.5" customHeight="1" spans="1:20">
      <c r="A3484" s="9"/>
      <c r="B3484" s="25"/>
      <c r="C3484" s="25"/>
      <c r="D3484" s="25"/>
      <c r="E3484" s="25"/>
      <c r="F3484" s="25"/>
      <c r="G3484" s="25"/>
      <c r="H3484" s="25"/>
      <c r="I3484" s="25"/>
      <c r="J3484" s="25"/>
      <c r="K3484" s="25"/>
      <c r="L3484" s="25"/>
      <c r="M3484" s="42" t="s">
        <v>253</v>
      </c>
      <c r="N3484" s="41">
        <v>45020</v>
      </c>
      <c r="O3484" s="25">
        <v>85</v>
      </c>
      <c r="P3484" s="25">
        <v>0</v>
      </c>
      <c r="Q3484" s="25"/>
      <c r="R3484" s="25"/>
      <c r="S3484" s="25"/>
      <c r="T3484" s="10"/>
    </row>
    <row r="3485" s="35" customFormat="1" ht="18.5" customHeight="1" spans="1:20">
      <c r="A3485" s="9"/>
      <c r="B3485" s="25"/>
      <c r="C3485" s="25"/>
      <c r="D3485" s="25"/>
      <c r="E3485" s="25"/>
      <c r="F3485" s="25"/>
      <c r="G3485" s="25"/>
      <c r="H3485" s="25"/>
      <c r="I3485" s="25"/>
      <c r="J3485" s="25"/>
      <c r="K3485" s="25"/>
      <c r="L3485" s="25"/>
      <c r="M3485" s="42" t="s">
        <v>253</v>
      </c>
      <c r="N3485" s="41">
        <v>45020</v>
      </c>
      <c r="O3485" s="25">
        <v>103</v>
      </c>
      <c r="P3485" s="25">
        <v>0</v>
      </c>
      <c r="Q3485" s="25"/>
      <c r="R3485" s="25"/>
      <c r="S3485" s="25"/>
      <c r="T3485" s="10"/>
    </row>
    <row r="3486" s="35" customFormat="1" ht="18.5" customHeight="1" spans="1:20">
      <c r="A3486" s="9"/>
      <c r="B3486" s="25"/>
      <c r="C3486" s="25"/>
      <c r="D3486" s="25"/>
      <c r="E3486" s="25"/>
      <c r="F3486" s="25"/>
      <c r="G3486" s="25"/>
      <c r="H3486" s="25"/>
      <c r="I3486" s="25"/>
      <c r="J3486" s="25"/>
      <c r="K3486" s="25"/>
      <c r="L3486" s="25"/>
      <c r="M3486" s="42" t="s">
        <v>253</v>
      </c>
      <c r="N3486" s="41">
        <v>45020</v>
      </c>
      <c r="O3486" s="25">
        <v>235</v>
      </c>
      <c r="P3486" s="25">
        <v>0</v>
      </c>
      <c r="Q3486" s="25"/>
      <c r="R3486" s="25"/>
      <c r="S3486" s="25"/>
      <c r="T3486" s="10"/>
    </row>
    <row r="3487" s="35" customFormat="1" ht="18.5" customHeight="1" spans="1:20">
      <c r="A3487" s="9"/>
      <c r="B3487" s="25"/>
      <c r="C3487" s="25"/>
      <c r="D3487" s="25"/>
      <c r="E3487" s="25"/>
      <c r="F3487" s="25"/>
      <c r="G3487" s="25"/>
      <c r="H3487" s="25"/>
      <c r="I3487" s="25"/>
      <c r="J3487" s="25"/>
      <c r="K3487" s="25"/>
      <c r="L3487" s="25"/>
      <c r="M3487" s="42" t="s">
        <v>253</v>
      </c>
      <c r="N3487" s="41">
        <v>45020</v>
      </c>
      <c r="O3487" s="25">
        <v>107</v>
      </c>
      <c r="P3487" s="25">
        <v>0</v>
      </c>
      <c r="Q3487" s="25"/>
      <c r="R3487" s="25"/>
      <c r="S3487" s="25"/>
      <c r="T3487" s="10"/>
    </row>
    <row r="3488" s="35" customFormat="1" ht="18.5" customHeight="1" spans="1:20">
      <c r="A3488" s="9"/>
      <c r="B3488" s="25"/>
      <c r="C3488" s="25"/>
      <c r="D3488" s="25"/>
      <c r="E3488" s="25"/>
      <c r="F3488" s="25"/>
      <c r="G3488" s="25"/>
      <c r="H3488" s="25"/>
      <c r="I3488" s="25"/>
      <c r="J3488" s="25"/>
      <c r="K3488" s="25"/>
      <c r="L3488" s="25"/>
      <c r="M3488" s="42" t="s">
        <v>253</v>
      </c>
      <c r="N3488" s="41">
        <v>45020</v>
      </c>
      <c r="O3488" s="25">
        <v>357</v>
      </c>
      <c r="P3488" s="25">
        <v>0</v>
      </c>
      <c r="Q3488" s="25"/>
      <c r="R3488" s="25"/>
      <c r="S3488" s="25"/>
      <c r="T3488" s="10"/>
    </row>
    <row r="3489" s="35" customFormat="1" ht="18.5" customHeight="1" spans="1:20">
      <c r="A3489" s="9"/>
      <c r="B3489" s="25"/>
      <c r="C3489" s="25"/>
      <c r="D3489" s="25"/>
      <c r="E3489" s="25"/>
      <c r="F3489" s="25"/>
      <c r="G3489" s="25"/>
      <c r="H3489" s="25"/>
      <c r="I3489" s="25"/>
      <c r="J3489" s="25"/>
      <c r="K3489" s="25"/>
      <c r="L3489" s="25"/>
      <c r="M3489" s="42" t="s">
        <v>253</v>
      </c>
      <c r="N3489" s="41">
        <v>45020</v>
      </c>
      <c r="O3489" s="25">
        <v>282</v>
      </c>
      <c r="P3489" s="25">
        <v>0</v>
      </c>
      <c r="Q3489" s="25"/>
      <c r="R3489" s="25"/>
      <c r="S3489" s="25"/>
      <c r="T3489" s="10"/>
    </row>
    <row r="3490" s="35" customFormat="1" ht="18.5" customHeight="1" spans="1:20">
      <c r="A3490" s="9"/>
      <c r="B3490" s="25"/>
      <c r="C3490" s="25"/>
      <c r="D3490" s="25"/>
      <c r="E3490" s="25"/>
      <c r="F3490" s="25"/>
      <c r="G3490" s="25"/>
      <c r="H3490" s="25"/>
      <c r="I3490" s="25"/>
      <c r="J3490" s="25"/>
      <c r="K3490" s="25"/>
      <c r="L3490" s="25"/>
      <c r="M3490" s="42" t="s">
        <v>253</v>
      </c>
      <c r="N3490" s="41">
        <v>45020</v>
      </c>
      <c r="O3490" s="25">
        <v>100</v>
      </c>
      <c r="P3490" s="25">
        <v>0</v>
      </c>
      <c r="Q3490" s="25"/>
      <c r="R3490" s="25"/>
      <c r="S3490" s="25"/>
      <c r="T3490" s="10"/>
    </row>
    <row r="3491" s="35" customFormat="1" ht="18.5" customHeight="1" spans="1:20">
      <c r="A3491" s="9"/>
      <c r="B3491" s="25"/>
      <c r="C3491" s="25"/>
      <c r="D3491" s="25"/>
      <c r="E3491" s="25"/>
      <c r="F3491" s="25"/>
      <c r="G3491" s="25"/>
      <c r="H3491" s="25"/>
      <c r="I3491" s="25"/>
      <c r="J3491" s="25"/>
      <c r="K3491" s="25"/>
      <c r="L3491" s="25"/>
      <c r="M3491" s="42" t="s">
        <v>253</v>
      </c>
      <c r="N3491" s="41">
        <v>45020</v>
      </c>
      <c r="O3491" s="25">
        <v>268</v>
      </c>
      <c r="P3491" s="25">
        <v>0</v>
      </c>
      <c r="Q3491" s="25"/>
      <c r="R3491" s="25"/>
      <c r="S3491" s="25"/>
      <c r="T3491" s="10"/>
    </row>
    <row r="3492" s="35" customFormat="1" ht="18.5" customHeight="1" spans="1:20">
      <c r="A3492" s="9"/>
      <c r="B3492" s="25"/>
      <c r="C3492" s="25"/>
      <c r="D3492" s="25"/>
      <c r="E3492" s="25"/>
      <c r="F3492" s="25"/>
      <c r="G3492" s="25"/>
      <c r="H3492" s="25"/>
      <c r="I3492" s="25"/>
      <c r="J3492" s="25"/>
      <c r="K3492" s="25"/>
      <c r="L3492" s="25"/>
      <c r="M3492" s="42" t="s">
        <v>253</v>
      </c>
      <c r="N3492" s="41">
        <v>45020</v>
      </c>
      <c r="O3492" s="25">
        <v>143</v>
      </c>
      <c r="P3492" s="25">
        <v>0</v>
      </c>
      <c r="Q3492" s="25"/>
      <c r="R3492" s="25"/>
      <c r="S3492" s="25"/>
      <c r="T3492" s="10"/>
    </row>
    <row r="3493" s="35" customFormat="1" ht="18.5" customHeight="1" spans="1:20">
      <c r="A3493" s="9"/>
      <c r="B3493" s="25"/>
      <c r="C3493" s="25"/>
      <c r="D3493" s="25"/>
      <c r="E3493" s="25"/>
      <c r="F3493" s="25"/>
      <c r="G3493" s="25"/>
      <c r="H3493" s="25"/>
      <c r="I3493" s="25"/>
      <c r="J3493" s="25"/>
      <c r="K3493" s="25"/>
      <c r="L3493" s="25"/>
      <c r="M3493" s="42" t="s">
        <v>253</v>
      </c>
      <c r="N3493" s="41">
        <v>45020</v>
      </c>
      <c r="O3493" s="25">
        <v>721</v>
      </c>
      <c r="P3493" s="25">
        <v>0</v>
      </c>
      <c r="Q3493" s="25"/>
      <c r="R3493" s="25"/>
      <c r="S3493" s="25"/>
      <c r="T3493" s="10"/>
    </row>
    <row r="3494" s="35" customFormat="1" ht="18.5" customHeight="1" spans="1:20">
      <c r="A3494" s="9"/>
      <c r="B3494" s="25"/>
      <c r="C3494" s="25"/>
      <c r="D3494" s="25"/>
      <c r="E3494" s="25"/>
      <c r="F3494" s="25"/>
      <c r="G3494" s="25"/>
      <c r="H3494" s="25"/>
      <c r="I3494" s="25"/>
      <c r="J3494" s="25"/>
      <c r="K3494" s="25"/>
      <c r="L3494" s="25"/>
      <c r="M3494" s="42" t="s">
        <v>253</v>
      </c>
      <c r="N3494" s="41">
        <v>45019</v>
      </c>
      <c r="O3494" s="25">
        <v>100</v>
      </c>
      <c r="P3494" s="25">
        <v>0</v>
      </c>
      <c r="Q3494" s="25"/>
      <c r="R3494" s="25"/>
      <c r="S3494" s="25"/>
      <c r="T3494" s="10"/>
    </row>
    <row r="3495" s="35" customFormat="1" ht="18.5" customHeight="1" spans="1:20">
      <c r="A3495" s="9"/>
      <c r="B3495" s="25"/>
      <c r="C3495" s="25"/>
      <c r="D3495" s="25"/>
      <c r="E3495" s="25"/>
      <c r="F3495" s="25"/>
      <c r="G3495" s="25"/>
      <c r="H3495" s="25"/>
      <c r="I3495" s="25"/>
      <c r="J3495" s="25"/>
      <c r="K3495" s="25"/>
      <c r="L3495" s="25"/>
      <c r="M3495" s="42" t="s">
        <v>253</v>
      </c>
      <c r="N3495" s="41">
        <v>45019</v>
      </c>
      <c r="O3495" s="25">
        <v>174</v>
      </c>
      <c r="P3495" s="25">
        <v>0</v>
      </c>
      <c r="Q3495" s="25"/>
      <c r="R3495" s="25"/>
      <c r="S3495" s="25"/>
      <c r="T3495" s="10"/>
    </row>
    <row r="3496" s="35" customFormat="1" ht="18.5" customHeight="1" spans="1:20">
      <c r="A3496" s="9"/>
      <c r="B3496" s="25"/>
      <c r="C3496" s="25"/>
      <c r="D3496" s="25"/>
      <c r="E3496" s="25"/>
      <c r="F3496" s="25"/>
      <c r="G3496" s="25"/>
      <c r="H3496" s="25"/>
      <c r="I3496" s="25"/>
      <c r="J3496" s="25"/>
      <c r="K3496" s="25"/>
      <c r="L3496" s="25"/>
      <c r="M3496" s="42" t="s">
        <v>253</v>
      </c>
      <c r="N3496" s="41">
        <v>45019</v>
      </c>
      <c r="O3496" s="25">
        <v>145</v>
      </c>
      <c r="P3496" s="25">
        <v>0</v>
      </c>
      <c r="Q3496" s="25"/>
      <c r="R3496" s="25"/>
      <c r="S3496" s="25"/>
      <c r="T3496" s="10"/>
    </row>
    <row r="3497" s="35" customFormat="1" ht="18.5" customHeight="1" spans="1:20">
      <c r="A3497" s="9"/>
      <c r="B3497" s="25"/>
      <c r="C3497" s="25"/>
      <c r="D3497" s="25"/>
      <c r="E3497" s="25"/>
      <c r="F3497" s="25"/>
      <c r="G3497" s="25"/>
      <c r="H3497" s="25"/>
      <c r="I3497" s="25"/>
      <c r="J3497" s="25"/>
      <c r="K3497" s="25"/>
      <c r="L3497" s="25"/>
      <c r="M3497" s="42" t="s">
        <v>253</v>
      </c>
      <c r="N3497" s="41">
        <v>45019</v>
      </c>
      <c r="O3497" s="25">
        <v>655</v>
      </c>
      <c r="P3497" s="25">
        <v>0</v>
      </c>
      <c r="Q3497" s="25"/>
      <c r="R3497" s="25"/>
      <c r="S3497" s="25"/>
      <c r="T3497" s="10"/>
    </row>
    <row r="3498" s="35" customFormat="1" ht="18.5" customHeight="1" spans="1:20">
      <c r="A3498" s="9"/>
      <c r="B3498" s="25"/>
      <c r="C3498" s="25"/>
      <c r="D3498" s="25"/>
      <c r="E3498" s="25"/>
      <c r="F3498" s="25"/>
      <c r="G3498" s="25"/>
      <c r="H3498" s="25"/>
      <c r="I3498" s="25"/>
      <c r="J3498" s="25"/>
      <c r="K3498" s="25"/>
      <c r="L3498" s="25"/>
      <c r="M3498" s="42" t="s">
        <v>253</v>
      </c>
      <c r="N3498" s="41">
        <v>45019</v>
      </c>
      <c r="O3498" s="25">
        <v>95</v>
      </c>
      <c r="P3498" s="25">
        <v>0</v>
      </c>
      <c r="Q3498" s="25"/>
      <c r="R3498" s="25"/>
      <c r="S3498" s="25"/>
      <c r="T3498" s="10"/>
    </row>
    <row r="3499" s="35" customFormat="1" ht="18.5" customHeight="1" spans="1:20">
      <c r="A3499" s="9"/>
      <c r="B3499" s="25"/>
      <c r="C3499" s="25"/>
      <c r="D3499" s="25"/>
      <c r="E3499" s="25"/>
      <c r="F3499" s="25"/>
      <c r="G3499" s="25"/>
      <c r="H3499" s="25"/>
      <c r="I3499" s="25"/>
      <c r="J3499" s="25"/>
      <c r="K3499" s="25"/>
      <c r="L3499" s="25"/>
      <c r="M3499" s="42" t="s">
        <v>253</v>
      </c>
      <c r="N3499" s="41">
        <v>45019</v>
      </c>
      <c r="O3499" s="25">
        <v>253</v>
      </c>
      <c r="P3499" s="25">
        <v>0</v>
      </c>
      <c r="Q3499" s="25"/>
      <c r="R3499" s="25"/>
      <c r="S3499" s="25"/>
      <c r="T3499" s="10"/>
    </row>
    <row r="3500" s="35" customFormat="1" ht="18.5" customHeight="1" spans="1:20">
      <c r="A3500" s="9"/>
      <c r="B3500" s="25"/>
      <c r="C3500" s="25"/>
      <c r="D3500" s="25"/>
      <c r="E3500" s="25"/>
      <c r="F3500" s="25"/>
      <c r="G3500" s="25"/>
      <c r="H3500" s="25"/>
      <c r="I3500" s="25"/>
      <c r="J3500" s="25"/>
      <c r="K3500" s="25"/>
      <c r="L3500" s="25"/>
      <c r="M3500" s="42" t="s">
        <v>253</v>
      </c>
      <c r="N3500" s="41">
        <v>45019</v>
      </c>
      <c r="O3500" s="25">
        <v>130</v>
      </c>
      <c r="P3500" s="25">
        <v>0</v>
      </c>
      <c r="Q3500" s="25"/>
      <c r="R3500" s="25"/>
      <c r="S3500" s="25"/>
      <c r="T3500" s="10"/>
    </row>
    <row r="3501" s="35" customFormat="1" ht="18.5" customHeight="1" spans="1:20">
      <c r="A3501" s="9"/>
      <c r="B3501" s="25"/>
      <c r="C3501" s="25"/>
      <c r="D3501" s="25"/>
      <c r="E3501" s="25"/>
      <c r="F3501" s="25"/>
      <c r="G3501" s="25"/>
      <c r="H3501" s="25"/>
      <c r="I3501" s="25"/>
      <c r="J3501" s="25"/>
      <c r="K3501" s="25"/>
      <c r="L3501" s="25"/>
      <c r="M3501" s="42" t="s">
        <v>253</v>
      </c>
      <c r="N3501" s="41">
        <v>45019</v>
      </c>
      <c r="O3501" s="25">
        <v>172</v>
      </c>
      <c r="P3501" s="25">
        <v>0</v>
      </c>
      <c r="Q3501" s="25"/>
      <c r="R3501" s="25"/>
      <c r="S3501" s="25"/>
      <c r="T3501" s="10"/>
    </row>
    <row r="3502" s="35" customFormat="1" ht="18.5" customHeight="1" spans="1:20">
      <c r="A3502" s="9"/>
      <c r="B3502" s="25"/>
      <c r="C3502" s="25"/>
      <c r="D3502" s="25"/>
      <c r="E3502" s="25"/>
      <c r="F3502" s="25"/>
      <c r="G3502" s="25"/>
      <c r="H3502" s="25"/>
      <c r="I3502" s="25"/>
      <c r="J3502" s="25"/>
      <c r="K3502" s="25"/>
      <c r="L3502" s="25"/>
      <c r="M3502" s="42" t="s">
        <v>253</v>
      </c>
      <c r="N3502" s="41">
        <v>45019</v>
      </c>
      <c r="O3502" s="25">
        <v>93</v>
      </c>
      <c r="P3502" s="25">
        <v>0</v>
      </c>
      <c r="Q3502" s="25"/>
      <c r="R3502" s="25"/>
      <c r="S3502" s="25"/>
      <c r="T3502" s="10"/>
    </row>
    <row r="3503" s="35" customFormat="1" ht="18.5" customHeight="1" spans="1:20">
      <c r="A3503" s="9"/>
      <c r="B3503" s="25"/>
      <c r="C3503" s="25"/>
      <c r="D3503" s="25"/>
      <c r="E3503" s="25"/>
      <c r="F3503" s="25"/>
      <c r="G3503" s="25"/>
      <c r="H3503" s="25"/>
      <c r="I3503" s="25"/>
      <c r="J3503" s="25"/>
      <c r="K3503" s="25"/>
      <c r="L3503" s="25"/>
      <c r="M3503" s="42" t="s">
        <v>253</v>
      </c>
      <c r="N3503" s="41">
        <v>45019</v>
      </c>
      <c r="O3503" s="25">
        <v>203</v>
      </c>
      <c r="P3503" s="25">
        <v>0</v>
      </c>
      <c r="Q3503" s="25"/>
      <c r="R3503" s="25"/>
      <c r="S3503" s="25"/>
      <c r="T3503" s="10"/>
    </row>
    <row r="3504" s="35" customFormat="1" ht="18.5" customHeight="1" spans="1:20">
      <c r="A3504" s="9"/>
      <c r="B3504" s="25"/>
      <c r="C3504" s="25"/>
      <c r="D3504" s="25"/>
      <c r="E3504" s="25"/>
      <c r="F3504" s="25"/>
      <c r="G3504" s="25"/>
      <c r="H3504" s="25"/>
      <c r="I3504" s="25"/>
      <c r="J3504" s="25"/>
      <c r="K3504" s="25"/>
      <c r="L3504" s="25"/>
      <c r="M3504" s="42" t="s">
        <v>253</v>
      </c>
      <c r="N3504" s="41">
        <v>45019</v>
      </c>
      <c r="O3504" s="25">
        <v>127</v>
      </c>
      <c r="P3504" s="25">
        <v>0</v>
      </c>
      <c r="Q3504" s="25"/>
      <c r="R3504" s="25"/>
      <c r="S3504" s="25"/>
      <c r="T3504" s="10"/>
    </row>
    <row r="3505" s="35" customFormat="1" ht="18.5" customHeight="1" spans="1:20">
      <c r="A3505" s="9"/>
      <c r="B3505" s="25"/>
      <c r="C3505" s="25"/>
      <c r="D3505" s="25"/>
      <c r="E3505" s="25"/>
      <c r="F3505" s="25"/>
      <c r="G3505" s="25"/>
      <c r="H3505" s="25"/>
      <c r="I3505" s="25"/>
      <c r="J3505" s="25"/>
      <c r="K3505" s="25"/>
      <c r="L3505" s="25"/>
      <c r="M3505" s="42" t="s">
        <v>253</v>
      </c>
      <c r="N3505" s="41">
        <v>45019</v>
      </c>
      <c r="O3505" s="25">
        <v>194</v>
      </c>
      <c r="P3505" s="25">
        <v>0</v>
      </c>
      <c r="Q3505" s="25"/>
      <c r="R3505" s="25"/>
      <c r="S3505" s="25"/>
      <c r="T3505" s="10"/>
    </row>
    <row r="3506" s="35" customFormat="1" ht="18.5" customHeight="1" spans="1:20">
      <c r="A3506" s="9"/>
      <c r="B3506" s="25"/>
      <c r="C3506" s="25"/>
      <c r="D3506" s="25"/>
      <c r="E3506" s="25"/>
      <c r="F3506" s="25"/>
      <c r="G3506" s="25"/>
      <c r="H3506" s="25"/>
      <c r="I3506" s="25"/>
      <c r="J3506" s="25"/>
      <c r="K3506" s="25"/>
      <c r="L3506" s="25"/>
      <c r="M3506" s="42" t="s">
        <v>253</v>
      </c>
      <c r="N3506" s="41">
        <v>45019</v>
      </c>
      <c r="O3506" s="25">
        <v>168</v>
      </c>
      <c r="P3506" s="25">
        <v>0</v>
      </c>
      <c r="Q3506" s="25"/>
      <c r="R3506" s="25"/>
      <c r="S3506" s="25"/>
      <c r="T3506" s="10"/>
    </row>
    <row r="3507" s="35" customFormat="1" ht="18.5" customHeight="1" spans="1:20">
      <c r="A3507" s="9"/>
      <c r="B3507" s="25"/>
      <c r="C3507" s="25"/>
      <c r="D3507" s="25"/>
      <c r="E3507" s="25"/>
      <c r="F3507" s="25"/>
      <c r="G3507" s="25"/>
      <c r="H3507" s="25"/>
      <c r="I3507" s="25"/>
      <c r="J3507" s="25"/>
      <c r="K3507" s="25"/>
      <c r="L3507" s="25"/>
      <c r="M3507" s="42" t="s">
        <v>253</v>
      </c>
      <c r="N3507" s="41">
        <v>45019</v>
      </c>
      <c r="O3507" s="25">
        <v>87</v>
      </c>
      <c r="P3507" s="25">
        <v>0</v>
      </c>
      <c r="Q3507" s="25"/>
      <c r="R3507" s="25"/>
      <c r="S3507" s="25"/>
      <c r="T3507" s="10"/>
    </row>
    <row r="3508" s="35" customFormat="1" ht="18.5" customHeight="1" spans="1:20">
      <c r="A3508" s="9"/>
      <c r="B3508" s="25"/>
      <c r="C3508" s="25"/>
      <c r="D3508" s="25"/>
      <c r="E3508" s="25"/>
      <c r="F3508" s="25"/>
      <c r="G3508" s="25"/>
      <c r="H3508" s="25"/>
      <c r="I3508" s="25"/>
      <c r="J3508" s="25"/>
      <c r="K3508" s="25"/>
      <c r="L3508" s="25"/>
      <c r="M3508" s="42" t="s">
        <v>253</v>
      </c>
      <c r="N3508" s="41">
        <v>45019</v>
      </c>
      <c r="O3508" s="25">
        <v>135</v>
      </c>
      <c r="P3508" s="25">
        <v>0</v>
      </c>
      <c r="Q3508" s="25"/>
      <c r="R3508" s="25"/>
      <c r="S3508" s="25"/>
      <c r="T3508" s="10"/>
    </row>
    <row r="3509" s="35" customFormat="1" ht="18.5" customHeight="1" spans="1:20">
      <c r="A3509" s="9"/>
      <c r="B3509" s="25"/>
      <c r="C3509" s="25"/>
      <c r="D3509" s="25"/>
      <c r="E3509" s="25"/>
      <c r="F3509" s="25"/>
      <c r="G3509" s="25"/>
      <c r="H3509" s="25"/>
      <c r="I3509" s="25"/>
      <c r="J3509" s="25"/>
      <c r="K3509" s="25"/>
      <c r="L3509" s="25"/>
      <c r="M3509" s="42" t="s">
        <v>253</v>
      </c>
      <c r="N3509" s="41">
        <v>45019</v>
      </c>
      <c r="O3509" s="25">
        <v>210</v>
      </c>
      <c r="P3509" s="25">
        <v>0</v>
      </c>
      <c r="Q3509" s="25"/>
      <c r="R3509" s="25"/>
      <c r="S3509" s="25"/>
      <c r="T3509" s="10"/>
    </row>
    <row r="3510" s="35" customFormat="1" ht="18.5" customHeight="1" spans="1:20">
      <c r="A3510" s="9"/>
      <c r="B3510" s="25"/>
      <c r="C3510" s="25"/>
      <c r="D3510" s="25"/>
      <c r="E3510" s="25"/>
      <c r="F3510" s="25"/>
      <c r="G3510" s="25"/>
      <c r="H3510" s="25"/>
      <c r="I3510" s="25"/>
      <c r="J3510" s="25"/>
      <c r="K3510" s="25"/>
      <c r="L3510" s="25"/>
      <c r="M3510" s="42" t="s">
        <v>253</v>
      </c>
      <c r="N3510" s="41">
        <v>45019</v>
      </c>
      <c r="O3510" s="25">
        <v>182</v>
      </c>
      <c r="P3510" s="25">
        <v>0</v>
      </c>
      <c r="Q3510" s="25"/>
      <c r="R3510" s="25"/>
      <c r="S3510" s="25"/>
      <c r="T3510" s="10"/>
    </row>
    <row r="3511" s="35" customFormat="1" ht="18.5" customHeight="1" spans="1:20">
      <c r="A3511" s="9"/>
      <c r="B3511" s="25"/>
      <c r="C3511" s="25"/>
      <c r="D3511" s="25"/>
      <c r="E3511" s="25"/>
      <c r="F3511" s="25"/>
      <c r="G3511" s="25"/>
      <c r="H3511" s="25"/>
      <c r="I3511" s="25"/>
      <c r="J3511" s="25"/>
      <c r="K3511" s="25"/>
      <c r="L3511" s="25"/>
      <c r="M3511" s="42" t="s">
        <v>253</v>
      </c>
      <c r="N3511" s="41">
        <v>45018</v>
      </c>
      <c r="O3511" s="25">
        <v>318</v>
      </c>
      <c r="P3511" s="25">
        <v>0</v>
      </c>
      <c r="Q3511" s="25"/>
      <c r="R3511" s="25"/>
      <c r="S3511" s="25"/>
      <c r="T3511" s="10"/>
    </row>
    <row r="3512" s="35" customFormat="1" ht="18.5" customHeight="1" spans="1:20">
      <c r="A3512" s="9"/>
      <c r="B3512" s="25"/>
      <c r="C3512" s="25"/>
      <c r="D3512" s="25"/>
      <c r="E3512" s="25"/>
      <c r="F3512" s="25"/>
      <c r="G3512" s="25"/>
      <c r="H3512" s="25"/>
      <c r="I3512" s="25"/>
      <c r="J3512" s="25"/>
      <c r="K3512" s="25"/>
      <c r="L3512" s="25"/>
      <c r="M3512" s="42" t="s">
        <v>253</v>
      </c>
      <c r="N3512" s="41">
        <v>45018</v>
      </c>
      <c r="O3512" s="25">
        <v>215</v>
      </c>
      <c r="P3512" s="25">
        <v>0</v>
      </c>
      <c r="Q3512" s="25"/>
      <c r="R3512" s="25"/>
      <c r="S3512" s="25"/>
      <c r="T3512" s="10"/>
    </row>
    <row r="3513" s="35" customFormat="1" ht="18.5" customHeight="1" spans="1:20">
      <c r="A3513" s="9"/>
      <c r="B3513" s="25"/>
      <c r="C3513" s="25"/>
      <c r="D3513" s="25"/>
      <c r="E3513" s="25"/>
      <c r="F3513" s="25"/>
      <c r="G3513" s="25"/>
      <c r="H3513" s="25"/>
      <c r="I3513" s="25"/>
      <c r="J3513" s="25"/>
      <c r="K3513" s="25"/>
      <c r="L3513" s="25"/>
      <c r="M3513" s="42" t="s">
        <v>253</v>
      </c>
      <c r="N3513" s="41">
        <v>45018</v>
      </c>
      <c r="O3513" s="25">
        <v>109</v>
      </c>
      <c r="P3513" s="25">
        <v>0</v>
      </c>
      <c r="Q3513" s="25"/>
      <c r="R3513" s="25"/>
      <c r="S3513" s="25"/>
      <c r="T3513" s="10"/>
    </row>
    <row r="3514" s="35" customFormat="1" ht="18.5" customHeight="1" spans="1:20">
      <c r="A3514" s="9"/>
      <c r="B3514" s="25"/>
      <c r="C3514" s="25"/>
      <c r="D3514" s="25"/>
      <c r="E3514" s="25"/>
      <c r="F3514" s="25"/>
      <c r="G3514" s="25"/>
      <c r="H3514" s="25"/>
      <c r="I3514" s="25"/>
      <c r="J3514" s="25"/>
      <c r="K3514" s="25"/>
      <c r="L3514" s="25"/>
      <c r="M3514" s="42" t="s">
        <v>253</v>
      </c>
      <c r="N3514" s="41">
        <v>45018</v>
      </c>
      <c r="O3514" s="25">
        <v>141</v>
      </c>
      <c r="P3514" s="25">
        <v>0</v>
      </c>
      <c r="Q3514" s="25"/>
      <c r="R3514" s="25"/>
      <c r="S3514" s="25"/>
      <c r="T3514" s="10"/>
    </row>
    <row r="3515" s="35" customFormat="1" ht="18.5" customHeight="1" spans="1:20">
      <c r="A3515" s="9"/>
      <c r="B3515" s="25"/>
      <c r="C3515" s="25"/>
      <c r="D3515" s="25"/>
      <c r="E3515" s="25"/>
      <c r="F3515" s="25"/>
      <c r="G3515" s="25"/>
      <c r="H3515" s="25"/>
      <c r="I3515" s="25"/>
      <c r="J3515" s="25"/>
      <c r="K3515" s="25"/>
      <c r="L3515" s="25"/>
      <c r="M3515" s="42" t="s">
        <v>253</v>
      </c>
      <c r="N3515" s="41">
        <v>45018</v>
      </c>
      <c r="O3515" s="25">
        <v>810</v>
      </c>
      <c r="P3515" s="25">
        <v>0</v>
      </c>
      <c r="Q3515" s="25"/>
      <c r="R3515" s="25"/>
      <c r="S3515" s="25"/>
      <c r="T3515" s="10"/>
    </row>
    <row r="3516" s="35" customFormat="1" ht="18.5" customHeight="1" spans="1:20">
      <c r="A3516" s="9"/>
      <c r="B3516" s="25"/>
      <c r="C3516" s="25"/>
      <c r="D3516" s="25"/>
      <c r="E3516" s="25"/>
      <c r="F3516" s="25"/>
      <c r="G3516" s="25"/>
      <c r="H3516" s="25"/>
      <c r="I3516" s="25"/>
      <c r="J3516" s="25"/>
      <c r="K3516" s="25"/>
      <c r="L3516" s="25"/>
      <c r="M3516" s="42" t="s">
        <v>253</v>
      </c>
      <c r="N3516" s="41">
        <v>45018</v>
      </c>
      <c r="O3516" s="25">
        <v>227</v>
      </c>
      <c r="P3516" s="25">
        <v>0</v>
      </c>
      <c r="Q3516" s="25"/>
      <c r="R3516" s="25"/>
      <c r="S3516" s="25"/>
      <c r="T3516" s="10"/>
    </row>
    <row r="3517" s="35" customFormat="1" ht="18.5" customHeight="1" spans="1:20">
      <c r="A3517" s="9"/>
      <c r="B3517" s="25"/>
      <c r="C3517" s="25"/>
      <c r="D3517" s="25"/>
      <c r="E3517" s="25"/>
      <c r="F3517" s="25"/>
      <c r="G3517" s="25"/>
      <c r="H3517" s="25"/>
      <c r="I3517" s="25"/>
      <c r="J3517" s="25"/>
      <c r="K3517" s="25"/>
      <c r="L3517" s="25"/>
      <c r="M3517" s="42" t="s">
        <v>253</v>
      </c>
      <c r="N3517" s="41">
        <v>45018</v>
      </c>
      <c r="O3517" s="25">
        <v>177</v>
      </c>
      <c r="P3517" s="25">
        <v>0</v>
      </c>
      <c r="Q3517" s="25"/>
      <c r="R3517" s="25"/>
      <c r="S3517" s="25"/>
      <c r="T3517" s="10"/>
    </row>
    <row r="3518" s="35" customFormat="1" ht="18.5" customHeight="1" spans="1:20">
      <c r="A3518" s="9"/>
      <c r="B3518" s="25"/>
      <c r="C3518" s="25"/>
      <c r="D3518" s="25"/>
      <c r="E3518" s="25"/>
      <c r="F3518" s="25"/>
      <c r="G3518" s="25"/>
      <c r="H3518" s="25"/>
      <c r="I3518" s="25"/>
      <c r="J3518" s="25"/>
      <c r="K3518" s="25"/>
      <c r="L3518" s="25"/>
      <c r="M3518" s="42" t="s">
        <v>253</v>
      </c>
      <c r="N3518" s="41">
        <v>45017</v>
      </c>
      <c r="O3518" s="25">
        <v>236</v>
      </c>
      <c r="P3518" s="25">
        <v>0</v>
      </c>
      <c r="Q3518" s="25"/>
      <c r="R3518" s="25"/>
      <c r="S3518" s="25"/>
      <c r="T3518" s="10"/>
    </row>
    <row r="3519" s="35" customFormat="1" ht="18.5" customHeight="1" spans="1:20">
      <c r="A3519" s="9"/>
      <c r="B3519" s="25"/>
      <c r="C3519" s="25"/>
      <c r="D3519" s="25"/>
      <c r="E3519" s="25"/>
      <c r="F3519" s="25"/>
      <c r="G3519" s="25"/>
      <c r="H3519" s="25"/>
      <c r="I3519" s="25"/>
      <c r="J3519" s="25"/>
      <c r="K3519" s="25"/>
      <c r="L3519" s="25"/>
      <c r="M3519" s="42" t="s">
        <v>253</v>
      </c>
      <c r="N3519" s="41">
        <v>45017</v>
      </c>
      <c r="O3519" s="25">
        <v>142</v>
      </c>
      <c r="P3519" s="25">
        <v>0</v>
      </c>
      <c r="Q3519" s="25"/>
      <c r="R3519" s="25"/>
      <c r="S3519" s="25"/>
      <c r="T3519" s="10"/>
    </row>
    <row r="3520" s="35" customFormat="1" ht="18.5" customHeight="1" spans="1:20">
      <c r="A3520" s="9"/>
      <c r="B3520" s="25"/>
      <c r="C3520" s="25"/>
      <c r="D3520" s="25"/>
      <c r="E3520" s="25"/>
      <c r="F3520" s="25"/>
      <c r="G3520" s="25"/>
      <c r="H3520" s="25"/>
      <c r="I3520" s="25"/>
      <c r="J3520" s="25"/>
      <c r="K3520" s="25"/>
      <c r="L3520" s="25"/>
      <c r="M3520" s="42" t="s">
        <v>253</v>
      </c>
      <c r="N3520" s="41">
        <v>45017</v>
      </c>
      <c r="O3520" s="25">
        <v>122</v>
      </c>
      <c r="P3520" s="25">
        <v>0</v>
      </c>
      <c r="Q3520" s="25"/>
      <c r="R3520" s="25"/>
      <c r="S3520" s="25"/>
      <c r="T3520" s="10"/>
    </row>
    <row r="3521" s="35" customFormat="1" ht="18.5" customHeight="1" spans="1:20">
      <c r="A3521" s="9"/>
      <c r="B3521" s="25"/>
      <c r="C3521" s="25"/>
      <c r="D3521" s="25"/>
      <c r="E3521" s="25"/>
      <c r="F3521" s="25"/>
      <c r="G3521" s="25"/>
      <c r="H3521" s="25"/>
      <c r="I3521" s="25"/>
      <c r="J3521" s="25"/>
      <c r="K3521" s="25"/>
      <c r="L3521" s="25"/>
      <c r="M3521" s="42" t="s">
        <v>253</v>
      </c>
      <c r="N3521" s="41">
        <v>45017</v>
      </c>
      <c r="O3521" s="25">
        <v>302</v>
      </c>
      <c r="P3521" s="25">
        <v>0</v>
      </c>
      <c r="Q3521" s="25"/>
      <c r="R3521" s="25"/>
      <c r="S3521" s="25"/>
      <c r="T3521" s="10"/>
    </row>
    <row r="3522" s="35" customFormat="1" ht="18.5" customHeight="1" spans="1:20">
      <c r="A3522" s="9"/>
      <c r="B3522" s="25"/>
      <c r="C3522" s="25"/>
      <c r="D3522" s="25"/>
      <c r="E3522" s="25"/>
      <c r="F3522" s="25"/>
      <c r="G3522" s="25"/>
      <c r="H3522" s="25"/>
      <c r="I3522" s="25"/>
      <c r="J3522" s="25"/>
      <c r="K3522" s="25"/>
      <c r="L3522" s="25"/>
      <c r="M3522" s="42" t="s">
        <v>253</v>
      </c>
      <c r="N3522" s="41">
        <v>45017</v>
      </c>
      <c r="O3522" s="25">
        <v>164</v>
      </c>
      <c r="P3522" s="25">
        <v>0</v>
      </c>
      <c r="Q3522" s="25"/>
      <c r="R3522" s="25"/>
      <c r="S3522" s="25"/>
      <c r="T3522" s="10"/>
    </row>
    <row r="3523" s="35" customFormat="1" ht="18.5" customHeight="1" spans="1:20">
      <c r="A3523" s="9"/>
      <c r="B3523" s="25"/>
      <c r="C3523" s="25"/>
      <c r="D3523" s="25"/>
      <c r="E3523" s="25"/>
      <c r="F3523" s="25"/>
      <c r="G3523" s="25"/>
      <c r="H3523" s="25"/>
      <c r="I3523" s="25"/>
      <c r="J3523" s="25"/>
      <c r="K3523" s="25"/>
      <c r="L3523" s="25"/>
      <c r="M3523" s="42" t="s">
        <v>253</v>
      </c>
      <c r="N3523" s="41">
        <v>45017</v>
      </c>
      <c r="O3523" s="25">
        <v>442</v>
      </c>
      <c r="P3523" s="25">
        <v>0</v>
      </c>
      <c r="Q3523" s="25"/>
      <c r="R3523" s="25"/>
      <c r="S3523" s="25"/>
      <c r="T3523" s="10"/>
    </row>
    <row r="3524" s="35" customFormat="1" ht="18.5" customHeight="1" spans="1:20">
      <c r="A3524" s="9"/>
      <c r="B3524" s="25"/>
      <c r="C3524" s="25"/>
      <c r="D3524" s="25"/>
      <c r="E3524" s="25"/>
      <c r="F3524" s="25"/>
      <c r="G3524" s="25"/>
      <c r="H3524" s="25"/>
      <c r="I3524" s="25"/>
      <c r="J3524" s="25"/>
      <c r="K3524" s="25"/>
      <c r="L3524" s="25"/>
      <c r="M3524" s="42" t="s">
        <v>253</v>
      </c>
      <c r="N3524" s="41">
        <v>45016</v>
      </c>
      <c r="O3524" s="25">
        <v>125</v>
      </c>
      <c r="P3524" s="25">
        <v>0</v>
      </c>
      <c r="Q3524" s="25"/>
      <c r="R3524" s="25"/>
      <c r="S3524" s="25"/>
      <c r="T3524" s="10"/>
    </row>
    <row r="3525" s="35" customFormat="1" ht="18.5" customHeight="1" spans="1:20">
      <c r="A3525" s="9"/>
      <c r="B3525" s="25"/>
      <c r="C3525" s="25"/>
      <c r="D3525" s="25"/>
      <c r="E3525" s="25"/>
      <c r="F3525" s="25"/>
      <c r="G3525" s="25"/>
      <c r="H3525" s="25"/>
      <c r="I3525" s="25"/>
      <c r="J3525" s="25"/>
      <c r="K3525" s="25"/>
      <c r="L3525" s="25"/>
      <c r="M3525" s="42" t="s">
        <v>253</v>
      </c>
      <c r="N3525" s="41">
        <v>45016</v>
      </c>
      <c r="O3525" s="25">
        <v>153</v>
      </c>
      <c r="P3525" s="25">
        <v>0</v>
      </c>
      <c r="Q3525" s="25"/>
      <c r="R3525" s="25"/>
      <c r="S3525" s="25"/>
      <c r="T3525" s="10"/>
    </row>
    <row r="3526" s="35" customFormat="1" ht="18.5" customHeight="1" spans="1:20">
      <c r="A3526" s="9"/>
      <c r="B3526" s="25"/>
      <c r="C3526" s="25"/>
      <c r="D3526" s="25"/>
      <c r="E3526" s="25"/>
      <c r="F3526" s="25"/>
      <c r="G3526" s="25"/>
      <c r="H3526" s="25"/>
      <c r="I3526" s="25"/>
      <c r="J3526" s="25"/>
      <c r="K3526" s="25"/>
      <c r="L3526" s="25"/>
      <c r="M3526" s="42" t="s">
        <v>253</v>
      </c>
      <c r="N3526" s="41">
        <v>45016</v>
      </c>
      <c r="O3526" s="25">
        <v>191</v>
      </c>
      <c r="P3526" s="25">
        <v>0</v>
      </c>
      <c r="Q3526" s="25"/>
      <c r="R3526" s="25"/>
      <c r="S3526" s="25"/>
      <c r="T3526" s="10"/>
    </row>
    <row r="3527" s="35" customFormat="1" ht="18.5" customHeight="1" spans="1:20">
      <c r="A3527" s="9"/>
      <c r="B3527" s="25"/>
      <c r="C3527" s="25"/>
      <c r="D3527" s="25"/>
      <c r="E3527" s="25"/>
      <c r="F3527" s="25"/>
      <c r="G3527" s="25"/>
      <c r="H3527" s="25"/>
      <c r="I3527" s="25"/>
      <c r="J3527" s="25"/>
      <c r="K3527" s="25"/>
      <c r="L3527" s="25"/>
      <c r="M3527" s="42" t="s">
        <v>253</v>
      </c>
      <c r="N3527" s="41">
        <v>45016</v>
      </c>
      <c r="O3527" s="25">
        <v>202</v>
      </c>
      <c r="P3527" s="25">
        <v>0</v>
      </c>
      <c r="Q3527" s="25"/>
      <c r="R3527" s="25"/>
      <c r="S3527" s="25"/>
      <c r="T3527" s="10"/>
    </row>
    <row r="3528" s="35" customFormat="1" ht="18.5" customHeight="1" spans="1:20">
      <c r="A3528" s="9"/>
      <c r="B3528" s="25"/>
      <c r="C3528" s="25"/>
      <c r="D3528" s="25"/>
      <c r="E3528" s="25"/>
      <c r="F3528" s="25"/>
      <c r="G3528" s="25"/>
      <c r="H3528" s="25"/>
      <c r="I3528" s="25"/>
      <c r="J3528" s="25"/>
      <c r="K3528" s="25"/>
      <c r="L3528" s="25"/>
      <c r="M3528" s="42" t="s">
        <v>253</v>
      </c>
      <c r="N3528" s="41">
        <v>45016</v>
      </c>
      <c r="O3528" s="25">
        <v>276</v>
      </c>
      <c r="P3528" s="25">
        <v>0</v>
      </c>
      <c r="Q3528" s="25"/>
      <c r="R3528" s="25"/>
      <c r="S3528" s="25"/>
      <c r="T3528" s="10"/>
    </row>
    <row r="3529" s="35" customFormat="1" ht="18.5" customHeight="1" spans="1:20">
      <c r="A3529" s="9"/>
      <c r="B3529" s="25"/>
      <c r="C3529" s="25"/>
      <c r="D3529" s="25"/>
      <c r="E3529" s="25"/>
      <c r="F3529" s="25"/>
      <c r="G3529" s="25"/>
      <c r="H3529" s="25"/>
      <c r="I3529" s="25"/>
      <c r="J3529" s="25"/>
      <c r="K3529" s="25"/>
      <c r="L3529" s="25"/>
      <c r="M3529" s="42" t="s">
        <v>253</v>
      </c>
      <c r="N3529" s="41">
        <v>45016</v>
      </c>
      <c r="O3529" s="25">
        <v>146</v>
      </c>
      <c r="P3529" s="25">
        <v>0</v>
      </c>
      <c r="Q3529" s="25"/>
      <c r="R3529" s="25"/>
      <c r="S3529" s="25"/>
      <c r="T3529" s="10"/>
    </row>
    <row r="3530" s="35" customFormat="1" ht="18.5" customHeight="1" spans="1:20">
      <c r="A3530" s="9"/>
      <c r="B3530" s="25"/>
      <c r="C3530" s="25"/>
      <c r="D3530" s="25"/>
      <c r="E3530" s="25"/>
      <c r="F3530" s="25"/>
      <c r="G3530" s="25"/>
      <c r="H3530" s="25"/>
      <c r="I3530" s="25"/>
      <c r="J3530" s="25"/>
      <c r="K3530" s="25"/>
      <c r="L3530" s="25"/>
      <c r="M3530" s="42" t="s">
        <v>253</v>
      </c>
      <c r="N3530" s="41">
        <v>45016</v>
      </c>
      <c r="O3530" s="25">
        <v>150</v>
      </c>
      <c r="P3530" s="25">
        <v>0</v>
      </c>
      <c r="Q3530" s="25"/>
      <c r="R3530" s="25"/>
      <c r="S3530" s="25"/>
      <c r="T3530" s="10"/>
    </row>
    <row r="3531" s="35" customFormat="1" ht="18.5" customHeight="1" spans="1:20">
      <c r="A3531" s="9"/>
      <c r="B3531" s="25"/>
      <c r="C3531" s="25"/>
      <c r="D3531" s="25"/>
      <c r="E3531" s="25"/>
      <c r="F3531" s="25"/>
      <c r="G3531" s="25"/>
      <c r="H3531" s="25"/>
      <c r="I3531" s="25"/>
      <c r="J3531" s="25"/>
      <c r="K3531" s="25"/>
      <c r="L3531" s="25"/>
      <c r="M3531" s="42" t="s">
        <v>253</v>
      </c>
      <c r="N3531" s="41">
        <v>45015</v>
      </c>
      <c r="O3531" s="25">
        <v>184</v>
      </c>
      <c r="P3531" s="25">
        <v>0</v>
      </c>
      <c r="Q3531" s="25"/>
      <c r="R3531" s="25"/>
      <c r="S3531" s="25"/>
      <c r="T3531" s="10"/>
    </row>
    <row r="3532" s="35" customFormat="1" ht="18.5" customHeight="1" spans="1:20">
      <c r="A3532" s="9"/>
      <c r="B3532" s="25"/>
      <c r="C3532" s="25"/>
      <c r="D3532" s="25"/>
      <c r="E3532" s="25"/>
      <c r="F3532" s="25"/>
      <c r="G3532" s="25"/>
      <c r="H3532" s="25"/>
      <c r="I3532" s="25"/>
      <c r="J3532" s="25"/>
      <c r="K3532" s="25"/>
      <c r="L3532" s="25"/>
      <c r="M3532" s="42" t="s">
        <v>253</v>
      </c>
      <c r="N3532" s="41">
        <v>45015</v>
      </c>
      <c r="O3532" s="25">
        <v>192</v>
      </c>
      <c r="P3532" s="25">
        <v>0</v>
      </c>
      <c r="Q3532" s="25"/>
      <c r="R3532" s="25"/>
      <c r="S3532" s="25"/>
      <c r="T3532" s="10"/>
    </row>
    <row r="3533" s="35" customFormat="1" ht="18.5" customHeight="1" spans="1:20">
      <c r="A3533" s="9"/>
      <c r="B3533" s="25"/>
      <c r="C3533" s="25"/>
      <c r="D3533" s="25"/>
      <c r="E3533" s="25"/>
      <c r="F3533" s="25"/>
      <c r="G3533" s="25"/>
      <c r="H3533" s="25"/>
      <c r="I3533" s="25"/>
      <c r="J3533" s="25"/>
      <c r="K3533" s="25"/>
      <c r="L3533" s="25"/>
      <c r="M3533" s="42" t="s">
        <v>253</v>
      </c>
      <c r="N3533" s="41">
        <v>45015</v>
      </c>
      <c r="O3533" s="25">
        <v>586</v>
      </c>
      <c r="P3533" s="25">
        <v>0</v>
      </c>
      <c r="Q3533" s="25"/>
      <c r="R3533" s="25"/>
      <c r="S3533" s="25"/>
      <c r="T3533" s="10"/>
    </row>
    <row r="3534" s="35" customFormat="1" ht="18.5" customHeight="1" spans="1:20">
      <c r="A3534" s="9"/>
      <c r="B3534" s="25"/>
      <c r="C3534" s="25"/>
      <c r="D3534" s="25"/>
      <c r="E3534" s="25"/>
      <c r="F3534" s="25"/>
      <c r="G3534" s="25"/>
      <c r="H3534" s="25"/>
      <c r="I3534" s="25"/>
      <c r="J3534" s="25"/>
      <c r="K3534" s="25"/>
      <c r="L3534" s="25"/>
      <c r="M3534" s="42" t="s">
        <v>253</v>
      </c>
      <c r="N3534" s="41">
        <v>45015</v>
      </c>
      <c r="O3534" s="25">
        <v>114</v>
      </c>
      <c r="P3534" s="25">
        <v>0</v>
      </c>
      <c r="Q3534" s="25"/>
      <c r="R3534" s="25"/>
      <c r="S3534" s="25"/>
      <c r="T3534" s="10"/>
    </row>
    <row r="3535" s="35" customFormat="1" ht="18.5" customHeight="1" spans="1:20">
      <c r="A3535" s="9"/>
      <c r="B3535" s="25"/>
      <c r="C3535" s="25"/>
      <c r="D3535" s="25"/>
      <c r="E3535" s="25"/>
      <c r="F3535" s="25"/>
      <c r="G3535" s="25"/>
      <c r="H3535" s="25"/>
      <c r="I3535" s="25"/>
      <c r="J3535" s="25"/>
      <c r="K3535" s="25"/>
      <c r="L3535" s="25"/>
      <c r="M3535" s="42" t="s">
        <v>253</v>
      </c>
      <c r="N3535" s="41">
        <v>45015</v>
      </c>
      <c r="O3535" s="25">
        <v>104</v>
      </c>
      <c r="P3535" s="25">
        <v>0</v>
      </c>
      <c r="Q3535" s="25"/>
      <c r="R3535" s="25"/>
      <c r="S3535" s="25"/>
      <c r="T3535" s="10"/>
    </row>
    <row r="3536" s="35" customFormat="1" ht="18.5" customHeight="1" spans="1:20">
      <c r="A3536" s="9"/>
      <c r="B3536" s="25"/>
      <c r="C3536" s="25"/>
      <c r="D3536" s="25"/>
      <c r="E3536" s="25"/>
      <c r="F3536" s="25"/>
      <c r="G3536" s="25"/>
      <c r="H3536" s="25"/>
      <c r="I3536" s="25"/>
      <c r="J3536" s="25"/>
      <c r="K3536" s="25"/>
      <c r="L3536" s="25"/>
      <c r="M3536" s="42" t="s">
        <v>253</v>
      </c>
      <c r="N3536" s="41">
        <v>45015</v>
      </c>
      <c r="O3536" s="25">
        <v>235</v>
      </c>
      <c r="P3536" s="25">
        <v>0</v>
      </c>
      <c r="Q3536" s="25"/>
      <c r="R3536" s="25"/>
      <c r="S3536" s="25"/>
      <c r="T3536" s="10"/>
    </row>
    <row r="3537" s="35" customFormat="1" ht="18.5" customHeight="1" spans="1:20">
      <c r="A3537" s="9"/>
      <c r="B3537" s="25"/>
      <c r="C3537" s="25"/>
      <c r="D3537" s="25"/>
      <c r="E3537" s="25"/>
      <c r="F3537" s="25"/>
      <c r="G3537" s="25"/>
      <c r="H3537" s="25"/>
      <c r="I3537" s="25"/>
      <c r="J3537" s="25"/>
      <c r="K3537" s="25"/>
      <c r="L3537" s="25"/>
      <c r="M3537" s="42" t="s">
        <v>253</v>
      </c>
      <c r="N3537" s="41">
        <v>45015</v>
      </c>
      <c r="O3537" s="25">
        <v>173</v>
      </c>
      <c r="P3537" s="25">
        <v>0</v>
      </c>
      <c r="Q3537" s="25"/>
      <c r="R3537" s="25"/>
      <c r="S3537" s="25"/>
      <c r="T3537" s="10"/>
    </row>
    <row r="3538" s="35" customFormat="1" ht="18.5" customHeight="1" spans="1:20">
      <c r="A3538" s="9"/>
      <c r="B3538" s="25"/>
      <c r="C3538" s="25"/>
      <c r="D3538" s="25"/>
      <c r="E3538" s="25"/>
      <c r="F3538" s="25"/>
      <c r="G3538" s="25"/>
      <c r="H3538" s="25"/>
      <c r="I3538" s="25"/>
      <c r="J3538" s="25"/>
      <c r="K3538" s="25"/>
      <c r="L3538" s="25"/>
      <c r="M3538" s="42" t="s">
        <v>253</v>
      </c>
      <c r="N3538" s="41">
        <v>45014</v>
      </c>
      <c r="O3538" s="25">
        <v>187</v>
      </c>
      <c r="P3538" s="25">
        <v>0</v>
      </c>
      <c r="Q3538" s="25"/>
      <c r="R3538" s="25"/>
      <c r="S3538" s="25"/>
      <c r="T3538" s="10"/>
    </row>
    <row r="3539" s="35" customFormat="1" ht="18.5" customHeight="1" spans="1:20">
      <c r="A3539" s="9"/>
      <c r="B3539" s="25"/>
      <c r="C3539" s="25"/>
      <c r="D3539" s="25"/>
      <c r="E3539" s="25"/>
      <c r="F3539" s="25"/>
      <c r="G3539" s="25"/>
      <c r="H3539" s="25"/>
      <c r="I3539" s="25"/>
      <c r="J3539" s="25"/>
      <c r="K3539" s="25"/>
      <c r="L3539" s="25"/>
      <c r="M3539" s="42" t="s">
        <v>253</v>
      </c>
      <c r="N3539" s="41">
        <v>45015</v>
      </c>
      <c r="O3539" s="25">
        <v>257</v>
      </c>
      <c r="P3539" s="25">
        <v>0</v>
      </c>
      <c r="Q3539" s="25"/>
      <c r="R3539" s="25"/>
      <c r="S3539" s="25"/>
      <c r="T3539" s="10"/>
    </row>
    <row r="3540" s="35" customFormat="1" ht="18.5" customHeight="1" spans="1:20">
      <c r="A3540" s="9"/>
      <c r="B3540" s="25"/>
      <c r="C3540" s="25"/>
      <c r="D3540" s="25"/>
      <c r="E3540" s="25"/>
      <c r="F3540" s="25"/>
      <c r="G3540" s="25"/>
      <c r="H3540" s="25"/>
      <c r="I3540" s="25"/>
      <c r="J3540" s="25"/>
      <c r="K3540" s="25"/>
      <c r="L3540" s="25"/>
      <c r="M3540" s="42" t="s">
        <v>253</v>
      </c>
      <c r="N3540" s="41">
        <v>45014</v>
      </c>
      <c r="O3540" s="25">
        <v>145</v>
      </c>
      <c r="P3540" s="25">
        <v>0</v>
      </c>
      <c r="Q3540" s="25"/>
      <c r="R3540" s="25"/>
      <c r="S3540" s="25"/>
      <c r="T3540" s="10"/>
    </row>
    <row r="3541" s="35" customFormat="1" ht="18.5" customHeight="1" spans="1:20">
      <c r="A3541" s="9"/>
      <c r="B3541" s="25"/>
      <c r="C3541" s="25"/>
      <c r="D3541" s="25"/>
      <c r="E3541" s="25"/>
      <c r="F3541" s="25"/>
      <c r="G3541" s="25"/>
      <c r="H3541" s="25"/>
      <c r="I3541" s="25"/>
      <c r="J3541" s="25"/>
      <c r="K3541" s="25"/>
      <c r="L3541" s="25"/>
      <c r="M3541" s="42" t="s">
        <v>253</v>
      </c>
      <c r="N3541" s="41">
        <v>45014</v>
      </c>
      <c r="O3541" s="25">
        <v>212</v>
      </c>
      <c r="P3541" s="25">
        <v>0</v>
      </c>
      <c r="Q3541" s="25"/>
      <c r="R3541" s="25"/>
      <c r="S3541" s="25"/>
      <c r="T3541" s="10"/>
    </row>
    <row r="3542" s="35" customFormat="1" ht="18.5" customHeight="1" spans="1:20">
      <c r="A3542" s="9"/>
      <c r="B3542" s="25"/>
      <c r="C3542" s="25"/>
      <c r="D3542" s="25"/>
      <c r="E3542" s="25"/>
      <c r="F3542" s="25"/>
      <c r="G3542" s="25"/>
      <c r="H3542" s="25"/>
      <c r="I3542" s="25"/>
      <c r="J3542" s="25"/>
      <c r="K3542" s="25"/>
      <c r="L3542" s="25"/>
      <c r="M3542" s="42" t="s">
        <v>253</v>
      </c>
      <c r="N3542" s="41">
        <v>45014</v>
      </c>
      <c r="O3542" s="25">
        <v>326</v>
      </c>
      <c r="P3542" s="25">
        <v>0</v>
      </c>
      <c r="Q3542" s="25"/>
      <c r="R3542" s="25"/>
      <c r="S3542" s="25"/>
      <c r="T3542" s="10"/>
    </row>
    <row r="3543" s="35" customFormat="1" ht="18.5" customHeight="1" spans="1:20">
      <c r="A3543" s="9"/>
      <c r="B3543" s="25"/>
      <c r="C3543" s="25"/>
      <c r="D3543" s="25"/>
      <c r="E3543" s="25"/>
      <c r="F3543" s="25"/>
      <c r="G3543" s="25"/>
      <c r="H3543" s="25"/>
      <c r="I3543" s="25"/>
      <c r="J3543" s="25"/>
      <c r="K3543" s="25"/>
      <c r="L3543" s="25"/>
      <c r="M3543" s="42" t="s">
        <v>253</v>
      </c>
      <c r="N3543" s="41">
        <v>45014</v>
      </c>
      <c r="O3543" s="25">
        <v>107</v>
      </c>
      <c r="P3543" s="25">
        <v>0</v>
      </c>
      <c r="Q3543" s="25"/>
      <c r="R3543" s="25"/>
      <c r="S3543" s="25"/>
      <c r="T3543" s="10"/>
    </row>
    <row r="3544" s="35" customFormat="1" ht="18.5" customHeight="1" spans="1:20">
      <c r="A3544" s="9"/>
      <c r="B3544" s="25"/>
      <c r="C3544" s="25"/>
      <c r="D3544" s="25"/>
      <c r="E3544" s="25"/>
      <c r="F3544" s="25"/>
      <c r="G3544" s="25"/>
      <c r="H3544" s="25"/>
      <c r="I3544" s="25"/>
      <c r="J3544" s="25"/>
      <c r="K3544" s="25"/>
      <c r="L3544" s="25"/>
      <c r="M3544" s="42" t="s">
        <v>253</v>
      </c>
      <c r="N3544" s="41">
        <v>45014</v>
      </c>
      <c r="O3544" s="25">
        <v>626</v>
      </c>
      <c r="P3544" s="25">
        <v>0</v>
      </c>
      <c r="Q3544" s="25"/>
      <c r="R3544" s="25"/>
      <c r="S3544" s="25"/>
      <c r="T3544" s="10"/>
    </row>
    <row r="3545" s="35" customFormat="1" ht="18.5" customHeight="1" spans="1:20">
      <c r="A3545" s="9"/>
      <c r="B3545" s="25"/>
      <c r="C3545" s="25"/>
      <c r="D3545" s="25"/>
      <c r="E3545" s="25"/>
      <c r="F3545" s="25"/>
      <c r="G3545" s="25"/>
      <c r="H3545" s="25"/>
      <c r="I3545" s="25"/>
      <c r="J3545" s="25"/>
      <c r="K3545" s="25"/>
      <c r="L3545" s="25"/>
      <c r="M3545" s="42" t="s">
        <v>253</v>
      </c>
      <c r="N3545" s="41">
        <v>45014</v>
      </c>
      <c r="O3545" s="25">
        <v>105</v>
      </c>
      <c r="P3545" s="25">
        <v>0</v>
      </c>
      <c r="Q3545" s="25"/>
      <c r="R3545" s="25"/>
      <c r="S3545" s="25"/>
      <c r="T3545" s="10"/>
    </row>
    <row r="3546" s="35" customFormat="1" ht="18.5" customHeight="1" spans="1:20">
      <c r="A3546" s="9"/>
      <c r="B3546" s="25"/>
      <c r="C3546" s="25"/>
      <c r="D3546" s="25"/>
      <c r="E3546" s="25"/>
      <c r="F3546" s="25"/>
      <c r="G3546" s="25"/>
      <c r="H3546" s="25"/>
      <c r="I3546" s="25"/>
      <c r="J3546" s="25"/>
      <c r="K3546" s="25"/>
      <c r="L3546" s="25"/>
      <c r="M3546" s="42" t="s">
        <v>253</v>
      </c>
      <c r="N3546" s="41">
        <v>45014</v>
      </c>
      <c r="O3546" s="25">
        <v>150</v>
      </c>
      <c r="P3546" s="25">
        <v>0</v>
      </c>
      <c r="Q3546" s="25"/>
      <c r="R3546" s="25"/>
      <c r="S3546" s="25"/>
      <c r="T3546" s="10"/>
    </row>
    <row r="3547" s="35" customFormat="1" ht="18.5" customHeight="1" spans="1:20">
      <c r="A3547" s="9"/>
      <c r="B3547" s="25"/>
      <c r="C3547" s="25"/>
      <c r="D3547" s="25"/>
      <c r="E3547" s="25"/>
      <c r="F3547" s="25"/>
      <c r="G3547" s="25"/>
      <c r="H3547" s="25"/>
      <c r="I3547" s="25"/>
      <c r="J3547" s="25"/>
      <c r="K3547" s="25"/>
      <c r="L3547" s="25"/>
      <c r="M3547" s="42" t="s">
        <v>253</v>
      </c>
      <c r="N3547" s="41">
        <v>45014</v>
      </c>
      <c r="O3547" s="25">
        <v>104</v>
      </c>
      <c r="P3547" s="25">
        <v>0</v>
      </c>
      <c r="Q3547" s="25"/>
      <c r="R3547" s="25"/>
      <c r="S3547" s="25"/>
      <c r="T3547" s="10"/>
    </row>
    <row r="3548" s="35" customFormat="1" ht="18.5" customHeight="1" spans="1:20">
      <c r="A3548" s="9"/>
      <c r="B3548" s="25"/>
      <c r="C3548" s="25"/>
      <c r="D3548" s="25"/>
      <c r="E3548" s="25"/>
      <c r="F3548" s="25"/>
      <c r="G3548" s="25"/>
      <c r="H3548" s="25"/>
      <c r="I3548" s="25"/>
      <c r="J3548" s="25"/>
      <c r="K3548" s="25"/>
      <c r="L3548" s="25"/>
      <c r="M3548" s="42" t="s">
        <v>253</v>
      </c>
      <c r="N3548" s="41">
        <v>45014</v>
      </c>
      <c r="O3548" s="25">
        <v>195</v>
      </c>
      <c r="P3548" s="25">
        <v>0</v>
      </c>
      <c r="Q3548" s="25"/>
      <c r="R3548" s="25"/>
      <c r="S3548" s="25"/>
      <c r="T3548" s="10"/>
    </row>
    <row r="3549" s="35" customFormat="1" ht="18.5" customHeight="1" spans="1:20">
      <c r="A3549" s="9"/>
      <c r="B3549" s="25"/>
      <c r="C3549" s="25"/>
      <c r="D3549" s="25"/>
      <c r="E3549" s="25"/>
      <c r="F3549" s="25"/>
      <c r="G3549" s="25"/>
      <c r="H3549" s="25"/>
      <c r="I3549" s="25"/>
      <c r="J3549" s="25"/>
      <c r="K3549" s="25"/>
      <c r="L3549" s="25"/>
      <c r="M3549" s="42" t="s">
        <v>253</v>
      </c>
      <c r="N3549" s="41">
        <v>45014</v>
      </c>
      <c r="O3549" s="25">
        <v>209</v>
      </c>
      <c r="P3549" s="25">
        <v>0</v>
      </c>
      <c r="Q3549" s="25"/>
      <c r="R3549" s="25"/>
      <c r="S3549" s="25"/>
      <c r="T3549" s="10"/>
    </row>
    <row r="3550" s="35" customFormat="1" ht="18.5" customHeight="1" spans="1:20">
      <c r="A3550" s="9"/>
      <c r="B3550" s="25"/>
      <c r="C3550" s="25"/>
      <c r="D3550" s="25"/>
      <c r="E3550" s="25"/>
      <c r="F3550" s="25"/>
      <c r="G3550" s="25"/>
      <c r="H3550" s="25"/>
      <c r="I3550" s="25"/>
      <c r="J3550" s="25"/>
      <c r="K3550" s="25"/>
      <c r="L3550" s="25"/>
      <c r="M3550" s="42" t="s">
        <v>253</v>
      </c>
      <c r="N3550" s="41">
        <v>45013</v>
      </c>
      <c r="O3550" s="25">
        <v>142</v>
      </c>
      <c r="P3550" s="25">
        <v>0</v>
      </c>
      <c r="Q3550" s="25"/>
      <c r="R3550" s="25"/>
      <c r="S3550" s="25"/>
      <c r="T3550" s="10"/>
    </row>
    <row r="3551" s="35" customFormat="1" ht="18.5" customHeight="1" spans="1:20">
      <c r="A3551" s="9"/>
      <c r="B3551" s="25"/>
      <c r="C3551" s="25"/>
      <c r="D3551" s="25"/>
      <c r="E3551" s="25"/>
      <c r="F3551" s="25"/>
      <c r="G3551" s="25"/>
      <c r="H3551" s="25"/>
      <c r="I3551" s="25"/>
      <c r="J3551" s="25"/>
      <c r="K3551" s="25"/>
      <c r="L3551" s="25"/>
      <c r="M3551" s="42" t="s">
        <v>253</v>
      </c>
      <c r="N3551" s="41">
        <v>45013</v>
      </c>
      <c r="O3551" s="25">
        <v>540</v>
      </c>
      <c r="P3551" s="25">
        <v>0</v>
      </c>
      <c r="Q3551" s="25"/>
      <c r="R3551" s="25"/>
      <c r="S3551" s="25"/>
      <c r="T3551" s="10"/>
    </row>
    <row r="3552" s="35" customFormat="1" ht="18.5" customHeight="1" spans="1:20">
      <c r="A3552" s="9"/>
      <c r="B3552" s="25"/>
      <c r="C3552" s="25"/>
      <c r="D3552" s="25"/>
      <c r="E3552" s="25"/>
      <c r="F3552" s="25"/>
      <c r="G3552" s="25"/>
      <c r="H3552" s="25"/>
      <c r="I3552" s="25"/>
      <c r="J3552" s="25"/>
      <c r="K3552" s="25"/>
      <c r="L3552" s="25"/>
      <c r="M3552" s="42" t="s">
        <v>253</v>
      </c>
      <c r="N3552" s="41">
        <v>45013</v>
      </c>
      <c r="O3552" s="25">
        <v>78</v>
      </c>
      <c r="P3552" s="25">
        <v>0</v>
      </c>
      <c r="Q3552" s="25"/>
      <c r="R3552" s="25"/>
      <c r="S3552" s="25"/>
      <c r="T3552" s="10"/>
    </row>
    <row r="3553" s="35" customFormat="1" ht="18.5" customHeight="1" spans="1:20">
      <c r="A3553" s="9"/>
      <c r="B3553" s="25"/>
      <c r="C3553" s="25"/>
      <c r="D3553" s="25"/>
      <c r="E3553" s="25"/>
      <c r="F3553" s="25"/>
      <c r="G3553" s="25"/>
      <c r="H3553" s="25"/>
      <c r="I3553" s="25"/>
      <c r="J3553" s="25"/>
      <c r="K3553" s="25"/>
      <c r="L3553" s="25"/>
      <c r="M3553" s="42" t="s">
        <v>253</v>
      </c>
      <c r="N3553" s="41">
        <v>45013</v>
      </c>
      <c r="O3553" s="25">
        <v>164</v>
      </c>
      <c r="P3553" s="25">
        <v>0</v>
      </c>
      <c r="Q3553" s="25"/>
      <c r="R3553" s="25"/>
      <c r="S3553" s="25"/>
      <c r="T3553" s="10"/>
    </row>
    <row r="3554" s="35" customFormat="1" ht="18.5" customHeight="1" spans="1:20">
      <c r="A3554" s="9"/>
      <c r="B3554" s="25"/>
      <c r="C3554" s="25"/>
      <c r="D3554" s="25"/>
      <c r="E3554" s="25"/>
      <c r="F3554" s="25"/>
      <c r="G3554" s="25"/>
      <c r="H3554" s="25"/>
      <c r="I3554" s="25"/>
      <c r="J3554" s="25"/>
      <c r="K3554" s="25"/>
      <c r="L3554" s="25"/>
      <c r="M3554" s="42" t="s">
        <v>253</v>
      </c>
      <c r="N3554" s="41">
        <v>45012</v>
      </c>
      <c r="O3554" s="25">
        <v>95</v>
      </c>
      <c r="P3554" s="25">
        <v>0</v>
      </c>
      <c r="Q3554" s="25"/>
      <c r="R3554" s="25"/>
      <c r="S3554" s="25"/>
      <c r="T3554" s="10"/>
    </row>
    <row r="3555" s="35" customFormat="1" ht="18.5" customHeight="1" spans="1:20">
      <c r="A3555" s="9"/>
      <c r="B3555" s="25"/>
      <c r="C3555" s="25"/>
      <c r="D3555" s="25"/>
      <c r="E3555" s="25"/>
      <c r="F3555" s="25"/>
      <c r="G3555" s="25"/>
      <c r="H3555" s="25"/>
      <c r="I3555" s="25"/>
      <c r="J3555" s="25"/>
      <c r="K3555" s="25"/>
      <c r="L3555" s="25"/>
      <c r="M3555" s="42" t="s">
        <v>253</v>
      </c>
      <c r="N3555" s="41">
        <v>45012</v>
      </c>
      <c r="O3555" s="25">
        <v>272</v>
      </c>
      <c r="P3555" s="25">
        <v>0</v>
      </c>
      <c r="Q3555" s="25"/>
      <c r="R3555" s="25"/>
      <c r="S3555" s="25"/>
      <c r="T3555" s="10"/>
    </row>
    <row r="3556" s="35" customFormat="1" ht="18.5" customHeight="1" spans="1:20">
      <c r="A3556" s="9"/>
      <c r="B3556" s="25"/>
      <c r="C3556" s="25"/>
      <c r="D3556" s="25"/>
      <c r="E3556" s="25"/>
      <c r="F3556" s="25"/>
      <c r="G3556" s="25"/>
      <c r="H3556" s="25"/>
      <c r="I3556" s="25"/>
      <c r="J3556" s="25"/>
      <c r="K3556" s="25"/>
      <c r="L3556" s="25"/>
      <c r="M3556" s="42" t="s">
        <v>253</v>
      </c>
      <c r="N3556" s="41">
        <v>45012</v>
      </c>
      <c r="O3556" s="25">
        <v>229</v>
      </c>
      <c r="P3556" s="25">
        <v>0</v>
      </c>
      <c r="Q3556" s="25"/>
      <c r="R3556" s="25"/>
      <c r="S3556" s="25"/>
      <c r="T3556" s="10"/>
    </row>
    <row r="3557" s="35" customFormat="1" ht="18.5" customHeight="1" spans="1:20">
      <c r="A3557" s="9"/>
      <c r="B3557" s="25"/>
      <c r="C3557" s="25"/>
      <c r="D3557" s="25"/>
      <c r="E3557" s="25"/>
      <c r="F3557" s="25"/>
      <c r="G3557" s="25"/>
      <c r="H3557" s="25"/>
      <c r="I3557" s="25"/>
      <c r="J3557" s="25"/>
      <c r="K3557" s="25"/>
      <c r="L3557" s="25"/>
      <c r="M3557" s="42" t="s">
        <v>253</v>
      </c>
      <c r="N3557" s="41">
        <v>45012</v>
      </c>
      <c r="O3557" s="25">
        <v>328</v>
      </c>
      <c r="P3557" s="25">
        <v>0</v>
      </c>
      <c r="Q3557" s="25"/>
      <c r="R3557" s="25"/>
      <c r="S3557" s="25"/>
      <c r="T3557" s="10"/>
    </row>
    <row r="3558" s="35" customFormat="1" ht="18.5" customHeight="1" spans="1:20">
      <c r="A3558" s="9"/>
      <c r="B3558" s="25"/>
      <c r="C3558" s="25"/>
      <c r="D3558" s="25"/>
      <c r="E3558" s="25"/>
      <c r="F3558" s="25"/>
      <c r="G3558" s="25"/>
      <c r="H3558" s="25"/>
      <c r="I3558" s="25"/>
      <c r="J3558" s="25"/>
      <c r="K3558" s="25"/>
      <c r="L3558" s="25"/>
      <c r="M3558" s="42" t="s">
        <v>253</v>
      </c>
      <c r="N3558" s="41">
        <v>45012</v>
      </c>
      <c r="O3558" s="25">
        <v>390</v>
      </c>
      <c r="P3558" s="25">
        <v>0</v>
      </c>
      <c r="Q3558" s="25"/>
      <c r="R3558" s="25"/>
      <c r="S3558" s="25"/>
      <c r="T3558" s="10"/>
    </row>
    <row r="3559" s="35" customFormat="1" ht="18.5" customHeight="1" spans="1:20">
      <c r="A3559" s="9"/>
      <c r="B3559" s="25"/>
      <c r="C3559" s="25"/>
      <c r="D3559" s="25"/>
      <c r="E3559" s="25"/>
      <c r="F3559" s="25"/>
      <c r="G3559" s="25"/>
      <c r="H3559" s="25"/>
      <c r="I3559" s="25"/>
      <c r="J3559" s="25"/>
      <c r="K3559" s="25"/>
      <c r="L3559" s="25"/>
      <c r="M3559" s="42" t="s">
        <v>253</v>
      </c>
      <c r="N3559" s="41">
        <v>45012</v>
      </c>
      <c r="O3559" s="25">
        <v>106</v>
      </c>
      <c r="P3559" s="25">
        <v>0</v>
      </c>
      <c r="Q3559" s="25"/>
      <c r="R3559" s="25"/>
      <c r="S3559" s="25"/>
      <c r="T3559" s="10"/>
    </row>
    <row r="3560" s="35" customFormat="1" ht="18.5" customHeight="1" spans="1:20">
      <c r="A3560" s="9"/>
      <c r="B3560" s="25"/>
      <c r="C3560" s="25"/>
      <c r="D3560" s="25"/>
      <c r="E3560" s="25"/>
      <c r="F3560" s="25"/>
      <c r="G3560" s="25"/>
      <c r="H3560" s="25"/>
      <c r="I3560" s="25"/>
      <c r="J3560" s="25"/>
      <c r="K3560" s="25"/>
      <c r="L3560" s="25"/>
      <c r="M3560" s="42" t="s">
        <v>253</v>
      </c>
      <c r="N3560" s="41">
        <v>45012</v>
      </c>
      <c r="O3560" s="25">
        <v>210</v>
      </c>
      <c r="P3560" s="25">
        <v>0</v>
      </c>
      <c r="Q3560" s="25"/>
      <c r="R3560" s="25"/>
      <c r="S3560" s="25"/>
      <c r="T3560" s="10"/>
    </row>
    <row r="3561" s="35" customFormat="1" ht="18.5" customHeight="1" spans="1:20">
      <c r="A3561" s="9"/>
      <c r="B3561" s="25"/>
      <c r="C3561" s="25"/>
      <c r="D3561" s="25"/>
      <c r="E3561" s="25"/>
      <c r="F3561" s="25"/>
      <c r="G3561" s="25"/>
      <c r="H3561" s="25"/>
      <c r="I3561" s="25"/>
      <c r="J3561" s="25"/>
      <c r="K3561" s="25"/>
      <c r="L3561" s="25"/>
      <c r="M3561" s="42" t="s">
        <v>253</v>
      </c>
      <c r="N3561" s="41">
        <v>45012</v>
      </c>
      <c r="O3561" s="25">
        <v>165</v>
      </c>
      <c r="P3561" s="25">
        <v>0</v>
      </c>
      <c r="Q3561" s="25"/>
      <c r="R3561" s="25"/>
      <c r="S3561" s="25"/>
      <c r="T3561" s="10"/>
    </row>
    <row r="3562" s="35" customFormat="1" ht="18.5" customHeight="1" spans="1:20">
      <c r="A3562" s="9"/>
      <c r="B3562" s="25"/>
      <c r="C3562" s="25"/>
      <c r="D3562" s="25"/>
      <c r="E3562" s="25"/>
      <c r="F3562" s="25"/>
      <c r="G3562" s="25"/>
      <c r="H3562" s="25"/>
      <c r="I3562" s="25"/>
      <c r="J3562" s="25"/>
      <c r="K3562" s="25"/>
      <c r="L3562" s="25"/>
      <c r="M3562" s="42" t="s">
        <v>253</v>
      </c>
      <c r="N3562" s="41">
        <v>45012</v>
      </c>
      <c r="O3562" s="25">
        <v>393</v>
      </c>
      <c r="P3562" s="25">
        <v>0</v>
      </c>
      <c r="Q3562" s="25"/>
      <c r="R3562" s="25"/>
      <c r="S3562" s="25"/>
      <c r="T3562" s="10"/>
    </row>
    <row r="3563" s="35" customFormat="1" ht="18.5" customHeight="1" spans="1:20">
      <c r="A3563" s="9"/>
      <c r="B3563" s="25"/>
      <c r="C3563" s="25"/>
      <c r="D3563" s="25"/>
      <c r="E3563" s="25"/>
      <c r="F3563" s="25"/>
      <c r="G3563" s="25"/>
      <c r="H3563" s="25"/>
      <c r="I3563" s="25"/>
      <c r="J3563" s="25"/>
      <c r="K3563" s="25"/>
      <c r="L3563" s="25"/>
      <c r="M3563" s="42" t="s">
        <v>253</v>
      </c>
      <c r="N3563" s="41">
        <v>45011</v>
      </c>
      <c r="O3563" s="25">
        <v>122</v>
      </c>
      <c r="P3563" s="25">
        <v>0</v>
      </c>
      <c r="Q3563" s="25"/>
      <c r="R3563" s="25"/>
      <c r="S3563" s="25"/>
      <c r="T3563" s="10"/>
    </row>
    <row r="3564" s="35" customFormat="1" ht="18.5" customHeight="1" spans="1:20">
      <c r="A3564" s="9"/>
      <c r="B3564" s="25"/>
      <c r="C3564" s="25"/>
      <c r="D3564" s="25"/>
      <c r="E3564" s="25"/>
      <c r="F3564" s="25"/>
      <c r="G3564" s="25"/>
      <c r="H3564" s="25"/>
      <c r="I3564" s="25"/>
      <c r="J3564" s="25"/>
      <c r="K3564" s="25"/>
      <c r="L3564" s="25"/>
      <c r="M3564" s="42" t="s">
        <v>253</v>
      </c>
      <c r="N3564" s="41">
        <v>45011</v>
      </c>
      <c r="O3564" s="25">
        <v>236</v>
      </c>
      <c r="P3564" s="25">
        <v>0</v>
      </c>
      <c r="Q3564" s="25"/>
      <c r="R3564" s="25"/>
      <c r="S3564" s="25"/>
      <c r="T3564" s="10"/>
    </row>
    <row r="3565" s="35" customFormat="1" ht="18.5" customHeight="1" spans="1:20">
      <c r="A3565" s="9"/>
      <c r="B3565" s="25"/>
      <c r="C3565" s="25"/>
      <c r="D3565" s="25"/>
      <c r="E3565" s="25"/>
      <c r="F3565" s="25"/>
      <c r="G3565" s="25"/>
      <c r="H3565" s="25"/>
      <c r="I3565" s="25"/>
      <c r="J3565" s="25"/>
      <c r="K3565" s="25"/>
      <c r="L3565" s="25"/>
      <c r="M3565" s="42" t="s">
        <v>253</v>
      </c>
      <c r="N3565" s="41">
        <v>45011</v>
      </c>
      <c r="O3565" s="25">
        <v>261</v>
      </c>
      <c r="P3565" s="25">
        <v>0</v>
      </c>
      <c r="Q3565" s="25"/>
      <c r="R3565" s="25"/>
      <c r="S3565" s="25"/>
      <c r="T3565" s="10"/>
    </row>
    <row r="3566" s="35" customFormat="1" ht="18.5" customHeight="1" spans="1:20">
      <c r="A3566" s="9"/>
      <c r="B3566" s="25"/>
      <c r="C3566" s="25"/>
      <c r="D3566" s="25"/>
      <c r="E3566" s="25"/>
      <c r="F3566" s="25"/>
      <c r="G3566" s="25"/>
      <c r="H3566" s="25"/>
      <c r="I3566" s="25"/>
      <c r="J3566" s="25"/>
      <c r="K3566" s="25"/>
      <c r="L3566" s="25"/>
      <c r="M3566" s="42" t="s">
        <v>253</v>
      </c>
      <c r="N3566" s="41">
        <v>45011</v>
      </c>
      <c r="O3566" s="25">
        <v>550</v>
      </c>
      <c r="P3566" s="25">
        <v>0</v>
      </c>
      <c r="Q3566" s="25"/>
      <c r="R3566" s="25"/>
      <c r="S3566" s="25"/>
      <c r="T3566" s="10"/>
    </row>
    <row r="3567" s="35" customFormat="1" ht="18.5" customHeight="1" spans="1:20">
      <c r="A3567" s="9"/>
      <c r="B3567" s="25"/>
      <c r="C3567" s="25"/>
      <c r="D3567" s="25"/>
      <c r="E3567" s="25"/>
      <c r="F3567" s="25"/>
      <c r="G3567" s="25"/>
      <c r="H3567" s="25"/>
      <c r="I3567" s="25"/>
      <c r="J3567" s="25"/>
      <c r="K3567" s="25"/>
      <c r="L3567" s="25"/>
      <c r="M3567" s="42" t="s">
        <v>253</v>
      </c>
      <c r="N3567" s="41">
        <v>45011</v>
      </c>
      <c r="O3567" s="25">
        <v>207</v>
      </c>
      <c r="P3567" s="25">
        <v>0</v>
      </c>
      <c r="Q3567" s="25"/>
      <c r="R3567" s="25"/>
      <c r="S3567" s="25"/>
      <c r="T3567" s="10"/>
    </row>
    <row r="3568" s="35" customFormat="1" ht="18.5" customHeight="1" spans="1:20">
      <c r="A3568" s="9"/>
      <c r="B3568" s="25"/>
      <c r="C3568" s="25"/>
      <c r="D3568" s="25"/>
      <c r="E3568" s="25"/>
      <c r="F3568" s="25"/>
      <c r="G3568" s="25"/>
      <c r="H3568" s="25"/>
      <c r="I3568" s="25"/>
      <c r="J3568" s="25"/>
      <c r="K3568" s="25"/>
      <c r="L3568" s="25"/>
      <c r="M3568" s="42" t="s">
        <v>253</v>
      </c>
      <c r="N3568" s="41">
        <v>45011</v>
      </c>
      <c r="O3568" s="25">
        <v>365</v>
      </c>
      <c r="P3568" s="25">
        <v>0</v>
      </c>
      <c r="Q3568" s="25"/>
      <c r="R3568" s="25"/>
      <c r="S3568" s="25"/>
      <c r="T3568" s="10"/>
    </row>
    <row r="3569" s="35" customFormat="1" ht="18.5" customHeight="1" spans="1:20">
      <c r="A3569" s="9"/>
      <c r="B3569" s="25"/>
      <c r="C3569" s="25"/>
      <c r="D3569" s="25"/>
      <c r="E3569" s="25"/>
      <c r="F3569" s="25"/>
      <c r="G3569" s="25"/>
      <c r="H3569" s="25"/>
      <c r="I3569" s="25"/>
      <c r="J3569" s="25"/>
      <c r="K3569" s="25"/>
      <c r="L3569" s="25"/>
      <c r="M3569" s="42" t="s">
        <v>253</v>
      </c>
      <c r="N3569" s="41">
        <v>45010</v>
      </c>
      <c r="O3569" s="25">
        <v>178</v>
      </c>
      <c r="P3569" s="25">
        <v>0</v>
      </c>
      <c r="Q3569" s="25"/>
      <c r="R3569" s="25"/>
      <c r="S3569" s="25"/>
      <c r="T3569" s="10"/>
    </row>
    <row r="3570" s="35" customFormat="1" ht="18.5" customHeight="1" spans="1:20">
      <c r="A3570" s="9"/>
      <c r="B3570" s="25"/>
      <c r="C3570" s="25"/>
      <c r="D3570" s="25"/>
      <c r="E3570" s="25"/>
      <c r="F3570" s="25"/>
      <c r="G3570" s="25"/>
      <c r="H3570" s="25"/>
      <c r="I3570" s="25"/>
      <c r="J3570" s="25"/>
      <c r="K3570" s="25"/>
      <c r="L3570" s="25"/>
      <c r="M3570" s="42" t="s">
        <v>253</v>
      </c>
      <c r="N3570" s="41">
        <v>45010</v>
      </c>
      <c r="O3570" s="25">
        <v>109</v>
      </c>
      <c r="P3570" s="25">
        <v>0</v>
      </c>
      <c r="Q3570" s="25"/>
      <c r="R3570" s="25"/>
      <c r="S3570" s="25"/>
      <c r="T3570" s="10"/>
    </row>
    <row r="3571" s="35" customFormat="1" ht="18.5" customHeight="1" spans="1:20">
      <c r="A3571" s="9"/>
      <c r="B3571" s="25"/>
      <c r="C3571" s="25"/>
      <c r="D3571" s="25"/>
      <c r="E3571" s="25"/>
      <c r="F3571" s="25"/>
      <c r="G3571" s="25"/>
      <c r="H3571" s="25"/>
      <c r="I3571" s="25"/>
      <c r="J3571" s="25"/>
      <c r="K3571" s="25"/>
      <c r="L3571" s="25"/>
      <c r="M3571" s="42" t="s">
        <v>253</v>
      </c>
      <c r="N3571" s="41">
        <v>45010</v>
      </c>
      <c r="O3571" s="25">
        <v>164</v>
      </c>
      <c r="P3571" s="25">
        <v>0</v>
      </c>
      <c r="Q3571" s="25"/>
      <c r="R3571" s="25"/>
      <c r="S3571" s="25"/>
      <c r="T3571" s="10"/>
    </row>
    <row r="3572" s="35" customFormat="1" ht="18.5" customHeight="1" spans="1:20">
      <c r="A3572" s="9"/>
      <c r="B3572" s="25"/>
      <c r="C3572" s="25"/>
      <c r="D3572" s="25"/>
      <c r="E3572" s="25"/>
      <c r="F3572" s="25"/>
      <c r="G3572" s="25"/>
      <c r="H3572" s="25"/>
      <c r="I3572" s="25"/>
      <c r="J3572" s="25"/>
      <c r="K3572" s="25"/>
      <c r="L3572" s="25"/>
      <c r="M3572" s="42" t="s">
        <v>253</v>
      </c>
      <c r="N3572" s="41">
        <v>45010</v>
      </c>
      <c r="O3572" s="25">
        <v>132</v>
      </c>
      <c r="P3572" s="25">
        <v>0</v>
      </c>
      <c r="Q3572" s="25"/>
      <c r="R3572" s="25"/>
      <c r="S3572" s="25"/>
      <c r="T3572" s="10"/>
    </row>
    <row r="3573" s="35" customFormat="1" ht="18.5" customHeight="1" spans="1:20">
      <c r="A3573" s="9"/>
      <c r="B3573" s="25"/>
      <c r="C3573" s="25"/>
      <c r="D3573" s="25"/>
      <c r="E3573" s="25"/>
      <c r="F3573" s="25"/>
      <c r="G3573" s="25"/>
      <c r="H3573" s="25"/>
      <c r="I3573" s="25"/>
      <c r="J3573" s="25"/>
      <c r="K3573" s="25"/>
      <c r="L3573" s="25"/>
      <c r="M3573" s="42" t="s">
        <v>253</v>
      </c>
      <c r="N3573" s="41">
        <v>45010</v>
      </c>
      <c r="O3573" s="25">
        <v>2156</v>
      </c>
      <c r="P3573" s="25">
        <v>0</v>
      </c>
      <c r="Q3573" s="25"/>
      <c r="R3573" s="25"/>
      <c r="S3573" s="25"/>
      <c r="T3573" s="10"/>
    </row>
    <row r="3574" s="35" customFormat="1" ht="18.5" customHeight="1" spans="1:20">
      <c r="A3574" s="9"/>
      <c r="B3574" s="25"/>
      <c r="C3574" s="25"/>
      <c r="D3574" s="25"/>
      <c r="E3574" s="25"/>
      <c r="F3574" s="25"/>
      <c r="G3574" s="25"/>
      <c r="H3574" s="25"/>
      <c r="I3574" s="25"/>
      <c r="J3574" s="25"/>
      <c r="K3574" s="25"/>
      <c r="L3574" s="25"/>
      <c r="M3574" s="42" t="s">
        <v>253</v>
      </c>
      <c r="N3574" s="41">
        <v>44951</v>
      </c>
      <c r="O3574" s="25">
        <v>4366</v>
      </c>
      <c r="P3574" s="25">
        <v>0</v>
      </c>
      <c r="Q3574" s="25"/>
      <c r="R3574" s="25"/>
      <c r="S3574" s="25"/>
      <c r="T3574" s="10"/>
    </row>
    <row r="3575" s="35" customFormat="1" ht="18.5" customHeight="1" spans="1:20">
      <c r="A3575" s="9"/>
      <c r="B3575" s="25"/>
      <c r="C3575" s="25"/>
      <c r="D3575" s="25"/>
      <c r="E3575" s="25"/>
      <c r="F3575" s="25"/>
      <c r="G3575" s="25"/>
      <c r="H3575" s="25"/>
      <c r="I3575" s="25"/>
      <c r="J3575" s="25"/>
      <c r="K3575" s="25"/>
      <c r="L3575" s="25"/>
      <c r="M3575" s="42" t="s">
        <v>253</v>
      </c>
      <c r="N3575" s="41">
        <v>45010</v>
      </c>
      <c r="O3575" s="25">
        <v>395</v>
      </c>
      <c r="P3575" s="25">
        <v>0</v>
      </c>
      <c r="Q3575" s="25"/>
      <c r="R3575" s="25"/>
      <c r="S3575" s="25"/>
      <c r="T3575" s="10"/>
    </row>
    <row r="3576" s="35" customFormat="1" ht="18.5" customHeight="1" spans="1:20">
      <c r="A3576" s="9"/>
      <c r="B3576" s="25"/>
      <c r="C3576" s="25"/>
      <c r="D3576" s="25"/>
      <c r="E3576" s="25"/>
      <c r="F3576" s="25"/>
      <c r="G3576" s="25"/>
      <c r="H3576" s="25"/>
      <c r="I3576" s="25"/>
      <c r="J3576" s="25"/>
      <c r="K3576" s="25"/>
      <c r="L3576" s="25"/>
      <c r="M3576" s="42" t="s">
        <v>253</v>
      </c>
      <c r="N3576" s="41">
        <v>45010</v>
      </c>
      <c r="O3576" s="25">
        <v>364</v>
      </c>
      <c r="P3576" s="25">
        <v>0</v>
      </c>
      <c r="Q3576" s="25"/>
      <c r="R3576" s="25"/>
      <c r="S3576" s="25"/>
      <c r="T3576" s="10"/>
    </row>
    <row r="3577" s="35" customFormat="1" ht="18.5" customHeight="1" spans="1:20">
      <c r="A3577" s="9"/>
      <c r="B3577" s="25"/>
      <c r="C3577" s="25"/>
      <c r="D3577" s="25"/>
      <c r="E3577" s="25"/>
      <c r="F3577" s="25"/>
      <c r="G3577" s="25"/>
      <c r="H3577" s="25"/>
      <c r="I3577" s="25"/>
      <c r="J3577" s="25"/>
      <c r="K3577" s="25"/>
      <c r="L3577" s="25"/>
      <c r="M3577" s="42" t="s">
        <v>253</v>
      </c>
      <c r="N3577" s="41">
        <v>45010</v>
      </c>
      <c r="O3577" s="25">
        <v>134</v>
      </c>
      <c r="P3577" s="25">
        <v>0</v>
      </c>
      <c r="Q3577" s="25"/>
      <c r="R3577" s="25"/>
      <c r="S3577" s="25"/>
      <c r="T3577" s="10"/>
    </row>
    <row r="3578" s="35" customFormat="1" ht="18.5" customHeight="1" spans="1:20">
      <c r="A3578" s="9"/>
      <c r="B3578" s="25"/>
      <c r="C3578" s="25"/>
      <c r="D3578" s="25"/>
      <c r="E3578" s="25"/>
      <c r="F3578" s="25"/>
      <c r="G3578" s="25"/>
      <c r="H3578" s="25"/>
      <c r="I3578" s="25"/>
      <c r="J3578" s="25"/>
      <c r="K3578" s="25"/>
      <c r="L3578" s="25"/>
      <c r="M3578" s="42" t="s">
        <v>253</v>
      </c>
      <c r="N3578" s="41">
        <v>45010</v>
      </c>
      <c r="O3578" s="25">
        <v>133</v>
      </c>
      <c r="P3578" s="25">
        <v>0</v>
      </c>
      <c r="Q3578" s="25"/>
      <c r="R3578" s="25"/>
      <c r="S3578" s="25"/>
      <c r="T3578" s="10"/>
    </row>
    <row r="3579" s="35" customFormat="1" ht="18.5" customHeight="1" spans="1:20">
      <c r="A3579" s="9"/>
      <c r="B3579" s="25"/>
      <c r="C3579" s="25"/>
      <c r="D3579" s="25"/>
      <c r="E3579" s="25"/>
      <c r="F3579" s="25"/>
      <c r="G3579" s="25"/>
      <c r="H3579" s="25"/>
      <c r="I3579" s="25"/>
      <c r="J3579" s="25"/>
      <c r="K3579" s="25"/>
      <c r="L3579" s="25"/>
      <c r="M3579" s="42" t="s">
        <v>253</v>
      </c>
      <c r="N3579" s="41">
        <v>45009</v>
      </c>
      <c r="O3579" s="25">
        <v>198</v>
      </c>
      <c r="P3579" s="25">
        <v>0</v>
      </c>
      <c r="Q3579" s="25"/>
      <c r="R3579" s="25"/>
      <c r="S3579" s="25"/>
      <c r="T3579" s="10"/>
    </row>
    <row r="3580" s="35" customFormat="1" ht="18.5" customHeight="1" spans="1:20">
      <c r="A3580" s="9"/>
      <c r="B3580" s="25"/>
      <c r="C3580" s="25"/>
      <c r="D3580" s="25"/>
      <c r="E3580" s="25"/>
      <c r="F3580" s="25"/>
      <c r="G3580" s="25"/>
      <c r="H3580" s="25"/>
      <c r="I3580" s="25"/>
      <c r="J3580" s="25"/>
      <c r="K3580" s="25"/>
      <c r="L3580" s="25"/>
      <c r="M3580" s="42" t="s">
        <v>253</v>
      </c>
      <c r="N3580" s="41">
        <v>45009</v>
      </c>
      <c r="O3580" s="25">
        <v>102</v>
      </c>
      <c r="P3580" s="25">
        <v>0</v>
      </c>
      <c r="Q3580" s="25"/>
      <c r="R3580" s="25"/>
      <c r="S3580" s="25"/>
      <c r="T3580" s="10"/>
    </row>
    <row r="3581" s="35" customFormat="1" ht="18.5" customHeight="1" spans="1:20">
      <c r="A3581" s="9"/>
      <c r="B3581" s="25"/>
      <c r="C3581" s="25"/>
      <c r="D3581" s="25"/>
      <c r="E3581" s="25"/>
      <c r="F3581" s="25"/>
      <c r="G3581" s="25"/>
      <c r="H3581" s="25"/>
      <c r="I3581" s="25"/>
      <c r="J3581" s="25"/>
      <c r="K3581" s="25"/>
      <c r="L3581" s="25"/>
      <c r="M3581" s="42" t="s">
        <v>253</v>
      </c>
      <c r="N3581" s="41">
        <v>45009</v>
      </c>
      <c r="O3581" s="25">
        <v>909</v>
      </c>
      <c r="P3581" s="25">
        <v>0</v>
      </c>
      <c r="Q3581" s="25"/>
      <c r="R3581" s="25"/>
      <c r="S3581" s="25"/>
      <c r="T3581" s="10"/>
    </row>
    <row r="3582" s="35" customFormat="1" ht="18.5" customHeight="1" spans="1:20">
      <c r="A3582" s="9"/>
      <c r="B3582" s="25"/>
      <c r="C3582" s="25"/>
      <c r="D3582" s="25"/>
      <c r="E3582" s="25"/>
      <c r="F3582" s="25"/>
      <c r="G3582" s="25"/>
      <c r="H3582" s="25"/>
      <c r="I3582" s="25"/>
      <c r="J3582" s="25"/>
      <c r="K3582" s="25"/>
      <c r="L3582" s="25"/>
      <c r="M3582" s="42" t="s">
        <v>253</v>
      </c>
      <c r="N3582" s="41">
        <v>45009</v>
      </c>
      <c r="O3582" s="25">
        <v>142</v>
      </c>
      <c r="P3582" s="25">
        <v>0</v>
      </c>
      <c r="Q3582" s="25"/>
      <c r="R3582" s="25"/>
      <c r="S3582" s="25"/>
      <c r="T3582" s="10"/>
    </row>
    <row r="3583" s="35" customFormat="1" ht="18.5" customHeight="1" spans="1:20">
      <c r="A3583" s="9"/>
      <c r="B3583" s="25"/>
      <c r="C3583" s="25"/>
      <c r="D3583" s="25"/>
      <c r="E3583" s="25"/>
      <c r="F3583" s="25"/>
      <c r="G3583" s="25"/>
      <c r="H3583" s="25"/>
      <c r="I3583" s="25"/>
      <c r="J3583" s="25"/>
      <c r="K3583" s="25"/>
      <c r="L3583" s="25"/>
      <c r="M3583" s="42" t="s">
        <v>253</v>
      </c>
      <c r="N3583" s="41">
        <v>45009</v>
      </c>
      <c r="O3583" s="25">
        <v>328</v>
      </c>
      <c r="P3583" s="25">
        <v>0</v>
      </c>
      <c r="Q3583" s="25"/>
      <c r="R3583" s="25"/>
      <c r="S3583" s="25"/>
      <c r="T3583" s="10"/>
    </row>
    <row r="3584" s="35" customFormat="1" ht="18.5" customHeight="1" spans="1:20">
      <c r="A3584" s="9"/>
      <c r="B3584" s="25"/>
      <c r="C3584" s="25"/>
      <c r="D3584" s="25"/>
      <c r="E3584" s="25"/>
      <c r="F3584" s="25"/>
      <c r="G3584" s="25"/>
      <c r="H3584" s="25"/>
      <c r="I3584" s="25"/>
      <c r="J3584" s="25"/>
      <c r="K3584" s="25"/>
      <c r="L3584" s="25"/>
      <c r="M3584" s="42" t="s">
        <v>253</v>
      </c>
      <c r="N3584" s="41">
        <v>45009</v>
      </c>
      <c r="O3584" s="25">
        <v>144</v>
      </c>
      <c r="P3584" s="25">
        <v>0</v>
      </c>
      <c r="Q3584" s="25"/>
      <c r="R3584" s="25"/>
      <c r="S3584" s="25"/>
      <c r="T3584" s="10"/>
    </row>
    <row r="3585" s="35" customFormat="1" ht="18.5" customHeight="1" spans="1:20">
      <c r="A3585" s="9"/>
      <c r="B3585" s="25"/>
      <c r="C3585" s="25"/>
      <c r="D3585" s="25"/>
      <c r="E3585" s="25"/>
      <c r="F3585" s="25"/>
      <c r="G3585" s="25"/>
      <c r="H3585" s="25"/>
      <c r="I3585" s="25"/>
      <c r="J3585" s="25"/>
      <c r="K3585" s="25"/>
      <c r="L3585" s="25"/>
      <c r="M3585" s="42" t="s">
        <v>253</v>
      </c>
      <c r="N3585" s="41">
        <v>45009</v>
      </c>
      <c r="O3585" s="25">
        <v>105</v>
      </c>
      <c r="P3585" s="25">
        <v>0</v>
      </c>
      <c r="Q3585" s="25"/>
      <c r="R3585" s="25"/>
      <c r="S3585" s="25"/>
      <c r="T3585" s="10"/>
    </row>
    <row r="3586" s="35" customFormat="1" ht="18.5" customHeight="1" spans="1:20">
      <c r="A3586" s="9"/>
      <c r="B3586" s="25"/>
      <c r="C3586" s="25"/>
      <c r="D3586" s="25"/>
      <c r="E3586" s="25"/>
      <c r="F3586" s="25"/>
      <c r="G3586" s="25"/>
      <c r="H3586" s="25"/>
      <c r="I3586" s="25"/>
      <c r="J3586" s="25"/>
      <c r="K3586" s="25"/>
      <c r="L3586" s="25"/>
      <c r="M3586" s="42" t="s">
        <v>253</v>
      </c>
      <c r="N3586" s="41">
        <v>45009</v>
      </c>
      <c r="O3586" s="25">
        <v>163</v>
      </c>
      <c r="P3586" s="25">
        <v>0</v>
      </c>
      <c r="Q3586" s="25"/>
      <c r="R3586" s="25"/>
      <c r="S3586" s="25"/>
      <c r="T3586" s="10"/>
    </row>
    <row r="3587" s="35" customFormat="1" ht="18.5" customHeight="1" spans="1:20">
      <c r="A3587" s="9"/>
      <c r="B3587" s="25"/>
      <c r="C3587" s="25"/>
      <c r="D3587" s="25"/>
      <c r="E3587" s="25"/>
      <c r="F3587" s="25"/>
      <c r="G3587" s="25"/>
      <c r="H3587" s="25"/>
      <c r="I3587" s="25"/>
      <c r="J3587" s="25"/>
      <c r="K3587" s="25"/>
      <c r="L3587" s="25"/>
      <c r="M3587" s="42" t="s">
        <v>253</v>
      </c>
      <c r="N3587" s="41">
        <v>45009</v>
      </c>
      <c r="O3587" s="25">
        <v>158</v>
      </c>
      <c r="P3587" s="25">
        <v>0</v>
      </c>
      <c r="Q3587" s="25"/>
      <c r="R3587" s="25"/>
      <c r="S3587" s="25"/>
      <c r="T3587" s="10"/>
    </row>
    <row r="3588" s="35" customFormat="1" ht="18.5" customHeight="1" spans="1:20">
      <c r="A3588" s="9"/>
      <c r="B3588" s="25"/>
      <c r="C3588" s="25"/>
      <c r="D3588" s="25"/>
      <c r="E3588" s="25"/>
      <c r="F3588" s="25"/>
      <c r="G3588" s="25"/>
      <c r="H3588" s="25"/>
      <c r="I3588" s="25"/>
      <c r="J3588" s="25"/>
      <c r="K3588" s="25"/>
      <c r="L3588" s="25"/>
      <c r="M3588" s="42" t="s">
        <v>253</v>
      </c>
      <c r="N3588" s="41">
        <v>45009</v>
      </c>
      <c r="O3588" s="25">
        <v>259</v>
      </c>
      <c r="P3588" s="25">
        <v>0</v>
      </c>
      <c r="Q3588" s="25"/>
      <c r="R3588" s="25"/>
      <c r="S3588" s="25"/>
      <c r="T3588" s="10"/>
    </row>
    <row r="3589" s="35" customFormat="1" ht="18.5" customHeight="1" spans="1:20">
      <c r="A3589" s="9"/>
      <c r="B3589" s="25"/>
      <c r="C3589" s="25"/>
      <c r="D3589" s="25"/>
      <c r="E3589" s="25"/>
      <c r="F3589" s="25"/>
      <c r="G3589" s="25"/>
      <c r="H3589" s="25"/>
      <c r="I3589" s="25"/>
      <c r="J3589" s="25"/>
      <c r="K3589" s="25"/>
      <c r="L3589" s="25"/>
      <c r="M3589" s="42" t="s">
        <v>253</v>
      </c>
      <c r="N3589" s="41">
        <v>45009</v>
      </c>
      <c r="O3589" s="25">
        <v>98</v>
      </c>
      <c r="P3589" s="25">
        <v>0</v>
      </c>
      <c r="Q3589" s="25"/>
      <c r="R3589" s="25"/>
      <c r="S3589" s="25"/>
      <c r="T3589" s="10"/>
    </row>
    <row r="3590" s="35" customFormat="1" ht="18.5" customHeight="1" spans="1:20">
      <c r="A3590" s="9"/>
      <c r="B3590" s="25"/>
      <c r="C3590" s="25"/>
      <c r="D3590" s="25"/>
      <c r="E3590" s="25"/>
      <c r="F3590" s="25"/>
      <c r="G3590" s="25"/>
      <c r="H3590" s="25"/>
      <c r="I3590" s="25"/>
      <c r="J3590" s="25"/>
      <c r="K3590" s="25"/>
      <c r="L3590" s="25"/>
      <c r="M3590" s="42" t="s">
        <v>253</v>
      </c>
      <c r="N3590" s="41">
        <v>45009</v>
      </c>
      <c r="O3590" s="25">
        <v>279</v>
      </c>
      <c r="P3590" s="25">
        <v>0</v>
      </c>
      <c r="Q3590" s="25"/>
      <c r="R3590" s="25"/>
      <c r="S3590" s="25"/>
      <c r="T3590" s="10"/>
    </row>
    <row r="3591" s="35" customFormat="1" ht="18.5" customHeight="1" spans="1:20">
      <c r="A3591" s="9"/>
      <c r="B3591" s="25"/>
      <c r="C3591" s="25"/>
      <c r="D3591" s="25"/>
      <c r="E3591" s="25"/>
      <c r="F3591" s="25"/>
      <c r="G3591" s="25"/>
      <c r="H3591" s="25"/>
      <c r="I3591" s="25"/>
      <c r="J3591" s="25"/>
      <c r="K3591" s="25"/>
      <c r="L3591" s="25"/>
      <c r="M3591" s="42" t="s">
        <v>253</v>
      </c>
      <c r="N3591" s="41">
        <v>45009</v>
      </c>
      <c r="O3591" s="25">
        <v>149</v>
      </c>
      <c r="P3591" s="25">
        <v>0</v>
      </c>
      <c r="Q3591" s="25"/>
      <c r="R3591" s="25"/>
      <c r="S3591" s="25"/>
      <c r="T3591" s="10"/>
    </row>
    <row r="3592" s="35" customFormat="1" ht="18.5" customHeight="1" spans="1:20">
      <c r="A3592" s="9"/>
      <c r="B3592" s="25"/>
      <c r="C3592" s="25"/>
      <c r="D3592" s="25"/>
      <c r="E3592" s="25"/>
      <c r="F3592" s="25"/>
      <c r="G3592" s="25"/>
      <c r="H3592" s="25"/>
      <c r="I3592" s="25"/>
      <c r="J3592" s="25"/>
      <c r="K3592" s="25"/>
      <c r="L3592" s="25"/>
      <c r="M3592" s="42" t="s">
        <v>253</v>
      </c>
      <c r="N3592" s="41">
        <v>45009</v>
      </c>
      <c r="O3592" s="25">
        <v>133</v>
      </c>
      <c r="P3592" s="25">
        <v>0</v>
      </c>
      <c r="Q3592" s="25"/>
      <c r="R3592" s="25"/>
      <c r="S3592" s="25"/>
      <c r="T3592" s="10"/>
    </row>
    <row r="3593" s="35" customFormat="1" ht="18.5" customHeight="1" spans="1:20">
      <c r="A3593" s="9"/>
      <c r="B3593" s="25"/>
      <c r="C3593" s="25"/>
      <c r="D3593" s="25"/>
      <c r="E3593" s="25"/>
      <c r="F3593" s="25"/>
      <c r="G3593" s="25"/>
      <c r="H3593" s="25"/>
      <c r="I3593" s="25"/>
      <c r="J3593" s="25"/>
      <c r="K3593" s="25"/>
      <c r="L3593" s="25"/>
      <c r="M3593" s="42" t="s">
        <v>253</v>
      </c>
      <c r="N3593" s="41">
        <v>45008</v>
      </c>
      <c r="O3593" s="25">
        <v>139</v>
      </c>
      <c r="P3593" s="25">
        <v>0</v>
      </c>
      <c r="Q3593" s="25"/>
      <c r="R3593" s="25"/>
      <c r="S3593" s="25"/>
      <c r="T3593" s="10"/>
    </row>
    <row r="3594" s="35" customFormat="1" ht="18.5" customHeight="1" spans="1:20">
      <c r="A3594" s="9"/>
      <c r="B3594" s="25"/>
      <c r="C3594" s="25"/>
      <c r="D3594" s="25"/>
      <c r="E3594" s="25"/>
      <c r="F3594" s="25"/>
      <c r="G3594" s="25"/>
      <c r="H3594" s="25"/>
      <c r="I3594" s="25"/>
      <c r="J3594" s="25"/>
      <c r="K3594" s="25"/>
      <c r="L3594" s="25"/>
      <c r="M3594" s="42" t="s">
        <v>253</v>
      </c>
      <c r="N3594" s="41">
        <v>45008</v>
      </c>
      <c r="O3594" s="25">
        <v>133</v>
      </c>
      <c r="P3594" s="25">
        <v>0</v>
      </c>
      <c r="Q3594" s="25"/>
      <c r="R3594" s="25"/>
      <c r="S3594" s="25"/>
      <c r="T3594" s="10"/>
    </row>
    <row r="3595" s="35" customFormat="1" ht="18.5" customHeight="1" spans="1:20">
      <c r="A3595" s="9"/>
      <c r="B3595" s="25"/>
      <c r="C3595" s="25"/>
      <c r="D3595" s="25"/>
      <c r="E3595" s="25"/>
      <c r="F3595" s="25"/>
      <c r="G3595" s="25"/>
      <c r="H3595" s="25"/>
      <c r="I3595" s="25"/>
      <c r="J3595" s="25"/>
      <c r="K3595" s="25"/>
      <c r="L3595" s="25"/>
      <c r="M3595" s="42" t="s">
        <v>253</v>
      </c>
      <c r="N3595" s="41">
        <v>45008</v>
      </c>
      <c r="O3595" s="25">
        <v>235</v>
      </c>
      <c r="P3595" s="25">
        <v>0</v>
      </c>
      <c r="Q3595" s="25"/>
      <c r="R3595" s="25"/>
      <c r="S3595" s="25"/>
      <c r="T3595" s="10"/>
    </row>
    <row r="3596" s="35" customFormat="1" ht="18.5" customHeight="1" spans="1:20">
      <c r="A3596" s="9"/>
      <c r="B3596" s="25"/>
      <c r="C3596" s="25"/>
      <c r="D3596" s="25"/>
      <c r="E3596" s="25"/>
      <c r="F3596" s="25"/>
      <c r="G3596" s="25"/>
      <c r="H3596" s="25"/>
      <c r="I3596" s="25"/>
      <c r="J3596" s="25"/>
      <c r="K3596" s="25"/>
      <c r="L3596" s="25"/>
      <c r="M3596" s="42" t="s">
        <v>253</v>
      </c>
      <c r="N3596" s="41">
        <v>45008</v>
      </c>
      <c r="O3596" s="25">
        <v>116</v>
      </c>
      <c r="P3596" s="25">
        <v>0</v>
      </c>
      <c r="Q3596" s="25"/>
      <c r="R3596" s="25"/>
      <c r="S3596" s="25"/>
      <c r="T3596" s="10"/>
    </row>
    <row r="3597" s="35" customFormat="1" ht="18.5" customHeight="1" spans="1:20">
      <c r="A3597" s="9"/>
      <c r="B3597" s="25"/>
      <c r="C3597" s="25"/>
      <c r="D3597" s="25"/>
      <c r="E3597" s="25"/>
      <c r="F3597" s="25"/>
      <c r="G3597" s="25"/>
      <c r="H3597" s="25"/>
      <c r="I3597" s="25"/>
      <c r="J3597" s="25"/>
      <c r="K3597" s="25"/>
      <c r="L3597" s="25"/>
      <c r="M3597" s="42" t="s">
        <v>253</v>
      </c>
      <c r="N3597" s="41">
        <v>45008</v>
      </c>
      <c r="O3597" s="25">
        <v>220</v>
      </c>
      <c r="P3597" s="25">
        <v>0</v>
      </c>
      <c r="Q3597" s="25"/>
      <c r="R3597" s="25"/>
      <c r="S3597" s="25"/>
      <c r="T3597" s="10"/>
    </row>
    <row r="3598" s="35" customFormat="1" ht="18.5" customHeight="1" spans="1:20">
      <c r="A3598" s="9"/>
      <c r="B3598" s="25"/>
      <c r="C3598" s="25"/>
      <c r="D3598" s="25"/>
      <c r="E3598" s="25"/>
      <c r="F3598" s="25"/>
      <c r="G3598" s="25"/>
      <c r="H3598" s="25"/>
      <c r="I3598" s="25"/>
      <c r="J3598" s="25"/>
      <c r="K3598" s="25"/>
      <c r="L3598" s="25"/>
      <c r="M3598" s="42" t="s">
        <v>253</v>
      </c>
      <c r="N3598" s="41">
        <v>45008</v>
      </c>
      <c r="O3598" s="25">
        <v>203</v>
      </c>
      <c r="P3598" s="25">
        <v>0</v>
      </c>
      <c r="Q3598" s="25"/>
      <c r="R3598" s="25"/>
      <c r="S3598" s="25"/>
      <c r="T3598" s="10"/>
    </row>
    <row r="3599" s="35" customFormat="1" ht="18.5" customHeight="1" spans="1:20">
      <c r="A3599" s="9"/>
      <c r="B3599" s="25"/>
      <c r="C3599" s="25"/>
      <c r="D3599" s="25"/>
      <c r="E3599" s="25"/>
      <c r="F3599" s="25"/>
      <c r="G3599" s="25"/>
      <c r="H3599" s="25"/>
      <c r="I3599" s="25"/>
      <c r="J3599" s="25"/>
      <c r="K3599" s="25"/>
      <c r="L3599" s="25"/>
      <c r="M3599" s="42" t="s">
        <v>253</v>
      </c>
      <c r="N3599" s="41">
        <v>45008</v>
      </c>
      <c r="O3599" s="25">
        <v>150</v>
      </c>
      <c r="P3599" s="25">
        <v>0</v>
      </c>
      <c r="Q3599" s="25"/>
      <c r="R3599" s="25"/>
      <c r="S3599" s="25"/>
      <c r="T3599" s="10"/>
    </row>
    <row r="3600" s="35" customFormat="1" ht="18.5" customHeight="1" spans="1:20">
      <c r="A3600" s="9"/>
      <c r="B3600" s="25"/>
      <c r="C3600" s="25"/>
      <c r="D3600" s="25"/>
      <c r="E3600" s="25"/>
      <c r="F3600" s="25"/>
      <c r="G3600" s="25"/>
      <c r="H3600" s="25"/>
      <c r="I3600" s="25"/>
      <c r="J3600" s="25"/>
      <c r="K3600" s="25"/>
      <c r="L3600" s="25"/>
      <c r="M3600" s="42" t="s">
        <v>253</v>
      </c>
      <c r="N3600" s="41">
        <v>45008</v>
      </c>
      <c r="O3600" s="25">
        <v>271</v>
      </c>
      <c r="P3600" s="25">
        <v>0</v>
      </c>
      <c r="Q3600" s="25"/>
      <c r="R3600" s="25"/>
      <c r="S3600" s="25"/>
      <c r="T3600" s="10"/>
    </row>
    <row r="3601" s="35" customFormat="1" ht="18.5" customHeight="1" spans="1:20">
      <c r="A3601" s="9"/>
      <c r="B3601" s="25"/>
      <c r="C3601" s="25"/>
      <c r="D3601" s="25"/>
      <c r="E3601" s="25"/>
      <c r="F3601" s="25"/>
      <c r="G3601" s="25"/>
      <c r="H3601" s="25"/>
      <c r="I3601" s="25"/>
      <c r="J3601" s="25"/>
      <c r="K3601" s="25"/>
      <c r="L3601" s="25"/>
      <c r="M3601" s="42" t="s">
        <v>253</v>
      </c>
      <c r="N3601" s="41">
        <v>45007</v>
      </c>
      <c r="O3601" s="25">
        <v>123</v>
      </c>
      <c r="P3601" s="25">
        <v>0</v>
      </c>
      <c r="Q3601" s="25"/>
      <c r="R3601" s="25"/>
      <c r="S3601" s="25"/>
      <c r="T3601" s="10"/>
    </row>
    <row r="3602" s="35" customFormat="1" ht="18.5" customHeight="1" spans="1:20">
      <c r="A3602" s="9"/>
      <c r="B3602" s="25"/>
      <c r="C3602" s="25"/>
      <c r="D3602" s="25"/>
      <c r="E3602" s="25"/>
      <c r="F3602" s="25"/>
      <c r="G3602" s="25"/>
      <c r="H3602" s="25"/>
      <c r="I3602" s="25"/>
      <c r="J3602" s="25"/>
      <c r="K3602" s="25"/>
      <c r="L3602" s="25"/>
      <c r="M3602" s="42" t="s">
        <v>253</v>
      </c>
      <c r="N3602" s="41">
        <v>45007</v>
      </c>
      <c r="O3602" s="25">
        <v>701</v>
      </c>
      <c r="P3602" s="25">
        <v>0</v>
      </c>
      <c r="Q3602" s="25"/>
      <c r="R3602" s="25"/>
      <c r="S3602" s="25"/>
      <c r="T3602" s="10"/>
    </row>
    <row r="3603" s="35" customFormat="1" ht="18.5" customHeight="1" spans="1:20">
      <c r="A3603" s="9"/>
      <c r="B3603" s="25"/>
      <c r="C3603" s="25"/>
      <c r="D3603" s="25"/>
      <c r="E3603" s="25"/>
      <c r="F3603" s="25"/>
      <c r="G3603" s="25"/>
      <c r="H3603" s="25"/>
      <c r="I3603" s="25"/>
      <c r="J3603" s="25"/>
      <c r="K3603" s="25"/>
      <c r="L3603" s="25"/>
      <c r="M3603" s="42" t="s">
        <v>253</v>
      </c>
      <c r="N3603" s="41">
        <v>45007</v>
      </c>
      <c r="O3603" s="25">
        <v>120</v>
      </c>
      <c r="P3603" s="25">
        <v>0</v>
      </c>
      <c r="Q3603" s="25"/>
      <c r="R3603" s="25"/>
      <c r="S3603" s="25"/>
      <c r="T3603" s="10"/>
    </row>
    <row r="3604" s="35" customFormat="1" ht="18.5" customHeight="1" spans="1:20">
      <c r="A3604" s="9"/>
      <c r="B3604" s="25"/>
      <c r="C3604" s="25"/>
      <c r="D3604" s="25"/>
      <c r="E3604" s="25"/>
      <c r="F3604" s="25"/>
      <c r="G3604" s="25"/>
      <c r="H3604" s="25"/>
      <c r="I3604" s="25"/>
      <c r="J3604" s="25"/>
      <c r="K3604" s="25"/>
      <c r="L3604" s="25"/>
      <c r="M3604" s="42" t="s">
        <v>253</v>
      </c>
      <c r="N3604" s="41">
        <v>45007</v>
      </c>
      <c r="O3604" s="25">
        <v>136</v>
      </c>
      <c r="P3604" s="25">
        <v>0</v>
      </c>
      <c r="Q3604" s="25"/>
      <c r="R3604" s="25"/>
      <c r="S3604" s="25"/>
      <c r="T3604" s="10"/>
    </row>
    <row r="3605" s="35" customFormat="1" ht="18.5" customHeight="1" spans="1:20">
      <c r="A3605" s="9"/>
      <c r="B3605" s="25"/>
      <c r="C3605" s="25"/>
      <c r="D3605" s="25"/>
      <c r="E3605" s="25"/>
      <c r="F3605" s="25"/>
      <c r="G3605" s="25"/>
      <c r="H3605" s="25"/>
      <c r="I3605" s="25"/>
      <c r="J3605" s="25"/>
      <c r="K3605" s="25"/>
      <c r="L3605" s="25"/>
      <c r="M3605" s="42" t="s">
        <v>253</v>
      </c>
      <c r="N3605" s="41">
        <v>45007</v>
      </c>
      <c r="O3605" s="25">
        <v>128</v>
      </c>
      <c r="P3605" s="25">
        <v>0</v>
      </c>
      <c r="Q3605" s="25"/>
      <c r="R3605" s="25"/>
      <c r="S3605" s="25"/>
      <c r="T3605" s="10"/>
    </row>
    <row r="3606" s="35" customFormat="1" ht="18.5" customHeight="1" spans="1:20">
      <c r="A3606" s="9"/>
      <c r="B3606" s="25"/>
      <c r="C3606" s="25"/>
      <c r="D3606" s="25"/>
      <c r="E3606" s="25"/>
      <c r="F3606" s="25"/>
      <c r="G3606" s="25"/>
      <c r="H3606" s="25"/>
      <c r="I3606" s="25"/>
      <c r="J3606" s="25"/>
      <c r="K3606" s="25"/>
      <c r="L3606" s="25"/>
      <c r="M3606" s="42" t="s">
        <v>253</v>
      </c>
      <c r="N3606" s="41">
        <v>45007</v>
      </c>
      <c r="O3606" s="25">
        <v>131</v>
      </c>
      <c r="P3606" s="25">
        <v>0</v>
      </c>
      <c r="Q3606" s="25"/>
      <c r="R3606" s="25"/>
      <c r="S3606" s="25"/>
      <c r="T3606" s="10"/>
    </row>
    <row r="3607" s="35" customFormat="1" ht="18.5" customHeight="1" spans="1:20">
      <c r="A3607" s="9"/>
      <c r="B3607" s="25"/>
      <c r="C3607" s="25"/>
      <c r="D3607" s="25"/>
      <c r="E3607" s="25"/>
      <c r="F3607" s="25"/>
      <c r="G3607" s="25"/>
      <c r="H3607" s="25"/>
      <c r="I3607" s="25"/>
      <c r="J3607" s="25"/>
      <c r="K3607" s="25"/>
      <c r="L3607" s="25"/>
      <c r="M3607" s="42" t="s">
        <v>253</v>
      </c>
      <c r="N3607" s="41">
        <v>45007</v>
      </c>
      <c r="O3607" s="25">
        <v>131</v>
      </c>
      <c r="P3607" s="25">
        <v>0</v>
      </c>
      <c r="Q3607" s="25"/>
      <c r="R3607" s="25"/>
      <c r="S3607" s="25"/>
      <c r="T3607" s="10"/>
    </row>
    <row r="3608" s="35" customFormat="1" ht="18.5" customHeight="1" spans="1:20">
      <c r="A3608" s="9"/>
      <c r="B3608" s="25"/>
      <c r="C3608" s="25"/>
      <c r="D3608" s="25"/>
      <c r="E3608" s="25"/>
      <c r="F3608" s="25"/>
      <c r="G3608" s="25"/>
      <c r="H3608" s="25"/>
      <c r="I3608" s="25"/>
      <c r="J3608" s="25"/>
      <c r="K3608" s="25"/>
      <c r="L3608" s="25"/>
      <c r="M3608" s="42" t="s">
        <v>253</v>
      </c>
      <c r="N3608" s="41">
        <v>45006</v>
      </c>
      <c r="O3608" s="25">
        <v>171</v>
      </c>
      <c r="P3608" s="25">
        <v>0</v>
      </c>
      <c r="Q3608" s="25"/>
      <c r="R3608" s="25"/>
      <c r="S3608" s="25"/>
      <c r="T3608" s="10"/>
    </row>
    <row r="3609" s="35" customFormat="1" ht="18.5" customHeight="1" spans="1:20">
      <c r="A3609" s="9"/>
      <c r="B3609" s="25"/>
      <c r="C3609" s="25"/>
      <c r="D3609" s="25"/>
      <c r="E3609" s="25"/>
      <c r="F3609" s="25"/>
      <c r="G3609" s="25"/>
      <c r="H3609" s="25"/>
      <c r="I3609" s="25"/>
      <c r="J3609" s="25"/>
      <c r="K3609" s="25"/>
      <c r="L3609" s="25"/>
      <c r="M3609" s="42" t="s">
        <v>253</v>
      </c>
      <c r="N3609" s="41">
        <v>45006</v>
      </c>
      <c r="O3609" s="25">
        <v>656</v>
      </c>
      <c r="P3609" s="25">
        <v>0</v>
      </c>
      <c r="Q3609" s="25"/>
      <c r="R3609" s="25"/>
      <c r="S3609" s="25"/>
      <c r="T3609" s="10"/>
    </row>
    <row r="3610" s="35" customFormat="1" ht="18.5" customHeight="1" spans="1:20">
      <c r="A3610" s="9"/>
      <c r="B3610" s="25"/>
      <c r="C3610" s="25"/>
      <c r="D3610" s="25"/>
      <c r="E3610" s="25"/>
      <c r="F3610" s="25"/>
      <c r="G3610" s="25"/>
      <c r="H3610" s="25"/>
      <c r="I3610" s="25"/>
      <c r="J3610" s="25"/>
      <c r="K3610" s="25"/>
      <c r="L3610" s="25"/>
      <c r="M3610" s="42" t="s">
        <v>253</v>
      </c>
      <c r="N3610" s="41">
        <v>45006</v>
      </c>
      <c r="O3610" s="25">
        <v>199</v>
      </c>
      <c r="P3610" s="25">
        <v>0</v>
      </c>
      <c r="Q3610" s="25"/>
      <c r="R3610" s="25"/>
      <c r="S3610" s="25"/>
      <c r="T3610" s="10"/>
    </row>
    <row r="3611" s="35" customFormat="1" ht="18.5" customHeight="1" spans="1:20">
      <c r="A3611" s="9"/>
      <c r="B3611" s="25"/>
      <c r="C3611" s="25"/>
      <c r="D3611" s="25"/>
      <c r="E3611" s="25"/>
      <c r="F3611" s="25"/>
      <c r="G3611" s="25"/>
      <c r="H3611" s="25"/>
      <c r="I3611" s="25"/>
      <c r="J3611" s="25"/>
      <c r="K3611" s="25"/>
      <c r="L3611" s="25"/>
      <c r="M3611" s="42" t="s">
        <v>253</v>
      </c>
      <c r="N3611" s="41">
        <v>45006</v>
      </c>
      <c r="O3611" s="25">
        <v>198</v>
      </c>
      <c r="P3611" s="25">
        <v>0</v>
      </c>
      <c r="Q3611" s="25"/>
      <c r="R3611" s="25"/>
      <c r="S3611" s="25"/>
      <c r="T3611" s="10"/>
    </row>
    <row r="3612" s="35" customFormat="1" ht="18.5" customHeight="1" spans="1:20">
      <c r="A3612" s="9"/>
      <c r="B3612" s="25"/>
      <c r="C3612" s="25"/>
      <c r="D3612" s="25"/>
      <c r="E3612" s="25"/>
      <c r="F3612" s="25"/>
      <c r="G3612" s="25"/>
      <c r="H3612" s="25"/>
      <c r="I3612" s="25"/>
      <c r="J3612" s="25"/>
      <c r="K3612" s="25"/>
      <c r="L3612" s="25"/>
      <c r="M3612" s="42" t="s">
        <v>253</v>
      </c>
      <c r="N3612" s="41">
        <v>45006</v>
      </c>
      <c r="O3612" s="25">
        <v>229</v>
      </c>
      <c r="P3612" s="25">
        <v>0</v>
      </c>
      <c r="Q3612" s="25"/>
      <c r="R3612" s="25"/>
      <c r="S3612" s="25"/>
      <c r="T3612" s="10"/>
    </row>
    <row r="3613" s="35" customFormat="1" ht="18.5" customHeight="1" spans="1:20">
      <c r="A3613" s="9"/>
      <c r="B3613" s="25"/>
      <c r="C3613" s="25"/>
      <c r="D3613" s="25"/>
      <c r="E3613" s="25"/>
      <c r="F3613" s="25"/>
      <c r="G3613" s="25"/>
      <c r="H3613" s="25"/>
      <c r="I3613" s="25"/>
      <c r="J3613" s="25"/>
      <c r="K3613" s="25"/>
      <c r="L3613" s="25"/>
      <c r="M3613" s="42" t="s">
        <v>253</v>
      </c>
      <c r="N3613" s="41">
        <v>45006</v>
      </c>
      <c r="O3613" s="25">
        <v>122</v>
      </c>
      <c r="P3613" s="25">
        <v>0</v>
      </c>
      <c r="Q3613" s="25"/>
      <c r="R3613" s="25"/>
      <c r="S3613" s="25"/>
      <c r="T3613" s="10"/>
    </row>
    <row r="3614" s="35" customFormat="1" ht="18.5" customHeight="1" spans="1:20">
      <c r="A3614" s="9"/>
      <c r="B3614" s="25"/>
      <c r="C3614" s="25"/>
      <c r="D3614" s="25"/>
      <c r="E3614" s="25"/>
      <c r="F3614" s="25"/>
      <c r="G3614" s="25"/>
      <c r="H3614" s="25"/>
      <c r="I3614" s="25"/>
      <c r="J3614" s="25"/>
      <c r="K3614" s="25"/>
      <c r="L3614" s="25"/>
      <c r="M3614" s="42" t="s">
        <v>253</v>
      </c>
      <c r="N3614" s="41">
        <v>45006</v>
      </c>
      <c r="O3614" s="25">
        <v>208</v>
      </c>
      <c r="P3614" s="25">
        <v>0</v>
      </c>
      <c r="Q3614" s="25"/>
      <c r="R3614" s="25"/>
      <c r="S3614" s="25"/>
      <c r="T3614" s="10"/>
    </row>
    <row r="3615" s="35" customFormat="1" ht="18.5" customHeight="1" spans="1:20">
      <c r="A3615" s="9"/>
      <c r="B3615" s="25"/>
      <c r="C3615" s="25"/>
      <c r="D3615" s="25"/>
      <c r="E3615" s="25"/>
      <c r="F3615" s="25"/>
      <c r="G3615" s="25"/>
      <c r="H3615" s="25"/>
      <c r="I3615" s="25"/>
      <c r="J3615" s="25"/>
      <c r="K3615" s="25"/>
      <c r="L3615" s="25"/>
      <c r="M3615" s="42" t="s">
        <v>253</v>
      </c>
      <c r="N3615" s="41">
        <v>45006</v>
      </c>
      <c r="O3615" s="25">
        <v>2244</v>
      </c>
      <c r="P3615" s="25">
        <v>0</v>
      </c>
      <c r="Q3615" s="25"/>
      <c r="R3615" s="25"/>
      <c r="S3615" s="25"/>
      <c r="T3615" s="10"/>
    </row>
    <row r="3616" s="35" customFormat="1" ht="18.5" customHeight="1" spans="1:20">
      <c r="A3616" s="9"/>
      <c r="B3616" s="25"/>
      <c r="C3616" s="25"/>
      <c r="D3616" s="25"/>
      <c r="E3616" s="25"/>
      <c r="F3616" s="25"/>
      <c r="G3616" s="25"/>
      <c r="H3616" s="25"/>
      <c r="I3616" s="25"/>
      <c r="J3616" s="25"/>
      <c r="K3616" s="25"/>
      <c r="L3616" s="25"/>
      <c r="M3616" s="42" t="s">
        <v>253</v>
      </c>
      <c r="N3616" s="41">
        <v>45006</v>
      </c>
      <c r="O3616" s="25">
        <v>491</v>
      </c>
      <c r="P3616" s="25">
        <v>0</v>
      </c>
      <c r="Q3616" s="25"/>
      <c r="R3616" s="25"/>
      <c r="S3616" s="25"/>
      <c r="T3616" s="10"/>
    </row>
    <row r="3617" s="35" customFormat="1" ht="18.5" customHeight="1" spans="1:20">
      <c r="A3617" s="9"/>
      <c r="B3617" s="25"/>
      <c r="C3617" s="25"/>
      <c r="D3617" s="25"/>
      <c r="E3617" s="25"/>
      <c r="F3617" s="25"/>
      <c r="G3617" s="25"/>
      <c r="H3617" s="25"/>
      <c r="I3617" s="25"/>
      <c r="J3617" s="25"/>
      <c r="K3617" s="25"/>
      <c r="L3617" s="25"/>
      <c r="M3617" s="42" t="s">
        <v>253</v>
      </c>
      <c r="N3617" s="41">
        <v>45006</v>
      </c>
      <c r="O3617" s="25">
        <v>450</v>
      </c>
      <c r="P3617" s="25">
        <v>0</v>
      </c>
      <c r="Q3617" s="25"/>
      <c r="R3617" s="25"/>
      <c r="S3617" s="25"/>
      <c r="T3617" s="10"/>
    </row>
    <row r="3618" s="35" customFormat="1" ht="18.5" customHeight="1" spans="1:20">
      <c r="A3618" s="9"/>
      <c r="B3618" s="25"/>
      <c r="C3618" s="25"/>
      <c r="D3618" s="25"/>
      <c r="E3618" s="25"/>
      <c r="F3618" s="25"/>
      <c r="G3618" s="25"/>
      <c r="H3618" s="25"/>
      <c r="I3618" s="25"/>
      <c r="J3618" s="25"/>
      <c r="K3618" s="25"/>
      <c r="L3618" s="25"/>
      <c r="M3618" s="42" t="s">
        <v>253</v>
      </c>
      <c r="N3618" s="41">
        <v>45006</v>
      </c>
      <c r="O3618" s="25">
        <v>173</v>
      </c>
      <c r="P3618" s="25">
        <v>0</v>
      </c>
      <c r="Q3618" s="25"/>
      <c r="R3618" s="25"/>
      <c r="S3618" s="25"/>
      <c r="T3618" s="10"/>
    </row>
    <row r="3619" s="35" customFormat="1" ht="18.5" customHeight="1" spans="1:20">
      <c r="A3619" s="9"/>
      <c r="B3619" s="25"/>
      <c r="C3619" s="25"/>
      <c r="D3619" s="25"/>
      <c r="E3619" s="25"/>
      <c r="F3619" s="25"/>
      <c r="G3619" s="25"/>
      <c r="H3619" s="25"/>
      <c r="I3619" s="25"/>
      <c r="J3619" s="25"/>
      <c r="K3619" s="25"/>
      <c r="L3619" s="25"/>
      <c r="M3619" s="42" t="s">
        <v>253</v>
      </c>
      <c r="N3619" s="41">
        <v>45005</v>
      </c>
      <c r="O3619" s="25">
        <v>535</v>
      </c>
      <c r="P3619" s="25">
        <v>0</v>
      </c>
      <c r="Q3619" s="25"/>
      <c r="R3619" s="25"/>
      <c r="S3619" s="25"/>
      <c r="T3619" s="10"/>
    </row>
    <row r="3620" s="35" customFormat="1" ht="18.5" customHeight="1" spans="1:20">
      <c r="A3620" s="9"/>
      <c r="B3620" s="25"/>
      <c r="C3620" s="25"/>
      <c r="D3620" s="25"/>
      <c r="E3620" s="25"/>
      <c r="F3620" s="25"/>
      <c r="G3620" s="25"/>
      <c r="H3620" s="25"/>
      <c r="I3620" s="25"/>
      <c r="J3620" s="25"/>
      <c r="K3620" s="25"/>
      <c r="L3620" s="25"/>
      <c r="M3620" s="42" t="s">
        <v>253</v>
      </c>
      <c r="N3620" s="41">
        <v>45005</v>
      </c>
      <c r="O3620" s="25">
        <v>988</v>
      </c>
      <c r="P3620" s="25">
        <v>0</v>
      </c>
      <c r="Q3620" s="25"/>
      <c r="R3620" s="25"/>
      <c r="S3620" s="25"/>
      <c r="T3620" s="10"/>
    </row>
    <row r="3621" s="35" customFormat="1" ht="18.5" customHeight="1" spans="1:20">
      <c r="A3621" s="9"/>
      <c r="B3621" s="25"/>
      <c r="C3621" s="25"/>
      <c r="D3621" s="25"/>
      <c r="E3621" s="25"/>
      <c r="F3621" s="25"/>
      <c r="G3621" s="25"/>
      <c r="H3621" s="25"/>
      <c r="I3621" s="25"/>
      <c r="J3621" s="25"/>
      <c r="K3621" s="25"/>
      <c r="L3621" s="25"/>
      <c r="M3621" s="42" t="s">
        <v>253</v>
      </c>
      <c r="N3621" s="41">
        <v>45005</v>
      </c>
      <c r="O3621" s="25">
        <v>1409</v>
      </c>
      <c r="P3621" s="25">
        <v>0</v>
      </c>
      <c r="Q3621" s="25"/>
      <c r="R3621" s="25"/>
      <c r="S3621" s="25"/>
      <c r="T3621" s="10"/>
    </row>
    <row r="3622" s="35" customFormat="1" ht="18.5" customHeight="1" spans="1:20">
      <c r="A3622" s="9"/>
      <c r="B3622" s="25"/>
      <c r="C3622" s="25"/>
      <c r="D3622" s="25"/>
      <c r="E3622" s="25"/>
      <c r="F3622" s="25"/>
      <c r="G3622" s="25"/>
      <c r="H3622" s="25"/>
      <c r="I3622" s="25"/>
      <c r="J3622" s="25"/>
      <c r="K3622" s="25"/>
      <c r="L3622" s="25"/>
      <c r="M3622" s="42" t="s">
        <v>253</v>
      </c>
      <c r="N3622" s="41">
        <v>45005</v>
      </c>
      <c r="O3622" s="25">
        <v>335</v>
      </c>
      <c r="P3622" s="25">
        <v>0</v>
      </c>
      <c r="Q3622" s="25"/>
      <c r="R3622" s="25"/>
      <c r="S3622" s="25"/>
      <c r="T3622" s="10"/>
    </row>
    <row r="3623" s="35" customFormat="1" ht="18.5" customHeight="1" spans="1:20">
      <c r="A3623" s="9"/>
      <c r="B3623" s="25"/>
      <c r="C3623" s="25"/>
      <c r="D3623" s="25"/>
      <c r="E3623" s="25"/>
      <c r="F3623" s="25"/>
      <c r="G3623" s="25"/>
      <c r="H3623" s="25"/>
      <c r="I3623" s="25"/>
      <c r="J3623" s="25"/>
      <c r="K3623" s="25"/>
      <c r="L3623" s="25"/>
      <c r="M3623" s="42" t="s">
        <v>253</v>
      </c>
      <c r="N3623" s="41">
        <v>45005</v>
      </c>
      <c r="O3623" s="25">
        <v>237</v>
      </c>
      <c r="P3623" s="25">
        <v>0</v>
      </c>
      <c r="Q3623" s="25"/>
      <c r="R3623" s="25"/>
      <c r="S3623" s="25"/>
      <c r="T3623" s="10"/>
    </row>
    <row r="3624" s="35" customFormat="1" ht="18.5" customHeight="1" spans="1:20">
      <c r="A3624" s="9"/>
      <c r="B3624" s="25"/>
      <c r="C3624" s="25"/>
      <c r="D3624" s="25"/>
      <c r="E3624" s="25"/>
      <c r="F3624" s="25"/>
      <c r="G3624" s="25"/>
      <c r="H3624" s="25"/>
      <c r="I3624" s="25"/>
      <c r="J3624" s="25"/>
      <c r="K3624" s="25"/>
      <c r="L3624" s="25"/>
      <c r="M3624" s="42" t="s">
        <v>253</v>
      </c>
      <c r="N3624" s="41">
        <v>45005</v>
      </c>
      <c r="O3624" s="25">
        <v>140</v>
      </c>
      <c r="P3624" s="25">
        <v>0</v>
      </c>
      <c r="Q3624" s="25"/>
      <c r="R3624" s="25"/>
      <c r="S3624" s="25"/>
      <c r="T3624" s="10"/>
    </row>
    <row r="3625" s="35" customFormat="1" ht="18.5" customHeight="1" spans="1:20">
      <c r="A3625" s="9"/>
      <c r="B3625" s="25"/>
      <c r="C3625" s="25"/>
      <c r="D3625" s="25"/>
      <c r="E3625" s="25"/>
      <c r="F3625" s="25"/>
      <c r="G3625" s="25"/>
      <c r="H3625" s="25"/>
      <c r="I3625" s="25"/>
      <c r="J3625" s="25"/>
      <c r="K3625" s="25"/>
      <c r="L3625" s="25"/>
      <c r="M3625" s="42" t="s">
        <v>253</v>
      </c>
      <c r="N3625" s="41">
        <v>45005</v>
      </c>
      <c r="O3625" s="25">
        <v>186</v>
      </c>
      <c r="P3625" s="25">
        <v>0</v>
      </c>
      <c r="Q3625" s="25"/>
      <c r="R3625" s="25"/>
      <c r="S3625" s="25"/>
      <c r="T3625" s="10"/>
    </row>
    <row r="3626" s="35" customFormat="1" ht="18.5" customHeight="1" spans="1:20">
      <c r="A3626" s="9"/>
      <c r="B3626" s="25"/>
      <c r="C3626" s="25"/>
      <c r="D3626" s="25"/>
      <c r="E3626" s="25"/>
      <c r="F3626" s="25"/>
      <c r="G3626" s="25"/>
      <c r="H3626" s="25"/>
      <c r="I3626" s="25"/>
      <c r="J3626" s="25"/>
      <c r="K3626" s="25"/>
      <c r="L3626" s="25"/>
      <c r="M3626" s="42" t="s">
        <v>253</v>
      </c>
      <c r="N3626" s="41">
        <v>45005</v>
      </c>
      <c r="O3626" s="25">
        <v>98</v>
      </c>
      <c r="P3626" s="25">
        <v>0</v>
      </c>
      <c r="Q3626" s="25"/>
      <c r="R3626" s="25"/>
      <c r="S3626" s="25"/>
      <c r="T3626" s="10"/>
    </row>
    <row r="3627" s="35" customFormat="1" ht="18.5" customHeight="1" spans="1:20">
      <c r="A3627" s="9"/>
      <c r="B3627" s="25"/>
      <c r="C3627" s="25"/>
      <c r="D3627" s="25"/>
      <c r="E3627" s="25"/>
      <c r="F3627" s="25"/>
      <c r="G3627" s="25"/>
      <c r="H3627" s="25"/>
      <c r="I3627" s="25"/>
      <c r="J3627" s="25"/>
      <c r="K3627" s="25"/>
      <c r="L3627" s="25"/>
      <c r="M3627" s="42" t="s">
        <v>253</v>
      </c>
      <c r="N3627" s="41">
        <v>45005</v>
      </c>
      <c r="O3627" s="25">
        <v>774</v>
      </c>
      <c r="P3627" s="25">
        <v>0</v>
      </c>
      <c r="Q3627" s="25"/>
      <c r="R3627" s="25"/>
      <c r="S3627" s="25"/>
      <c r="T3627" s="10"/>
    </row>
    <row r="3628" s="35" customFormat="1" ht="18.5" customHeight="1" spans="1:20">
      <c r="A3628" s="9"/>
      <c r="B3628" s="25"/>
      <c r="C3628" s="25"/>
      <c r="D3628" s="25"/>
      <c r="E3628" s="25"/>
      <c r="F3628" s="25"/>
      <c r="G3628" s="25"/>
      <c r="H3628" s="25"/>
      <c r="I3628" s="25"/>
      <c r="J3628" s="25"/>
      <c r="K3628" s="25"/>
      <c r="L3628" s="25"/>
      <c r="M3628" s="42" t="s">
        <v>253</v>
      </c>
      <c r="N3628" s="41">
        <v>45005</v>
      </c>
      <c r="O3628" s="25">
        <v>105</v>
      </c>
      <c r="P3628" s="25">
        <v>0</v>
      </c>
      <c r="Q3628" s="25"/>
      <c r="R3628" s="25"/>
      <c r="S3628" s="25"/>
      <c r="T3628" s="10"/>
    </row>
    <row r="3629" s="35" customFormat="1" ht="18.5" customHeight="1" spans="1:20">
      <c r="A3629" s="9"/>
      <c r="B3629" s="25"/>
      <c r="C3629" s="25"/>
      <c r="D3629" s="25"/>
      <c r="E3629" s="25"/>
      <c r="F3629" s="25"/>
      <c r="G3629" s="25"/>
      <c r="H3629" s="25"/>
      <c r="I3629" s="25"/>
      <c r="J3629" s="25"/>
      <c r="K3629" s="25"/>
      <c r="L3629" s="25"/>
      <c r="M3629" s="42" t="s">
        <v>253</v>
      </c>
      <c r="N3629" s="41">
        <v>45005</v>
      </c>
      <c r="O3629" s="25">
        <v>431</v>
      </c>
      <c r="P3629" s="25">
        <v>0</v>
      </c>
      <c r="Q3629" s="25"/>
      <c r="R3629" s="25"/>
      <c r="S3629" s="25"/>
      <c r="T3629" s="10"/>
    </row>
    <row r="3630" s="35" customFormat="1" ht="18.5" customHeight="1" spans="1:20">
      <c r="A3630" s="9"/>
      <c r="B3630" s="25"/>
      <c r="C3630" s="25"/>
      <c r="D3630" s="25"/>
      <c r="E3630" s="25"/>
      <c r="F3630" s="25"/>
      <c r="G3630" s="25"/>
      <c r="H3630" s="25"/>
      <c r="I3630" s="25"/>
      <c r="J3630" s="25"/>
      <c r="K3630" s="25"/>
      <c r="L3630" s="25"/>
      <c r="M3630" s="42" t="s">
        <v>253</v>
      </c>
      <c r="N3630" s="41">
        <v>45005</v>
      </c>
      <c r="O3630" s="25">
        <v>124</v>
      </c>
      <c r="P3630" s="25">
        <v>0</v>
      </c>
      <c r="Q3630" s="25"/>
      <c r="R3630" s="25"/>
      <c r="S3630" s="25"/>
      <c r="T3630" s="10"/>
    </row>
    <row r="3631" s="35" customFormat="1" ht="18.5" customHeight="1" spans="1:20">
      <c r="A3631" s="9"/>
      <c r="B3631" s="25"/>
      <c r="C3631" s="25"/>
      <c r="D3631" s="25"/>
      <c r="E3631" s="25"/>
      <c r="F3631" s="25"/>
      <c r="G3631" s="25"/>
      <c r="H3631" s="25"/>
      <c r="I3631" s="25"/>
      <c r="J3631" s="25"/>
      <c r="K3631" s="25"/>
      <c r="L3631" s="25"/>
      <c r="M3631" s="42" t="s">
        <v>253</v>
      </c>
      <c r="N3631" s="41">
        <v>45005</v>
      </c>
      <c r="O3631" s="25">
        <v>193</v>
      </c>
      <c r="P3631" s="25">
        <v>0</v>
      </c>
      <c r="Q3631" s="25"/>
      <c r="R3631" s="25"/>
      <c r="S3631" s="25"/>
      <c r="T3631" s="10"/>
    </row>
    <row r="3632" s="35" customFormat="1" ht="18.5" customHeight="1" spans="1:20">
      <c r="A3632" s="9"/>
      <c r="B3632" s="25"/>
      <c r="C3632" s="25"/>
      <c r="D3632" s="25"/>
      <c r="E3632" s="25"/>
      <c r="F3632" s="25"/>
      <c r="G3632" s="25"/>
      <c r="H3632" s="25"/>
      <c r="I3632" s="25"/>
      <c r="J3632" s="25"/>
      <c r="K3632" s="25"/>
      <c r="L3632" s="25"/>
      <c r="M3632" s="42" t="s">
        <v>253</v>
      </c>
      <c r="N3632" s="41">
        <v>45004</v>
      </c>
      <c r="O3632" s="25">
        <v>135</v>
      </c>
      <c r="P3632" s="25">
        <v>0</v>
      </c>
      <c r="Q3632" s="25"/>
      <c r="R3632" s="25"/>
      <c r="S3632" s="25"/>
      <c r="T3632" s="10"/>
    </row>
    <row r="3633" s="35" customFormat="1" ht="18.5" customHeight="1" spans="1:20">
      <c r="A3633" s="9"/>
      <c r="B3633" s="25"/>
      <c r="C3633" s="25"/>
      <c r="D3633" s="25"/>
      <c r="E3633" s="25"/>
      <c r="F3633" s="25"/>
      <c r="G3633" s="25"/>
      <c r="H3633" s="25"/>
      <c r="I3633" s="25"/>
      <c r="J3633" s="25"/>
      <c r="K3633" s="25"/>
      <c r="L3633" s="25"/>
      <c r="M3633" s="42" t="s">
        <v>253</v>
      </c>
      <c r="N3633" s="41">
        <v>45004</v>
      </c>
      <c r="O3633" s="25">
        <v>190</v>
      </c>
      <c r="P3633" s="25">
        <v>0</v>
      </c>
      <c r="Q3633" s="25"/>
      <c r="R3633" s="25"/>
      <c r="S3633" s="25"/>
      <c r="T3633" s="10"/>
    </row>
    <row r="3634" s="35" customFormat="1" ht="18.5" customHeight="1" spans="1:20">
      <c r="A3634" s="9"/>
      <c r="B3634" s="25"/>
      <c r="C3634" s="25"/>
      <c r="D3634" s="25"/>
      <c r="E3634" s="25"/>
      <c r="F3634" s="25"/>
      <c r="G3634" s="25"/>
      <c r="H3634" s="25"/>
      <c r="I3634" s="25"/>
      <c r="J3634" s="25"/>
      <c r="K3634" s="25"/>
      <c r="L3634" s="25"/>
      <c r="M3634" s="42" t="s">
        <v>253</v>
      </c>
      <c r="N3634" s="41">
        <v>45004</v>
      </c>
      <c r="O3634" s="25">
        <v>141</v>
      </c>
      <c r="P3634" s="25">
        <v>0</v>
      </c>
      <c r="Q3634" s="25"/>
      <c r="R3634" s="25"/>
      <c r="S3634" s="25"/>
      <c r="T3634" s="10"/>
    </row>
    <row r="3635" s="35" customFormat="1" ht="18.5" customHeight="1" spans="1:20">
      <c r="A3635" s="9"/>
      <c r="B3635" s="25"/>
      <c r="C3635" s="25"/>
      <c r="D3635" s="25"/>
      <c r="E3635" s="25"/>
      <c r="F3635" s="25"/>
      <c r="G3635" s="25"/>
      <c r="H3635" s="25"/>
      <c r="I3635" s="25"/>
      <c r="J3635" s="25"/>
      <c r="K3635" s="25"/>
      <c r="L3635" s="25"/>
      <c r="M3635" s="42" t="s">
        <v>253</v>
      </c>
      <c r="N3635" s="41">
        <v>45004</v>
      </c>
      <c r="O3635" s="25">
        <v>165</v>
      </c>
      <c r="P3635" s="25">
        <v>0</v>
      </c>
      <c r="Q3635" s="25"/>
      <c r="R3635" s="25"/>
      <c r="S3635" s="25"/>
      <c r="T3635" s="10"/>
    </row>
    <row r="3636" s="35" customFormat="1" ht="18.5" customHeight="1" spans="1:20">
      <c r="A3636" s="9"/>
      <c r="B3636" s="25"/>
      <c r="C3636" s="25"/>
      <c r="D3636" s="25"/>
      <c r="E3636" s="25"/>
      <c r="F3636" s="25"/>
      <c r="G3636" s="25"/>
      <c r="H3636" s="25"/>
      <c r="I3636" s="25"/>
      <c r="J3636" s="25"/>
      <c r="K3636" s="25"/>
      <c r="L3636" s="25"/>
      <c r="M3636" s="42" t="s">
        <v>253</v>
      </c>
      <c r="N3636" s="41">
        <v>45004</v>
      </c>
      <c r="O3636" s="25">
        <v>225</v>
      </c>
      <c r="P3636" s="25">
        <v>0</v>
      </c>
      <c r="Q3636" s="25"/>
      <c r="R3636" s="25"/>
      <c r="S3636" s="25"/>
      <c r="T3636" s="10"/>
    </row>
    <row r="3637" s="35" customFormat="1" ht="18.5" customHeight="1" spans="1:20">
      <c r="A3637" s="9"/>
      <c r="B3637" s="25"/>
      <c r="C3637" s="25"/>
      <c r="D3637" s="25"/>
      <c r="E3637" s="25"/>
      <c r="F3637" s="25"/>
      <c r="G3637" s="25"/>
      <c r="H3637" s="25"/>
      <c r="I3637" s="25"/>
      <c r="J3637" s="25"/>
      <c r="K3637" s="25"/>
      <c r="L3637" s="25"/>
      <c r="M3637" s="42" t="s">
        <v>253</v>
      </c>
      <c r="N3637" s="41">
        <v>45003</v>
      </c>
      <c r="O3637" s="25">
        <v>223</v>
      </c>
      <c r="P3637" s="25">
        <v>0</v>
      </c>
      <c r="Q3637" s="25"/>
      <c r="R3637" s="25"/>
      <c r="S3637" s="25"/>
      <c r="T3637" s="10"/>
    </row>
    <row r="3638" s="35" customFormat="1" ht="18.5" customHeight="1" spans="1:20">
      <c r="A3638" s="9"/>
      <c r="B3638" s="25"/>
      <c r="C3638" s="25"/>
      <c r="D3638" s="25"/>
      <c r="E3638" s="25"/>
      <c r="F3638" s="25"/>
      <c r="G3638" s="25"/>
      <c r="H3638" s="25"/>
      <c r="I3638" s="25"/>
      <c r="J3638" s="25"/>
      <c r="K3638" s="25"/>
      <c r="L3638" s="25"/>
      <c r="M3638" s="42" t="s">
        <v>253</v>
      </c>
      <c r="N3638" s="41">
        <v>45003</v>
      </c>
      <c r="O3638" s="25">
        <v>267</v>
      </c>
      <c r="P3638" s="25">
        <v>0</v>
      </c>
      <c r="Q3638" s="25"/>
      <c r="R3638" s="25"/>
      <c r="S3638" s="25"/>
      <c r="T3638" s="10"/>
    </row>
    <row r="3639" s="35" customFormat="1" ht="18.5" customHeight="1" spans="1:20">
      <c r="A3639" s="9"/>
      <c r="B3639" s="25"/>
      <c r="C3639" s="25"/>
      <c r="D3639" s="25"/>
      <c r="E3639" s="25"/>
      <c r="F3639" s="25"/>
      <c r="G3639" s="25"/>
      <c r="H3639" s="25"/>
      <c r="I3639" s="25"/>
      <c r="J3639" s="25"/>
      <c r="K3639" s="25"/>
      <c r="L3639" s="25"/>
      <c r="M3639" s="42" t="s">
        <v>253</v>
      </c>
      <c r="N3639" s="41">
        <v>45002</v>
      </c>
      <c r="O3639" s="25">
        <v>191</v>
      </c>
      <c r="P3639" s="25">
        <v>0</v>
      </c>
      <c r="Q3639" s="25"/>
      <c r="R3639" s="25"/>
      <c r="S3639" s="25"/>
      <c r="T3639" s="10"/>
    </row>
    <row r="3640" s="35" customFormat="1" ht="18.5" customHeight="1" spans="1:20">
      <c r="A3640" s="9"/>
      <c r="B3640" s="25"/>
      <c r="C3640" s="25"/>
      <c r="D3640" s="25"/>
      <c r="E3640" s="25"/>
      <c r="F3640" s="25"/>
      <c r="G3640" s="25"/>
      <c r="H3640" s="25"/>
      <c r="I3640" s="25"/>
      <c r="J3640" s="25"/>
      <c r="K3640" s="25"/>
      <c r="L3640" s="25"/>
      <c r="M3640" s="42" t="s">
        <v>253</v>
      </c>
      <c r="N3640" s="41">
        <v>45002</v>
      </c>
      <c r="O3640" s="25">
        <v>196</v>
      </c>
      <c r="P3640" s="25">
        <v>0</v>
      </c>
      <c r="Q3640" s="25"/>
      <c r="R3640" s="25"/>
      <c r="S3640" s="25"/>
      <c r="T3640" s="10"/>
    </row>
    <row r="3641" s="35" customFormat="1" ht="18.5" customHeight="1" spans="1:20">
      <c r="A3641" s="9"/>
      <c r="B3641" s="25"/>
      <c r="C3641" s="25"/>
      <c r="D3641" s="25"/>
      <c r="E3641" s="25"/>
      <c r="F3641" s="25"/>
      <c r="G3641" s="25"/>
      <c r="H3641" s="25"/>
      <c r="I3641" s="25"/>
      <c r="J3641" s="25"/>
      <c r="K3641" s="25"/>
      <c r="L3641" s="25"/>
      <c r="M3641" s="42" t="s">
        <v>253</v>
      </c>
      <c r="N3641" s="41">
        <v>45002</v>
      </c>
      <c r="O3641" s="25">
        <v>459</v>
      </c>
      <c r="P3641" s="25">
        <v>0</v>
      </c>
      <c r="Q3641" s="25"/>
      <c r="R3641" s="25"/>
      <c r="S3641" s="25"/>
      <c r="T3641" s="10"/>
    </row>
    <row r="3642" s="35" customFormat="1" ht="18.5" customHeight="1" spans="1:20">
      <c r="A3642" s="9"/>
      <c r="B3642" s="25"/>
      <c r="C3642" s="25"/>
      <c r="D3642" s="25"/>
      <c r="E3642" s="25"/>
      <c r="F3642" s="25"/>
      <c r="G3642" s="25"/>
      <c r="H3642" s="25"/>
      <c r="I3642" s="25"/>
      <c r="J3642" s="25"/>
      <c r="K3642" s="25"/>
      <c r="L3642" s="25"/>
      <c r="M3642" s="42" t="s">
        <v>253</v>
      </c>
      <c r="N3642" s="41">
        <v>45002</v>
      </c>
      <c r="O3642" s="25">
        <v>125</v>
      </c>
      <c r="P3642" s="25">
        <v>0</v>
      </c>
      <c r="Q3642" s="25"/>
      <c r="R3642" s="25"/>
      <c r="S3642" s="25"/>
      <c r="T3642" s="10"/>
    </row>
    <row r="3643" s="35" customFormat="1" ht="18.5" customHeight="1" spans="1:20">
      <c r="A3643" s="9"/>
      <c r="B3643" s="25"/>
      <c r="C3643" s="25"/>
      <c r="D3643" s="25"/>
      <c r="E3643" s="25"/>
      <c r="F3643" s="25"/>
      <c r="G3643" s="25"/>
      <c r="H3643" s="25"/>
      <c r="I3643" s="25"/>
      <c r="J3643" s="25"/>
      <c r="K3643" s="25"/>
      <c r="L3643" s="25"/>
      <c r="M3643" s="42" t="s">
        <v>253</v>
      </c>
      <c r="N3643" s="41">
        <v>45002</v>
      </c>
      <c r="O3643" s="25">
        <v>462</v>
      </c>
      <c r="P3643" s="25">
        <v>0</v>
      </c>
      <c r="Q3643" s="25"/>
      <c r="R3643" s="25"/>
      <c r="S3643" s="25"/>
      <c r="T3643" s="10"/>
    </row>
    <row r="3644" s="35" customFormat="1" ht="18.5" customHeight="1" spans="1:20">
      <c r="A3644" s="9"/>
      <c r="B3644" s="25"/>
      <c r="C3644" s="25"/>
      <c r="D3644" s="25"/>
      <c r="E3644" s="25"/>
      <c r="F3644" s="25"/>
      <c r="G3644" s="25"/>
      <c r="H3644" s="25"/>
      <c r="I3644" s="25"/>
      <c r="J3644" s="25"/>
      <c r="K3644" s="25"/>
      <c r="L3644" s="25"/>
      <c r="M3644" s="42" t="s">
        <v>253</v>
      </c>
      <c r="N3644" s="41">
        <v>45002</v>
      </c>
      <c r="O3644" s="25">
        <v>190</v>
      </c>
      <c r="P3644" s="25">
        <v>0</v>
      </c>
      <c r="Q3644" s="25"/>
      <c r="R3644" s="25"/>
      <c r="S3644" s="25"/>
      <c r="T3644" s="10"/>
    </row>
    <row r="3645" s="35" customFormat="1" ht="18.5" customHeight="1" spans="1:20">
      <c r="A3645" s="9"/>
      <c r="B3645" s="25"/>
      <c r="C3645" s="25"/>
      <c r="D3645" s="25"/>
      <c r="E3645" s="25"/>
      <c r="F3645" s="25"/>
      <c r="G3645" s="25"/>
      <c r="H3645" s="25"/>
      <c r="I3645" s="25"/>
      <c r="J3645" s="25"/>
      <c r="K3645" s="25"/>
      <c r="L3645" s="25"/>
      <c r="M3645" s="42" t="s">
        <v>253</v>
      </c>
      <c r="N3645" s="41">
        <v>45002</v>
      </c>
      <c r="O3645" s="25">
        <v>168</v>
      </c>
      <c r="P3645" s="25">
        <v>0</v>
      </c>
      <c r="Q3645" s="25"/>
      <c r="R3645" s="25"/>
      <c r="S3645" s="25"/>
      <c r="T3645" s="10"/>
    </row>
    <row r="3646" s="35" customFormat="1" ht="18.5" customHeight="1" spans="1:20">
      <c r="A3646" s="9"/>
      <c r="B3646" s="25"/>
      <c r="C3646" s="25"/>
      <c r="D3646" s="25"/>
      <c r="E3646" s="25"/>
      <c r="F3646" s="25"/>
      <c r="G3646" s="25"/>
      <c r="H3646" s="25"/>
      <c r="I3646" s="25"/>
      <c r="J3646" s="25"/>
      <c r="K3646" s="25"/>
      <c r="L3646" s="25"/>
      <c r="M3646" s="42" t="s">
        <v>253</v>
      </c>
      <c r="N3646" s="41">
        <v>45002</v>
      </c>
      <c r="O3646" s="25">
        <v>190</v>
      </c>
      <c r="P3646" s="25">
        <v>0</v>
      </c>
      <c r="Q3646" s="25"/>
      <c r="R3646" s="25"/>
      <c r="S3646" s="25"/>
      <c r="T3646" s="10"/>
    </row>
    <row r="3647" s="35" customFormat="1" ht="18.5" customHeight="1" spans="1:20">
      <c r="A3647" s="9"/>
      <c r="B3647" s="25"/>
      <c r="C3647" s="25"/>
      <c r="D3647" s="25"/>
      <c r="E3647" s="25"/>
      <c r="F3647" s="25"/>
      <c r="G3647" s="25"/>
      <c r="H3647" s="25"/>
      <c r="I3647" s="25"/>
      <c r="J3647" s="25"/>
      <c r="K3647" s="25"/>
      <c r="L3647" s="25"/>
      <c r="M3647" s="42" t="s">
        <v>253</v>
      </c>
      <c r="N3647" s="41">
        <v>45001</v>
      </c>
      <c r="O3647" s="25">
        <v>324</v>
      </c>
      <c r="P3647" s="25">
        <v>0</v>
      </c>
      <c r="Q3647" s="25"/>
      <c r="R3647" s="25"/>
      <c r="S3647" s="25"/>
      <c r="T3647" s="10"/>
    </row>
    <row r="3648" s="35" customFormat="1" ht="18.5" customHeight="1" spans="1:20">
      <c r="A3648" s="9"/>
      <c r="B3648" s="25"/>
      <c r="C3648" s="25"/>
      <c r="D3648" s="25"/>
      <c r="E3648" s="25"/>
      <c r="F3648" s="25"/>
      <c r="G3648" s="25"/>
      <c r="H3648" s="25"/>
      <c r="I3648" s="25"/>
      <c r="J3648" s="25"/>
      <c r="K3648" s="25"/>
      <c r="L3648" s="25"/>
      <c r="M3648" s="42" t="s">
        <v>253</v>
      </c>
      <c r="N3648" s="41">
        <v>45001</v>
      </c>
      <c r="O3648" s="25">
        <v>185</v>
      </c>
      <c r="P3648" s="25">
        <v>0</v>
      </c>
      <c r="Q3648" s="25"/>
      <c r="R3648" s="25"/>
      <c r="S3648" s="25"/>
      <c r="T3648" s="10"/>
    </row>
    <row r="3649" s="35" customFormat="1" ht="18.5" customHeight="1" spans="1:20">
      <c r="A3649" s="9"/>
      <c r="B3649" s="25"/>
      <c r="C3649" s="25"/>
      <c r="D3649" s="25"/>
      <c r="E3649" s="25"/>
      <c r="F3649" s="25"/>
      <c r="G3649" s="25"/>
      <c r="H3649" s="25"/>
      <c r="I3649" s="25"/>
      <c r="J3649" s="25"/>
      <c r="K3649" s="25"/>
      <c r="L3649" s="25"/>
      <c r="M3649" s="42" t="s">
        <v>253</v>
      </c>
      <c r="N3649" s="41">
        <v>45001</v>
      </c>
      <c r="O3649" s="25">
        <v>141</v>
      </c>
      <c r="P3649" s="25">
        <v>0</v>
      </c>
      <c r="Q3649" s="25"/>
      <c r="R3649" s="25"/>
      <c r="S3649" s="25"/>
      <c r="T3649" s="10"/>
    </row>
    <row r="3650" s="35" customFormat="1" ht="18.5" customHeight="1" spans="1:20">
      <c r="A3650" s="9"/>
      <c r="B3650" s="25"/>
      <c r="C3650" s="25"/>
      <c r="D3650" s="25"/>
      <c r="E3650" s="25"/>
      <c r="F3650" s="25"/>
      <c r="G3650" s="25"/>
      <c r="H3650" s="25"/>
      <c r="I3650" s="25"/>
      <c r="J3650" s="25"/>
      <c r="K3650" s="25"/>
      <c r="L3650" s="25"/>
      <c r="M3650" s="42" t="s">
        <v>253</v>
      </c>
      <c r="N3650" s="41">
        <v>45001</v>
      </c>
      <c r="O3650" s="25">
        <v>116</v>
      </c>
      <c r="P3650" s="25">
        <v>0</v>
      </c>
      <c r="Q3650" s="25"/>
      <c r="R3650" s="25"/>
      <c r="S3650" s="25"/>
      <c r="T3650" s="10"/>
    </row>
    <row r="3651" s="35" customFormat="1" ht="18.5" customHeight="1" spans="1:20">
      <c r="A3651" s="9"/>
      <c r="B3651" s="25"/>
      <c r="C3651" s="25"/>
      <c r="D3651" s="25"/>
      <c r="E3651" s="25"/>
      <c r="F3651" s="25"/>
      <c r="G3651" s="25"/>
      <c r="H3651" s="25"/>
      <c r="I3651" s="25"/>
      <c r="J3651" s="25"/>
      <c r="K3651" s="25"/>
      <c r="L3651" s="25"/>
      <c r="M3651" s="42" t="s">
        <v>253</v>
      </c>
      <c r="N3651" s="41">
        <v>45001</v>
      </c>
      <c r="O3651" s="25">
        <v>147</v>
      </c>
      <c r="P3651" s="25">
        <v>0</v>
      </c>
      <c r="Q3651" s="25"/>
      <c r="R3651" s="25"/>
      <c r="S3651" s="25"/>
      <c r="T3651" s="10"/>
    </row>
    <row r="3652" s="35" customFormat="1" ht="18.5" customHeight="1" spans="1:20">
      <c r="A3652" s="9"/>
      <c r="B3652" s="25"/>
      <c r="C3652" s="25"/>
      <c r="D3652" s="25"/>
      <c r="E3652" s="25"/>
      <c r="F3652" s="25"/>
      <c r="G3652" s="25"/>
      <c r="H3652" s="25"/>
      <c r="I3652" s="25"/>
      <c r="J3652" s="25"/>
      <c r="K3652" s="25"/>
      <c r="L3652" s="25"/>
      <c r="M3652" s="42" t="s">
        <v>253</v>
      </c>
      <c r="N3652" s="41">
        <v>45001</v>
      </c>
      <c r="O3652" s="25">
        <v>337</v>
      </c>
      <c r="P3652" s="25">
        <v>0</v>
      </c>
      <c r="Q3652" s="25"/>
      <c r="R3652" s="25"/>
      <c r="S3652" s="25"/>
      <c r="T3652" s="10"/>
    </row>
    <row r="3653" s="35" customFormat="1" ht="18.5" customHeight="1" spans="1:20">
      <c r="A3653" s="9"/>
      <c r="B3653" s="25"/>
      <c r="C3653" s="25"/>
      <c r="D3653" s="25"/>
      <c r="E3653" s="25"/>
      <c r="F3653" s="25"/>
      <c r="G3653" s="25"/>
      <c r="H3653" s="25"/>
      <c r="I3653" s="25"/>
      <c r="J3653" s="25"/>
      <c r="K3653" s="25"/>
      <c r="L3653" s="25"/>
      <c r="M3653" s="42" t="s">
        <v>253</v>
      </c>
      <c r="N3653" s="41">
        <v>45001</v>
      </c>
      <c r="O3653" s="25">
        <v>186</v>
      </c>
      <c r="P3653" s="25">
        <v>0</v>
      </c>
      <c r="Q3653" s="25"/>
      <c r="R3653" s="25"/>
      <c r="S3653" s="25"/>
      <c r="T3653" s="10"/>
    </row>
    <row r="3654" s="35" customFormat="1" ht="18.5" customHeight="1" spans="1:20">
      <c r="A3654" s="9"/>
      <c r="B3654" s="25"/>
      <c r="C3654" s="25"/>
      <c r="D3654" s="25"/>
      <c r="E3654" s="25"/>
      <c r="F3654" s="25"/>
      <c r="G3654" s="25"/>
      <c r="H3654" s="25"/>
      <c r="I3654" s="25"/>
      <c r="J3654" s="25"/>
      <c r="K3654" s="25"/>
      <c r="L3654" s="25"/>
      <c r="M3654" s="42" t="s">
        <v>253</v>
      </c>
      <c r="N3654" s="41">
        <v>45001</v>
      </c>
      <c r="O3654" s="25">
        <v>177</v>
      </c>
      <c r="P3654" s="25">
        <v>0</v>
      </c>
      <c r="Q3654" s="25"/>
      <c r="R3654" s="25"/>
      <c r="S3654" s="25"/>
      <c r="T3654" s="10"/>
    </row>
    <row r="3655" s="35" customFormat="1" ht="18.5" customHeight="1" spans="1:20">
      <c r="A3655" s="9"/>
      <c r="B3655" s="25"/>
      <c r="C3655" s="25"/>
      <c r="D3655" s="25"/>
      <c r="E3655" s="25"/>
      <c r="F3655" s="25"/>
      <c r="G3655" s="25"/>
      <c r="H3655" s="25"/>
      <c r="I3655" s="25"/>
      <c r="J3655" s="25"/>
      <c r="K3655" s="25"/>
      <c r="L3655" s="25"/>
      <c r="M3655" s="42" t="s">
        <v>253</v>
      </c>
      <c r="N3655" s="41">
        <v>45001</v>
      </c>
      <c r="O3655" s="25">
        <v>455</v>
      </c>
      <c r="P3655" s="25">
        <v>0</v>
      </c>
      <c r="Q3655" s="25"/>
      <c r="R3655" s="25"/>
      <c r="S3655" s="25"/>
      <c r="T3655" s="10"/>
    </row>
    <row r="3656" s="35" customFormat="1" ht="18.5" customHeight="1" spans="1:20">
      <c r="A3656" s="9"/>
      <c r="B3656" s="25"/>
      <c r="C3656" s="25"/>
      <c r="D3656" s="25"/>
      <c r="E3656" s="25"/>
      <c r="F3656" s="25"/>
      <c r="G3656" s="25"/>
      <c r="H3656" s="25"/>
      <c r="I3656" s="25"/>
      <c r="J3656" s="25"/>
      <c r="K3656" s="25"/>
      <c r="L3656" s="25"/>
      <c r="M3656" s="42" t="s">
        <v>253</v>
      </c>
      <c r="N3656" s="41">
        <v>45000</v>
      </c>
      <c r="O3656" s="25">
        <v>241</v>
      </c>
      <c r="P3656" s="25">
        <v>0</v>
      </c>
      <c r="Q3656" s="25"/>
      <c r="R3656" s="25"/>
      <c r="S3656" s="25"/>
      <c r="T3656" s="10"/>
    </row>
    <row r="3657" s="35" customFormat="1" ht="18.5" customHeight="1" spans="1:20">
      <c r="A3657" s="9"/>
      <c r="B3657" s="25"/>
      <c r="C3657" s="25"/>
      <c r="D3657" s="25"/>
      <c r="E3657" s="25"/>
      <c r="F3657" s="25"/>
      <c r="G3657" s="25"/>
      <c r="H3657" s="25"/>
      <c r="I3657" s="25"/>
      <c r="J3657" s="25"/>
      <c r="K3657" s="25"/>
      <c r="L3657" s="25"/>
      <c r="M3657" s="42" t="s">
        <v>253</v>
      </c>
      <c r="N3657" s="41">
        <v>45000</v>
      </c>
      <c r="O3657" s="25">
        <v>316</v>
      </c>
      <c r="P3657" s="25">
        <v>0</v>
      </c>
      <c r="Q3657" s="25"/>
      <c r="R3657" s="25"/>
      <c r="S3657" s="25"/>
      <c r="T3657" s="10"/>
    </row>
    <row r="3658" s="35" customFormat="1" ht="18.5" customHeight="1" spans="1:20">
      <c r="A3658" s="9"/>
      <c r="B3658" s="25"/>
      <c r="C3658" s="25"/>
      <c r="D3658" s="25"/>
      <c r="E3658" s="25"/>
      <c r="F3658" s="25"/>
      <c r="G3658" s="25"/>
      <c r="H3658" s="25"/>
      <c r="I3658" s="25"/>
      <c r="J3658" s="25"/>
      <c r="K3658" s="25"/>
      <c r="L3658" s="25"/>
      <c r="M3658" s="42" t="s">
        <v>253</v>
      </c>
      <c r="N3658" s="41">
        <v>45000</v>
      </c>
      <c r="O3658" s="25">
        <v>174</v>
      </c>
      <c r="P3658" s="25">
        <v>0</v>
      </c>
      <c r="Q3658" s="25"/>
      <c r="R3658" s="25"/>
      <c r="S3658" s="25"/>
      <c r="T3658" s="10"/>
    </row>
    <row r="3659" s="35" customFormat="1" ht="18.5" customHeight="1" spans="1:20">
      <c r="A3659" s="9"/>
      <c r="B3659" s="25"/>
      <c r="C3659" s="25"/>
      <c r="D3659" s="25"/>
      <c r="E3659" s="25"/>
      <c r="F3659" s="25"/>
      <c r="G3659" s="25"/>
      <c r="H3659" s="25"/>
      <c r="I3659" s="25"/>
      <c r="J3659" s="25"/>
      <c r="K3659" s="25"/>
      <c r="L3659" s="25"/>
      <c r="M3659" s="42" t="s">
        <v>253</v>
      </c>
      <c r="N3659" s="41">
        <v>45000</v>
      </c>
      <c r="O3659" s="25">
        <v>160</v>
      </c>
      <c r="P3659" s="25">
        <v>0</v>
      </c>
      <c r="Q3659" s="25"/>
      <c r="R3659" s="25"/>
      <c r="S3659" s="25"/>
      <c r="T3659" s="10"/>
    </row>
    <row r="3660" s="35" customFormat="1" ht="18.5" customHeight="1" spans="1:20">
      <c r="A3660" s="9"/>
      <c r="B3660" s="25"/>
      <c r="C3660" s="25"/>
      <c r="D3660" s="25"/>
      <c r="E3660" s="25"/>
      <c r="F3660" s="25"/>
      <c r="G3660" s="25"/>
      <c r="H3660" s="25"/>
      <c r="I3660" s="25"/>
      <c r="J3660" s="25"/>
      <c r="K3660" s="25"/>
      <c r="L3660" s="25"/>
      <c r="M3660" s="42" t="s">
        <v>253</v>
      </c>
      <c r="N3660" s="41">
        <v>45000</v>
      </c>
      <c r="O3660" s="25">
        <v>256</v>
      </c>
      <c r="P3660" s="25">
        <v>0</v>
      </c>
      <c r="Q3660" s="25"/>
      <c r="R3660" s="25"/>
      <c r="S3660" s="25"/>
      <c r="T3660" s="10"/>
    </row>
    <row r="3661" s="35" customFormat="1" ht="18.5" customHeight="1" spans="1:20">
      <c r="A3661" s="9"/>
      <c r="B3661" s="25"/>
      <c r="C3661" s="25"/>
      <c r="D3661" s="25"/>
      <c r="E3661" s="25"/>
      <c r="F3661" s="25"/>
      <c r="G3661" s="25"/>
      <c r="H3661" s="25"/>
      <c r="I3661" s="25"/>
      <c r="J3661" s="25"/>
      <c r="K3661" s="25"/>
      <c r="L3661" s="25"/>
      <c r="M3661" s="42" t="s">
        <v>253</v>
      </c>
      <c r="N3661" s="41">
        <v>45000</v>
      </c>
      <c r="O3661" s="25">
        <v>178</v>
      </c>
      <c r="P3661" s="25">
        <v>0</v>
      </c>
      <c r="Q3661" s="25"/>
      <c r="R3661" s="25"/>
      <c r="S3661" s="25"/>
      <c r="T3661" s="10"/>
    </row>
    <row r="3662" s="35" customFormat="1" ht="18.5" customHeight="1" spans="1:20">
      <c r="A3662" s="9"/>
      <c r="B3662" s="25"/>
      <c r="C3662" s="25"/>
      <c r="D3662" s="25"/>
      <c r="E3662" s="25"/>
      <c r="F3662" s="25"/>
      <c r="G3662" s="25"/>
      <c r="H3662" s="25"/>
      <c r="I3662" s="25"/>
      <c r="J3662" s="25"/>
      <c r="K3662" s="25"/>
      <c r="L3662" s="25"/>
      <c r="M3662" s="42" t="s">
        <v>253</v>
      </c>
      <c r="N3662" s="41">
        <v>45000</v>
      </c>
      <c r="O3662" s="25">
        <v>169</v>
      </c>
      <c r="P3662" s="25">
        <v>0</v>
      </c>
      <c r="Q3662" s="25"/>
      <c r="R3662" s="25"/>
      <c r="S3662" s="25"/>
      <c r="T3662" s="10"/>
    </row>
    <row r="3663" s="35" customFormat="1" ht="18.5" customHeight="1" spans="1:20">
      <c r="A3663" s="9"/>
      <c r="B3663" s="25"/>
      <c r="C3663" s="25"/>
      <c r="D3663" s="25"/>
      <c r="E3663" s="25"/>
      <c r="F3663" s="25"/>
      <c r="G3663" s="25"/>
      <c r="H3663" s="25"/>
      <c r="I3663" s="25"/>
      <c r="J3663" s="25"/>
      <c r="K3663" s="25"/>
      <c r="L3663" s="25"/>
      <c r="M3663" s="42" t="s">
        <v>253</v>
      </c>
      <c r="N3663" s="41">
        <v>45000</v>
      </c>
      <c r="O3663" s="25">
        <v>325</v>
      </c>
      <c r="P3663" s="25">
        <v>0</v>
      </c>
      <c r="Q3663" s="25"/>
      <c r="R3663" s="25"/>
      <c r="S3663" s="25"/>
      <c r="T3663" s="10"/>
    </row>
    <row r="3664" s="35" customFormat="1" ht="18.5" customHeight="1" spans="1:20">
      <c r="A3664" s="9"/>
      <c r="B3664" s="25"/>
      <c r="C3664" s="25"/>
      <c r="D3664" s="25"/>
      <c r="E3664" s="25"/>
      <c r="F3664" s="25"/>
      <c r="G3664" s="25"/>
      <c r="H3664" s="25"/>
      <c r="I3664" s="25"/>
      <c r="J3664" s="25"/>
      <c r="K3664" s="25"/>
      <c r="L3664" s="25"/>
      <c r="M3664" s="42" t="s">
        <v>253</v>
      </c>
      <c r="N3664" s="41">
        <v>45000</v>
      </c>
      <c r="O3664" s="25">
        <v>502</v>
      </c>
      <c r="P3664" s="25">
        <v>0</v>
      </c>
      <c r="Q3664" s="25"/>
      <c r="R3664" s="25"/>
      <c r="S3664" s="25"/>
      <c r="T3664" s="10"/>
    </row>
    <row r="3665" s="35" customFormat="1" ht="18.5" customHeight="1" spans="1:20">
      <c r="A3665" s="9"/>
      <c r="B3665" s="25"/>
      <c r="C3665" s="25"/>
      <c r="D3665" s="25"/>
      <c r="E3665" s="25"/>
      <c r="F3665" s="25"/>
      <c r="G3665" s="25"/>
      <c r="H3665" s="25"/>
      <c r="I3665" s="25"/>
      <c r="J3665" s="25"/>
      <c r="K3665" s="25"/>
      <c r="L3665" s="25"/>
      <c r="M3665" s="42" t="s">
        <v>253</v>
      </c>
      <c r="N3665" s="41">
        <v>45000</v>
      </c>
      <c r="O3665" s="25">
        <v>125</v>
      </c>
      <c r="P3665" s="25">
        <v>0</v>
      </c>
      <c r="Q3665" s="25"/>
      <c r="R3665" s="25"/>
      <c r="S3665" s="25"/>
      <c r="T3665" s="10"/>
    </row>
    <row r="3666" s="35" customFormat="1" ht="18.5" customHeight="1" spans="1:20">
      <c r="A3666" s="9"/>
      <c r="B3666" s="25"/>
      <c r="C3666" s="25"/>
      <c r="D3666" s="25"/>
      <c r="E3666" s="25"/>
      <c r="F3666" s="25"/>
      <c r="G3666" s="25"/>
      <c r="H3666" s="25"/>
      <c r="I3666" s="25"/>
      <c r="J3666" s="25"/>
      <c r="K3666" s="25"/>
      <c r="L3666" s="25"/>
      <c r="M3666" s="42" t="s">
        <v>253</v>
      </c>
      <c r="N3666" s="41">
        <v>44999</v>
      </c>
      <c r="O3666" s="25">
        <v>183</v>
      </c>
      <c r="P3666" s="25">
        <v>0</v>
      </c>
      <c r="Q3666" s="25"/>
      <c r="R3666" s="25"/>
      <c r="S3666" s="25"/>
      <c r="T3666" s="10"/>
    </row>
    <row r="3667" s="35" customFormat="1" ht="18.5" customHeight="1" spans="1:20">
      <c r="A3667" s="9"/>
      <c r="B3667" s="25"/>
      <c r="C3667" s="25"/>
      <c r="D3667" s="25"/>
      <c r="E3667" s="25"/>
      <c r="F3667" s="25"/>
      <c r="G3667" s="25"/>
      <c r="H3667" s="25"/>
      <c r="I3667" s="25"/>
      <c r="J3667" s="25"/>
      <c r="K3667" s="25"/>
      <c r="L3667" s="25"/>
      <c r="M3667" s="42" t="s">
        <v>253</v>
      </c>
      <c r="N3667" s="41">
        <v>44999</v>
      </c>
      <c r="O3667" s="25">
        <v>361</v>
      </c>
      <c r="P3667" s="25">
        <v>0</v>
      </c>
      <c r="Q3667" s="25"/>
      <c r="R3667" s="25"/>
      <c r="S3667" s="25"/>
      <c r="T3667" s="10"/>
    </row>
    <row r="3668" s="35" customFormat="1" ht="18.5" customHeight="1" spans="1:20">
      <c r="A3668" s="9"/>
      <c r="B3668" s="25"/>
      <c r="C3668" s="25"/>
      <c r="D3668" s="25"/>
      <c r="E3668" s="25"/>
      <c r="F3668" s="25"/>
      <c r="G3668" s="25"/>
      <c r="H3668" s="25"/>
      <c r="I3668" s="25"/>
      <c r="J3668" s="25"/>
      <c r="K3668" s="25"/>
      <c r="L3668" s="25"/>
      <c r="M3668" s="42" t="s">
        <v>253</v>
      </c>
      <c r="N3668" s="41">
        <v>44999</v>
      </c>
      <c r="O3668" s="25">
        <v>547</v>
      </c>
      <c r="P3668" s="25">
        <v>0</v>
      </c>
      <c r="Q3668" s="25"/>
      <c r="R3668" s="25"/>
      <c r="S3668" s="25"/>
      <c r="T3668" s="10"/>
    </row>
    <row r="3669" s="35" customFormat="1" ht="18.5" customHeight="1" spans="1:20">
      <c r="A3669" s="9"/>
      <c r="B3669" s="25"/>
      <c r="C3669" s="25"/>
      <c r="D3669" s="25"/>
      <c r="E3669" s="25"/>
      <c r="F3669" s="25"/>
      <c r="G3669" s="25"/>
      <c r="H3669" s="25"/>
      <c r="I3669" s="25"/>
      <c r="J3669" s="25"/>
      <c r="K3669" s="25"/>
      <c r="L3669" s="25"/>
      <c r="M3669" s="42" t="s">
        <v>253</v>
      </c>
      <c r="N3669" s="41">
        <v>44999</v>
      </c>
      <c r="O3669" s="25">
        <v>179</v>
      </c>
      <c r="P3669" s="25">
        <v>0</v>
      </c>
      <c r="Q3669" s="25"/>
      <c r="R3669" s="25"/>
      <c r="S3669" s="25"/>
      <c r="T3669" s="10"/>
    </row>
    <row r="3670" s="35" customFormat="1" ht="18.5" customHeight="1" spans="1:20">
      <c r="A3670" s="9"/>
      <c r="B3670" s="25"/>
      <c r="C3670" s="25"/>
      <c r="D3670" s="25"/>
      <c r="E3670" s="25"/>
      <c r="F3670" s="25"/>
      <c r="G3670" s="25"/>
      <c r="H3670" s="25"/>
      <c r="I3670" s="25"/>
      <c r="J3670" s="25"/>
      <c r="K3670" s="25"/>
      <c r="L3670" s="25"/>
      <c r="M3670" s="42" t="s">
        <v>253</v>
      </c>
      <c r="N3670" s="41">
        <v>44999</v>
      </c>
      <c r="O3670" s="25">
        <v>217</v>
      </c>
      <c r="P3670" s="25">
        <v>0</v>
      </c>
      <c r="Q3670" s="25"/>
      <c r="R3670" s="25"/>
      <c r="S3670" s="25"/>
      <c r="T3670" s="10"/>
    </row>
    <row r="3671" s="35" customFormat="1" ht="18.5" customHeight="1" spans="1:20">
      <c r="A3671" s="9"/>
      <c r="B3671" s="25"/>
      <c r="C3671" s="25"/>
      <c r="D3671" s="25"/>
      <c r="E3671" s="25"/>
      <c r="F3671" s="25"/>
      <c r="G3671" s="25"/>
      <c r="H3671" s="25"/>
      <c r="I3671" s="25"/>
      <c r="J3671" s="25"/>
      <c r="K3671" s="25"/>
      <c r="L3671" s="25"/>
      <c r="M3671" s="42" t="s">
        <v>253</v>
      </c>
      <c r="N3671" s="41">
        <v>44999</v>
      </c>
      <c r="O3671" s="25">
        <v>163</v>
      </c>
      <c r="P3671" s="25">
        <v>0</v>
      </c>
      <c r="Q3671" s="25"/>
      <c r="R3671" s="25"/>
      <c r="S3671" s="25"/>
      <c r="T3671" s="10"/>
    </row>
    <row r="3672" s="35" customFormat="1" ht="18.5" customHeight="1" spans="1:20">
      <c r="A3672" s="9"/>
      <c r="B3672" s="25"/>
      <c r="C3672" s="25"/>
      <c r="D3672" s="25"/>
      <c r="E3672" s="25"/>
      <c r="F3672" s="25"/>
      <c r="G3672" s="25"/>
      <c r="H3672" s="25"/>
      <c r="I3672" s="25"/>
      <c r="J3672" s="25"/>
      <c r="K3672" s="25"/>
      <c r="L3672" s="25"/>
      <c r="M3672" s="42" t="s">
        <v>253</v>
      </c>
      <c r="N3672" s="41">
        <v>44999</v>
      </c>
      <c r="O3672" s="25">
        <v>125</v>
      </c>
      <c r="P3672" s="25">
        <v>0</v>
      </c>
      <c r="Q3672" s="25"/>
      <c r="R3672" s="25"/>
      <c r="S3672" s="25"/>
      <c r="T3672" s="10"/>
    </row>
    <row r="3673" s="35" customFormat="1" ht="18.5" customHeight="1" spans="1:20">
      <c r="A3673" s="9"/>
      <c r="B3673" s="25"/>
      <c r="C3673" s="25"/>
      <c r="D3673" s="25"/>
      <c r="E3673" s="25"/>
      <c r="F3673" s="25"/>
      <c r="G3673" s="25"/>
      <c r="H3673" s="25"/>
      <c r="I3673" s="25"/>
      <c r="J3673" s="25"/>
      <c r="K3673" s="25"/>
      <c r="L3673" s="25"/>
      <c r="M3673" s="42" t="s">
        <v>253</v>
      </c>
      <c r="N3673" s="41">
        <v>44999</v>
      </c>
      <c r="O3673" s="25">
        <v>1613</v>
      </c>
      <c r="P3673" s="25">
        <v>0</v>
      </c>
      <c r="Q3673" s="25"/>
      <c r="R3673" s="25"/>
      <c r="S3673" s="25"/>
      <c r="T3673" s="10"/>
    </row>
    <row r="3674" s="35" customFormat="1" ht="18.5" customHeight="1" spans="1:20">
      <c r="A3674" s="9"/>
      <c r="B3674" s="25"/>
      <c r="C3674" s="25"/>
      <c r="D3674" s="25"/>
      <c r="E3674" s="25"/>
      <c r="F3674" s="25"/>
      <c r="G3674" s="25"/>
      <c r="H3674" s="25"/>
      <c r="I3674" s="25"/>
      <c r="J3674" s="25"/>
      <c r="K3674" s="25"/>
      <c r="L3674" s="25"/>
      <c r="M3674" s="42" t="s">
        <v>253</v>
      </c>
      <c r="N3674" s="41">
        <v>44999</v>
      </c>
      <c r="O3674" s="25">
        <v>173</v>
      </c>
      <c r="P3674" s="25">
        <v>0</v>
      </c>
      <c r="Q3674" s="25"/>
      <c r="R3674" s="25"/>
      <c r="S3674" s="25"/>
      <c r="T3674" s="10"/>
    </row>
    <row r="3675" s="35" customFormat="1" ht="18.5" customHeight="1" spans="1:20">
      <c r="A3675" s="9"/>
      <c r="B3675" s="25"/>
      <c r="C3675" s="25"/>
      <c r="D3675" s="25"/>
      <c r="E3675" s="25"/>
      <c r="F3675" s="25"/>
      <c r="G3675" s="25"/>
      <c r="H3675" s="25"/>
      <c r="I3675" s="25"/>
      <c r="J3675" s="25"/>
      <c r="K3675" s="25"/>
      <c r="L3675" s="25"/>
      <c r="M3675" s="42" t="s">
        <v>253</v>
      </c>
      <c r="N3675" s="41">
        <v>44998</v>
      </c>
      <c r="O3675" s="25">
        <v>197</v>
      </c>
      <c r="P3675" s="25">
        <v>0</v>
      </c>
      <c r="Q3675" s="25"/>
      <c r="R3675" s="25"/>
      <c r="S3675" s="25"/>
      <c r="T3675" s="10"/>
    </row>
    <row r="3676" s="35" customFormat="1" ht="18.5" customHeight="1" spans="1:20">
      <c r="A3676" s="9"/>
      <c r="B3676" s="25"/>
      <c r="C3676" s="25"/>
      <c r="D3676" s="25"/>
      <c r="E3676" s="25"/>
      <c r="F3676" s="25"/>
      <c r="G3676" s="25"/>
      <c r="H3676" s="25"/>
      <c r="I3676" s="25"/>
      <c r="J3676" s="25"/>
      <c r="K3676" s="25"/>
      <c r="L3676" s="25"/>
      <c r="M3676" s="42" t="s">
        <v>253</v>
      </c>
      <c r="N3676" s="41">
        <v>44998</v>
      </c>
      <c r="O3676" s="25">
        <v>168</v>
      </c>
      <c r="P3676" s="25">
        <v>0</v>
      </c>
      <c r="Q3676" s="25"/>
      <c r="R3676" s="25"/>
      <c r="S3676" s="25"/>
      <c r="T3676" s="10"/>
    </row>
    <row r="3677" s="35" customFormat="1" ht="18.5" customHeight="1" spans="1:20">
      <c r="A3677" s="9"/>
      <c r="B3677" s="25"/>
      <c r="C3677" s="25"/>
      <c r="D3677" s="25"/>
      <c r="E3677" s="25"/>
      <c r="F3677" s="25"/>
      <c r="G3677" s="25"/>
      <c r="H3677" s="25"/>
      <c r="I3677" s="25"/>
      <c r="J3677" s="25"/>
      <c r="K3677" s="25"/>
      <c r="L3677" s="25"/>
      <c r="M3677" s="42" t="s">
        <v>253</v>
      </c>
      <c r="N3677" s="41">
        <v>44998</v>
      </c>
      <c r="O3677" s="25">
        <v>202</v>
      </c>
      <c r="P3677" s="25">
        <v>0</v>
      </c>
      <c r="Q3677" s="25"/>
      <c r="R3677" s="25"/>
      <c r="S3677" s="25"/>
      <c r="T3677" s="10"/>
    </row>
    <row r="3678" s="35" customFormat="1" ht="18.5" customHeight="1" spans="1:20">
      <c r="A3678" s="9"/>
      <c r="B3678" s="25"/>
      <c r="C3678" s="25"/>
      <c r="D3678" s="25"/>
      <c r="E3678" s="25"/>
      <c r="F3678" s="25"/>
      <c r="G3678" s="25"/>
      <c r="H3678" s="25"/>
      <c r="I3678" s="25"/>
      <c r="J3678" s="25"/>
      <c r="K3678" s="25"/>
      <c r="L3678" s="25"/>
      <c r="M3678" s="42" t="s">
        <v>253</v>
      </c>
      <c r="N3678" s="41">
        <v>44997</v>
      </c>
      <c r="O3678" s="25">
        <v>405</v>
      </c>
      <c r="P3678" s="25">
        <v>0</v>
      </c>
      <c r="Q3678" s="25"/>
      <c r="R3678" s="25"/>
      <c r="S3678" s="25"/>
      <c r="T3678" s="10"/>
    </row>
    <row r="3679" s="35" customFormat="1" ht="18.5" customHeight="1" spans="1:20">
      <c r="A3679" s="9"/>
      <c r="B3679" s="25"/>
      <c r="C3679" s="25"/>
      <c r="D3679" s="25"/>
      <c r="E3679" s="25"/>
      <c r="F3679" s="25"/>
      <c r="G3679" s="25"/>
      <c r="H3679" s="25"/>
      <c r="I3679" s="25"/>
      <c r="J3679" s="25"/>
      <c r="K3679" s="25"/>
      <c r="L3679" s="25"/>
      <c r="M3679" s="42" t="s">
        <v>253</v>
      </c>
      <c r="N3679" s="41">
        <v>44997</v>
      </c>
      <c r="O3679" s="25">
        <v>149</v>
      </c>
      <c r="P3679" s="25">
        <v>0</v>
      </c>
      <c r="Q3679" s="25"/>
      <c r="R3679" s="25"/>
      <c r="S3679" s="25"/>
      <c r="T3679" s="10"/>
    </row>
    <row r="3680" s="35" customFormat="1" ht="18.5" customHeight="1" spans="1:20">
      <c r="A3680" s="9"/>
      <c r="B3680" s="25"/>
      <c r="C3680" s="25"/>
      <c r="D3680" s="25"/>
      <c r="E3680" s="25"/>
      <c r="F3680" s="25"/>
      <c r="G3680" s="25"/>
      <c r="H3680" s="25"/>
      <c r="I3680" s="25"/>
      <c r="J3680" s="25"/>
      <c r="K3680" s="25"/>
      <c r="L3680" s="25"/>
      <c r="M3680" s="42" t="s">
        <v>253</v>
      </c>
      <c r="N3680" s="41">
        <v>44997</v>
      </c>
      <c r="O3680" s="25">
        <v>233</v>
      </c>
      <c r="P3680" s="25">
        <v>0</v>
      </c>
      <c r="Q3680" s="25"/>
      <c r="R3680" s="25"/>
      <c r="S3680" s="25"/>
      <c r="T3680" s="10"/>
    </row>
    <row r="3681" s="35" customFormat="1" ht="18.5" customHeight="1" spans="1:20">
      <c r="A3681" s="9"/>
      <c r="B3681" s="25"/>
      <c r="C3681" s="25"/>
      <c r="D3681" s="25"/>
      <c r="E3681" s="25"/>
      <c r="F3681" s="25"/>
      <c r="G3681" s="25"/>
      <c r="H3681" s="25"/>
      <c r="I3681" s="25"/>
      <c r="J3681" s="25"/>
      <c r="K3681" s="25"/>
      <c r="L3681" s="25"/>
      <c r="M3681" s="42" t="s">
        <v>253</v>
      </c>
      <c r="N3681" s="41">
        <v>44997</v>
      </c>
      <c r="O3681" s="25">
        <v>173</v>
      </c>
      <c r="P3681" s="25">
        <v>0</v>
      </c>
      <c r="Q3681" s="25"/>
      <c r="R3681" s="25"/>
      <c r="S3681" s="25"/>
      <c r="T3681" s="10"/>
    </row>
    <row r="3682" s="35" customFormat="1" ht="18.5" customHeight="1" spans="1:20">
      <c r="A3682" s="9"/>
      <c r="B3682" s="25"/>
      <c r="C3682" s="25"/>
      <c r="D3682" s="25"/>
      <c r="E3682" s="25"/>
      <c r="F3682" s="25"/>
      <c r="G3682" s="25"/>
      <c r="H3682" s="25"/>
      <c r="I3682" s="25"/>
      <c r="J3682" s="25"/>
      <c r="K3682" s="25"/>
      <c r="L3682" s="25"/>
      <c r="M3682" s="42" t="s">
        <v>253</v>
      </c>
      <c r="N3682" s="41">
        <v>44995</v>
      </c>
      <c r="O3682" s="25">
        <v>158</v>
      </c>
      <c r="P3682" s="25">
        <v>0</v>
      </c>
      <c r="Q3682" s="25"/>
      <c r="R3682" s="25"/>
      <c r="S3682" s="25"/>
      <c r="T3682" s="10"/>
    </row>
    <row r="3683" s="35" customFormat="1" ht="18.5" customHeight="1" spans="1:20">
      <c r="A3683" s="9"/>
      <c r="B3683" s="25"/>
      <c r="C3683" s="25"/>
      <c r="D3683" s="25"/>
      <c r="E3683" s="25"/>
      <c r="F3683" s="25"/>
      <c r="G3683" s="25"/>
      <c r="H3683" s="25"/>
      <c r="I3683" s="25"/>
      <c r="J3683" s="25"/>
      <c r="K3683" s="25"/>
      <c r="L3683" s="25"/>
      <c r="M3683" s="42" t="s">
        <v>253</v>
      </c>
      <c r="N3683" s="41">
        <v>44995</v>
      </c>
      <c r="O3683" s="25">
        <v>317</v>
      </c>
      <c r="P3683" s="25">
        <v>0</v>
      </c>
      <c r="Q3683" s="25"/>
      <c r="R3683" s="25"/>
      <c r="S3683" s="25"/>
      <c r="T3683" s="10"/>
    </row>
    <row r="3684" s="35" customFormat="1" ht="18.5" customHeight="1" spans="1:20">
      <c r="A3684" s="9"/>
      <c r="B3684" s="25"/>
      <c r="C3684" s="25"/>
      <c r="D3684" s="25"/>
      <c r="E3684" s="25"/>
      <c r="F3684" s="25"/>
      <c r="G3684" s="25"/>
      <c r="H3684" s="25"/>
      <c r="I3684" s="25"/>
      <c r="J3684" s="25"/>
      <c r="K3684" s="25"/>
      <c r="L3684" s="25"/>
      <c r="M3684" s="42" t="s">
        <v>253</v>
      </c>
      <c r="N3684" s="41">
        <v>44995</v>
      </c>
      <c r="O3684" s="25">
        <v>702</v>
      </c>
      <c r="P3684" s="25">
        <v>0</v>
      </c>
      <c r="Q3684" s="25"/>
      <c r="R3684" s="25"/>
      <c r="S3684" s="25"/>
      <c r="T3684" s="10"/>
    </row>
    <row r="3685" s="35" customFormat="1" ht="18.5" customHeight="1" spans="1:20">
      <c r="A3685" s="9"/>
      <c r="B3685" s="25"/>
      <c r="C3685" s="25"/>
      <c r="D3685" s="25"/>
      <c r="E3685" s="25"/>
      <c r="F3685" s="25"/>
      <c r="G3685" s="25"/>
      <c r="H3685" s="25"/>
      <c r="I3685" s="25"/>
      <c r="J3685" s="25"/>
      <c r="K3685" s="25"/>
      <c r="L3685" s="25"/>
      <c r="M3685" s="42" t="s">
        <v>253</v>
      </c>
      <c r="N3685" s="41">
        <v>44994</v>
      </c>
      <c r="O3685" s="25">
        <v>198</v>
      </c>
      <c r="P3685" s="25">
        <v>0</v>
      </c>
      <c r="Q3685" s="25"/>
      <c r="R3685" s="25"/>
      <c r="S3685" s="25"/>
      <c r="T3685" s="10"/>
    </row>
    <row r="3686" s="35" customFormat="1" ht="18.5" customHeight="1" spans="1:20">
      <c r="A3686" s="9"/>
      <c r="B3686" s="25"/>
      <c r="C3686" s="25"/>
      <c r="D3686" s="25"/>
      <c r="E3686" s="25"/>
      <c r="F3686" s="25"/>
      <c r="G3686" s="25"/>
      <c r="H3686" s="25"/>
      <c r="I3686" s="25"/>
      <c r="J3686" s="25"/>
      <c r="K3686" s="25"/>
      <c r="L3686" s="25"/>
      <c r="M3686" s="42" t="s">
        <v>253</v>
      </c>
      <c r="N3686" s="41">
        <v>44994</v>
      </c>
      <c r="O3686" s="25">
        <v>188</v>
      </c>
      <c r="P3686" s="25">
        <v>0</v>
      </c>
      <c r="Q3686" s="25"/>
      <c r="R3686" s="25"/>
      <c r="S3686" s="25"/>
      <c r="T3686" s="10"/>
    </row>
    <row r="3687" s="35" customFormat="1" ht="18.5" customHeight="1" spans="1:20">
      <c r="A3687" s="9"/>
      <c r="B3687" s="25"/>
      <c r="C3687" s="25"/>
      <c r="D3687" s="25"/>
      <c r="E3687" s="25"/>
      <c r="F3687" s="25"/>
      <c r="G3687" s="25"/>
      <c r="H3687" s="25"/>
      <c r="I3687" s="25"/>
      <c r="J3687" s="25"/>
      <c r="K3687" s="25"/>
      <c r="L3687" s="25"/>
      <c r="M3687" s="42" t="s">
        <v>253</v>
      </c>
      <c r="N3687" s="41">
        <v>44994</v>
      </c>
      <c r="O3687" s="25">
        <v>193</v>
      </c>
      <c r="P3687" s="25">
        <v>0</v>
      </c>
      <c r="Q3687" s="25"/>
      <c r="R3687" s="25"/>
      <c r="S3687" s="25"/>
      <c r="T3687" s="10"/>
    </row>
    <row r="3688" s="35" customFormat="1" ht="18.5" customHeight="1" spans="1:20">
      <c r="A3688" s="9"/>
      <c r="B3688" s="25"/>
      <c r="C3688" s="25"/>
      <c r="D3688" s="25"/>
      <c r="E3688" s="25"/>
      <c r="F3688" s="25"/>
      <c r="G3688" s="25"/>
      <c r="H3688" s="25"/>
      <c r="I3688" s="25"/>
      <c r="J3688" s="25"/>
      <c r="K3688" s="25"/>
      <c r="L3688" s="25"/>
      <c r="M3688" s="42" t="s">
        <v>253</v>
      </c>
      <c r="N3688" s="41">
        <v>44994</v>
      </c>
      <c r="O3688" s="25">
        <v>155</v>
      </c>
      <c r="P3688" s="25">
        <v>0</v>
      </c>
      <c r="Q3688" s="25"/>
      <c r="R3688" s="25"/>
      <c r="S3688" s="25"/>
      <c r="T3688" s="10"/>
    </row>
    <row r="3689" s="35" customFormat="1" ht="18.5" customHeight="1" spans="1:20">
      <c r="A3689" s="9"/>
      <c r="B3689" s="25"/>
      <c r="C3689" s="25"/>
      <c r="D3689" s="25"/>
      <c r="E3689" s="25"/>
      <c r="F3689" s="25"/>
      <c r="G3689" s="25"/>
      <c r="H3689" s="25"/>
      <c r="I3689" s="25"/>
      <c r="J3689" s="25"/>
      <c r="K3689" s="25"/>
      <c r="L3689" s="25"/>
      <c r="M3689" s="42" t="s">
        <v>253</v>
      </c>
      <c r="N3689" s="41">
        <v>44994</v>
      </c>
      <c r="O3689" s="25">
        <v>185</v>
      </c>
      <c r="P3689" s="25">
        <v>0</v>
      </c>
      <c r="Q3689" s="25"/>
      <c r="R3689" s="25"/>
      <c r="S3689" s="25"/>
      <c r="T3689" s="10"/>
    </row>
    <row r="3690" s="35" customFormat="1" ht="18.5" customHeight="1" spans="1:20">
      <c r="A3690" s="9"/>
      <c r="B3690" s="25"/>
      <c r="C3690" s="25"/>
      <c r="D3690" s="25"/>
      <c r="E3690" s="25"/>
      <c r="F3690" s="25"/>
      <c r="G3690" s="25"/>
      <c r="H3690" s="25"/>
      <c r="I3690" s="25"/>
      <c r="J3690" s="25"/>
      <c r="K3690" s="25"/>
      <c r="L3690" s="25"/>
      <c r="M3690" s="42" t="s">
        <v>253</v>
      </c>
      <c r="N3690" s="41">
        <v>44994</v>
      </c>
      <c r="O3690" s="25">
        <v>349</v>
      </c>
      <c r="P3690" s="25">
        <v>0</v>
      </c>
      <c r="Q3690" s="25"/>
      <c r="R3690" s="25"/>
      <c r="S3690" s="25"/>
      <c r="T3690" s="10"/>
    </row>
    <row r="3691" s="35" customFormat="1" ht="18.5" customHeight="1" spans="1:20">
      <c r="A3691" s="9"/>
      <c r="B3691" s="25"/>
      <c r="C3691" s="25"/>
      <c r="D3691" s="25"/>
      <c r="E3691" s="25"/>
      <c r="F3691" s="25"/>
      <c r="G3691" s="25"/>
      <c r="H3691" s="25"/>
      <c r="I3691" s="25"/>
      <c r="J3691" s="25"/>
      <c r="K3691" s="25"/>
      <c r="L3691" s="25"/>
      <c r="M3691" s="42" t="s">
        <v>253</v>
      </c>
      <c r="N3691" s="41">
        <v>44994</v>
      </c>
      <c r="O3691" s="25">
        <v>289</v>
      </c>
      <c r="P3691" s="25">
        <v>0</v>
      </c>
      <c r="Q3691" s="25"/>
      <c r="R3691" s="25"/>
      <c r="S3691" s="25"/>
      <c r="T3691" s="10"/>
    </row>
    <row r="3692" s="35" customFormat="1" ht="18.5" customHeight="1" spans="1:20">
      <c r="A3692" s="9"/>
      <c r="B3692" s="25"/>
      <c r="C3692" s="25"/>
      <c r="D3692" s="25"/>
      <c r="E3692" s="25"/>
      <c r="F3692" s="25"/>
      <c r="G3692" s="25"/>
      <c r="H3692" s="25"/>
      <c r="I3692" s="25"/>
      <c r="J3692" s="25"/>
      <c r="K3692" s="25"/>
      <c r="L3692" s="25"/>
      <c r="M3692" s="42" t="s">
        <v>253</v>
      </c>
      <c r="N3692" s="41">
        <v>44994</v>
      </c>
      <c r="O3692" s="25">
        <v>159</v>
      </c>
      <c r="P3692" s="25">
        <v>0</v>
      </c>
      <c r="Q3692" s="25"/>
      <c r="R3692" s="25"/>
      <c r="S3692" s="25"/>
      <c r="T3692" s="10"/>
    </row>
    <row r="3693" s="35" customFormat="1" ht="18.5" customHeight="1" spans="1:20">
      <c r="A3693" s="9"/>
      <c r="B3693" s="25"/>
      <c r="C3693" s="25"/>
      <c r="D3693" s="25"/>
      <c r="E3693" s="25"/>
      <c r="F3693" s="25"/>
      <c r="G3693" s="25"/>
      <c r="H3693" s="25"/>
      <c r="I3693" s="25"/>
      <c r="J3693" s="25"/>
      <c r="K3693" s="25"/>
      <c r="L3693" s="25"/>
      <c r="M3693" s="42" t="s">
        <v>253</v>
      </c>
      <c r="N3693" s="41">
        <v>44994</v>
      </c>
      <c r="O3693" s="25">
        <v>256</v>
      </c>
      <c r="P3693" s="25">
        <v>0</v>
      </c>
      <c r="Q3693" s="25"/>
      <c r="R3693" s="25"/>
      <c r="S3693" s="25"/>
      <c r="T3693" s="10"/>
    </row>
    <row r="3694" s="35" customFormat="1" ht="18.5" customHeight="1" spans="1:20">
      <c r="A3694" s="9"/>
      <c r="B3694" s="25"/>
      <c r="C3694" s="25"/>
      <c r="D3694" s="25"/>
      <c r="E3694" s="25"/>
      <c r="F3694" s="25"/>
      <c r="G3694" s="25"/>
      <c r="H3694" s="25"/>
      <c r="I3694" s="25"/>
      <c r="J3694" s="25"/>
      <c r="K3694" s="25"/>
      <c r="L3694" s="25"/>
      <c r="M3694" s="42" t="s">
        <v>253</v>
      </c>
      <c r="N3694" s="41">
        <v>44994</v>
      </c>
      <c r="O3694" s="25">
        <v>781</v>
      </c>
      <c r="P3694" s="25">
        <v>0</v>
      </c>
      <c r="Q3694" s="25"/>
      <c r="R3694" s="25"/>
      <c r="S3694" s="25"/>
      <c r="T3694" s="10"/>
    </row>
    <row r="3695" s="35" customFormat="1" ht="18.5" customHeight="1" spans="1:20">
      <c r="A3695" s="9"/>
      <c r="B3695" s="25"/>
      <c r="C3695" s="25"/>
      <c r="D3695" s="25"/>
      <c r="E3695" s="25"/>
      <c r="F3695" s="25"/>
      <c r="G3695" s="25"/>
      <c r="H3695" s="25"/>
      <c r="I3695" s="25"/>
      <c r="J3695" s="25"/>
      <c r="K3695" s="25"/>
      <c r="L3695" s="25"/>
      <c r="M3695" s="42" t="s">
        <v>253</v>
      </c>
      <c r="N3695" s="41">
        <v>44994</v>
      </c>
      <c r="O3695" s="25">
        <v>881</v>
      </c>
      <c r="P3695" s="25">
        <v>0</v>
      </c>
      <c r="Q3695" s="25"/>
      <c r="R3695" s="25"/>
      <c r="S3695" s="25"/>
      <c r="T3695" s="10"/>
    </row>
    <row r="3696" s="35" customFormat="1" ht="18.5" customHeight="1" spans="1:20">
      <c r="A3696" s="9"/>
      <c r="B3696" s="25"/>
      <c r="C3696" s="25"/>
      <c r="D3696" s="25"/>
      <c r="E3696" s="25"/>
      <c r="F3696" s="25"/>
      <c r="G3696" s="25"/>
      <c r="H3696" s="25"/>
      <c r="I3696" s="25"/>
      <c r="J3696" s="25"/>
      <c r="K3696" s="25"/>
      <c r="L3696" s="25"/>
      <c r="M3696" s="42" t="s">
        <v>253</v>
      </c>
      <c r="N3696" s="41">
        <v>44993</v>
      </c>
      <c r="O3696" s="25">
        <v>212</v>
      </c>
      <c r="P3696" s="25">
        <v>0</v>
      </c>
      <c r="Q3696" s="25"/>
      <c r="R3696" s="25"/>
      <c r="S3696" s="25"/>
      <c r="T3696" s="10"/>
    </row>
    <row r="3697" s="35" customFormat="1" ht="18.5" customHeight="1" spans="1:20">
      <c r="A3697" s="9"/>
      <c r="B3697" s="25"/>
      <c r="C3697" s="25"/>
      <c r="D3697" s="25"/>
      <c r="E3697" s="25"/>
      <c r="F3697" s="25"/>
      <c r="G3697" s="25"/>
      <c r="H3697" s="25"/>
      <c r="I3697" s="25"/>
      <c r="J3697" s="25"/>
      <c r="K3697" s="25"/>
      <c r="L3697" s="25"/>
      <c r="M3697" s="42" t="s">
        <v>253</v>
      </c>
      <c r="N3697" s="41">
        <v>44993</v>
      </c>
      <c r="O3697" s="25">
        <v>155</v>
      </c>
      <c r="P3697" s="25">
        <v>0</v>
      </c>
      <c r="Q3697" s="25"/>
      <c r="R3697" s="25"/>
      <c r="S3697" s="25"/>
      <c r="T3697" s="10"/>
    </row>
    <row r="3698" s="35" customFormat="1" ht="18.5" customHeight="1" spans="1:20">
      <c r="A3698" s="9"/>
      <c r="B3698" s="25"/>
      <c r="C3698" s="25"/>
      <c r="D3698" s="25"/>
      <c r="E3698" s="25"/>
      <c r="F3698" s="25"/>
      <c r="G3698" s="25"/>
      <c r="H3698" s="25"/>
      <c r="I3698" s="25"/>
      <c r="J3698" s="25"/>
      <c r="K3698" s="25"/>
      <c r="L3698" s="25"/>
      <c r="M3698" s="42" t="s">
        <v>253</v>
      </c>
      <c r="N3698" s="41">
        <v>44993</v>
      </c>
      <c r="O3698" s="25">
        <v>188</v>
      </c>
      <c r="P3698" s="25">
        <v>0</v>
      </c>
      <c r="Q3698" s="25"/>
      <c r="R3698" s="25"/>
      <c r="S3698" s="25"/>
      <c r="T3698" s="10"/>
    </row>
    <row r="3699" s="35" customFormat="1" ht="18.5" customHeight="1" spans="1:20">
      <c r="A3699" s="9"/>
      <c r="B3699" s="25"/>
      <c r="C3699" s="25"/>
      <c r="D3699" s="25"/>
      <c r="E3699" s="25"/>
      <c r="F3699" s="25"/>
      <c r="G3699" s="25"/>
      <c r="H3699" s="25"/>
      <c r="I3699" s="25"/>
      <c r="J3699" s="25"/>
      <c r="K3699" s="25"/>
      <c r="L3699" s="25"/>
      <c r="M3699" s="42" t="s">
        <v>253</v>
      </c>
      <c r="N3699" s="41">
        <v>44993</v>
      </c>
      <c r="O3699" s="25">
        <v>182</v>
      </c>
      <c r="P3699" s="25">
        <v>0</v>
      </c>
      <c r="Q3699" s="25"/>
      <c r="R3699" s="25"/>
      <c r="S3699" s="25"/>
      <c r="T3699" s="10"/>
    </row>
    <row r="3700" s="35" customFormat="1" ht="18.5" customHeight="1" spans="1:20">
      <c r="A3700" s="9"/>
      <c r="B3700" s="25"/>
      <c r="C3700" s="25"/>
      <c r="D3700" s="25"/>
      <c r="E3700" s="25"/>
      <c r="F3700" s="25"/>
      <c r="G3700" s="25"/>
      <c r="H3700" s="25"/>
      <c r="I3700" s="25"/>
      <c r="J3700" s="25"/>
      <c r="K3700" s="25"/>
      <c r="L3700" s="25"/>
      <c r="M3700" s="42" t="s">
        <v>253</v>
      </c>
      <c r="N3700" s="41">
        <v>44993</v>
      </c>
      <c r="O3700" s="25">
        <v>1687</v>
      </c>
      <c r="P3700" s="25">
        <v>0</v>
      </c>
      <c r="Q3700" s="25"/>
      <c r="R3700" s="25"/>
      <c r="S3700" s="25"/>
      <c r="T3700" s="10"/>
    </row>
    <row r="3701" s="35" customFormat="1" ht="18.5" customHeight="1" spans="1:20">
      <c r="A3701" s="9"/>
      <c r="B3701" s="25"/>
      <c r="C3701" s="25"/>
      <c r="D3701" s="25"/>
      <c r="E3701" s="25"/>
      <c r="F3701" s="25"/>
      <c r="G3701" s="25"/>
      <c r="H3701" s="25"/>
      <c r="I3701" s="25"/>
      <c r="J3701" s="25"/>
      <c r="K3701" s="25"/>
      <c r="L3701" s="25"/>
      <c r="M3701" s="42" t="s">
        <v>253</v>
      </c>
      <c r="N3701" s="41">
        <v>44993</v>
      </c>
      <c r="O3701" s="25">
        <v>319</v>
      </c>
      <c r="P3701" s="25">
        <v>0</v>
      </c>
      <c r="Q3701" s="25"/>
      <c r="R3701" s="25"/>
      <c r="S3701" s="25"/>
      <c r="T3701" s="10"/>
    </row>
    <row r="3702" s="35" customFormat="1" ht="18.5" customHeight="1" spans="1:20">
      <c r="A3702" s="9"/>
      <c r="B3702" s="25"/>
      <c r="C3702" s="25"/>
      <c r="D3702" s="25"/>
      <c r="E3702" s="25"/>
      <c r="F3702" s="25"/>
      <c r="G3702" s="25"/>
      <c r="H3702" s="25"/>
      <c r="I3702" s="25"/>
      <c r="J3702" s="25"/>
      <c r="K3702" s="25"/>
      <c r="L3702" s="25"/>
      <c r="M3702" s="42" t="s">
        <v>253</v>
      </c>
      <c r="N3702" s="41">
        <v>44993</v>
      </c>
      <c r="O3702" s="25">
        <v>203</v>
      </c>
      <c r="P3702" s="25">
        <v>0</v>
      </c>
      <c r="Q3702" s="25"/>
      <c r="R3702" s="25"/>
      <c r="S3702" s="25"/>
      <c r="T3702" s="10"/>
    </row>
    <row r="3703" s="35" customFormat="1" ht="18.5" customHeight="1" spans="1:20">
      <c r="A3703" s="9"/>
      <c r="B3703" s="25"/>
      <c r="C3703" s="25"/>
      <c r="D3703" s="25"/>
      <c r="E3703" s="25"/>
      <c r="F3703" s="25"/>
      <c r="G3703" s="25"/>
      <c r="H3703" s="25"/>
      <c r="I3703" s="25"/>
      <c r="J3703" s="25"/>
      <c r="K3703" s="25"/>
      <c r="L3703" s="25"/>
      <c r="M3703" s="42" t="s">
        <v>253</v>
      </c>
      <c r="N3703" s="41">
        <v>44992</v>
      </c>
      <c r="O3703" s="25">
        <v>96</v>
      </c>
      <c r="P3703" s="25">
        <v>0</v>
      </c>
      <c r="Q3703" s="25"/>
      <c r="R3703" s="25"/>
      <c r="S3703" s="25"/>
      <c r="T3703" s="10"/>
    </row>
    <row r="3704" s="35" customFormat="1" ht="18.5" customHeight="1" spans="1:20">
      <c r="A3704" s="9"/>
      <c r="B3704" s="25"/>
      <c r="C3704" s="25"/>
      <c r="D3704" s="25"/>
      <c r="E3704" s="25"/>
      <c r="F3704" s="25"/>
      <c r="G3704" s="25"/>
      <c r="H3704" s="25"/>
      <c r="I3704" s="25"/>
      <c r="J3704" s="25"/>
      <c r="K3704" s="25"/>
      <c r="L3704" s="25"/>
      <c r="M3704" s="42" t="s">
        <v>253</v>
      </c>
      <c r="N3704" s="41">
        <v>44992</v>
      </c>
      <c r="O3704" s="25">
        <v>447</v>
      </c>
      <c r="P3704" s="25">
        <v>0</v>
      </c>
      <c r="Q3704" s="25"/>
      <c r="R3704" s="25"/>
      <c r="S3704" s="25"/>
      <c r="T3704" s="10"/>
    </row>
    <row r="3705" s="35" customFormat="1" ht="18.5" customHeight="1" spans="1:20">
      <c r="A3705" s="9"/>
      <c r="B3705" s="25"/>
      <c r="C3705" s="25"/>
      <c r="D3705" s="25"/>
      <c r="E3705" s="25"/>
      <c r="F3705" s="25"/>
      <c r="G3705" s="25"/>
      <c r="H3705" s="25"/>
      <c r="I3705" s="25"/>
      <c r="J3705" s="25"/>
      <c r="K3705" s="25"/>
      <c r="L3705" s="25"/>
      <c r="M3705" s="42" t="s">
        <v>253</v>
      </c>
      <c r="N3705" s="41">
        <v>44992</v>
      </c>
      <c r="O3705" s="25">
        <v>395</v>
      </c>
      <c r="P3705" s="25">
        <v>0</v>
      </c>
      <c r="Q3705" s="25"/>
      <c r="R3705" s="25"/>
      <c r="S3705" s="25"/>
      <c r="T3705" s="10"/>
    </row>
    <row r="3706" s="35" customFormat="1" ht="18.5" customHeight="1" spans="1:20">
      <c r="A3706" s="9"/>
      <c r="B3706" s="25"/>
      <c r="C3706" s="25"/>
      <c r="D3706" s="25"/>
      <c r="E3706" s="25"/>
      <c r="F3706" s="25"/>
      <c r="G3706" s="25"/>
      <c r="H3706" s="25"/>
      <c r="I3706" s="25"/>
      <c r="J3706" s="25"/>
      <c r="K3706" s="25"/>
      <c r="L3706" s="25"/>
      <c r="M3706" s="42" t="s">
        <v>253</v>
      </c>
      <c r="N3706" s="41">
        <v>44991</v>
      </c>
      <c r="O3706" s="25">
        <v>145</v>
      </c>
      <c r="P3706" s="25">
        <v>0</v>
      </c>
      <c r="Q3706" s="25"/>
      <c r="R3706" s="25"/>
      <c r="S3706" s="25"/>
      <c r="T3706" s="10"/>
    </row>
    <row r="3707" s="35" customFormat="1" ht="18.5" customHeight="1" spans="1:20">
      <c r="A3707" s="9"/>
      <c r="B3707" s="25"/>
      <c r="C3707" s="25"/>
      <c r="D3707" s="25"/>
      <c r="E3707" s="25"/>
      <c r="F3707" s="25"/>
      <c r="G3707" s="25"/>
      <c r="H3707" s="25"/>
      <c r="I3707" s="25"/>
      <c r="J3707" s="25"/>
      <c r="K3707" s="25"/>
      <c r="L3707" s="25"/>
      <c r="M3707" s="42" t="s">
        <v>253</v>
      </c>
      <c r="N3707" s="41">
        <v>44991</v>
      </c>
      <c r="O3707" s="25">
        <v>325</v>
      </c>
      <c r="P3707" s="25">
        <v>0</v>
      </c>
      <c r="Q3707" s="25"/>
      <c r="R3707" s="25"/>
      <c r="S3707" s="25"/>
      <c r="T3707" s="10"/>
    </row>
    <row r="3708" s="35" customFormat="1" ht="18.5" customHeight="1" spans="1:20">
      <c r="A3708" s="9"/>
      <c r="B3708" s="25"/>
      <c r="C3708" s="25"/>
      <c r="D3708" s="25"/>
      <c r="E3708" s="25"/>
      <c r="F3708" s="25"/>
      <c r="G3708" s="25"/>
      <c r="H3708" s="25"/>
      <c r="I3708" s="25"/>
      <c r="J3708" s="25"/>
      <c r="K3708" s="25"/>
      <c r="L3708" s="25"/>
      <c r="M3708" s="42" t="s">
        <v>253</v>
      </c>
      <c r="N3708" s="41">
        <v>44991</v>
      </c>
      <c r="O3708" s="25">
        <v>242</v>
      </c>
      <c r="P3708" s="25">
        <v>0</v>
      </c>
      <c r="Q3708" s="25"/>
      <c r="R3708" s="25"/>
      <c r="S3708" s="25"/>
      <c r="T3708" s="10"/>
    </row>
    <row r="3709" s="35" customFormat="1" ht="18.5" customHeight="1" spans="1:20">
      <c r="A3709" s="9"/>
      <c r="B3709" s="25"/>
      <c r="C3709" s="25"/>
      <c r="D3709" s="25"/>
      <c r="E3709" s="25"/>
      <c r="F3709" s="25"/>
      <c r="G3709" s="25"/>
      <c r="H3709" s="25"/>
      <c r="I3709" s="25"/>
      <c r="J3709" s="25"/>
      <c r="K3709" s="25"/>
      <c r="L3709" s="25"/>
      <c r="M3709" s="42" t="s">
        <v>253</v>
      </c>
      <c r="N3709" s="41">
        <v>44991</v>
      </c>
      <c r="O3709" s="25">
        <v>167</v>
      </c>
      <c r="P3709" s="25">
        <v>0</v>
      </c>
      <c r="Q3709" s="25"/>
      <c r="R3709" s="25"/>
      <c r="S3709" s="25"/>
      <c r="T3709" s="10"/>
    </row>
    <row r="3710" s="35" customFormat="1" ht="18.5" customHeight="1" spans="1:20">
      <c r="A3710" s="9"/>
      <c r="B3710" s="25"/>
      <c r="C3710" s="25"/>
      <c r="D3710" s="25"/>
      <c r="E3710" s="25"/>
      <c r="F3710" s="25"/>
      <c r="G3710" s="25"/>
      <c r="H3710" s="25"/>
      <c r="I3710" s="25"/>
      <c r="J3710" s="25"/>
      <c r="K3710" s="25"/>
      <c r="L3710" s="25"/>
      <c r="M3710" s="42" t="s">
        <v>253</v>
      </c>
      <c r="N3710" s="41">
        <v>44990</v>
      </c>
      <c r="O3710" s="25">
        <v>1612</v>
      </c>
      <c r="P3710" s="25">
        <v>0</v>
      </c>
      <c r="Q3710" s="25"/>
      <c r="R3710" s="25"/>
      <c r="S3710" s="25"/>
      <c r="T3710" s="10"/>
    </row>
    <row r="3711" s="35" customFormat="1" ht="18.5" customHeight="1" spans="1:20">
      <c r="A3711" s="9"/>
      <c r="B3711" s="25"/>
      <c r="C3711" s="25"/>
      <c r="D3711" s="25"/>
      <c r="E3711" s="25"/>
      <c r="F3711" s="25"/>
      <c r="G3711" s="25"/>
      <c r="H3711" s="25"/>
      <c r="I3711" s="25"/>
      <c r="J3711" s="25"/>
      <c r="K3711" s="25"/>
      <c r="L3711" s="25"/>
      <c r="M3711" s="42" t="s">
        <v>253</v>
      </c>
      <c r="N3711" s="41">
        <v>44989</v>
      </c>
      <c r="O3711" s="25">
        <v>217</v>
      </c>
      <c r="P3711" s="25">
        <v>0</v>
      </c>
      <c r="Q3711" s="25"/>
      <c r="R3711" s="25"/>
      <c r="S3711" s="25"/>
      <c r="T3711" s="10"/>
    </row>
    <row r="3712" s="35" customFormat="1" ht="18.5" customHeight="1" spans="1:20">
      <c r="A3712" s="9"/>
      <c r="B3712" s="25"/>
      <c r="C3712" s="25"/>
      <c r="D3712" s="25"/>
      <c r="E3712" s="25"/>
      <c r="F3712" s="25"/>
      <c r="G3712" s="25"/>
      <c r="H3712" s="25"/>
      <c r="I3712" s="25"/>
      <c r="J3712" s="25"/>
      <c r="K3712" s="25"/>
      <c r="L3712" s="25"/>
      <c r="M3712" s="42" t="s">
        <v>253</v>
      </c>
      <c r="N3712" s="41">
        <v>44989</v>
      </c>
      <c r="O3712" s="25">
        <v>313</v>
      </c>
      <c r="P3712" s="25">
        <v>0</v>
      </c>
      <c r="Q3712" s="25"/>
      <c r="R3712" s="25"/>
      <c r="S3712" s="25"/>
      <c r="T3712" s="10"/>
    </row>
    <row r="3713" s="35" customFormat="1" ht="18.5" customHeight="1" spans="1:20">
      <c r="A3713" s="9"/>
      <c r="B3713" s="25"/>
      <c r="C3713" s="25"/>
      <c r="D3713" s="25"/>
      <c r="E3713" s="25"/>
      <c r="F3713" s="25"/>
      <c r="G3713" s="25"/>
      <c r="H3713" s="25"/>
      <c r="I3713" s="25"/>
      <c r="J3713" s="25"/>
      <c r="K3713" s="25"/>
      <c r="L3713" s="25"/>
      <c r="M3713" s="42" t="s">
        <v>253</v>
      </c>
      <c r="N3713" s="41">
        <v>44989</v>
      </c>
      <c r="O3713" s="25">
        <v>497</v>
      </c>
      <c r="P3713" s="25">
        <v>0</v>
      </c>
      <c r="Q3713" s="25"/>
      <c r="R3713" s="25"/>
      <c r="S3713" s="25"/>
      <c r="T3713" s="10"/>
    </row>
    <row r="3714" s="35" customFormat="1" ht="18.5" customHeight="1" spans="1:20">
      <c r="A3714" s="9"/>
      <c r="B3714" s="25"/>
      <c r="C3714" s="25"/>
      <c r="D3714" s="25"/>
      <c r="E3714" s="25"/>
      <c r="F3714" s="25"/>
      <c r="G3714" s="25"/>
      <c r="H3714" s="25"/>
      <c r="I3714" s="25"/>
      <c r="J3714" s="25"/>
      <c r="K3714" s="25"/>
      <c r="L3714" s="25"/>
      <c r="M3714" s="42" t="s">
        <v>253</v>
      </c>
      <c r="N3714" s="41">
        <v>44988</v>
      </c>
      <c r="O3714" s="25">
        <v>211</v>
      </c>
      <c r="P3714" s="25">
        <v>0</v>
      </c>
      <c r="Q3714" s="25"/>
      <c r="R3714" s="25"/>
      <c r="S3714" s="25"/>
      <c r="T3714" s="10"/>
    </row>
    <row r="3715" s="35" customFormat="1" ht="18.5" customHeight="1" spans="1:20">
      <c r="A3715" s="9"/>
      <c r="B3715" s="25"/>
      <c r="C3715" s="25"/>
      <c r="D3715" s="25"/>
      <c r="E3715" s="25"/>
      <c r="F3715" s="25"/>
      <c r="G3715" s="25"/>
      <c r="H3715" s="25"/>
      <c r="I3715" s="25"/>
      <c r="J3715" s="25"/>
      <c r="K3715" s="25"/>
      <c r="L3715" s="25"/>
      <c r="M3715" s="42" t="s">
        <v>253</v>
      </c>
      <c r="N3715" s="41">
        <v>44988</v>
      </c>
      <c r="O3715" s="25">
        <v>179</v>
      </c>
      <c r="P3715" s="25">
        <v>0</v>
      </c>
      <c r="Q3715" s="25"/>
      <c r="R3715" s="25"/>
      <c r="S3715" s="25"/>
      <c r="T3715" s="10"/>
    </row>
    <row r="3716" s="35" customFormat="1" ht="18.5" customHeight="1" spans="1:20">
      <c r="A3716" s="9"/>
      <c r="B3716" s="25"/>
      <c r="C3716" s="25"/>
      <c r="D3716" s="25"/>
      <c r="E3716" s="25"/>
      <c r="F3716" s="25"/>
      <c r="G3716" s="25"/>
      <c r="H3716" s="25"/>
      <c r="I3716" s="25"/>
      <c r="J3716" s="25"/>
      <c r="K3716" s="25"/>
      <c r="L3716" s="25"/>
      <c r="M3716" s="42" t="s">
        <v>253</v>
      </c>
      <c r="N3716" s="41">
        <v>44988</v>
      </c>
      <c r="O3716" s="25">
        <v>323</v>
      </c>
      <c r="P3716" s="25">
        <v>0</v>
      </c>
      <c r="Q3716" s="25"/>
      <c r="R3716" s="25"/>
      <c r="S3716" s="25"/>
      <c r="T3716" s="10"/>
    </row>
    <row r="3717" s="35" customFormat="1" ht="18.5" customHeight="1" spans="1:20">
      <c r="A3717" s="9"/>
      <c r="B3717" s="25"/>
      <c r="C3717" s="25"/>
      <c r="D3717" s="25"/>
      <c r="E3717" s="25"/>
      <c r="F3717" s="25"/>
      <c r="G3717" s="25"/>
      <c r="H3717" s="25"/>
      <c r="I3717" s="25"/>
      <c r="J3717" s="25"/>
      <c r="K3717" s="25"/>
      <c r="L3717" s="25"/>
      <c r="M3717" s="42" t="s">
        <v>253</v>
      </c>
      <c r="N3717" s="41">
        <v>44988</v>
      </c>
      <c r="O3717" s="25">
        <v>158</v>
      </c>
      <c r="P3717" s="25">
        <v>0</v>
      </c>
      <c r="Q3717" s="25"/>
      <c r="R3717" s="25"/>
      <c r="S3717" s="25"/>
      <c r="T3717" s="10"/>
    </row>
    <row r="3718" s="35" customFormat="1" ht="18.5" customHeight="1" spans="1:20">
      <c r="A3718" s="9"/>
      <c r="B3718" s="25"/>
      <c r="C3718" s="25"/>
      <c r="D3718" s="25"/>
      <c r="E3718" s="25"/>
      <c r="F3718" s="25"/>
      <c r="G3718" s="25"/>
      <c r="H3718" s="25"/>
      <c r="I3718" s="25"/>
      <c r="J3718" s="25"/>
      <c r="K3718" s="25"/>
      <c r="L3718" s="25"/>
      <c r="M3718" s="42" t="s">
        <v>253</v>
      </c>
      <c r="N3718" s="41">
        <v>44988</v>
      </c>
      <c r="O3718" s="25">
        <v>127</v>
      </c>
      <c r="P3718" s="25">
        <v>0</v>
      </c>
      <c r="Q3718" s="25"/>
      <c r="R3718" s="25"/>
      <c r="S3718" s="25"/>
      <c r="T3718" s="10"/>
    </row>
    <row r="3719" s="35" customFormat="1" ht="18.5" customHeight="1" spans="1:20">
      <c r="A3719" s="9"/>
      <c r="B3719" s="25"/>
      <c r="C3719" s="25"/>
      <c r="D3719" s="25"/>
      <c r="E3719" s="25"/>
      <c r="F3719" s="25"/>
      <c r="G3719" s="25"/>
      <c r="H3719" s="25"/>
      <c r="I3719" s="25"/>
      <c r="J3719" s="25"/>
      <c r="K3719" s="25"/>
      <c r="L3719" s="25"/>
      <c r="M3719" s="42" t="s">
        <v>253</v>
      </c>
      <c r="N3719" s="41">
        <v>44988</v>
      </c>
      <c r="O3719" s="25">
        <v>251</v>
      </c>
      <c r="P3719" s="25">
        <v>0</v>
      </c>
      <c r="Q3719" s="25"/>
      <c r="R3719" s="25"/>
      <c r="S3719" s="25"/>
      <c r="T3719" s="10"/>
    </row>
    <row r="3720" s="35" customFormat="1" ht="18.5" customHeight="1" spans="1:20">
      <c r="A3720" s="9"/>
      <c r="B3720" s="25"/>
      <c r="C3720" s="25"/>
      <c r="D3720" s="25"/>
      <c r="E3720" s="25"/>
      <c r="F3720" s="25"/>
      <c r="G3720" s="25"/>
      <c r="H3720" s="25"/>
      <c r="I3720" s="25"/>
      <c r="J3720" s="25"/>
      <c r="K3720" s="25"/>
      <c r="L3720" s="25"/>
      <c r="M3720" s="42" t="s">
        <v>253</v>
      </c>
      <c r="N3720" s="41">
        <v>44988</v>
      </c>
      <c r="O3720" s="25">
        <v>149</v>
      </c>
      <c r="P3720" s="25">
        <v>0</v>
      </c>
      <c r="Q3720" s="25"/>
      <c r="R3720" s="25"/>
      <c r="S3720" s="25"/>
      <c r="T3720" s="10"/>
    </row>
    <row r="3721" s="35" customFormat="1" ht="18.5" customHeight="1" spans="1:20">
      <c r="A3721" s="9"/>
      <c r="B3721" s="25"/>
      <c r="C3721" s="25"/>
      <c r="D3721" s="25"/>
      <c r="E3721" s="25"/>
      <c r="F3721" s="25"/>
      <c r="G3721" s="25"/>
      <c r="H3721" s="25"/>
      <c r="I3721" s="25"/>
      <c r="J3721" s="25"/>
      <c r="K3721" s="25"/>
      <c r="L3721" s="25"/>
      <c r="M3721" s="42" t="s">
        <v>253</v>
      </c>
      <c r="N3721" s="41">
        <v>44987</v>
      </c>
      <c r="O3721" s="25">
        <v>319</v>
      </c>
      <c r="P3721" s="25">
        <v>0</v>
      </c>
      <c r="Q3721" s="25"/>
      <c r="R3721" s="25"/>
      <c r="S3721" s="25"/>
      <c r="T3721" s="10"/>
    </row>
    <row r="3722" s="35" customFormat="1" ht="18.5" customHeight="1" spans="1:20">
      <c r="A3722" s="9"/>
      <c r="B3722" s="25"/>
      <c r="C3722" s="25"/>
      <c r="D3722" s="25"/>
      <c r="E3722" s="25"/>
      <c r="F3722" s="25"/>
      <c r="G3722" s="25"/>
      <c r="H3722" s="25"/>
      <c r="I3722" s="25"/>
      <c r="J3722" s="25"/>
      <c r="K3722" s="25"/>
      <c r="L3722" s="25"/>
      <c r="M3722" s="42" t="s">
        <v>253</v>
      </c>
      <c r="N3722" s="41">
        <v>44987</v>
      </c>
      <c r="O3722" s="25">
        <v>265</v>
      </c>
      <c r="P3722" s="25">
        <v>0</v>
      </c>
      <c r="Q3722" s="25"/>
      <c r="R3722" s="25"/>
      <c r="S3722" s="25"/>
      <c r="T3722" s="10"/>
    </row>
    <row r="3723" s="35" customFormat="1" ht="18.5" customHeight="1" spans="1:20">
      <c r="A3723" s="9"/>
      <c r="B3723" s="25"/>
      <c r="C3723" s="25"/>
      <c r="D3723" s="25"/>
      <c r="E3723" s="25"/>
      <c r="F3723" s="25"/>
      <c r="G3723" s="25"/>
      <c r="H3723" s="25"/>
      <c r="I3723" s="25"/>
      <c r="J3723" s="25"/>
      <c r="K3723" s="25"/>
      <c r="L3723" s="25"/>
      <c r="M3723" s="42" t="s">
        <v>253</v>
      </c>
      <c r="N3723" s="41">
        <v>44987</v>
      </c>
      <c r="O3723" s="25">
        <v>215</v>
      </c>
      <c r="P3723" s="25">
        <v>0</v>
      </c>
      <c r="Q3723" s="25"/>
      <c r="R3723" s="25"/>
      <c r="S3723" s="25"/>
      <c r="T3723" s="10"/>
    </row>
    <row r="3724" s="35" customFormat="1" ht="18.5" customHeight="1" spans="1:20">
      <c r="A3724" s="9"/>
      <c r="B3724" s="25"/>
      <c r="C3724" s="25"/>
      <c r="D3724" s="25"/>
      <c r="E3724" s="25"/>
      <c r="F3724" s="25"/>
      <c r="G3724" s="25"/>
      <c r="H3724" s="25"/>
      <c r="I3724" s="25"/>
      <c r="J3724" s="25"/>
      <c r="K3724" s="25"/>
      <c r="L3724" s="25"/>
      <c r="M3724" s="42" t="s">
        <v>253</v>
      </c>
      <c r="N3724" s="41">
        <v>44987</v>
      </c>
      <c r="O3724" s="25">
        <v>312</v>
      </c>
      <c r="P3724" s="25">
        <v>0</v>
      </c>
      <c r="Q3724" s="25"/>
      <c r="R3724" s="25"/>
      <c r="S3724" s="25"/>
      <c r="T3724" s="10"/>
    </row>
    <row r="3725" s="35" customFormat="1" ht="18.5" customHeight="1" spans="1:20">
      <c r="A3725" s="9"/>
      <c r="B3725" s="25"/>
      <c r="C3725" s="25"/>
      <c r="D3725" s="25"/>
      <c r="E3725" s="25"/>
      <c r="F3725" s="25"/>
      <c r="G3725" s="25"/>
      <c r="H3725" s="25"/>
      <c r="I3725" s="25"/>
      <c r="J3725" s="25"/>
      <c r="K3725" s="25"/>
      <c r="L3725" s="25"/>
      <c r="M3725" s="42" t="s">
        <v>253</v>
      </c>
      <c r="N3725" s="41">
        <v>44987</v>
      </c>
      <c r="O3725" s="25">
        <v>295</v>
      </c>
      <c r="P3725" s="25">
        <v>0</v>
      </c>
      <c r="Q3725" s="25"/>
      <c r="R3725" s="25"/>
      <c r="S3725" s="25"/>
      <c r="T3725" s="10"/>
    </row>
    <row r="3726" s="35" customFormat="1" ht="18.5" customHeight="1" spans="1:20">
      <c r="A3726" s="9"/>
      <c r="B3726" s="25"/>
      <c r="C3726" s="25"/>
      <c r="D3726" s="25"/>
      <c r="E3726" s="25"/>
      <c r="F3726" s="25"/>
      <c r="G3726" s="25"/>
      <c r="H3726" s="25"/>
      <c r="I3726" s="25"/>
      <c r="J3726" s="25"/>
      <c r="K3726" s="25"/>
      <c r="L3726" s="25"/>
      <c r="M3726" s="42" t="s">
        <v>253</v>
      </c>
      <c r="N3726" s="41">
        <v>44986</v>
      </c>
      <c r="O3726" s="25">
        <v>204</v>
      </c>
      <c r="P3726" s="25">
        <v>0</v>
      </c>
      <c r="Q3726" s="25"/>
      <c r="R3726" s="25"/>
      <c r="S3726" s="25"/>
      <c r="T3726" s="10"/>
    </row>
    <row r="3727" s="35" customFormat="1" ht="18.5" customHeight="1" spans="1:20">
      <c r="A3727" s="9"/>
      <c r="B3727" s="25"/>
      <c r="C3727" s="25"/>
      <c r="D3727" s="25"/>
      <c r="E3727" s="25"/>
      <c r="F3727" s="25"/>
      <c r="G3727" s="25"/>
      <c r="H3727" s="25"/>
      <c r="I3727" s="25"/>
      <c r="J3727" s="25"/>
      <c r="K3727" s="25"/>
      <c r="L3727" s="25"/>
      <c r="M3727" s="42" t="s">
        <v>253</v>
      </c>
      <c r="N3727" s="41">
        <v>44986</v>
      </c>
      <c r="O3727" s="25">
        <v>154</v>
      </c>
      <c r="P3727" s="25">
        <v>0</v>
      </c>
      <c r="Q3727" s="25"/>
      <c r="R3727" s="25"/>
      <c r="S3727" s="25"/>
      <c r="T3727" s="10"/>
    </row>
    <row r="3728" s="35" customFormat="1" ht="18.5" customHeight="1" spans="1:20">
      <c r="A3728" s="9"/>
      <c r="B3728" s="25"/>
      <c r="C3728" s="25"/>
      <c r="D3728" s="25"/>
      <c r="E3728" s="25"/>
      <c r="F3728" s="25"/>
      <c r="G3728" s="25"/>
      <c r="H3728" s="25"/>
      <c r="I3728" s="25"/>
      <c r="J3728" s="25"/>
      <c r="K3728" s="25"/>
      <c r="L3728" s="25"/>
      <c r="M3728" s="42" t="s">
        <v>253</v>
      </c>
      <c r="N3728" s="41">
        <v>44986</v>
      </c>
      <c r="O3728" s="25">
        <v>223</v>
      </c>
      <c r="P3728" s="25">
        <v>0</v>
      </c>
      <c r="Q3728" s="25"/>
      <c r="R3728" s="25"/>
      <c r="S3728" s="25"/>
      <c r="T3728" s="10"/>
    </row>
    <row r="3729" s="35" customFormat="1" ht="18.5" customHeight="1" spans="1:20">
      <c r="A3729" s="9"/>
      <c r="B3729" s="25"/>
      <c r="C3729" s="25"/>
      <c r="D3729" s="25"/>
      <c r="E3729" s="25"/>
      <c r="F3729" s="25"/>
      <c r="G3729" s="25"/>
      <c r="H3729" s="25"/>
      <c r="I3729" s="25"/>
      <c r="J3729" s="25"/>
      <c r="K3729" s="25"/>
      <c r="L3729" s="25"/>
      <c r="M3729" s="42" t="s">
        <v>253</v>
      </c>
      <c r="N3729" s="41">
        <v>44986</v>
      </c>
      <c r="O3729" s="25">
        <v>161</v>
      </c>
      <c r="P3729" s="25">
        <v>0</v>
      </c>
      <c r="Q3729" s="25"/>
      <c r="R3729" s="25"/>
      <c r="S3729" s="25"/>
      <c r="T3729" s="10"/>
    </row>
    <row r="3730" s="35" customFormat="1" ht="18.5" customHeight="1" spans="1:20">
      <c r="A3730" s="9"/>
      <c r="B3730" s="25"/>
      <c r="C3730" s="25"/>
      <c r="D3730" s="25"/>
      <c r="E3730" s="25"/>
      <c r="F3730" s="25"/>
      <c r="G3730" s="25"/>
      <c r="H3730" s="25"/>
      <c r="I3730" s="25"/>
      <c r="J3730" s="25"/>
      <c r="K3730" s="25"/>
      <c r="L3730" s="25"/>
      <c r="M3730" s="42" t="s">
        <v>253</v>
      </c>
      <c r="N3730" s="41">
        <v>44985</v>
      </c>
      <c r="O3730" s="25">
        <v>244</v>
      </c>
      <c r="P3730" s="25">
        <v>0</v>
      </c>
      <c r="Q3730" s="25"/>
      <c r="R3730" s="25"/>
      <c r="S3730" s="25"/>
      <c r="T3730" s="10"/>
    </row>
    <row r="3731" s="35" customFormat="1" ht="18.5" customHeight="1" spans="1:20">
      <c r="A3731" s="9"/>
      <c r="B3731" s="25"/>
      <c r="C3731" s="25"/>
      <c r="D3731" s="25"/>
      <c r="E3731" s="25"/>
      <c r="F3731" s="25"/>
      <c r="G3731" s="25"/>
      <c r="H3731" s="25"/>
      <c r="I3731" s="25"/>
      <c r="J3731" s="25"/>
      <c r="K3731" s="25"/>
      <c r="L3731" s="25"/>
      <c r="M3731" s="42" t="s">
        <v>253</v>
      </c>
      <c r="N3731" s="41">
        <v>44985</v>
      </c>
      <c r="O3731" s="25">
        <v>629</v>
      </c>
      <c r="P3731" s="25">
        <v>0</v>
      </c>
      <c r="Q3731" s="25"/>
      <c r="R3731" s="25"/>
      <c r="S3731" s="25"/>
      <c r="T3731" s="10"/>
    </row>
    <row r="3732" s="35" customFormat="1" ht="18.5" customHeight="1" spans="1:20">
      <c r="A3732" s="9"/>
      <c r="B3732" s="25"/>
      <c r="C3732" s="25"/>
      <c r="D3732" s="25"/>
      <c r="E3732" s="25"/>
      <c r="F3732" s="25"/>
      <c r="G3732" s="25"/>
      <c r="H3732" s="25"/>
      <c r="I3732" s="25"/>
      <c r="J3732" s="25"/>
      <c r="K3732" s="25"/>
      <c r="L3732" s="25"/>
      <c r="M3732" s="42" t="s">
        <v>253</v>
      </c>
      <c r="N3732" s="41">
        <v>44985</v>
      </c>
      <c r="O3732" s="25">
        <v>409</v>
      </c>
      <c r="P3732" s="25">
        <v>0</v>
      </c>
      <c r="Q3732" s="25"/>
      <c r="R3732" s="25"/>
      <c r="S3732" s="25"/>
      <c r="T3732" s="10"/>
    </row>
    <row r="3733" s="35" customFormat="1" ht="18.5" customHeight="1" spans="1:20">
      <c r="A3733" s="9"/>
      <c r="B3733" s="25"/>
      <c r="C3733" s="25"/>
      <c r="D3733" s="25"/>
      <c r="E3733" s="25"/>
      <c r="F3733" s="25"/>
      <c r="G3733" s="25"/>
      <c r="H3733" s="25"/>
      <c r="I3733" s="25"/>
      <c r="J3733" s="25"/>
      <c r="K3733" s="25"/>
      <c r="L3733" s="25"/>
      <c r="M3733" s="42" t="s">
        <v>253</v>
      </c>
      <c r="N3733" s="41">
        <v>44985</v>
      </c>
      <c r="O3733" s="25">
        <v>548</v>
      </c>
      <c r="P3733" s="25">
        <v>0</v>
      </c>
      <c r="Q3733" s="25"/>
      <c r="R3733" s="25"/>
      <c r="S3733" s="25"/>
      <c r="T3733" s="10"/>
    </row>
    <row r="3734" s="35" customFormat="1" ht="18.5" customHeight="1" spans="1:20">
      <c r="A3734" s="9"/>
      <c r="B3734" s="25"/>
      <c r="C3734" s="25"/>
      <c r="D3734" s="25"/>
      <c r="E3734" s="25"/>
      <c r="F3734" s="25"/>
      <c r="G3734" s="25"/>
      <c r="H3734" s="25"/>
      <c r="I3734" s="25"/>
      <c r="J3734" s="25"/>
      <c r="K3734" s="25"/>
      <c r="L3734" s="25"/>
      <c r="M3734" s="42" t="s">
        <v>253</v>
      </c>
      <c r="N3734" s="41">
        <v>44985</v>
      </c>
      <c r="O3734" s="25">
        <v>305</v>
      </c>
      <c r="P3734" s="25">
        <v>0</v>
      </c>
      <c r="Q3734" s="25"/>
      <c r="R3734" s="25"/>
      <c r="S3734" s="25"/>
      <c r="T3734" s="10"/>
    </row>
    <row r="3735" s="35" customFormat="1" ht="18.5" customHeight="1" spans="1:20">
      <c r="A3735" s="9"/>
      <c r="B3735" s="25"/>
      <c r="C3735" s="25"/>
      <c r="D3735" s="25"/>
      <c r="E3735" s="25"/>
      <c r="F3735" s="25"/>
      <c r="G3735" s="25"/>
      <c r="H3735" s="25"/>
      <c r="I3735" s="25"/>
      <c r="J3735" s="25"/>
      <c r="K3735" s="25"/>
      <c r="L3735" s="25"/>
      <c r="M3735" s="42" t="s">
        <v>253</v>
      </c>
      <c r="N3735" s="41">
        <v>44985</v>
      </c>
      <c r="O3735" s="25">
        <v>163</v>
      </c>
      <c r="P3735" s="25">
        <v>0</v>
      </c>
      <c r="Q3735" s="25"/>
      <c r="R3735" s="25"/>
      <c r="S3735" s="25"/>
      <c r="T3735" s="10"/>
    </row>
    <row r="3736" s="35" customFormat="1" ht="18.5" customHeight="1" spans="1:20">
      <c r="A3736" s="9"/>
      <c r="B3736" s="25"/>
      <c r="C3736" s="25"/>
      <c r="D3736" s="25"/>
      <c r="E3736" s="25"/>
      <c r="F3736" s="25"/>
      <c r="G3736" s="25"/>
      <c r="H3736" s="25"/>
      <c r="I3736" s="25"/>
      <c r="J3736" s="25"/>
      <c r="K3736" s="25"/>
      <c r="L3736" s="25"/>
      <c r="M3736" s="42" t="s">
        <v>253</v>
      </c>
      <c r="N3736" s="41">
        <v>44984</v>
      </c>
      <c r="O3736" s="25">
        <v>351</v>
      </c>
      <c r="P3736" s="25">
        <v>0</v>
      </c>
      <c r="Q3736" s="25"/>
      <c r="R3736" s="25"/>
      <c r="S3736" s="25"/>
      <c r="T3736" s="10"/>
    </row>
    <row r="3737" s="35" customFormat="1" ht="18.5" customHeight="1" spans="1:20">
      <c r="A3737" s="9"/>
      <c r="B3737" s="25"/>
      <c r="C3737" s="25"/>
      <c r="D3737" s="25"/>
      <c r="E3737" s="25"/>
      <c r="F3737" s="25"/>
      <c r="G3737" s="25"/>
      <c r="H3737" s="25"/>
      <c r="I3737" s="25"/>
      <c r="J3737" s="25"/>
      <c r="K3737" s="25"/>
      <c r="L3737" s="25"/>
      <c r="M3737" s="42" t="s">
        <v>253</v>
      </c>
      <c r="N3737" s="41">
        <v>44984</v>
      </c>
      <c r="O3737" s="25">
        <v>377</v>
      </c>
      <c r="P3737" s="25">
        <v>0</v>
      </c>
      <c r="Q3737" s="25"/>
      <c r="R3737" s="25"/>
      <c r="S3737" s="25"/>
      <c r="T3737" s="10"/>
    </row>
    <row r="3738" s="35" customFormat="1" ht="18.5" customHeight="1" spans="1:20">
      <c r="A3738" s="9"/>
      <c r="B3738" s="25"/>
      <c r="C3738" s="25"/>
      <c r="D3738" s="25"/>
      <c r="E3738" s="25"/>
      <c r="F3738" s="25"/>
      <c r="G3738" s="25"/>
      <c r="H3738" s="25"/>
      <c r="I3738" s="25"/>
      <c r="J3738" s="25"/>
      <c r="K3738" s="25"/>
      <c r="L3738" s="25"/>
      <c r="M3738" s="42" t="s">
        <v>253</v>
      </c>
      <c r="N3738" s="41">
        <v>44983</v>
      </c>
      <c r="O3738" s="25">
        <v>242</v>
      </c>
      <c r="P3738" s="25">
        <v>0</v>
      </c>
      <c r="Q3738" s="25"/>
      <c r="R3738" s="25"/>
      <c r="S3738" s="25"/>
      <c r="T3738" s="10"/>
    </row>
    <row r="3739" s="35" customFormat="1" ht="18.5" customHeight="1" spans="1:20">
      <c r="A3739" s="9"/>
      <c r="B3739" s="25"/>
      <c r="C3739" s="25"/>
      <c r="D3739" s="25"/>
      <c r="E3739" s="25"/>
      <c r="F3739" s="25"/>
      <c r="G3739" s="25"/>
      <c r="H3739" s="25"/>
      <c r="I3739" s="25"/>
      <c r="J3739" s="25"/>
      <c r="K3739" s="25"/>
      <c r="L3739" s="25"/>
      <c r="M3739" s="42" t="s">
        <v>253</v>
      </c>
      <c r="N3739" s="41">
        <v>44981</v>
      </c>
      <c r="O3739" s="25">
        <v>255</v>
      </c>
      <c r="P3739" s="25">
        <v>0</v>
      </c>
      <c r="Q3739" s="25"/>
      <c r="R3739" s="25"/>
      <c r="S3739" s="25"/>
      <c r="T3739" s="10"/>
    </row>
    <row r="3740" s="35" customFormat="1" ht="18.5" customHeight="1" spans="1:20">
      <c r="A3740" s="9"/>
      <c r="B3740" s="25"/>
      <c r="C3740" s="25"/>
      <c r="D3740" s="25"/>
      <c r="E3740" s="25"/>
      <c r="F3740" s="25"/>
      <c r="G3740" s="25"/>
      <c r="H3740" s="25"/>
      <c r="I3740" s="25"/>
      <c r="J3740" s="25"/>
      <c r="K3740" s="25"/>
      <c r="L3740" s="25"/>
      <c r="M3740" s="42" t="s">
        <v>253</v>
      </c>
      <c r="N3740" s="41">
        <v>44980</v>
      </c>
      <c r="O3740" s="25">
        <v>280</v>
      </c>
      <c r="P3740" s="25">
        <v>0</v>
      </c>
      <c r="Q3740" s="25"/>
      <c r="R3740" s="25"/>
      <c r="S3740" s="25"/>
      <c r="T3740" s="10"/>
    </row>
    <row r="3741" s="35" customFormat="1" ht="18.5" customHeight="1" spans="1:20">
      <c r="A3741" s="9"/>
      <c r="B3741" s="25"/>
      <c r="C3741" s="25"/>
      <c r="D3741" s="25"/>
      <c r="E3741" s="25"/>
      <c r="F3741" s="25"/>
      <c r="G3741" s="25"/>
      <c r="H3741" s="25"/>
      <c r="I3741" s="25"/>
      <c r="J3741" s="25"/>
      <c r="K3741" s="25"/>
      <c r="L3741" s="25"/>
      <c r="M3741" s="42" t="s">
        <v>253</v>
      </c>
      <c r="N3741" s="41">
        <v>44981</v>
      </c>
      <c r="O3741" s="25">
        <v>283</v>
      </c>
      <c r="P3741" s="25">
        <v>0</v>
      </c>
      <c r="Q3741" s="25"/>
      <c r="R3741" s="25"/>
      <c r="S3741" s="25"/>
      <c r="T3741" s="10"/>
    </row>
    <row r="3742" s="35" customFormat="1" ht="18.5" customHeight="1" spans="1:20">
      <c r="A3742" s="9"/>
      <c r="B3742" s="25"/>
      <c r="C3742" s="25"/>
      <c r="D3742" s="25"/>
      <c r="E3742" s="25"/>
      <c r="F3742" s="25"/>
      <c r="G3742" s="25"/>
      <c r="H3742" s="25"/>
      <c r="I3742" s="25"/>
      <c r="J3742" s="25"/>
      <c r="K3742" s="25"/>
      <c r="L3742" s="25"/>
      <c r="M3742" s="42" t="s">
        <v>253</v>
      </c>
      <c r="N3742" s="41">
        <v>44980</v>
      </c>
      <c r="O3742" s="25">
        <v>276</v>
      </c>
      <c r="P3742" s="25">
        <v>0</v>
      </c>
      <c r="Q3742" s="25"/>
      <c r="R3742" s="25"/>
      <c r="S3742" s="25"/>
      <c r="T3742" s="10"/>
    </row>
    <row r="3743" s="35" customFormat="1" ht="18.5" customHeight="1" spans="1:20">
      <c r="A3743" s="9"/>
      <c r="B3743" s="25"/>
      <c r="C3743" s="25"/>
      <c r="D3743" s="25"/>
      <c r="E3743" s="25"/>
      <c r="F3743" s="25"/>
      <c r="G3743" s="25"/>
      <c r="H3743" s="25"/>
      <c r="I3743" s="25"/>
      <c r="J3743" s="25"/>
      <c r="K3743" s="25"/>
      <c r="L3743" s="25"/>
      <c r="M3743" s="42" t="s">
        <v>253</v>
      </c>
      <c r="N3743" s="41">
        <v>44980</v>
      </c>
      <c r="O3743" s="25">
        <v>135</v>
      </c>
      <c r="P3743" s="25">
        <v>0</v>
      </c>
      <c r="Q3743" s="25"/>
      <c r="R3743" s="25"/>
      <c r="S3743" s="25"/>
      <c r="T3743" s="10"/>
    </row>
    <row r="3744" s="35" customFormat="1" ht="18.5" customHeight="1" spans="1:20">
      <c r="A3744" s="9"/>
      <c r="B3744" s="25"/>
      <c r="C3744" s="25"/>
      <c r="D3744" s="25"/>
      <c r="E3744" s="25"/>
      <c r="F3744" s="25"/>
      <c r="G3744" s="25"/>
      <c r="H3744" s="25"/>
      <c r="I3744" s="25"/>
      <c r="J3744" s="25"/>
      <c r="K3744" s="25"/>
      <c r="L3744" s="25"/>
      <c r="M3744" s="42" t="s">
        <v>253</v>
      </c>
      <c r="N3744" s="41">
        <v>44980</v>
      </c>
      <c r="O3744" s="25">
        <v>917</v>
      </c>
      <c r="P3744" s="25">
        <v>0</v>
      </c>
      <c r="Q3744" s="25"/>
      <c r="R3744" s="25"/>
      <c r="S3744" s="25"/>
      <c r="T3744" s="10"/>
    </row>
    <row r="3745" s="35" customFormat="1" ht="18.5" customHeight="1" spans="1:20">
      <c r="A3745" s="9"/>
      <c r="B3745" s="25"/>
      <c r="C3745" s="25"/>
      <c r="D3745" s="25"/>
      <c r="E3745" s="25"/>
      <c r="F3745" s="25"/>
      <c r="G3745" s="25"/>
      <c r="H3745" s="25"/>
      <c r="I3745" s="25"/>
      <c r="J3745" s="25"/>
      <c r="K3745" s="25"/>
      <c r="L3745" s="25"/>
      <c r="M3745" s="42" t="s">
        <v>253</v>
      </c>
      <c r="N3745" s="41">
        <v>44980</v>
      </c>
      <c r="O3745" s="25">
        <v>229</v>
      </c>
      <c r="P3745" s="25">
        <v>0</v>
      </c>
      <c r="Q3745" s="25"/>
      <c r="R3745" s="25"/>
      <c r="S3745" s="25"/>
      <c r="T3745" s="10"/>
    </row>
    <row r="3746" s="35" customFormat="1" ht="18.5" customHeight="1" spans="1:20">
      <c r="A3746" s="9"/>
      <c r="B3746" s="25"/>
      <c r="C3746" s="25"/>
      <c r="D3746" s="25"/>
      <c r="E3746" s="25"/>
      <c r="F3746" s="25"/>
      <c r="G3746" s="25"/>
      <c r="H3746" s="25"/>
      <c r="I3746" s="25"/>
      <c r="J3746" s="25"/>
      <c r="K3746" s="25"/>
      <c r="L3746" s="25"/>
      <c r="M3746" s="42" t="s">
        <v>253</v>
      </c>
      <c r="N3746" s="41">
        <v>44979</v>
      </c>
      <c r="O3746" s="25">
        <v>105</v>
      </c>
      <c r="P3746" s="25">
        <v>0</v>
      </c>
      <c r="Q3746" s="25"/>
      <c r="R3746" s="25"/>
      <c r="S3746" s="25"/>
      <c r="T3746" s="10"/>
    </row>
    <row r="3747" s="35" customFormat="1" ht="18.5" customHeight="1" spans="1:20">
      <c r="A3747" s="9"/>
      <c r="B3747" s="25"/>
      <c r="C3747" s="25"/>
      <c r="D3747" s="25"/>
      <c r="E3747" s="25"/>
      <c r="F3747" s="25"/>
      <c r="G3747" s="25"/>
      <c r="H3747" s="25"/>
      <c r="I3747" s="25"/>
      <c r="J3747" s="25"/>
      <c r="K3747" s="25"/>
      <c r="L3747" s="25"/>
      <c r="M3747" s="42" t="s">
        <v>253</v>
      </c>
      <c r="N3747" s="41">
        <v>44979</v>
      </c>
      <c r="O3747" s="25">
        <v>225</v>
      </c>
      <c r="P3747" s="25">
        <v>0</v>
      </c>
      <c r="Q3747" s="25"/>
      <c r="R3747" s="25"/>
      <c r="S3747" s="25"/>
      <c r="T3747" s="10"/>
    </row>
    <row r="3748" s="35" customFormat="1" ht="18.5" customHeight="1" spans="1:20">
      <c r="A3748" s="9"/>
      <c r="B3748" s="25"/>
      <c r="C3748" s="25"/>
      <c r="D3748" s="25"/>
      <c r="E3748" s="25"/>
      <c r="F3748" s="25"/>
      <c r="G3748" s="25"/>
      <c r="H3748" s="25"/>
      <c r="I3748" s="25"/>
      <c r="J3748" s="25"/>
      <c r="K3748" s="25"/>
      <c r="L3748" s="25"/>
      <c r="M3748" s="42" t="s">
        <v>253</v>
      </c>
      <c r="N3748" s="41">
        <v>44979</v>
      </c>
      <c r="O3748" s="25">
        <v>113</v>
      </c>
      <c r="P3748" s="25">
        <v>0</v>
      </c>
      <c r="Q3748" s="25"/>
      <c r="R3748" s="25"/>
      <c r="S3748" s="25"/>
      <c r="T3748" s="10"/>
    </row>
    <row r="3749" s="35" customFormat="1" ht="18.5" customHeight="1" spans="1:20">
      <c r="A3749" s="9"/>
      <c r="B3749" s="25"/>
      <c r="C3749" s="25"/>
      <c r="D3749" s="25"/>
      <c r="E3749" s="25"/>
      <c r="F3749" s="25"/>
      <c r="G3749" s="25"/>
      <c r="H3749" s="25"/>
      <c r="I3749" s="25"/>
      <c r="J3749" s="25"/>
      <c r="K3749" s="25"/>
      <c r="L3749" s="25"/>
      <c r="M3749" s="42" t="s">
        <v>253</v>
      </c>
      <c r="N3749" s="41">
        <v>44978</v>
      </c>
      <c r="O3749" s="25">
        <v>247</v>
      </c>
      <c r="P3749" s="25">
        <v>0</v>
      </c>
      <c r="Q3749" s="25"/>
      <c r="R3749" s="25"/>
      <c r="S3749" s="25"/>
      <c r="T3749" s="10"/>
    </row>
    <row r="3750" s="35" customFormat="1" ht="18.5" customHeight="1" spans="1:20">
      <c r="A3750" s="9"/>
      <c r="B3750" s="25"/>
      <c r="C3750" s="25"/>
      <c r="D3750" s="25"/>
      <c r="E3750" s="25"/>
      <c r="F3750" s="25"/>
      <c r="G3750" s="25"/>
      <c r="H3750" s="25"/>
      <c r="I3750" s="25"/>
      <c r="J3750" s="25"/>
      <c r="K3750" s="25"/>
      <c r="L3750" s="25"/>
      <c r="M3750" s="42" t="s">
        <v>253</v>
      </c>
      <c r="N3750" s="41">
        <v>44978</v>
      </c>
      <c r="O3750" s="25">
        <v>127</v>
      </c>
      <c r="P3750" s="25">
        <v>0</v>
      </c>
      <c r="Q3750" s="25"/>
      <c r="R3750" s="25"/>
      <c r="S3750" s="25"/>
      <c r="T3750" s="10"/>
    </row>
    <row r="3751" s="35" customFormat="1" ht="18.5" customHeight="1" spans="1:20">
      <c r="A3751" s="9"/>
      <c r="B3751" s="25"/>
      <c r="C3751" s="25"/>
      <c r="D3751" s="25"/>
      <c r="E3751" s="25"/>
      <c r="F3751" s="25"/>
      <c r="G3751" s="25"/>
      <c r="H3751" s="25"/>
      <c r="I3751" s="25"/>
      <c r="J3751" s="25"/>
      <c r="K3751" s="25"/>
      <c r="L3751" s="25"/>
      <c r="M3751" s="42" t="s">
        <v>253</v>
      </c>
      <c r="N3751" s="41">
        <v>44978</v>
      </c>
      <c r="O3751" s="25">
        <v>157</v>
      </c>
      <c r="P3751" s="25">
        <v>0</v>
      </c>
      <c r="Q3751" s="25"/>
      <c r="R3751" s="25"/>
      <c r="S3751" s="25"/>
      <c r="T3751" s="10"/>
    </row>
    <row r="3752" s="35" customFormat="1" ht="18.5" customHeight="1" spans="1:20">
      <c r="A3752" s="9"/>
      <c r="B3752" s="25"/>
      <c r="C3752" s="25"/>
      <c r="D3752" s="25"/>
      <c r="E3752" s="25"/>
      <c r="F3752" s="25"/>
      <c r="G3752" s="25"/>
      <c r="H3752" s="25"/>
      <c r="I3752" s="25"/>
      <c r="J3752" s="25"/>
      <c r="K3752" s="25"/>
      <c r="L3752" s="25"/>
      <c r="M3752" s="42" t="s">
        <v>253</v>
      </c>
      <c r="N3752" s="41">
        <v>44978</v>
      </c>
      <c r="O3752" s="25">
        <v>264</v>
      </c>
      <c r="P3752" s="25">
        <v>0</v>
      </c>
      <c r="Q3752" s="25"/>
      <c r="R3752" s="25"/>
      <c r="S3752" s="25"/>
      <c r="T3752" s="10"/>
    </row>
    <row r="3753" s="35" customFormat="1" ht="18.5" customHeight="1" spans="1:20">
      <c r="A3753" s="9"/>
      <c r="B3753" s="25"/>
      <c r="C3753" s="25"/>
      <c r="D3753" s="25"/>
      <c r="E3753" s="25"/>
      <c r="F3753" s="25"/>
      <c r="G3753" s="25"/>
      <c r="H3753" s="25"/>
      <c r="I3753" s="25"/>
      <c r="J3753" s="25"/>
      <c r="K3753" s="25"/>
      <c r="L3753" s="25"/>
      <c r="M3753" s="42" t="s">
        <v>253</v>
      </c>
      <c r="N3753" s="41">
        <v>44977</v>
      </c>
      <c r="O3753" s="25">
        <v>403</v>
      </c>
      <c r="P3753" s="25">
        <v>0</v>
      </c>
      <c r="Q3753" s="25"/>
      <c r="R3753" s="25"/>
      <c r="S3753" s="25"/>
      <c r="T3753" s="10"/>
    </row>
    <row r="3754" s="35" customFormat="1" ht="18.5" customHeight="1" spans="1:20">
      <c r="A3754" s="9"/>
      <c r="B3754" s="25"/>
      <c r="C3754" s="25"/>
      <c r="D3754" s="25"/>
      <c r="E3754" s="25"/>
      <c r="F3754" s="25"/>
      <c r="G3754" s="25"/>
      <c r="H3754" s="25"/>
      <c r="I3754" s="25"/>
      <c r="J3754" s="25"/>
      <c r="K3754" s="25"/>
      <c r="L3754" s="25"/>
      <c r="M3754" s="42" t="s">
        <v>253</v>
      </c>
      <c r="N3754" s="41">
        <v>44977</v>
      </c>
      <c r="O3754" s="25">
        <v>389</v>
      </c>
      <c r="P3754" s="25">
        <v>0</v>
      </c>
      <c r="Q3754" s="25"/>
      <c r="R3754" s="25"/>
      <c r="S3754" s="25"/>
      <c r="T3754" s="10"/>
    </row>
    <row r="3755" s="35" customFormat="1" ht="18.5" customHeight="1" spans="1:20">
      <c r="A3755" s="9"/>
      <c r="B3755" s="25"/>
      <c r="C3755" s="25"/>
      <c r="D3755" s="25"/>
      <c r="E3755" s="25"/>
      <c r="F3755" s="25"/>
      <c r="G3755" s="25"/>
      <c r="H3755" s="25"/>
      <c r="I3755" s="25"/>
      <c r="J3755" s="25"/>
      <c r="K3755" s="25"/>
      <c r="L3755" s="25"/>
      <c r="M3755" s="42" t="s">
        <v>253</v>
      </c>
      <c r="N3755" s="41">
        <v>44976</v>
      </c>
      <c r="O3755" s="25">
        <v>257</v>
      </c>
      <c r="P3755" s="25">
        <v>0</v>
      </c>
      <c r="Q3755" s="25"/>
      <c r="R3755" s="25"/>
      <c r="S3755" s="25"/>
      <c r="T3755" s="10"/>
    </row>
    <row r="3756" s="35" customFormat="1" ht="18.5" customHeight="1" spans="1:20">
      <c r="A3756" s="9"/>
      <c r="B3756" s="25"/>
      <c r="C3756" s="25"/>
      <c r="D3756" s="25"/>
      <c r="E3756" s="25"/>
      <c r="F3756" s="25"/>
      <c r="G3756" s="25"/>
      <c r="H3756" s="25"/>
      <c r="I3756" s="25"/>
      <c r="J3756" s="25"/>
      <c r="K3756" s="25"/>
      <c r="L3756" s="25"/>
      <c r="M3756" s="42" t="s">
        <v>253</v>
      </c>
      <c r="N3756" s="41">
        <v>44976</v>
      </c>
      <c r="O3756" s="25">
        <v>185</v>
      </c>
      <c r="P3756" s="25">
        <v>0</v>
      </c>
      <c r="Q3756" s="25"/>
      <c r="R3756" s="25"/>
      <c r="S3756" s="25"/>
      <c r="T3756" s="10"/>
    </row>
    <row r="3757" s="35" customFormat="1" ht="18.5" customHeight="1" spans="1:20">
      <c r="A3757" s="9"/>
      <c r="B3757" s="25"/>
      <c r="C3757" s="25"/>
      <c r="D3757" s="25"/>
      <c r="E3757" s="25"/>
      <c r="F3757" s="25"/>
      <c r="G3757" s="25"/>
      <c r="H3757" s="25"/>
      <c r="I3757" s="25"/>
      <c r="J3757" s="25"/>
      <c r="K3757" s="25"/>
      <c r="L3757" s="25"/>
      <c r="M3757" s="42" t="s">
        <v>253</v>
      </c>
      <c r="N3757" s="41">
        <v>44976</v>
      </c>
      <c r="O3757" s="25">
        <v>227</v>
      </c>
      <c r="P3757" s="25">
        <v>0</v>
      </c>
      <c r="Q3757" s="25"/>
      <c r="R3757" s="25"/>
      <c r="S3757" s="25"/>
      <c r="T3757" s="10"/>
    </row>
    <row r="3758" s="35" customFormat="1" ht="18.5" customHeight="1" spans="1:20">
      <c r="A3758" s="9"/>
      <c r="B3758" s="25"/>
      <c r="C3758" s="25"/>
      <c r="D3758" s="25"/>
      <c r="E3758" s="25"/>
      <c r="F3758" s="25"/>
      <c r="G3758" s="25"/>
      <c r="H3758" s="25"/>
      <c r="I3758" s="25"/>
      <c r="J3758" s="25"/>
      <c r="K3758" s="25"/>
      <c r="L3758" s="25"/>
      <c r="M3758" s="42" t="s">
        <v>253</v>
      </c>
      <c r="N3758" s="41">
        <v>44975</v>
      </c>
      <c r="O3758" s="25">
        <v>158</v>
      </c>
      <c r="P3758" s="25">
        <v>0</v>
      </c>
      <c r="Q3758" s="25"/>
      <c r="R3758" s="25"/>
      <c r="S3758" s="25"/>
      <c r="T3758" s="10"/>
    </row>
    <row r="3759" s="35" customFormat="1" ht="18.5" customHeight="1" spans="1:20">
      <c r="A3759" s="9"/>
      <c r="B3759" s="25"/>
      <c r="C3759" s="25"/>
      <c r="D3759" s="25"/>
      <c r="E3759" s="25"/>
      <c r="F3759" s="25"/>
      <c r="G3759" s="25"/>
      <c r="H3759" s="25"/>
      <c r="I3759" s="25"/>
      <c r="J3759" s="25"/>
      <c r="K3759" s="25"/>
      <c r="L3759" s="25"/>
      <c r="M3759" s="42" t="s">
        <v>253</v>
      </c>
      <c r="N3759" s="41">
        <v>44975</v>
      </c>
      <c r="O3759" s="25">
        <v>210</v>
      </c>
      <c r="P3759" s="25">
        <v>0</v>
      </c>
      <c r="Q3759" s="25"/>
      <c r="R3759" s="25"/>
      <c r="S3759" s="25"/>
      <c r="T3759" s="10"/>
    </row>
    <row r="3760" s="35" customFormat="1" ht="18.5" customHeight="1" spans="1:20">
      <c r="A3760" s="9"/>
      <c r="B3760" s="25"/>
      <c r="C3760" s="25"/>
      <c r="D3760" s="25"/>
      <c r="E3760" s="25"/>
      <c r="F3760" s="25"/>
      <c r="G3760" s="25"/>
      <c r="H3760" s="25"/>
      <c r="I3760" s="25"/>
      <c r="J3760" s="25"/>
      <c r="K3760" s="25"/>
      <c r="L3760" s="25"/>
      <c r="M3760" s="42" t="s">
        <v>253</v>
      </c>
      <c r="N3760" s="41">
        <v>44975</v>
      </c>
      <c r="O3760" s="25">
        <v>186</v>
      </c>
      <c r="P3760" s="25">
        <v>0</v>
      </c>
      <c r="Q3760" s="25"/>
      <c r="R3760" s="25"/>
      <c r="S3760" s="25"/>
      <c r="T3760" s="10"/>
    </row>
    <row r="3761" s="35" customFormat="1" ht="18.5" customHeight="1" spans="1:20">
      <c r="A3761" s="9"/>
      <c r="B3761" s="25"/>
      <c r="C3761" s="25"/>
      <c r="D3761" s="25"/>
      <c r="E3761" s="25"/>
      <c r="F3761" s="25"/>
      <c r="G3761" s="25"/>
      <c r="H3761" s="25"/>
      <c r="I3761" s="25"/>
      <c r="J3761" s="25"/>
      <c r="K3761" s="25"/>
      <c r="L3761" s="25"/>
      <c r="M3761" s="42" t="s">
        <v>253</v>
      </c>
      <c r="N3761" s="41">
        <v>44974</v>
      </c>
      <c r="O3761" s="25">
        <v>255</v>
      </c>
      <c r="P3761" s="25">
        <v>0</v>
      </c>
      <c r="Q3761" s="25"/>
      <c r="R3761" s="25"/>
      <c r="S3761" s="25"/>
      <c r="T3761" s="10"/>
    </row>
    <row r="3762" s="35" customFormat="1" ht="18.5" customHeight="1" spans="1:20">
      <c r="A3762" s="9"/>
      <c r="B3762" s="25"/>
      <c r="C3762" s="25"/>
      <c r="D3762" s="25"/>
      <c r="E3762" s="25"/>
      <c r="F3762" s="25"/>
      <c r="G3762" s="25"/>
      <c r="H3762" s="25"/>
      <c r="I3762" s="25"/>
      <c r="J3762" s="25"/>
      <c r="K3762" s="25"/>
      <c r="L3762" s="25"/>
      <c r="M3762" s="42" t="s">
        <v>253</v>
      </c>
      <c r="N3762" s="41">
        <v>44974</v>
      </c>
      <c r="O3762" s="25">
        <v>264</v>
      </c>
      <c r="P3762" s="25">
        <v>0</v>
      </c>
      <c r="Q3762" s="25"/>
      <c r="R3762" s="25"/>
      <c r="S3762" s="25"/>
      <c r="T3762" s="10"/>
    </row>
    <row r="3763" s="35" customFormat="1" ht="18.5" customHeight="1" spans="1:20">
      <c r="A3763" s="9"/>
      <c r="B3763" s="25"/>
      <c r="C3763" s="25"/>
      <c r="D3763" s="25"/>
      <c r="E3763" s="25"/>
      <c r="F3763" s="25"/>
      <c r="G3763" s="25"/>
      <c r="H3763" s="25"/>
      <c r="I3763" s="25"/>
      <c r="J3763" s="25"/>
      <c r="K3763" s="25"/>
      <c r="L3763" s="25"/>
      <c r="M3763" s="42" t="s">
        <v>253</v>
      </c>
      <c r="N3763" s="41">
        <v>44974</v>
      </c>
      <c r="O3763" s="25">
        <v>284</v>
      </c>
      <c r="P3763" s="25">
        <v>0</v>
      </c>
      <c r="Q3763" s="25"/>
      <c r="R3763" s="25"/>
      <c r="S3763" s="25"/>
      <c r="T3763" s="10"/>
    </row>
    <row r="3764" s="35" customFormat="1" ht="18.5" customHeight="1" spans="1:20">
      <c r="A3764" s="9"/>
      <c r="B3764" s="25"/>
      <c r="C3764" s="25"/>
      <c r="D3764" s="25"/>
      <c r="E3764" s="25"/>
      <c r="F3764" s="25"/>
      <c r="G3764" s="25"/>
      <c r="H3764" s="25"/>
      <c r="I3764" s="25"/>
      <c r="J3764" s="25"/>
      <c r="K3764" s="25"/>
      <c r="L3764" s="25"/>
      <c r="M3764" s="42" t="s">
        <v>253</v>
      </c>
      <c r="N3764" s="41">
        <v>44973</v>
      </c>
      <c r="O3764" s="25">
        <v>250</v>
      </c>
      <c r="P3764" s="25">
        <v>0</v>
      </c>
      <c r="Q3764" s="25"/>
      <c r="R3764" s="25"/>
      <c r="S3764" s="25"/>
      <c r="T3764" s="10"/>
    </row>
    <row r="3765" s="35" customFormat="1" ht="18.5" customHeight="1" spans="1:20">
      <c r="A3765" s="9"/>
      <c r="B3765" s="25"/>
      <c r="C3765" s="25"/>
      <c r="D3765" s="25"/>
      <c r="E3765" s="25"/>
      <c r="F3765" s="25"/>
      <c r="G3765" s="25"/>
      <c r="H3765" s="25"/>
      <c r="I3765" s="25"/>
      <c r="J3765" s="25"/>
      <c r="K3765" s="25"/>
      <c r="L3765" s="25"/>
      <c r="M3765" s="42" t="s">
        <v>253</v>
      </c>
      <c r="N3765" s="41">
        <v>44973</v>
      </c>
      <c r="O3765" s="25">
        <v>202</v>
      </c>
      <c r="P3765" s="25">
        <v>0</v>
      </c>
      <c r="Q3765" s="25"/>
      <c r="R3765" s="25"/>
      <c r="S3765" s="25"/>
      <c r="T3765" s="10"/>
    </row>
    <row r="3766" s="35" customFormat="1" ht="18.5" customHeight="1" spans="1:20">
      <c r="A3766" s="9"/>
      <c r="B3766" s="25"/>
      <c r="C3766" s="25"/>
      <c r="D3766" s="25"/>
      <c r="E3766" s="25"/>
      <c r="F3766" s="25"/>
      <c r="G3766" s="25"/>
      <c r="H3766" s="25"/>
      <c r="I3766" s="25"/>
      <c r="J3766" s="25"/>
      <c r="K3766" s="25"/>
      <c r="L3766" s="25"/>
      <c r="M3766" s="42" t="s">
        <v>253</v>
      </c>
      <c r="N3766" s="41">
        <v>44973</v>
      </c>
      <c r="O3766" s="25">
        <v>241</v>
      </c>
      <c r="P3766" s="25">
        <v>0</v>
      </c>
      <c r="Q3766" s="25"/>
      <c r="R3766" s="25"/>
      <c r="S3766" s="25"/>
      <c r="T3766" s="10"/>
    </row>
    <row r="3767" s="35" customFormat="1" ht="18.5" customHeight="1" spans="1:20">
      <c r="A3767" s="9"/>
      <c r="B3767" s="25"/>
      <c r="C3767" s="25"/>
      <c r="D3767" s="25"/>
      <c r="E3767" s="25"/>
      <c r="F3767" s="25"/>
      <c r="G3767" s="25"/>
      <c r="H3767" s="25"/>
      <c r="I3767" s="25"/>
      <c r="J3767" s="25"/>
      <c r="K3767" s="25"/>
      <c r="L3767" s="25"/>
      <c r="M3767" s="42" t="s">
        <v>253</v>
      </c>
      <c r="N3767" s="41">
        <v>44973</v>
      </c>
      <c r="O3767" s="25">
        <v>111</v>
      </c>
      <c r="P3767" s="25">
        <v>0</v>
      </c>
      <c r="Q3767" s="25"/>
      <c r="R3767" s="25"/>
      <c r="S3767" s="25"/>
      <c r="T3767" s="10"/>
    </row>
    <row r="3768" s="35" customFormat="1" ht="18.5" customHeight="1" spans="1:20">
      <c r="A3768" s="9"/>
      <c r="B3768" s="25"/>
      <c r="C3768" s="25"/>
      <c r="D3768" s="25"/>
      <c r="E3768" s="25"/>
      <c r="F3768" s="25"/>
      <c r="G3768" s="25"/>
      <c r="H3768" s="25"/>
      <c r="I3768" s="25"/>
      <c r="J3768" s="25"/>
      <c r="K3768" s="25"/>
      <c r="L3768" s="25"/>
      <c r="M3768" s="42" t="s">
        <v>253</v>
      </c>
      <c r="N3768" s="41">
        <v>44972</v>
      </c>
      <c r="O3768" s="25">
        <v>108</v>
      </c>
      <c r="P3768" s="25">
        <v>0</v>
      </c>
      <c r="Q3768" s="25"/>
      <c r="R3768" s="25"/>
      <c r="S3768" s="25"/>
      <c r="T3768" s="10"/>
    </row>
    <row r="3769" s="35" customFormat="1" ht="18.5" customHeight="1" spans="1:20">
      <c r="A3769" s="9"/>
      <c r="B3769" s="25"/>
      <c r="C3769" s="25"/>
      <c r="D3769" s="25"/>
      <c r="E3769" s="25"/>
      <c r="F3769" s="25"/>
      <c r="G3769" s="25"/>
      <c r="H3769" s="25"/>
      <c r="I3769" s="25"/>
      <c r="J3769" s="25"/>
      <c r="K3769" s="25"/>
      <c r="L3769" s="25"/>
      <c r="M3769" s="42" t="s">
        <v>253</v>
      </c>
      <c r="N3769" s="41">
        <v>44965</v>
      </c>
      <c r="O3769" s="25">
        <v>891</v>
      </c>
      <c r="P3769" s="25">
        <v>0</v>
      </c>
      <c r="Q3769" s="25"/>
      <c r="R3769" s="25"/>
      <c r="S3769" s="25"/>
      <c r="T3769" s="10"/>
    </row>
    <row r="3770" s="35" customFormat="1" ht="18.5" customHeight="1" spans="1:20">
      <c r="A3770" s="9"/>
      <c r="B3770" s="25"/>
      <c r="C3770" s="25"/>
      <c r="D3770" s="25"/>
      <c r="E3770" s="25"/>
      <c r="F3770" s="25"/>
      <c r="G3770" s="25"/>
      <c r="H3770" s="25"/>
      <c r="I3770" s="25"/>
      <c r="J3770" s="25"/>
      <c r="K3770" s="25"/>
      <c r="L3770" s="25"/>
      <c r="M3770" s="42" t="s">
        <v>253</v>
      </c>
      <c r="N3770" s="41">
        <v>44970</v>
      </c>
      <c r="O3770" s="25">
        <v>163</v>
      </c>
      <c r="P3770" s="25">
        <v>0</v>
      </c>
      <c r="Q3770" s="25"/>
      <c r="R3770" s="25"/>
      <c r="S3770" s="25"/>
      <c r="T3770" s="10"/>
    </row>
    <row r="3771" s="35" customFormat="1" ht="18.5" customHeight="1" spans="1:20">
      <c r="A3771" s="9"/>
      <c r="B3771" s="25"/>
      <c r="C3771" s="25"/>
      <c r="D3771" s="25"/>
      <c r="E3771" s="25"/>
      <c r="F3771" s="25"/>
      <c r="G3771" s="25"/>
      <c r="H3771" s="25"/>
      <c r="I3771" s="25"/>
      <c r="J3771" s="25"/>
      <c r="K3771" s="25"/>
      <c r="L3771" s="25"/>
      <c r="M3771" s="42" t="s">
        <v>253</v>
      </c>
      <c r="N3771" s="41">
        <v>44969</v>
      </c>
      <c r="O3771" s="25">
        <v>257</v>
      </c>
      <c r="P3771" s="25">
        <v>0</v>
      </c>
      <c r="Q3771" s="25"/>
      <c r="R3771" s="25"/>
      <c r="S3771" s="25"/>
      <c r="T3771" s="10"/>
    </row>
    <row r="3772" s="35" customFormat="1" ht="18.5" customHeight="1" spans="1:20">
      <c r="A3772" s="9"/>
      <c r="B3772" s="25"/>
      <c r="C3772" s="25"/>
      <c r="D3772" s="25"/>
      <c r="E3772" s="25"/>
      <c r="F3772" s="25"/>
      <c r="G3772" s="25"/>
      <c r="H3772" s="25"/>
      <c r="I3772" s="25"/>
      <c r="J3772" s="25"/>
      <c r="K3772" s="25"/>
      <c r="L3772" s="25"/>
      <c r="M3772" s="42" t="s">
        <v>253</v>
      </c>
      <c r="N3772" s="41">
        <v>44968</v>
      </c>
      <c r="O3772" s="25">
        <v>172</v>
      </c>
      <c r="P3772" s="25">
        <v>0</v>
      </c>
      <c r="Q3772" s="25"/>
      <c r="R3772" s="25"/>
      <c r="S3772" s="25"/>
      <c r="T3772" s="10"/>
    </row>
    <row r="3773" s="35" customFormat="1" ht="18.5" customHeight="1" spans="1:20">
      <c r="A3773" s="9"/>
      <c r="B3773" s="25"/>
      <c r="C3773" s="25"/>
      <c r="D3773" s="25"/>
      <c r="E3773" s="25"/>
      <c r="F3773" s="25"/>
      <c r="G3773" s="25"/>
      <c r="H3773" s="25"/>
      <c r="I3773" s="25"/>
      <c r="J3773" s="25"/>
      <c r="K3773" s="25"/>
      <c r="L3773" s="25"/>
      <c r="M3773" s="42" t="s">
        <v>253</v>
      </c>
      <c r="N3773" s="41">
        <v>44967</v>
      </c>
      <c r="O3773" s="25">
        <v>237</v>
      </c>
      <c r="P3773" s="25">
        <v>0</v>
      </c>
      <c r="Q3773" s="25"/>
      <c r="R3773" s="25"/>
      <c r="S3773" s="25"/>
      <c r="T3773" s="10"/>
    </row>
    <row r="3774" s="35" customFormat="1" ht="18.5" customHeight="1" spans="1:20">
      <c r="A3774" s="9"/>
      <c r="B3774" s="25"/>
      <c r="C3774" s="25"/>
      <c r="D3774" s="25"/>
      <c r="E3774" s="25"/>
      <c r="F3774" s="25"/>
      <c r="G3774" s="25"/>
      <c r="H3774" s="25"/>
      <c r="I3774" s="25"/>
      <c r="J3774" s="25"/>
      <c r="K3774" s="25"/>
      <c r="L3774" s="25"/>
      <c r="M3774" s="42" t="s">
        <v>253</v>
      </c>
      <c r="N3774" s="41">
        <v>44966</v>
      </c>
      <c r="O3774" s="25">
        <v>114</v>
      </c>
      <c r="P3774" s="25">
        <v>0</v>
      </c>
      <c r="Q3774" s="25"/>
      <c r="R3774" s="25"/>
      <c r="S3774" s="25"/>
      <c r="T3774" s="10"/>
    </row>
    <row r="3775" s="35" customFormat="1" ht="18.5" customHeight="1" spans="1:20">
      <c r="A3775" s="9"/>
      <c r="B3775" s="25"/>
      <c r="C3775" s="25"/>
      <c r="D3775" s="25"/>
      <c r="E3775" s="25"/>
      <c r="F3775" s="25"/>
      <c r="G3775" s="25"/>
      <c r="H3775" s="25"/>
      <c r="I3775" s="25"/>
      <c r="J3775" s="25"/>
      <c r="K3775" s="25"/>
      <c r="L3775" s="25"/>
      <c r="M3775" s="42" t="s">
        <v>253</v>
      </c>
      <c r="N3775" s="41">
        <v>44965</v>
      </c>
      <c r="O3775" s="25">
        <v>269</v>
      </c>
      <c r="P3775" s="25">
        <v>0</v>
      </c>
      <c r="Q3775" s="25"/>
      <c r="R3775" s="25"/>
      <c r="S3775" s="25"/>
      <c r="T3775" s="10"/>
    </row>
    <row r="3776" s="35" customFormat="1" ht="18.5" customHeight="1" spans="1:20">
      <c r="A3776" s="9"/>
      <c r="B3776" s="25"/>
      <c r="C3776" s="25"/>
      <c r="D3776" s="25"/>
      <c r="E3776" s="25"/>
      <c r="F3776" s="25"/>
      <c r="G3776" s="25"/>
      <c r="H3776" s="25"/>
      <c r="I3776" s="25"/>
      <c r="J3776" s="25"/>
      <c r="K3776" s="25"/>
      <c r="L3776" s="25"/>
      <c r="M3776" s="42" t="s">
        <v>253</v>
      </c>
      <c r="N3776" s="41">
        <v>44965</v>
      </c>
      <c r="O3776" s="25">
        <v>582</v>
      </c>
      <c r="P3776" s="25">
        <v>0</v>
      </c>
      <c r="Q3776" s="25"/>
      <c r="R3776" s="25"/>
      <c r="S3776" s="25"/>
      <c r="T3776" s="10"/>
    </row>
    <row r="3777" s="35" customFormat="1" ht="18.5" customHeight="1" spans="1:20">
      <c r="A3777" s="9"/>
      <c r="B3777" s="25"/>
      <c r="C3777" s="25"/>
      <c r="D3777" s="25"/>
      <c r="E3777" s="25"/>
      <c r="F3777" s="25"/>
      <c r="G3777" s="25"/>
      <c r="H3777" s="25"/>
      <c r="I3777" s="25"/>
      <c r="J3777" s="25"/>
      <c r="K3777" s="25"/>
      <c r="L3777" s="25"/>
      <c r="M3777" s="42" t="s">
        <v>253</v>
      </c>
      <c r="N3777" s="41">
        <v>44964</v>
      </c>
      <c r="O3777" s="25">
        <v>169</v>
      </c>
      <c r="P3777" s="25">
        <v>0</v>
      </c>
      <c r="Q3777" s="25"/>
      <c r="R3777" s="25"/>
      <c r="S3777" s="25"/>
      <c r="T3777" s="10"/>
    </row>
    <row r="3778" s="35" customFormat="1" ht="18.5" customHeight="1" spans="1:20">
      <c r="A3778" s="9"/>
      <c r="B3778" s="25"/>
      <c r="C3778" s="25"/>
      <c r="D3778" s="25"/>
      <c r="E3778" s="25"/>
      <c r="F3778" s="25"/>
      <c r="G3778" s="25"/>
      <c r="H3778" s="25"/>
      <c r="I3778" s="25"/>
      <c r="J3778" s="25"/>
      <c r="K3778" s="25"/>
      <c r="L3778" s="25"/>
      <c r="M3778" s="42" t="s">
        <v>253</v>
      </c>
      <c r="N3778" s="41">
        <v>44963</v>
      </c>
      <c r="O3778" s="25">
        <v>306</v>
      </c>
      <c r="P3778" s="25">
        <v>0</v>
      </c>
      <c r="Q3778" s="25"/>
      <c r="R3778" s="25"/>
      <c r="S3778" s="25"/>
      <c r="T3778" s="10"/>
    </row>
    <row r="3779" s="35" customFormat="1" ht="18.5" customHeight="1" spans="1:20">
      <c r="A3779" s="9"/>
      <c r="B3779" s="25"/>
      <c r="C3779" s="25"/>
      <c r="D3779" s="25"/>
      <c r="E3779" s="25"/>
      <c r="F3779" s="25"/>
      <c r="G3779" s="25"/>
      <c r="H3779" s="25"/>
      <c r="I3779" s="25"/>
      <c r="J3779" s="25"/>
      <c r="K3779" s="25"/>
      <c r="L3779" s="25"/>
      <c r="M3779" s="42" t="s">
        <v>253</v>
      </c>
      <c r="N3779" s="41">
        <v>44963</v>
      </c>
      <c r="O3779" s="25">
        <v>469</v>
      </c>
      <c r="P3779" s="25">
        <v>0</v>
      </c>
      <c r="Q3779" s="25"/>
      <c r="R3779" s="25"/>
      <c r="S3779" s="25"/>
      <c r="T3779" s="10"/>
    </row>
    <row r="3780" s="35" customFormat="1" ht="18.5" customHeight="1" spans="1:20">
      <c r="A3780" s="9"/>
      <c r="B3780" s="25"/>
      <c r="C3780" s="25"/>
      <c r="D3780" s="25"/>
      <c r="E3780" s="25"/>
      <c r="F3780" s="25"/>
      <c r="G3780" s="25"/>
      <c r="H3780" s="25"/>
      <c r="I3780" s="25"/>
      <c r="J3780" s="25"/>
      <c r="K3780" s="25"/>
      <c r="L3780" s="25"/>
      <c r="M3780" s="42" t="s">
        <v>253</v>
      </c>
      <c r="N3780" s="41">
        <v>44944</v>
      </c>
      <c r="O3780" s="25">
        <v>771</v>
      </c>
      <c r="P3780" s="25">
        <v>0</v>
      </c>
      <c r="Q3780" s="25"/>
      <c r="R3780" s="25"/>
      <c r="S3780" s="25"/>
      <c r="T3780" s="10"/>
    </row>
    <row r="3781" s="35" customFormat="1" ht="18.5" customHeight="1" spans="1:20">
      <c r="A3781" s="9"/>
      <c r="B3781" s="25"/>
      <c r="C3781" s="25"/>
      <c r="D3781" s="25"/>
      <c r="E3781" s="25"/>
      <c r="F3781" s="25"/>
      <c r="G3781" s="25"/>
      <c r="H3781" s="25"/>
      <c r="I3781" s="25"/>
      <c r="J3781" s="25"/>
      <c r="K3781" s="25"/>
      <c r="L3781" s="25"/>
      <c r="M3781" s="42" t="s">
        <v>253</v>
      </c>
      <c r="N3781" s="41">
        <v>44962</v>
      </c>
      <c r="O3781" s="25">
        <v>126</v>
      </c>
      <c r="P3781" s="25">
        <v>0</v>
      </c>
      <c r="Q3781" s="25"/>
      <c r="R3781" s="25"/>
      <c r="S3781" s="25"/>
      <c r="T3781" s="10"/>
    </row>
    <row r="3782" s="35" customFormat="1" ht="18.5" customHeight="1" spans="1:20">
      <c r="A3782" s="9"/>
      <c r="B3782" s="25"/>
      <c r="C3782" s="25"/>
      <c r="D3782" s="25"/>
      <c r="E3782" s="25"/>
      <c r="F3782" s="25"/>
      <c r="G3782" s="25"/>
      <c r="H3782" s="25"/>
      <c r="I3782" s="25"/>
      <c r="J3782" s="25"/>
      <c r="K3782" s="25"/>
      <c r="L3782" s="25"/>
      <c r="M3782" s="42" t="s">
        <v>253</v>
      </c>
      <c r="N3782" s="41">
        <v>44960</v>
      </c>
      <c r="O3782" s="25">
        <v>443</v>
      </c>
      <c r="P3782" s="25">
        <v>0</v>
      </c>
      <c r="Q3782" s="25"/>
      <c r="R3782" s="25"/>
      <c r="S3782" s="25"/>
      <c r="T3782" s="10"/>
    </row>
    <row r="3783" s="35" customFormat="1" ht="18.5" customHeight="1" spans="1:20">
      <c r="A3783" s="9"/>
      <c r="B3783" s="25"/>
      <c r="C3783" s="25"/>
      <c r="D3783" s="25"/>
      <c r="E3783" s="25"/>
      <c r="F3783" s="25"/>
      <c r="G3783" s="25"/>
      <c r="H3783" s="25"/>
      <c r="I3783" s="25"/>
      <c r="J3783" s="25"/>
      <c r="K3783" s="25"/>
      <c r="L3783" s="25"/>
      <c r="M3783" s="42" t="s">
        <v>253</v>
      </c>
      <c r="N3783" s="41">
        <v>44961</v>
      </c>
      <c r="O3783" s="25">
        <v>241</v>
      </c>
      <c r="P3783" s="25">
        <v>0</v>
      </c>
      <c r="Q3783" s="25"/>
      <c r="R3783" s="25"/>
      <c r="S3783" s="25"/>
      <c r="T3783" s="10"/>
    </row>
    <row r="3784" s="35" customFormat="1" ht="18.5" customHeight="1" spans="1:20">
      <c r="A3784" s="9"/>
      <c r="B3784" s="25"/>
      <c r="C3784" s="25"/>
      <c r="D3784" s="25"/>
      <c r="E3784" s="25"/>
      <c r="F3784" s="25"/>
      <c r="G3784" s="25"/>
      <c r="H3784" s="25"/>
      <c r="I3784" s="25"/>
      <c r="J3784" s="25"/>
      <c r="K3784" s="25"/>
      <c r="L3784" s="25"/>
      <c r="M3784" s="42" t="s">
        <v>253</v>
      </c>
      <c r="N3784" s="41">
        <v>44960</v>
      </c>
      <c r="O3784" s="25">
        <v>1435</v>
      </c>
      <c r="P3784" s="25">
        <v>0</v>
      </c>
      <c r="Q3784" s="25"/>
      <c r="R3784" s="25"/>
      <c r="S3784" s="25"/>
      <c r="T3784" s="10"/>
    </row>
    <row r="3785" s="35" customFormat="1" ht="18.5" customHeight="1" spans="1:20">
      <c r="A3785" s="9"/>
      <c r="B3785" s="25"/>
      <c r="C3785" s="25"/>
      <c r="D3785" s="25"/>
      <c r="E3785" s="25"/>
      <c r="F3785" s="25"/>
      <c r="G3785" s="25"/>
      <c r="H3785" s="25"/>
      <c r="I3785" s="25"/>
      <c r="J3785" s="25"/>
      <c r="K3785" s="25"/>
      <c r="L3785" s="25"/>
      <c r="M3785" s="42" t="s">
        <v>253</v>
      </c>
      <c r="N3785" s="41">
        <v>44957</v>
      </c>
      <c r="O3785" s="25">
        <v>247</v>
      </c>
      <c r="P3785" s="25">
        <v>0</v>
      </c>
      <c r="Q3785" s="25"/>
      <c r="R3785" s="25"/>
      <c r="S3785" s="25"/>
      <c r="T3785" s="10"/>
    </row>
    <row r="3786" s="35" customFormat="1" ht="18.5" customHeight="1" spans="1:20">
      <c r="A3786" s="9"/>
      <c r="B3786" s="25"/>
      <c r="C3786" s="25"/>
      <c r="D3786" s="25"/>
      <c r="E3786" s="25"/>
      <c r="F3786" s="25"/>
      <c r="G3786" s="25"/>
      <c r="H3786" s="25"/>
      <c r="I3786" s="25"/>
      <c r="J3786" s="25"/>
      <c r="K3786" s="25"/>
      <c r="L3786" s="25"/>
      <c r="M3786" s="42" t="s">
        <v>253</v>
      </c>
      <c r="N3786" s="41">
        <v>44951</v>
      </c>
      <c r="O3786" s="25">
        <v>213</v>
      </c>
      <c r="P3786" s="25">
        <v>0</v>
      </c>
      <c r="Q3786" s="25"/>
      <c r="R3786" s="25"/>
      <c r="S3786" s="25"/>
      <c r="T3786" s="10"/>
    </row>
    <row r="3787" s="35" customFormat="1" ht="18.5" customHeight="1" spans="1:20">
      <c r="A3787" s="9"/>
      <c r="B3787" s="25"/>
      <c r="C3787" s="25"/>
      <c r="D3787" s="25"/>
      <c r="E3787" s="25"/>
      <c r="F3787" s="25"/>
      <c r="G3787" s="25"/>
      <c r="H3787" s="25"/>
      <c r="I3787" s="25"/>
      <c r="J3787" s="25"/>
      <c r="K3787" s="25"/>
      <c r="L3787" s="25"/>
      <c r="M3787" s="42" t="s">
        <v>253</v>
      </c>
      <c r="N3787" s="41">
        <v>44950</v>
      </c>
      <c r="O3787" s="25">
        <v>264</v>
      </c>
      <c r="P3787" s="25">
        <v>0</v>
      </c>
      <c r="Q3787" s="25"/>
      <c r="R3787" s="25"/>
      <c r="S3787" s="25"/>
      <c r="T3787" s="10"/>
    </row>
    <row r="3788" s="35" customFormat="1" ht="18.5" customHeight="1" spans="1:20">
      <c r="A3788" s="9"/>
      <c r="B3788" s="25"/>
      <c r="C3788" s="25"/>
      <c r="D3788" s="25"/>
      <c r="E3788" s="25"/>
      <c r="F3788" s="25"/>
      <c r="G3788" s="25"/>
      <c r="H3788" s="25"/>
      <c r="I3788" s="25"/>
      <c r="J3788" s="25"/>
      <c r="K3788" s="25"/>
      <c r="L3788" s="25"/>
      <c r="M3788" s="42" t="s">
        <v>253</v>
      </c>
      <c r="N3788" s="41">
        <v>44950</v>
      </c>
      <c r="O3788" s="25">
        <v>271</v>
      </c>
      <c r="P3788" s="25">
        <v>0</v>
      </c>
      <c r="Q3788" s="25"/>
      <c r="R3788" s="25"/>
      <c r="S3788" s="25"/>
      <c r="T3788" s="10"/>
    </row>
    <row r="3789" s="35" customFormat="1" ht="18.5" customHeight="1" spans="1:20">
      <c r="A3789" s="9"/>
      <c r="B3789" s="25"/>
      <c r="C3789" s="25"/>
      <c r="D3789" s="25"/>
      <c r="E3789" s="25"/>
      <c r="F3789" s="25"/>
      <c r="G3789" s="25"/>
      <c r="H3789" s="25"/>
      <c r="I3789" s="25"/>
      <c r="J3789" s="25"/>
      <c r="K3789" s="25"/>
      <c r="L3789" s="25"/>
      <c r="M3789" s="42" t="s">
        <v>253</v>
      </c>
      <c r="N3789" s="41">
        <v>44950</v>
      </c>
      <c r="O3789" s="25">
        <v>445</v>
      </c>
      <c r="P3789" s="25">
        <v>0</v>
      </c>
      <c r="Q3789" s="25"/>
      <c r="R3789" s="25"/>
      <c r="S3789" s="25"/>
      <c r="T3789" s="10"/>
    </row>
    <row r="3790" s="35" customFormat="1" ht="18.5" customHeight="1" spans="1:20">
      <c r="A3790" s="9"/>
      <c r="B3790" s="25"/>
      <c r="C3790" s="25"/>
      <c r="D3790" s="25"/>
      <c r="E3790" s="25"/>
      <c r="F3790" s="25"/>
      <c r="G3790" s="25"/>
      <c r="H3790" s="25"/>
      <c r="I3790" s="25"/>
      <c r="J3790" s="25"/>
      <c r="K3790" s="25"/>
      <c r="L3790" s="25"/>
      <c r="M3790" s="42" t="s">
        <v>253</v>
      </c>
      <c r="N3790" s="41">
        <v>44950</v>
      </c>
      <c r="O3790" s="25">
        <v>179</v>
      </c>
      <c r="P3790" s="25">
        <v>0</v>
      </c>
      <c r="Q3790" s="25"/>
      <c r="R3790" s="25"/>
      <c r="S3790" s="25"/>
      <c r="T3790" s="10"/>
    </row>
    <row r="3791" s="35" customFormat="1" ht="18.5" customHeight="1" spans="1:20">
      <c r="A3791" s="9"/>
      <c r="B3791" s="25"/>
      <c r="C3791" s="25"/>
      <c r="D3791" s="25"/>
      <c r="E3791" s="25"/>
      <c r="F3791" s="25"/>
      <c r="G3791" s="25"/>
      <c r="H3791" s="25"/>
      <c r="I3791" s="25"/>
      <c r="J3791" s="25"/>
      <c r="K3791" s="25"/>
      <c r="L3791" s="25"/>
      <c r="M3791" s="42" t="s">
        <v>253</v>
      </c>
      <c r="N3791" s="41">
        <v>44950</v>
      </c>
      <c r="O3791" s="25">
        <v>525</v>
      </c>
      <c r="P3791" s="25">
        <v>0</v>
      </c>
      <c r="Q3791" s="25"/>
      <c r="R3791" s="25"/>
      <c r="S3791" s="25"/>
      <c r="T3791" s="10"/>
    </row>
    <row r="3792" s="35" customFormat="1" ht="18.5" customHeight="1" spans="1:20">
      <c r="A3792" s="9"/>
      <c r="B3792" s="25"/>
      <c r="C3792" s="25"/>
      <c r="D3792" s="25"/>
      <c r="E3792" s="25"/>
      <c r="F3792" s="25"/>
      <c r="G3792" s="25"/>
      <c r="H3792" s="25"/>
      <c r="I3792" s="25"/>
      <c r="J3792" s="25"/>
      <c r="K3792" s="25"/>
      <c r="L3792" s="25"/>
      <c r="M3792" s="42" t="s">
        <v>253</v>
      </c>
      <c r="N3792" s="41">
        <v>44950</v>
      </c>
      <c r="O3792" s="25">
        <v>199</v>
      </c>
      <c r="P3792" s="25">
        <v>0</v>
      </c>
      <c r="Q3792" s="25"/>
      <c r="R3792" s="25"/>
      <c r="S3792" s="25"/>
      <c r="T3792" s="10"/>
    </row>
    <row r="3793" s="35" customFormat="1" ht="18.5" customHeight="1" spans="1:20">
      <c r="A3793" s="9"/>
      <c r="B3793" s="25"/>
      <c r="C3793" s="25"/>
      <c r="D3793" s="25"/>
      <c r="E3793" s="25"/>
      <c r="F3793" s="25"/>
      <c r="G3793" s="25"/>
      <c r="H3793" s="25"/>
      <c r="I3793" s="25"/>
      <c r="J3793" s="25"/>
      <c r="K3793" s="25"/>
      <c r="L3793" s="25"/>
      <c r="M3793" s="42" t="s">
        <v>253</v>
      </c>
      <c r="N3793" s="41">
        <v>44949</v>
      </c>
      <c r="O3793" s="25">
        <v>322</v>
      </c>
      <c r="P3793" s="25">
        <v>0</v>
      </c>
      <c r="Q3793" s="25"/>
      <c r="R3793" s="25"/>
      <c r="S3793" s="25"/>
      <c r="T3793" s="10"/>
    </row>
    <row r="3794" s="35" customFormat="1" ht="18.5" customHeight="1" spans="1:20">
      <c r="A3794" s="9"/>
      <c r="B3794" s="25"/>
      <c r="C3794" s="25"/>
      <c r="D3794" s="25"/>
      <c r="E3794" s="25"/>
      <c r="F3794" s="25"/>
      <c r="G3794" s="25"/>
      <c r="H3794" s="25"/>
      <c r="I3794" s="25"/>
      <c r="J3794" s="25"/>
      <c r="K3794" s="25"/>
      <c r="L3794" s="25"/>
      <c r="M3794" s="42" t="s">
        <v>253</v>
      </c>
      <c r="N3794" s="41">
        <v>44949</v>
      </c>
      <c r="O3794" s="25">
        <v>219</v>
      </c>
      <c r="P3794" s="25">
        <v>0</v>
      </c>
      <c r="Q3794" s="25"/>
      <c r="R3794" s="25"/>
      <c r="S3794" s="25"/>
      <c r="T3794" s="10"/>
    </row>
    <row r="3795" s="35" customFormat="1" ht="18.5" customHeight="1" spans="1:20">
      <c r="A3795" s="9"/>
      <c r="B3795" s="25"/>
      <c r="C3795" s="25"/>
      <c r="D3795" s="25"/>
      <c r="E3795" s="25"/>
      <c r="F3795" s="25"/>
      <c r="G3795" s="25"/>
      <c r="H3795" s="25"/>
      <c r="I3795" s="25"/>
      <c r="J3795" s="25"/>
      <c r="K3795" s="25"/>
      <c r="L3795" s="25"/>
      <c r="M3795" s="42" t="s">
        <v>253</v>
      </c>
      <c r="N3795" s="41">
        <v>44949</v>
      </c>
      <c r="O3795" s="25">
        <v>225</v>
      </c>
      <c r="P3795" s="25">
        <v>0</v>
      </c>
      <c r="Q3795" s="25"/>
      <c r="R3795" s="25"/>
      <c r="S3795" s="25"/>
      <c r="T3795" s="10"/>
    </row>
    <row r="3796" s="35" customFormat="1" ht="18.5" customHeight="1" spans="1:20">
      <c r="A3796" s="9"/>
      <c r="B3796" s="25"/>
      <c r="C3796" s="25"/>
      <c r="D3796" s="25"/>
      <c r="E3796" s="25"/>
      <c r="F3796" s="25"/>
      <c r="G3796" s="25"/>
      <c r="H3796" s="25"/>
      <c r="I3796" s="25"/>
      <c r="J3796" s="25"/>
      <c r="K3796" s="25"/>
      <c r="L3796" s="25"/>
      <c r="M3796" s="42" t="s">
        <v>253</v>
      </c>
      <c r="N3796" s="41">
        <v>44949</v>
      </c>
      <c r="O3796" s="25">
        <v>256</v>
      </c>
      <c r="P3796" s="25">
        <v>0</v>
      </c>
      <c r="Q3796" s="25"/>
      <c r="R3796" s="25"/>
      <c r="S3796" s="25"/>
      <c r="T3796" s="10"/>
    </row>
    <row r="3797" s="35" customFormat="1" ht="18.5" customHeight="1" spans="1:20">
      <c r="A3797" s="9"/>
      <c r="B3797" s="25"/>
      <c r="C3797" s="25"/>
      <c r="D3797" s="25"/>
      <c r="E3797" s="25"/>
      <c r="F3797" s="25"/>
      <c r="G3797" s="25"/>
      <c r="H3797" s="25"/>
      <c r="I3797" s="25"/>
      <c r="J3797" s="25"/>
      <c r="K3797" s="25"/>
      <c r="L3797" s="25"/>
      <c r="M3797" s="42" t="s">
        <v>253</v>
      </c>
      <c r="N3797" s="41">
        <v>44946</v>
      </c>
      <c r="O3797" s="25">
        <v>265</v>
      </c>
      <c r="P3797" s="25">
        <v>0</v>
      </c>
      <c r="Q3797" s="25"/>
      <c r="R3797" s="25"/>
      <c r="S3797" s="25"/>
      <c r="T3797" s="10"/>
    </row>
    <row r="3798" s="35" customFormat="1" ht="18.5" customHeight="1" spans="1:20">
      <c r="A3798" s="9"/>
      <c r="B3798" s="25"/>
      <c r="C3798" s="25"/>
      <c r="D3798" s="25"/>
      <c r="E3798" s="25"/>
      <c r="F3798" s="25"/>
      <c r="G3798" s="25"/>
      <c r="H3798" s="25"/>
      <c r="I3798" s="25"/>
      <c r="J3798" s="25"/>
      <c r="K3798" s="25"/>
      <c r="L3798" s="25"/>
      <c r="M3798" s="42" t="s">
        <v>253</v>
      </c>
      <c r="N3798" s="41">
        <v>44946</v>
      </c>
      <c r="O3798" s="25">
        <v>82</v>
      </c>
      <c r="P3798" s="25">
        <v>0</v>
      </c>
      <c r="Q3798" s="25"/>
      <c r="R3798" s="25"/>
      <c r="S3798" s="25"/>
      <c r="T3798" s="10"/>
    </row>
    <row r="3799" s="35" customFormat="1" ht="18.5" customHeight="1" spans="1:20">
      <c r="A3799" s="9"/>
      <c r="B3799" s="25"/>
      <c r="C3799" s="25"/>
      <c r="D3799" s="25"/>
      <c r="E3799" s="25"/>
      <c r="F3799" s="25"/>
      <c r="G3799" s="25"/>
      <c r="H3799" s="25"/>
      <c r="I3799" s="25"/>
      <c r="J3799" s="25"/>
      <c r="K3799" s="25"/>
      <c r="L3799" s="25"/>
      <c r="M3799" s="42" t="s">
        <v>253</v>
      </c>
      <c r="N3799" s="41">
        <v>44944</v>
      </c>
      <c r="O3799" s="25">
        <v>304</v>
      </c>
      <c r="P3799" s="25">
        <v>0</v>
      </c>
      <c r="Q3799" s="25"/>
      <c r="R3799" s="25"/>
      <c r="S3799" s="25"/>
      <c r="T3799" s="10"/>
    </row>
    <row r="3800" s="35" customFormat="1" ht="18.5" customHeight="1" spans="1:20">
      <c r="A3800" s="9"/>
      <c r="B3800" s="25"/>
      <c r="C3800" s="25"/>
      <c r="D3800" s="25"/>
      <c r="E3800" s="25"/>
      <c r="F3800" s="25"/>
      <c r="G3800" s="25"/>
      <c r="H3800" s="25"/>
      <c r="I3800" s="25"/>
      <c r="J3800" s="25"/>
      <c r="K3800" s="25"/>
      <c r="L3800" s="25"/>
      <c r="M3800" s="42" t="s">
        <v>253</v>
      </c>
      <c r="N3800" s="41">
        <v>44944</v>
      </c>
      <c r="O3800" s="25">
        <v>460</v>
      </c>
      <c r="P3800" s="25">
        <v>0</v>
      </c>
      <c r="Q3800" s="25"/>
      <c r="R3800" s="25"/>
      <c r="S3800" s="25"/>
      <c r="T3800" s="10"/>
    </row>
    <row r="3801" s="35" customFormat="1" ht="18.5" customHeight="1" spans="1:20">
      <c r="A3801" s="11"/>
      <c r="B3801" s="26"/>
      <c r="C3801" s="26"/>
      <c r="D3801" s="26"/>
      <c r="E3801" s="26"/>
      <c r="F3801" s="26"/>
      <c r="G3801" s="26"/>
      <c r="H3801" s="26"/>
      <c r="I3801" s="26"/>
      <c r="J3801" s="26"/>
      <c r="K3801" s="26"/>
      <c r="L3801" s="26"/>
      <c r="M3801" s="44" t="s">
        <v>253</v>
      </c>
      <c r="N3801" s="45">
        <v>44944</v>
      </c>
      <c r="O3801" s="26">
        <v>284</v>
      </c>
      <c r="P3801" s="26">
        <v>0</v>
      </c>
      <c r="Q3801" s="26"/>
      <c r="R3801" s="26"/>
      <c r="S3801" s="26"/>
      <c r="T3801" s="12"/>
    </row>
  </sheetData>
  <pageMargins left="0.75" right="0.75" top="1" bottom="1" header="0.5" footer="0.5"/>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4"/>
  <sheetViews>
    <sheetView topLeftCell="A3" workbookViewId="0">
      <selection activeCell="N8" sqref="N8"/>
    </sheetView>
  </sheetViews>
  <sheetFormatPr defaultColWidth="8.66666666666667" defaultRowHeight="14" outlineLevelCol="1"/>
  <cols>
    <col min="1" max="1" width="29.5083333333333" customWidth="1"/>
    <col min="2" max="2" width="23.8416666666667" style="27" customWidth="1"/>
  </cols>
  <sheetData>
    <row r="1" ht="31.25" customHeight="1" spans="1:2">
      <c r="A1" s="5" t="s">
        <v>255</v>
      </c>
      <c r="B1" s="28" t="s">
        <v>256</v>
      </c>
    </row>
    <row r="2" ht="30.5" customHeight="1" spans="1:2">
      <c r="A2" s="29" t="s">
        <v>10</v>
      </c>
      <c r="B2" s="30">
        <v>320.3</v>
      </c>
    </row>
    <row r="3" ht="30.5" customHeight="1" spans="1:2">
      <c r="A3" s="31" t="s">
        <v>13</v>
      </c>
      <c r="B3" s="32">
        <v>150</v>
      </c>
    </row>
    <row r="4" ht="30.5" customHeight="1" spans="1:2">
      <c r="A4" s="31" t="s">
        <v>11</v>
      </c>
      <c r="B4" s="32">
        <v>126</v>
      </c>
    </row>
    <row r="5" ht="30.5" customHeight="1" spans="1:2">
      <c r="A5" s="31" t="s">
        <v>19</v>
      </c>
      <c r="B5" s="32">
        <v>121</v>
      </c>
    </row>
    <row r="6" ht="30.5" customHeight="1" spans="1:2">
      <c r="A6" s="31" t="s">
        <v>16</v>
      </c>
      <c r="B6" s="32">
        <v>96</v>
      </c>
    </row>
    <row r="7" ht="30.5" customHeight="1" spans="1:2">
      <c r="A7" s="31" t="s">
        <v>22</v>
      </c>
      <c r="B7" s="32">
        <v>91.7</v>
      </c>
    </row>
    <row r="8" ht="30.5" customHeight="1" spans="1:2">
      <c r="A8" s="31" t="s">
        <v>20</v>
      </c>
      <c r="B8" s="32">
        <v>81.4</v>
      </c>
    </row>
    <row r="9" ht="30.5" customHeight="1" spans="1:2">
      <c r="A9" s="31" t="s">
        <v>18</v>
      </c>
      <c r="B9" s="32">
        <v>53.3</v>
      </c>
    </row>
    <row r="10" ht="30.5" customHeight="1" spans="1:2">
      <c r="A10" s="31" t="s">
        <v>14</v>
      </c>
      <c r="B10" s="32">
        <v>17.4</v>
      </c>
    </row>
    <row r="11" ht="30.5" customHeight="1" spans="1:2">
      <c r="A11" s="31" t="s">
        <v>12</v>
      </c>
      <c r="B11" s="32">
        <v>14.1</v>
      </c>
    </row>
    <row r="12" ht="30.5" customHeight="1" spans="1:2">
      <c r="A12" s="31" t="s">
        <v>17</v>
      </c>
      <c r="B12" s="32">
        <v>13.8</v>
      </c>
    </row>
    <row r="13" ht="30.5" customHeight="1" spans="1:2">
      <c r="A13" s="31" t="s">
        <v>15</v>
      </c>
      <c r="B13" s="32">
        <v>4.6</v>
      </c>
    </row>
    <row r="14" ht="30.5" customHeight="1" spans="1:2">
      <c r="A14" s="33" t="s">
        <v>257</v>
      </c>
      <c r="B14" s="34">
        <v>52.2</v>
      </c>
    </row>
  </sheetData>
  <sortState ref="A2:B13">
    <sortCondition ref="B4" descending="1"/>
  </sortState>
  <pageMargins left="0.75" right="0.75" top="1" bottom="1" header="0.5" footer="0.5"/>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4"/>
  <sheetViews>
    <sheetView workbookViewId="0">
      <selection activeCell="G10" sqref="G10"/>
    </sheetView>
  </sheetViews>
  <sheetFormatPr defaultColWidth="8.66666666666667" defaultRowHeight="14" outlineLevelCol="2"/>
  <cols>
    <col min="1" max="1" width="35.1833333333333" customWidth="1"/>
    <col min="2" max="2" width="21.5083333333333" customWidth="1"/>
    <col min="3" max="3" width="22.5583333333333" customWidth="1"/>
  </cols>
  <sheetData>
    <row r="1" ht="18.35" customHeight="1" spans="1:3">
      <c r="A1" s="5" t="s">
        <v>255</v>
      </c>
      <c r="B1" s="23" t="s">
        <v>258</v>
      </c>
      <c r="C1" s="6" t="s">
        <v>259</v>
      </c>
    </row>
    <row r="2" ht="18.35" customHeight="1" spans="1:3">
      <c r="A2" s="7" t="s">
        <v>10</v>
      </c>
      <c r="B2" s="24">
        <v>9523</v>
      </c>
      <c r="C2" s="8">
        <v>27.3</v>
      </c>
    </row>
    <row r="3" ht="18.35" customHeight="1" spans="1:3">
      <c r="A3" s="9" t="s">
        <v>22</v>
      </c>
      <c r="B3" s="25">
        <v>1425</v>
      </c>
      <c r="C3" s="10">
        <v>4.7</v>
      </c>
    </row>
    <row r="4" ht="18.35" customHeight="1" spans="1:3">
      <c r="A4" s="9" t="s">
        <v>17</v>
      </c>
      <c r="B4" s="25">
        <v>691</v>
      </c>
      <c r="C4" s="10">
        <v>5.1</v>
      </c>
    </row>
    <row r="5" ht="18.35" customHeight="1" spans="1:3">
      <c r="A5" s="9" t="s">
        <v>20</v>
      </c>
      <c r="B5" s="25">
        <v>1520</v>
      </c>
      <c r="C5" s="10">
        <v>5.4</v>
      </c>
    </row>
    <row r="6" ht="18.35" customHeight="1" spans="1:3">
      <c r="A6" s="9" t="s">
        <v>11</v>
      </c>
      <c r="B6" s="25">
        <v>1068</v>
      </c>
      <c r="C6" s="10">
        <v>6.3</v>
      </c>
    </row>
    <row r="7" ht="18.35" customHeight="1" spans="1:3">
      <c r="A7" s="9" t="s">
        <v>16</v>
      </c>
      <c r="B7" s="25">
        <v>1781</v>
      </c>
      <c r="C7" s="10">
        <v>3.8</v>
      </c>
    </row>
    <row r="8" ht="18.35" customHeight="1" spans="1:3">
      <c r="A8" s="9" t="s">
        <v>14</v>
      </c>
      <c r="B8" s="25">
        <v>502</v>
      </c>
      <c r="C8" s="10">
        <v>3.5</v>
      </c>
    </row>
    <row r="9" ht="18.35" customHeight="1" spans="1:3">
      <c r="A9" s="9" t="s">
        <v>12</v>
      </c>
      <c r="B9" s="25">
        <v>472</v>
      </c>
      <c r="C9" s="10">
        <v>4.2</v>
      </c>
    </row>
    <row r="10" ht="18.35" customHeight="1" spans="1:3">
      <c r="A10" s="9" t="s">
        <v>15</v>
      </c>
      <c r="B10" s="25">
        <v>516</v>
      </c>
      <c r="C10" s="10">
        <v>7.2</v>
      </c>
    </row>
    <row r="11" ht="18.35" customHeight="1" spans="1:3">
      <c r="A11" s="9" t="s">
        <v>13</v>
      </c>
      <c r="B11" s="25">
        <v>658</v>
      </c>
      <c r="C11" s="10">
        <v>3.6</v>
      </c>
    </row>
    <row r="12" ht="18.35" customHeight="1" spans="1:3">
      <c r="A12" s="9" t="s">
        <v>18</v>
      </c>
      <c r="B12" s="25">
        <v>933</v>
      </c>
      <c r="C12" s="10">
        <v>5.3</v>
      </c>
    </row>
    <row r="13" ht="18.35" customHeight="1" spans="1:3">
      <c r="A13" s="9" t="s">
        <v>19</v>
      </c>
      <c r="B13" s="25">
        <v>1379</v>
      </c>
      <c r="C13" s="10">
        <v>5.1</v>
      </c>
    </row>
    <row r="14" ht="18.35" customHeight="1" spans="1:3">
      <c r="A14" s="11" t="s">
        <v>21</v>
      </c>
      <c r="B14" s="26">
        <v>1794</v>
      </c>
      <c r="C14" s="12">
        <v>4.6</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8"/>
  <sheetViews>
    <sheetView workbookViewId="0">
      <selection activeCell="A1" sqref="$A1:$XFD1048576"/>
    </sheetView>
  </sheetViews>
  <sheetFormatPr defaultColWidth="8.66666666666667" defaultRowHeight="14" outlineLevelCol="1"/>
  <cols>
    <col min="1" max="1" width="10.3416666666667" customWidth="1"/>
    <col min="2" max="2" width="9.00833333333333" customWidth="1"/>
  </cols>
  <sheetData>
    <row r="1" ht="18.5" customHeight="1" spans="1:2">
      <c r="A1" s="19" t="s">
        <v>0</v>
      </c>
      <c r="B1" s="6" t="s">
        <v>260</v>
      </c>
    </row>
    <row r="2" ht="18.5" customHeight="1" spans="1:2">
      <c r="A2" s="20">
        <v>44228</v>
      </c>
      <c r="B2" s="8">
        <v>0</v>
      </c>
    </row>
    <row r="3" ht="18.5" customHeight="1" spans="1:2">
      <c r="A3" s="21">
        <v>44256</v>
      </c>
      <c r="B3" s="10">
        <v>0</v>
      </c>
    </row>
    <row r="4" ht="18.5" customHeight="1" spans="1:2">
      <c r="A4" s="21">
        <v>44287</v>
      </c>
      <c r="B4" s="10">
        <v>1</v>
      </c>
    </row>
    <row r="5" ht="18.5" customHeight="1" spans="1:2">
      <c r="A5" s="21">
        <v>44317</v>
      </c>
      <c r="B5" s="10">
        <v>0</v>
      </c>
    </row>
    <row r="6" ht="18.5" customHeight="1" spans="1:2">
      <c r="A6" s="21">
        <v>44348</v>
      </c>
      <c r="B6" s="10">
        <v>0</v>
      </c>
    </row>
    <row r="7" ht="18.5" customHeight="1" spans="1:2">
      <c r="A7" s="21">
        <v>44378</v>
      </c>
      <c r="B7" s="10">
        <v>0</v>
      </c>
    </row>
    <row r="8" ht="18.5" customHeight="1" spans="1:2">
      <c r="A8" s="21">
        <v>44409</v>
      </c>
      <c r="B8" s="10">
        <v>66</v>
      </c>
    </row>
    <row r="9" ht="18.5" customHeight="1" spans="1:2">
      <c r="A9" s="21">
        <v>44440</v>
      </c>
      <c r="B9" s="10">
        <v>55</v>
      </c>
    </row>
    <row r="10" ht="18.5" customHeight="1" spans="1:2">
      <c r="A10" s="21">
        <v>44470</v>
      </c>
      <c r="B10" s="10">
        <v>20</v>
      </c>
    </row>
    <row r="11" ht="18.5" customHeight="1" spans="1:2">
      <c r="A11" s="21">
        <v>44501</v>
      </c>
      <c r="B11" s="10">
        <v>11</v>
      </c>
    </row>
    <row r="12" ht="18.5" customHeight="1" spans="1:2">
      <c r="A12" s="21">
        <v>44531</v>
      </c>
      <c r="B12" s="10">
        <v>12</v>
      </c>
    </row>
    <row r="13" ht="18.5" customHeight="1" spans="1:2">
      <c r="A13" s="21">
        <v>44562</v>
      </c>
      <c r="B13" s="10">
        <v>1</v>
      </c>
    </row>
    <row r="14" ht="18.5" customHeight="1" spans="1:2">
      <c r="A14" s="21">
        <v>44593</v>
      </c>
      <c r="B14" s="10">
        <v>3</v>
      </c>
    </row>
    <row r="15" ht="18.5" customHeight="1" spans="1:2">
      <c r="A15" s="21">
        <v>44621</v>
      </c>
      <c r="B15" s="10">
        <v>5</v>
      </c>
    </row>
    <row r="16" ht="18.5" customHeight="1" spans="1:2">
      <c r="A16" s="21">
        <v>44652</v>
      </c>
      <c r="B16" s="10">
        <v>9</v>
      </c>
    </row>
    <row r="17" ht="18.5" customHeight="1" spans="1:2">
      <c r="A17" s="21">
        <v>44682</v>
      </c>
      <c r="B17" s="10">
        <v>14</v>
      </c>
    </row>
    <row r="18" ht="18.5" customHeight="1" spans="1:2">
      <c r="A18" s="21">
        <v>44713</v>
      </c>
      <c r="B18" s="10">
        <v>7</v>
      </c>
    </row>
    <row r="19" ht="18.5" customHeight="1" spans="1:2">
      <c r="A19" s="21">
        <v>44743</v>
      </c>
      <c r="B19" s="10">
        <v>22</v>
      </c>
    </row>
    <row r="20" ht="18.5" customHeight="1" spans="1:2">
      <c r="A20" s="21">
        <v>44774</v>
      </c>
      <c r="B20" s="10">
        <v>14</v>
      </c>
    </row>
    <row r="21" ht="18.5" customHeight="1" spans="1:2">
      <c r="A21" s="21">
        <v>44805</v>
      </c>
      <c r="B21" s="10">
        <v>13</v>
      </c>
    </row>
    <row r="22" ht="18.5" customHeight="1" spans="1:2">
      <c r="A22" s="21">
        <v>44835</v>
      </c>
      <c r="B22" s="10">
        <v>17</v>
      </c>
    </row>
    <row r="23" ht="18.5" customHeight="1" spans="1:2">
      <c r="A23" s="21">
        <v>44866</v>
      </c>
      <c r="B23" s="10">
        <v>15</v>
      </c>
    </row>
    <row r="24" ht="18.5" customHeight="1" spans="1:2">
      <c r="A24" s="21">
        <v>44896</v>
      </c>
      <c r="B24" s="10">
        <v>33</v>
      </c>
    </row>
    <row r="25" ht="18.5" customHeight="1" spans="1:2">
      <c r="A25" s="21">
        <v>44927</v>
      </c>
      <c r="B25" s="10">
        <v>27</v>
      </c>
    </row>
    <row r="26" ht="18.5" customHeight="1" spans="1:2">
      <c r="A26" s="21">
        <v>44958</v>
      </c>
      <c r="B26" s="10">
        <v>21</v>
      </c>
    </row>
    <row r="27" ht="18.5" customHeight="1" spans="1:2">
      <c r="A27" s="21">
        <v>44986</v>
      </c>
      <c r="B27" s="10">
        <v>74</v>
      </c>
    </row>
    <row r="28" ht="18.5" customHeight="1" spans="1:2">
      <c r="A28" s="21">
        <v>45017</v>
      </c>
      <c r="B28" s="10">
        <v>61</v>
      </c>
    </row>
    <row r="29" ht="18.5" customHeight="1" spans="1:2">
      <c r="A29" s="21">
        <v>45047</v>
      </c>
      <c r="B29" s="10">
        <v>1319</v>
      </c>
    </row>
    <row r="30" ht="18.5" customHeight="1" spans="1:2">
      <c r="A30" s="21">
        <v>45078</v>
      </c>
      <c r="B30" s="10">
        <v>953</v>
      </c>
    </row>
    <row r="31" ht="18.5" customHeight="1" spans="1:2">
      <c r="A31" s="21">
        <v>45108</v>
      </c>
      <c r="B31" s="10">
        <v>917</v>
      </c>
    </row>
    <row r="32" ht="18.5" customHeight="1" spans="1:2">
      <c r="A32" s="21">
        <v>45139</v>
      </c>
      <c r="B32" s="10">
        <v>805</v>
      </c>
    </row>
    <row r="33" ht="18.5" customHeight="1" spans="1:2">
      <c r="A33" s="21">
        <v>45170</v>
      </c>
      <c r="B33" s="10">
        <v>823</v>
      </c>
    </row>
    <row r="34" ht="18.5" customHeight="1" spans="1:2">
      <c r="A34" s="21">
        <v>45200</v>
      </c>
      <c r="B34" s="10">
        <v>940</v>
      </c>
    </row>
    <row r="35" ht="18.5" customHeight="1" spans="1:2">
      <c r="A35" s="21">
        <v>45231</v>
      </c>
      <c r="B35" s="10">
        <v>2582</v>
      </c>
    </row>
    <row r="36" ht="18.5" customHeight="1" spans="1:2">
      <c r="A36" s="21">
        <v>45261</v>
      </c>
      <c r="B36" s="10">
        <v>1417</v>
      </c>
    </row>
    <row r="37" ht="18.5" customHeight="1" spans="1:2">
      <c r="A37" s="21">
        <v>45292</v>
      </c>
      <c r="B37" s="10">
        <v>770</v>
      </c>
    </row>
    <row r="38" ht="18.5" customHeight="1" spans="1:2">
      <c r="A38" s="22" t="s">
        <v>3</v>
      </c>
      <c r="B38" s="12">
        <v>11027</v>
      </c>
    </row>
  </sheetData>
  <pageMargins left="0.75" right="0.75" top="1" bottom="1" header="0.5" footer="0.5"/>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7"/>
  <sheetViews>
    <sheetView workbookViewId="0">
      <selection activeCell="A3" sqref="$A1:$XFD1048576"/>
    </sheetView>
  </sheetViews>
  <sheetFormatPr defaultColWidth="8.66666666666667" defaultRowHeight="14" outlineLevelCol="1"/>
  <cols>
    <col min="1" max="1" width="11.175" style="13" customWidth="1"/>
    <col min="2" max="2" width="11.3416666666667" customWidth="1"/>
  </cols>
  <sheetData>
    <row r="1" ht="22.5" customHeight="1" spans="1:2">
      <c r="A1" s="14" t="s">
        <v>248</v>
      </c>
      <c r="B1" s="6" t="s">
        <v>8</v>
      </c>
    </row>
    <row r="2" ht="22.5" customHeight="1" spans="1:2">
      <c r="A2" s="15">
        <v>0</v>
      </c>
      <c r="B2" s="8">
        <v>4635</v>
      </c>
    </row>
    <row r="3" ht="22.5" customHeight="1" spans="1:2">
      <c r="A3" s="16">
        <v>1</v>
      </c>
      <c r="B3" s="10">
        <v>3781</v>
      </c>
    </row>
    <row r="4" ht="22.5" customHeight="1" spans="1:2">
      <c r="A4" s="16">
        <v>2</v>
      </c>
      <c r="B4" s="10">
        <v>2923</v>
      </c>
    </row>
    <row r="5" ht="22.5" customHeight="1" spans="1:2">
      <c r="A5" s="16">
        <v>3</v>
      </c>
      <c r="B5" s="10">
        <v>2174</v>
      </c>
    </row>
    <row r="6" ht="22.5" customHeight="1" spans="1:2">
      <c r="A6" s="16">
        <v>4</v>
      </c>
      <c r="B6" s="10">
        <v>1543</v>
      </c>
    </row>
    <row r="7" ht="22.5" customHeight="1" spans="1:2">
      <c r="A7" s="16">
        <v>5</v>
      </c>
      <c r="B7" s="10">
        <v>1176</v>
      </c>
    </row>
    <row r="8" ht="22.5" customHeight="1" spans="1:2">
      <c r="A8" s="16">
        <v>6</v>
      </c>
      <c r="B8" s="10">
        <v>884</v>
      </c>
    </row>
    <row r="9" ht="22.5" customHeight="1" spans="1:2">
      <c r="A9" s="16">
        <v>7</v>
      </c>
      <c r="B9" s="10">
        <v>612</v>
      </c>
    </row>
    <row r="10" ht="22.5" customHeight="1" spans="1:2">
      <c r="A10" s="16">
        <v>8</v>
      </c>
      <c r="B10" s="10">
        <v>529</v>
      </c>
    </row>
    <row r="11" ht="22.5" customHeight="1" spans="1:2">
      <c r="A11" s="16">
        <v>9</v>
      </c>
      <c r="B11" s="10">
        <v>402</v>
      </c>
    </row>
    <row r="12" ht="22.5" customHeight="1" spans="1:2">
      <c r="A12" s="16">
        <v>10</v>
      </c>
      <c r="B12" s="10">
        <v>323</v>
      </c>
    </row>
    <row r="13" ht="22.5" customHeight="1" spans="1:2">
      <c r="A13" s="17" t="s">
        <v>261</v>
      </c>
      <c r="B13" s="10">
        <v>933</v>
      </c>
    </row>
    <row r="14" ht="22.5" customHeight="1" spans="1:2">
      <c r="A14" s="16" t="s">
        <v>262</v>
      </c>
      <c r="B14" s="10">
        <v>765</v>
      </c>
    </row>
    <row r="15" ht="22.5" customHeight="1" spans="1:2">
      <c r="A15" s="16" t="s">
        <v>263</v>
      </c>
      <c r="B15" s="10">
        <v>351</v>
      </c>
    </row>
    <row r="16" ht="22.5" customHeight="1" spans="1:2">
      <c r="A16" s="16" t="s">
        <v>264</v>
      </c>
      <c r="B16" s="10">
        <v>44</v>
      </c>
    </row>
    <row r="17" ht="22.5" customHeight="1" spans="1:2">
      <c r="A17" s="18" t="s">
        <v>3</v>
      </c>
      <c r="B17" s="12">
        <v>21075</v>
      </c>
    </row>
  </sheetData>
  <pageMargins left="0.75" right="0.75" top="1" bottom="1" header="0.5" footer="0.5"/>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58"/>
  <sheetViews>
    <sheetView workbookViewId="0">
      <selection activeCell="A6" sqref="$A1:$XFD1048576"/>
    </sheetView>
  </sheetViews>
  <sheetFormatPr defaultColWidth="8" defaultRowHeight="14" outlineLevelCol="5"/>
  <cols>
    <col min="1" max="1" width="10.5083333333333" style="1" customWidth="1"/>
    <col min="2" max="2" width="11.3416666666667" style="1" customWidth="1"/>
    <col min="3" max="4" width="8" style="1"/>
    <col min="5" max="5" width="11.175" style="1" customWidth="1"/>
    <col min="6" max="6" width="11.3416666666667" style="1" customWidth="1"/>
    <col min="7" max="16384" width="8" style="1"/>
  </cols>
  <sheetData>
    <row r="1" s="1" customFormat="1" ht="22.5" customHeight="1" spans="1:6">
      <c r="A1" s="5" t="s">
        <v>248</v>
      </c>
      <c r="B1" s="6" t="s">
        <v>8</v>
      </c>
      <c r="E1" s="5" t="s">
        <v>248</v>
      </c>
      <c r="F1" s="6" t="s">
        <v>8</v>
      </c>
    </row>
    <row r="2" s="1" customFormat="1" ht="22.5" customHeight="1" spans="1:6">
      <c r="A2" s="7">
        <v>0</v>
      </c>
      <c r="B2" s="8">
        <v>119632</v>
      </c>
      <c r="E2" s="7">
        <v>0</v>
      </c>
      <c r="F2" s="8">
        <v>119632</v>
      </c>
    </row>
    <row r="3" s="1" customFormat="1" ht="22.5" customHeight="1" spans="1:6">
      <c r="A3" s="9">
        <v>1</v>
      </c>
      <c r="B3" s="10">
        <v>244664</v>
      </c>
      <c r="E3" s="9">
        <v>1</v>
      </c>
      <c r="F3" s="10">
        <v>244664</v>
      </c>
    </row>
    <row r="4" s="1" customFormat="1" ht="22.5" customHeight="1" spans="1:6">
      <c r="A4" s="9">
        <v>2</v>
      </c>
      <c r="B4" s="10">
        <v>70129</v>
      </c>
      <c r="E4" s="9">
        <v>2</v>
      </c>
      <c r="F4" s="10">
        <v>70129</v>
      </c>
    </row>
    <row r="5" s="1" customFormat="1" ht="22.5" customHeight="1" spans="1:6">
      <c r="A5" s="9">
        <v>3</v>
      </c>
      <c r="B5" s="10">
        <v>23775</v>
      </c>
      <c r="E5" s="9">
        <v>3</v>
      </c>
      <c r="F5" s="10">
        <v>23775</v>
      </c>
    </row>
    <row r="6" s="1" customFormat="1" ht="22.5" customHeight="1" spans="1:6">
      <c r="A6" s="9">
        <v>4</v>
      </c>
      <c r="B6" s="10">
        <v>12471</v>
      </c>
      <c r="E6" s="9">
        <v>4</v>
      </c>
      <c r="F6" s="10">
        <v>12471</v>
      </c>
    </row>
    <row r="7" s="1" customFormat="1" ht="22.5" customHeight="1" spans="1:6">
      <c r="A7" s="9">
        <v>5</v>
      </c>
      <c r="B7" s="10">
        <v>7873</v>
      </c>
      <c r="E7" s="9">
        <v>5</v>
      </c>
      <c r="F7" s="10">
        <v>7873</v>
      </c>
    </row>
    <row r="8" s="1" customFormat="1" ht="22.5" customHeight="1" spans="1:6">
      <c r="A8" s="9">
        <v>6</v>
      </c>
      <c r="B8" s="10">
        <v>5522</v>
      </c>
      <c r="E8" s="9" t="s">
        <v>265</v>
      </c>
      <c r="F8" s="10">
        <f>SUM(B8:B12)</f>
        <v>17684</v>
      </c>
    </row>
    <row r="9" s="1" customFormat="1" ht="22.5" customHeight="1" spans="1:6">
      <c r="A9" s="9">
        <v>7</v>
      </c>
      <c r="B9" s="10">
        <v>4150</v>
      </c>
      <c r="E9" s="9" t="s">
        <v>266</v>
      </c>
      <c r="F9" s="10">
        <f>SUM(B13:B32)</f>
        <v>14645</v>
      </c>
    </row>
    <row r="10" s="1" customFormat="1" ht="22.5" customHeight="1" spans="1:6">
      <c r="A10" s="9">
        <v>8</v>
      </c>
      <c r="B10" s="10">
        <v>3216</v>
      </c>
      <c r="E10" s="9" t="s">
        <v>263</v>
      </c>
      <c r="F10" s="10">
        <f>SUM(B33:B102)</f>
        <v>4836</v>
      </c>
    </row>
    <row r="11" s="1" customFormat="1" ht="22.5" customHeight="1" spans="1:6">
      <c r="A11" s="9">
        <v>9</v>
      </c>
      <c r="B11" s="10">
        <v>2642</v>
      </c>
      <c r="E11" s="11" t="s">
        <v>264</v>
      </c>
      <c r="F11" s="12">
        <f>SUM(B103:B457)</f>
        <v>1003</v>
      </c>
    </row>
    <row r="12" s="1" customFormat="1" ht="22.5" customHeight="1" spans="1:2">
      <c r="A12" s="9">
        <v>10</v>
      </c>
      <c r="B12" s="10">
        <v>2154</v>
      </c>
    </row>
    <row r="13" s="1" customFormat="1" ht="22.5" customHeight="1" spans="1:2">
      <c r="A13" s="9">
        <v>11</v>
      </c>
      <c r="B13" s="10">
        <v>1780</v>
      </c>
    </row>
    <row r="14" s="1" customFormat="1" ht="22.5" customHeight="1" spans="1:2">
      <c r="A14" s="9">
        <v>12</v>
      </c>
      <c r="B14" s="10">
        <v>1577</v>
      </c>
    </row>
    <row r="15" s="1" customFormat="1" ht="22.5" customHeight="1" spans="1:2">
      <c r="A15" s="9">
        <v>13</v>
      </c>
      <c r="B15" s="10">
        <v>1378</v>
      </c>
    </row>
    <row r="16" s="1" customFormat="1" ht="22.5" customHeight="1" spans="1:2">
      <c r="A16" s="9">
        <v>14</v>
      </c>
      <c r="B16" s="10">
        <v>1196</v>
      </c>
    </row>
    <row r="17" s="1" customFormat="1" ht="22.5" customHeight="1" spans="1:2">
      <c r="A17" s="9">
        <v>15</v>
      </c>
      <c r="B17" s="10">
        <v>1022</v>
      </c>
    </row>
    <row r="18" s="1" customFormat="1" ht="22.5" customHeight="1" spans="1:2">
      <c r="A18" s="9">
        <v>16</v>
      </c>
      <c r="B18" s="10">
        <v>932</v>
      </c>
    </row>
    <row r="19" s="1" customFormat="1" ht="22.5" customHeight="1" spans="1:2">
      <c r="A19" s="9">
        <v>17</v>
      </c>
      <c r="B19" s="10">
        <v>783</v>
      </c>
    </row>
    <row r="20" s="1" customFormat="1" ht="22.5" customHeight="1" spans="1:2">
      <c r="A20" s="9">
        <v>18</v>
      </c>
      <c r="B20" s="10">
        <v>727</v>
      </c>
    </row>
    <row r="21" s="1" customFormat="1" ht="22.5" customHeight="1" spans="1:2">
      <c r="A21" s="9">
        <v>19</v>
      </c>
      <c r="B21" s="10">
        <v>652</v>
      </c>
    </row>
    <row r="22" s="1" customFormat="1" ht="22.5" customHeight="1" spans="1:2">
      <c r="A22" s="9">
        <v>20</v>
      </c>
      <c r="B22" s="10">
        <v>647</v>
      </c>
    </row>
    <row r="23" s="1" customFormat="1" ht="22.5" customHeight="1" spans="1:2">
      <c r="A23" s="9">
        <v>21</v>
      </c>
      <c r="B23" s="10">
        <v>551</v>
      </c>
    </row>
    <row r="24" s="1" customFormat="1" ht="22.5" customHeight="1" spans="1:2">
      <c r="A24" s="9">
        <v>22</v>
      </c>
      <c r="B24" s="10">
        <v>484</v>
      </c>
    </row>
    <row r="25" s="1" customFormat="1" ht="22.5" customHeight="1" spans="1:2">
      <c r="A25" s="9">
        <v>23</v>
      </c>
      <c r="B25" s="10">
        <v>490</v>
      </c>
    </row>
    <row r="26" s="1" customFormat="1" ht="22.5" customHeight="1" spans="1:2">
      <c r="A26" s="9">
        <v>24</v>
      </c>
      <c r="B26" s="10">
        <v>461</v>
      </c>
    </row>
    <row r="27" s="1" customFormat="1" ht="22.5" customHeight="1" spans="1:2">
      <c r="A27" s="9">
        <v>25</v>
      </c>
      <c r="B27" s="10">
        <v>394</v>
      </c>
    </row>
    <row r="28" s="1" customFormat="1" ht="22.5" customHeight="1" spans="1:2">
      <c r="A28" s="9">
        <v>26</v>
      </c>
      <c r="B28" s="10">
        <v>379</v>
      </c>
    </row>
    <row r="29" s="1" customFormat="1" ht="22.5" customHeight="1" spans="1:2">
      <c r="A29" s="9">
        <v>27</v>
      </c>
      <c r="B29" s="10">
        <v>329</v>
      </c>
    </row>
    <row r="30" s="1" customFormat="1" ht="22.5" customHeight="1" spans="1:2">
      <c r="A30" s="9">
        <v>28</v>
      </c>
      <c r="B30" s="10">
        <v>323</v>
      </c>
    </row>
    <row r="31" s="1" customFormat="1" ht="22.5" customHeight="1" spans="1:2">
      <c r="A31" s="9">
        <v>29</v>
      </c>
      <c r="B31" s="10">
        <v>293</v>
      </c>
    </row>
    <row r="32" s="1" customFormat="1" ht="22.5" customHeight="1" spans="1:2">
      <c r="A32" s="9">
        <v>30</v>
      </c>
      <c r="B32" s="10">
        <v>247</v>
      </c>
    </row>
    <row r="33" s="1" customFormat="1" ht="22.5" customHeight="1" spans="1:2">
      <c r="A33" s="9">
        <v>31</v>
      </c>
      <c r="B33" s="10">
        <v>273</v>
      </c>
    </row>
    <row r="34" s="1" customFormat="1" ht="22.5" customHeight="1" spans="1:2">
      <c r="A34" s="9">
        <v>32</v>
      </c>
      <c r="B34" s="10">
        <v>222</v>
      </c>
    </row>
    <row r="35" s="1" customFormat="1" ht="22.5" customHeight="1" spans="1:2">
      <c r="A35" s="9">
        <v>33</v>
      </c>
      <c r="B35" s="10">
        <v>196</v>
      </c>
    </row>
    <row r="36" s="1" customFormat="1" ht="22.5" customHeight="1" spans="1:2">
      <c r="A36" s="9">
        <v>34</v>
      </c>
      <c r="B36" s="10">
        <v>205</v>
      </c>
    </row>
    <row r="37" s="1" customFormat="1" ht="22.5" customHeight="1" spans="1:2">
      <c r="A37" s="9">
        <v>35</v>
      </c>
      <c r="B37" s="10">
        <v>196</v>
      </c>
    </row>
    <row r="38" s="1" customFormat="1" ht="22.5" customHeight="1" spans="1:2">
      <c r="A38" s="9">
        <v>36</v>
      </c>
      <c r="B38" s="10">
        <v>184</v>
      </c>
    </row>
    <row r="39" s="1" customFormat="1" ht="22.5" customHeight="1" spans="1:2">
      <c r="A39" s="9">
        <v>37</v>
      </c>
      <c r="B39" s="10">
        <v>172</v>
      </c>
    </row>
    <row r="40" s="1" customFormat="1" ht="22.5" customHeight="1" spans="1:2">
      <c r="A40" s="9">
        <v>38</v>
      </c>
      <c r="B40" s="10">
        <v>179</v>
      </c>
    </row>
    <row r="41" s="1" customFormat="1" ht="22.5" customHeight="1" spans="1:2">
      <c r="A41" s="9">
        <v>39</v>
      </c>
      <c r="B41" s="10">
        <v>144</v>
      </c>
    </row>
    <row r="42" s="1" customFormat="1" ht="22.5" customHeight="1" spans="1:2">
      <c r="A42" s="9">
        <v>40</v>
      </c>
      <c r="B42" s="10">
        <v>137</v>
      </c>
    </row>
    <row r="43" s="1" customFormat="1" ht="22.5" customHeight="1" spans="1:2">
      <c r="A43" s="9">
        <v>41</v>
      </c>
      <c r="B43" s="10">
        <v>130</v>
      </c>
    </row>
    <row r="44" s="1" customFormat="1" ht="22.5" customHeight="1" spans="1:2">
      <c r="A44" s="9">
        <v>42</v>
      </c>
      <c r="B44" s="10">
        <v>128</v>
      </c>
    </row>
    <row r="45" s="1" customFormat="1" ht="22.5" customHeight="1" spans="1:2">
      <c r="A45" s="9">
        <v>43</v>
      </c>
      <c r="B45" s="10">
        <v>126</v>
      </c>
    </row>
    <row r="46" s="1" customFormat="1" ht="22.5" customHeight="1" spans="1:2">
      <c r="A46" s="9">
        <v>44</v>
      </c>
      <c r="B46" s="10">
        <v>123</v>
      </c>
    </row>
    <row r="47" s="1" customFormat="1" ht="22.5" customHeight="1" spans="1:2">
      <c r="A47" s="9">
        <v>45</v>
      </c>
      <c r="B47" s="10">
        <v>98</v>
      </c>
    </row>
    <row r="48" s="1" customFormat="1" ht="22.5" customHeight="1" spans="1:2">
      <c r="A48" s="9">
        <v>46</v>
      </c>
      <c r="B48" s="10">
        <v>96</v>
      </c>
    </row>
    <row r="49" s="1" customFormat="1" ht="22.5" customHeight="1" spans="1:2">
      <c r="A49" s="9">
        <v>47</v>
      </c>
      <c r="B49" s="10">
        <v>97</v>
      </c>
    </row>
    <row r="50" s="1" customFormat="1" ht="22.5" customHeight="1" spans="1:2">
      <c r="A50" s="9">
        <v>48</v>
      </c>
      <c r="B50" s="10">
        <v>94</v>
      </c>
    </row>
    <row r="51" s="1" customFormat="1" ht="22.5" customHeight="1" spans="1:2">
      <c r="A51" s="9">
        <v>49</v>
      </c>
      <c r="B51" s="10">
        <v>114</v>
      </c>
    </row>
    <row r="52" s="1" customFormat="1" ht="22.5" customHeight="1" spans="1:2">
      <c r="A52" s="9">
        <v>50</v>
      </c>
      <c r="B52" s="10">
        <v>89</v>
      </c>
    </row>
    <row r="53" s="1" customFormat="1" ht="22.5" customHeight="1" spans="1:2">
      <c r="A53" s="9">
        <v>51</v>
      </c>
      <c r="B53" s="10">
        <v>74</v>
      </c>
    </row>
    <row r="54" s="1" customFormat="1" ht="22.5" customHeight="1" spans="1:2">
      <c r="A54" s="9">
        <v>52</v>
      </c>
      <c r="B54" s="10">
        <v>85</v>
      </c>
    </row>
    <row r="55" s="1" customFormat="1" ht="22.5" customHeight="1" spans="1:2">
      <c r="A55" s="9">
        <v>53</v>
      </c>
      <c r="B55" s="10">
        <v>72</v>
      </c>
    </row>
    <row r="56" s="1" customFormat="1" ht="22.5" customHeight="1" spans="1:2">
      <c r="A56" s="9">
        <v>54</v>
      </c>
      <c r="B56" s="10">
        <v>64</v>
      </c>
    </row>
    <row r="57" s="1" customFormat="1" ht="22.5" customHeight="1" spans="1:2">
      <c r="A57" s="9">
        <v>55</v>
      </c>
      <c r="B57" s="10">
        <v>66</v>
      </c>
    </row>
    <row r="58" s="1" customFormat="1" ht="22.5" customHeight="1" spans="1:2">
      <c r="A58" s="9">
        <v>56</v>
      </c>
      <c r="B58" s="10">
        <v>73</v>
      </c>
    </row>
    <row r="59" s="1" customFormat="1" ht="22.5" customHeight="1" spans="1:2">
      <c r="A59" s="9">
        <v>57</v>
      </c>
      <c r="B59" s="10">
        <v>62</v>
      </c>
    </row>
    <row r="60" s="1" customFormat="1" ht="22.5" customHeight="1" spans="1:2">
      <c r="A60" s="9">
        <v>58</v>
      </c>
      <c r="B60" s="10">
        <v>53</v>
      </c>
    </row>
    <row r="61" s="1" customFormat="1" ht="22.5" customHeight="1" spans="1:2">
      <c r="A61" s="9">
        <v>59</v>
      </c>
      <c r="B61" s="10">
        <v>67</v>
      </c>
    </row>
    <row r="62" s="1" customFormat="1" ht="22.5" customHeight="1" spans="1:2">
      <c r="A62" s="9">
        <v>60</v>
      </c>
      <c r="B62" s="10">
        <v>61</v>
      </c>
    </row>
    <row r="63" s="1" customFormat="1" ht="22.5" customHeight="1" spans="1:2">
      <c r="A63" s="9">
        <v>61</v>
      </c>
      <c r="B63" s="10">
        <v>67</v>
      </c>
    </row>
    <row r="64" s="1" customFormat="1" ht="22.5" customHeight="1" spans="1:2">
      <c r="A64" s="9">
        <v>62</v>
      </c>
      <c r="B64" s="10">
        <v>52</v>
      </c>
    </row>
    <row r="65" s="1" customFormat="1" ht="22.5" customHeight="1" spans="1:2">
      <c r="A65" s="9">
        <v>63</v>
      </c>
      <c r="B65" s="10">
        <v>45</v>
      </c>
    </row>
    <row r="66" s="1" customFormat="1" ht="22.5" customHeight="1" spans="1:2">
      <c r="A66" s="9">
        <v>64</v>
      </c>
      <c r="B66" s="10">
        <v>38</v>
      </c>
    </row>
    <row r="67" s="1" customFormat="1" ht="22.5" customHeight="1" spans="1:2">
      <c r="A67" s="9">
        <v>65</v>
      </c>
      <c r="B67" s="10">
        <v>34</v>
      </c>
    </row>
    <row r="68" s="1" customFormat="1" ht="22.5" customHeight="1" spans="1:2">
      <c r="A68" s="9">
        <v>66</v>
      </c>
      <c r="B68" s="10">
        <v>43</v>
      </c>
    </row>
    <row r="69" s="1" customFormat="1" ht="22.5" customHeight="1" spans="1:2">
      <c r="A69" s="9">
        <v>67</v>
      </c>
      <c r="B69" s="10">
        <v>41</v>
      </c>
    </row>
    <row r="70" s="1" customFormat="1" ht="22.5" customHeight="1" spans="1:2">
      <c r="A70" s="9">
        <v>68</v>
      </c>
      <c r="B70" s="10">
        <v>33</v>
      </c>
    </row>
    <row r="71" s="1" customFormat="1" ht="22.5" customHeight="1" spans="1:2">
      <c r="A71" s="9">
        <v>69</v>
      </c>
      <c r="B71" s="10">
        <v>29</v>
      </c>
    </row>
    <row r="72" s="1" customFormat="1" ht="22.5" customHeight="1" spans="1:2">
      <c r="A72" s="9">
        <v>70</v>
      </c>
      <c r="B72" s="10">
        <v>44</v>
      </c>
    </row>
    <row r="73" s="1" customFormat="1" ht="22.5" customHeight="1" spans="1:2">
      <c r="A73" s="9">
        <v>71</v>
      </c>
      <c r="B73" s="10">
        <v>33</v>
      </c>
    </row>
    <row r="74" s="1" customFormat="1" ht="22.5" customHeight="1" spans="1:2">
      <c r="A74" s="9">
        <v>72</v>
      </c>
      <c r="B74" s="10">
        <v>46</v>
      </c>
    </row>
    <row r="75" s="1" customFormat="1" ht="22.5" customHeight="1" spans="1:2">
      <c r="A75" s="9">
        <v>73</v>
      </c>
      <c r="B75" s="10">
        <v>42</v>
      </c>
    </row>
    <row r="76" s="1" customFormat="1" ht="22.5" customHeight="1" spans="1:2">
      <c r="A76" s="9">
        <v>74</v>
      </c>
      <c r="B76" s="10">
        <v>30</v>
      </c>
    </row>
    <row r="77" s="1" customFormat="1" ht="22.5" customHeight="1" spans="1:2">
      <c r="A77" s="9">
        <v>75</v>
      </c>
      <c r="B77" s="10">
        <v>26</v>
      </c>
    </row>
    <row r="78" s="1" customFormat="1" ht="22.5" customHeight="1" spans="1:2">
      <c r="A78" s="9">
        <v>76</v>
      </c>
      <c r="B78" s="10">
        <v>34</v>
      </c>
    </row>
    <row r="79" s="1" customFormat="1" ht="22.5" customHeight="1" spans="1:2">
      <c r="A79" s="9">
        <v>77</v>
      </c>
      <c r="B79" s="10">
        <v>27</v>
      </c>
    </row>
    <row r="80" s="1" customFormat="1" ht="22.5" customHeight="1" spans="1:2">
      <c r="A80" s="9">
        <v>78</v>
      </c>
      <c r="B80" s="10">
        <v>34</v>
      </c>
    </row>
    <row r="81" s="1" customFormat="1" ht="22.5" customHeight="1" spans="1:2">
      <c r="A81" s="9">
        <v>79</v>
      </c>
      <c r="B81" s="10">
        <v>29</v>
      </c>
    </row>
    <row r="82" s="1" customFormat="1" ht="22.5" customHeight="1" spans="1:2">
      <c r="A82" s="9">
        <v>80</v>
      </c>
      <c r="B82" s="10">
        <v>24</v>
      </c>
    </row>
    <row r="83" s="1" customFormat="1" ht="22.5" customHeight="1" spans="1:2">
      <c r="A83" s="9">
        <v>81</v>
      </c>
      <c r="B83" s="10">
        <v>23</v>
      </c>
    </row>
    <row r="84" s="1" customFormat="1" ht="22.5" customHeight="1" spans="1:2">
      <c r="A84" s="9">
        <v>82</v>
      </c>
      <c r="B84" s="10">
        <v>16</v>
      </c>
    </row>
    <row r="85" s="1" customFormat="1" ht="22.5" customHeight="1" spans="1:2">
      <c r="A85" s="9">
        <v>83</v>
      </c>
      <c r="B85" s="10">
        <v>22</v>
      </c>
    </row>
    <row r="86" s="1" customFormat="1" ht="22.5" customHeight="1" spans="1:2">
      <c r="A86" s="9">
        <v>84</v>
      </c>
      <c r="B86" s="10">
        <v>16</v>
      </c>
    </row>
    <row r="87" s="1" customFormat="1" ht="22.5" customHeight="1" spans="1:2">
      <c r="A87" s="9">
        <v>85</v>
      </c>
      <c r="B87" s="10">
        <v>28</v>
      </c>
    </row>
    <row r="88" s="1" customFormat="1" ht="22.5" customHeight="1" spans="1:2">
      <c r="A88" s="9">
        <v>86</v>
      </c>
      <c r="B88" s="10">
        <v>29</v>
      </c>
    </row>
    <row r="89" s="1" customFormat="1" ht="22.5" customHeight="1" spans="1:2">
      <c r="A89" s="9">
        <v>87</v>
      </c>
      <c r="B89" s="10">
        <v>27</v>
      </c>
    </row>
    <row r="90" s="1" customFormat="1" ht="22.5" customHeight="1" spans="1:2">
      <c r="A90" s="9">
        <v>88</v>
      </c>
      <c r="B90" s="10">
        <v>22</v>
      </c>
    </row>
    <row r="91" s="1" customFormat="1" ht="22.5" customHeight="1" spans="1:2">
      <c r="A91" s="9">
        <v>89</v>
      </c>
      <c r="B91" s="10">
        <v>19</v>
      </c>
    </row>
    <row r="92" s="1" customFormat="1" ht="22.5" customHeight="1" spans="1:2">
      <c r="A92" s="9">
        <v>90</v>
      </c>
      <c r="B92" s="10">
        <v>24</v>
      </c>
    </row>
    <row r="93" s="1" customFormat="1" ht="22.5" customHeight="1" spans="1:2">
      <c r="A93" s="9">
        <v>91</v>
      </c>
      <c r="B93" s="10">
        <v>21</v>
      </c>
    </row>
    <row r="94" s="1" customFormat="1" ht="22.5" customHeight="1" spans="1:2">
      <c r="A94" s="9">
        <v>92</v>
      </c>
      <c r="B94" s="10">
        <v>17</v>
      </c>
    </row>
    <row r="95" s="1" customFormat="1" ht="22.5" customHeight="1" spans="1:2">
      <c r="A95" s="9">
        <v>93</v>
      </c>
      <c r="B95" s="10">
        <v>16</v>
      </c>
    </row>
    <row r="96" s="1" customFormat="1" ht="22.5" customHeight="1" spans="1:2">
      <c r="A96" s="9">
        <v>94</v>
      </c>
      <c r="B96" s="10">
        <v>16</v>
      </c>
    </row>
    <row r="97" s="1" customFormat="1" ht="22.5" customHeight="1" spans="1:2">
      <c r="A97" s="9">
        <v>95</v>
      </c>
      <c r="B97" s="10">
        <v>18</v>
      </c>
    </row>
    <row r="98" s="1" customFormat="1" ht="22.5" customHeight="1" spans="1:2">
      <c r="A98" s="9">
        <v>96</v>
      </c>
      <c r="B98" s="10">
        <v>19</v>
      </c>
    </row>
    <row r="99" s="1" customFormat="1" ht="22.5" customHeight="1" spans="1:2">
      <c r="A99" s="9">
        <v>97</v>
      </c>
      <c r="B99" s="10">
        <v>17</v>
      </c>
    </row>
    <row r="100" s="1" customFormat="1" ht="22.5" customHeight="1" spans="1:2">
      <c r="A100" s="9">
        <v>98</v>
      </c>
      <c r="B100" s="10">
        <v>20</v>
      </c>
    </row>
    <row r="101" s="1" customFormat="1" ht="22.5" customHeight="1" spans="1:2">
      <c r="A101" s="9">
        <v>99</v>
      </c>
      <c r="B101" s="10">
        <v>19</v>
      </c>
    </row>
    <row r="102" s="1" customFormat="1" ht="22.5" customHeight="1" spans="1:2">
      <c r="A102" s="9">
        <v>100</v>
      </c>
      <c r="B102" s="10">
        <v>16</v>
      </c>
    </row>
    <row r="103" s="1" customFormat="1" ht="22.5" customHeight="1" spans="1:2">
      <c r="A103" s="9">
        <v>101</v>
      </c>
      <c r="B103" s="10">
        <v>10</v>
      </c>
    </row>
    <row r="104" s="1" customFormat="1" ht="22.5" customHeight="1" spans="1:2">
      <c r="A104" s="9">
        <v>102</v>
      </c>
      <c r="B104" s="10">
        <v>14</v>
      </c>
    </row>
    <row r="105" s="1" customFormat="1" ht="22.5" customHeight="1" spans="1:2">
      <c r="A105" s="9">
        <v>103</v>
      </c>
      <c r="B105" s="10">
        <v>13</v>
      </c>
    </row>
    <row r="106" s="1" customFormat="1" ht="22.5" customHeight="1" spans="1:2">
      <c r="A106" s="9">
        <v>104</v>
      </c>
      <c r="B106" s="10">
        <v>22</v>
      </c>
    </row>
    <row r="107" s="1" customFormat="1" ht="22.5" customHeight="1" spans="1:2">
      <c r="A107" s="9">
        <v>105</v>
      </c>
      <c r="B107" s="10">
        <v>14</v>
      </c>
    </row>
    <row r="108" s="1" customFormat="1" ht="22.5" customHeight="1" spans="1:2">
      <c r="A108" s="9">
        <v>106</v>
      </c>
      <c r="B108" s="10">
        <v>6</v>
      </c>
    </row>
    <row r="109" s="1" customFormat="1" ht="22.5" customHeight="1" spans="1:2">
      <c r="A109" s="9">
        <v>107</v>
      </c>
      <c r="B109" s="10">
        <v>16</v>
      </c>
    </row>
    <row r="110" s="1" customFormat="1" ht="22.5" customHeight="1" spans="1:2">
      <c r="A110" s="9">
        <v>108</v>
      </c>
      <c r="B110" s="10">
        <v>10</v>
      </c>
    </row>
    <row r="111" s="1" customFormat="1" ht="22.5" customHeight="1" spans="1:2">
      <c r="A111" s="9">
        <v>109</v>
      </c>
      <c r="B111" s="10">
        <v>18</v>
      </c>
    </row>
    <row r="112" s="1" customFormat="1" ht="22.5" customHeight="1" spans="1:2">
      <c r="A112" s="9">
        <v>110</v>
      </c>
      <c r="B112" s="10">
        <v>12</v>
      </c>
    </row>
    <row r="113" s="1" customFormat="1" ht="22.5" customHeight="1" spans="1:2">
      <c r="A113" s="9">
        <v>111</v>
      </c>
      <c r="B113" s="10">
        <v>13</v>
      </c>
    </row>
    <row r="114" s="1" customFormat="1" ht="22.5" customHeight="1" spans="1:2">
      <c r="A114" s="9">
        <v>112</v>
      </c>
      <c r="B114" s="10">
        <v>11</v>
      </c>
    </row>
    <row r="115" s="1" customFormat="1" ht="22.5" customHeight="1" spans="1:2">
      <c r="A115" s="9">
        <v>113</v>
      </c>
      <c r="B115" s="10">
        <v>16</v>
      </c>
    </row>
    <row r="116" s="1" customFormat="1" ht="22.5" customHeight="1" spans="1:2">
      <c r="A116" s="9">
        <v>114</v>
      </c>
      <c r="B116" s="10">
        <v>19</v>
      </c>
    </row>
    <row r="117" s="1" customFormat="1" ht="22.5" customHeight="1" spans="1:2">
      <c r="A117" s="9">
        <v>115</v>
      </c>
      <c r="B117" s="10">
        <v>10</v>
      </c>
    </row>
    <row r="118" s="1" customFormat="1" ht="22.5" customHeight="1" spans="1:2">
      <c r="A118" s="9">
        <v>116</v>
      </c>
      <c r="B118" s="10">
        <v>16</v>
      </c>
    </row>
    <row r="119" s="1" customFormat="1" ht="22.5" customHeight="1" spans="1:2">
      <c r="A119" s="9">
        <v>117</v>
      </c>
      <c r="B119" s="10">
        <v>13</v>
      </c>
    </row>
    <row r="120" s="1" customFormat="1" ht="22.5" customHeight="1" spans="1:2">
      <c r="A120" s="9">
        <v>118</v>
      </c>
      <c r="B120" s="10">
        <v>5</v>
      </c>
    </row>
    <row r="121" s="1" customFormat="1" ht="22.5" customHeight="1" spans="1:2">
      <c r="A121" s="9">
        <v>119</v>
      </c>
      <c r="B121" s="10">
        <v>11</v>
      </c>
    </row>
    <row r="122" s="1" customFormat="1" ht="22.5" customHeight="1" spans="1:2">
      <c r="A122" s="9">
        <v>120</v>
      </c>
      <c r="B122" s="10">
        <v>4</v>
      </c>
    </row>
    <row r="123" s="1" customFormat="1" ht="22.5" customHeight="1" spans="1:2">
      <c r="A123" s="9">
        <v>121</v>
      </c>
      <c r="B123" s="10">
        <v>4</v>
      </c>
    </row>
    <row r="124" s="1" customFormat="1" ht="22.5" customHeight="1" spans="1:2">
      <c r="A124" s="9">
        <v>122</v>
      </c>
      <c r="B124" s="10">
        <v>6</v>
      </c>
    </row>
    <row r="125" s="1" customFormat="1" ht="22.5" customHeight="1" spans="1:2">
      <c r="A125" s="9">
        <v>123</v>
      </c>
      <c r="B125" s="10">
        <v>13</v>
      </c>
    </row>
    <row r="126" s="1" customFormat="1" ht="22.5" customHeight="1" spans="1:2">
      <c r="A126" s="9">
        <v>124</v>
      </c>
      <c r="B126" s="10">
        <v>10</v>
      </c>
    </row>
    <row r="127" s="1" customFormat="1" ht="22.5" customHeight="1" spans="1:2">
      <c r="A127" s="9">
        <v>125</v>
      </c>
      <c r="B127" s="10">
        <v>8</v>
      </c>
    </row>
    <row r="128" s="1" customFormat="1" ht="22.5" customHeight="1" spans="1:2">
      <c r="A128" s="9">
        <v>126</v>
      </c>
      <c r="B128" s="10">
        <v>8</v>
      </c>
    </row>
    <row r="129" s="1" customFormat="1" ht="22.5" customHeight="1" spans="1:2">
      <c r="A129" s="9">
        <v>127</v>
      </c>
      <c r="B129" s="10">
        <v>8</v>
      </c>
    </row>
    <row r="130" s="1" customFormat="1" ht="22.5" customHeight="1" spans="1:2">
      <c r="A130" s="9">
        <v>128</v>
      </c>
      <c r="B130" s="10">
        <v>6</v>
      </c>
    </row>
    <row r="131" s="1" customFormat="1" ht="22.5" customHeight="1" spans="1:2">
      <c r="A131" s="9">
        <v>129</v>
      </c>
      <c r="B131" s="10">
        <v>9</v>
      </c>
    </row>
    <row r="132" s="1" customFormat="1" ht="22.5" customHeight="1" spans="1:2">
      <c r="A132" s="9">
        <v>130</v>
      </c>
      <c r="B132" s="10">
        <v>6</v>
      </c>
    </row>
    <row r="133" s="1" customFormat="1" ht="22.5" customHeight="1" spans="1:2">
      <c r="A133" s="9">
        <v>131</v>
      </c>
      <c r="B133" s="10">
        <v>4</v>
      </c>
    </row>
    <row r="134" s="1" customFormat="1" ht="22.5" customHeight="1" spans="1:2">
      <c r="A134" s="9">
        <v>132</v>
      </c>
      <c r="B134" s="10">
        <v>7</v>
      </c>
    </row>
    <row r="135" s="1" customFormat="1" ht="22.5" customHeight="1" spans="1:2">
      <c r="A135" s="9">
        <v>133</v>
      </c>
      <c r="B135" s="10">
        <v>8</v>
      </c>
    </row>
    <row r="136" s="1" customFormat="1" ht="22.5" customHeight="1" spans="1:2">
      <c r="A136" s="9">
        <v>134</v>
      </c>
      <c r="B136" s="10">
        <v>9</v>
      </c>
    </row>
    <row r="137" s="1" customFormat="1" ht="22.5" customHeight="1" spans="1:2">
      <c r="A137" s="9">
        <v>135</v>
      </c>
      <c r="B137" s="10">
        <v>11</v>
      </c>
    </row>
    <row r="138" s="1" customFormat="1" ht="22.5" customHeight="1" spans="1:2">
      <c r="A138" s="9">
        <v>136</v>
      </c>
      <c r="B138" s="10">
        <v>7</v>
      </c>
    </row>
    <row r="139" s="1" customFormat="1" ht="22.5" customHeight="1" spans="1:2">
      <c r="A139" s="9">
        <v>137</v>
      </c>
      <c r="B139" s="10">
        <v>6</v>
      </c>
    </row>
    <row r="140" s="1" customFormat="1" ht="22.5" customHeight="1" spans="1:2">
      <c r="A140" s="9">
        <v>138</v>
      </c>
      <c r="B140" s="10">
        <v>6</v>
      </c>
    </row>
    <row r="141" s="1" customFormat="1" ht="22.5" customHeight="1" spans="1:2">
      <c r="A141" s="9">
        <v>139</v>
      </c>
      <c r="B141" s="10">
        <v>9</v>
      </c>
    </row>
    <row r="142" s="1" customFormat="1" ht="22.5" customHeight="1" spans="1:2">
      <c r="A142" s="9">
        <v>140</v>
      </c>
      <c r="B142" s="10">
        <v>8</v>
      </c>
    </row>
    <row r="143" s="1" customFormat="1" ht="22.5" customHeight="1" spans="1:2">
      <c r="A143" s="9">
        <v>141</v>
      </c>
      <c r="B143" s="10">
        <v>5</v>
      </c>
    </row>
    <row r="144" s="1" customFormat="1" ht="22.5" customHeight="1" spans="1:2">
      <c r="A144" s="9">
        <v>142</v>
      </c>
      <c r="B144" s="10">
        <v>3</v>
      </c>
    </row>
    <row r="145" s="1" customFormat="1" ht="22.5" customHeight="1" spans="1:2">
      <c r="A145" s="9">
        <v>143</v>
      </c>
      <c r="B145" s="10">
        <v>3</v>
      </c>
    </row>
    <row r="146" s="1" customFormat="1" ht="22.5" customHeight="1" spans="1:2">
      <c r="A146" s="9">
        <v>144</v>
      </c>
      <c r="B146" s="10">
        <v>8</v>
      </c>
    </row>
    <row r="147" s="1" customFormat="1" ht="22.5" customHeight="1" spans="1:2">
      <c r="A147" s="9">
        <v>145</v>
      </c>
      <c r="B147" s="10">
        <v>11</v>
      </c>
    </row>
    <row r="148" s="1" customFormat="1" ht="22.5" customHeight="1" spans="1:2">
      <c r="A148" s="9">
        <v>146</v>
      </c>
      <c r="B148" s="10">
        <v>7</v>
      </c>
    </row>
    <row r="149" s="1" customFormat="1" ht="22.5" customHeight="1" spans="1:2">
      <c r="A149" s="9">
        <v>147</v>
      </c>
      <c r="B149" s="10">
        <v>4</v>
      </c>
    </row>
    <row r="150" s="1" customFormat="1" ht="22.5" customHeight="1" spans="1:2">
      <c r="A150" s="9">
        <v>148</v>
      </c>
      <c r="B150" s="10">
        <v>6</v>
      </c>
    </row>
    <row r="151" s="1" customFormat="1" ht="22.5" customHeight="1" spans="1:2">
      <c r="A151" s="9">
        <v>149</v>
      </c>
      <c r="B151" s="10">
        <v>7</v>
      </c>
    </row>
    <row r="152" s="1" customFormat="1" ht="22.5" customHeight="1" spans="1:2">
      <c r="A152" s="9">
        <v>150</v>
      </c>
      <c r="B152" s="10">
        <v>5</v>
      </c>
    </row>
    <row r="153" s="1" customFormat="1" ht="22.5" customHeight="1" spans="1:2">
      <c r="A153" s="9">
        <v>151</v>
      </c>
      <c r="B153" s="10">
        <v>4</v>
      </c>
    </row>
    <row r="154" s="1" customFormat="1" ht="22.5" customHeight="1" spans="1:2">
      <c r="A154" s="9">
        <v>152</v>
      </c>
      <c r="B154" s="10">
        <v>3</v>
      </c>
    </row>
    <row r="155" s="1" customFormat="1" ht="22.5" customHeight="1" spans="1:2">
      <c r="A155" s="9">
        <v>153</v>
      </c>
      <c r="B155" s="10">
        <v>5</v>
      </c>
    </row>
    <row r="156" s="1" customFormat="1" ht="22.5" customHeight="1" spans="1:2">
      <c r="A156" s="9">
        <v>154</v>
      </c>
      <c r="B156" s="10">
        <v>7</v>
      </c>
    </row>
    <row r="157" s="1" customFormat="1" ht="22.5" customHeight="1" spans="1:2">
      <c r="A157" s="9">
        <v>155</v>
      </c>
      <c r="B157" s="10">
        <v>2</v>
      </c>
    </row>
    <row r="158" s="1" customFormat="1" ht="22.5" customHeight="1" spans="1:2">
      <c r="A158" s="9">
        <v>156</v>
      </c>
      <c r="B158" s="10">
        <v>1</v>
      </c>
    </row>
    <row r="159" s="1" customFormat="1" ht="22.5" customHeight="1" spans="1:2">
      <c r="A159" s="9">
        <v>157</v>
      </c>
      <c r="B159" s="10">
        <v>6</v>
      </c>
    </row>
    <row r="160" s="1" customFormat="1" ht="22.5" customHeight="1" spans="1:2">
      <c r="A160" s="9">
        <v>158</v>
      </c>
      <c r="B160" s="10">
        <v>6</v>
      </c>
    </row>
    <row r="161" s="1" customFormat="1" ht="22.5" customHeight="1" spans="1:2">
      <c r="A161" s="9">
        <v>159</v>
      </c>
      <c r="B161" s="10">
        <v>4</v>
      </c>
    </row>
    <row r="162" s="1" customFormat="1" ht="22.5" customHeight="1" spans="1:2">
      <c r="A162" s="9">
        <v>160</v>
      </c>
      <c r="B162" s="10">
        <v>4</v>
      </c>
    </row>
    <row r="163" s="1" customFormat="1" ht="22.5" customHeight="1" spans="1:2">
      <c r="A163" s="9">
        <v>161</v>
      </c>
      <c r="B163" s="10">
        <v>4</v>
      </c>
    </row>
    <row r="164" s="1" customFormat="1" ht="22.5" customHeight="1" spans="1:2">
      <c r="A164" s="9">
        <v>162</v>
      </c>
      <c r="B164" s="10">
        <v>2</v>
      </c>
    </row>
    <row r="165" s="1" customFormat="1" ht="22.5" customHeight="1" spans="1:2">
      <c r="A165" s="9">
        <v>163</v>
      </c>
      <c r="B165" s="10">
        <v>8</v>
      </c>
    </row>
    <row r="166" s="1" customFormat="1" ht="22.5" customHeight="1" spans="1:2">
      <c r="A166" s="9">
        <v>164</v>
      </c>
      <c r="B166" s="10">
        <v>4</v>
      </c>
    </row>
    <row r="167" s="1" customFormat="1" ht="22.5" customHeight="1" spans="1:2">
      <c r="A167" s="9">
        <v>165</v>
      </c>
      <c r="B167" s="10">
        <v>6</v>
      </c>
    </row>
    <row r="168" s="1" customFormat="1" ht="22.5" customHeight="1" spans="1:2">
      <c r="A168" s="9">
        <v>166</v>
      </c>
      <c r="B168" s="10">
        <v>5</v>
      </c>
    </row>
    <row r="169" s="1" customFormat="1" ht="22.5" customHeight="1" spans="1:2">
      <c r="A169" s="9">
        <v>168</v>
      </c>
      <c r="B169" s="10">
        <v>4</v>
      </c>
    </row>
    <row r="170" s="1" customFormat="1" ht="22.5" customHeight="1" spans="1:2">
      <c r="A170" s="9">
        <v>169</v>
      </c>
      <c r="B170" s="10">
        <v>1</v>
      </c>
    </row>
    <row r="171" s="1" customFormat="1" ht="22.5" customHeight="1" spans="1:2">
      <c r="A171" s="9">
        <v>170</v>
      </c>
      <c r="B171" s="10">
        <v>4</v>
      </c>
    </row>
    <row r="172" s="1" customFormat="1" ht="22.5" customHeight="1" spans="1:2">
      <c r="A172" s="9">
        <v>171</v>
      </c>
      <c r="B172" s="10">
        <v>3</v>
      </c>
    </row>
    <row r="173" s="1" customFormat="1" ht="22.5" customHeight="1" spans="1:2">
      <c r="A173" s="9">
        <v>172</v>
      </c>
      <c r="B173" s="10">
        <v>3</v>
      </c>
    </row>
    <row r="174" s="1" customFormat="1" ht="22.5" customHeight="1" spans="1:2">
      <c r="A174" s="9">
        <v>173</v>
      </c>
      <c r="B174" s="10">
        <v>4</v>
      </c>
    </row>
    <row r="175" s="1" customFormat="1" ht="22.5" customHeight="1" spans="1:2">
      <c r="A175" s="9">
        <v>174</v>
      </c>
      <c r="B175" s="10">
        <v>2</v>
      </c>
    </row>
    <row r="176" s="1" customFormat="1" ht="22.5" customHeight="1" spans="1:2">
      <c r="A176" s="9">
        <v>175</v>
      </c>
      <c r="B176" s="10">
        <v>3</v>
      </c>
    </row>
    <row r="177" s="1" customFormat="1" ht="22.5" customHeight="1" spans="1:2">
      <c r="A177" s="9">
        <v>176</v>
      </c>
      <c r="B177" s="10">
        <v>3</v>
      </c>
    </row>
    <row r="178" s="1" customFormat="1" ht="22.5" customHeight="1" spans="1:2">
      <c r="A178" s="9">
        <v>177</v>
      </c>
      <c r="B178" s="10">
        <v>2</v>
      </c>
    </row>
    <row r="179" s="1" customFormat="1" ht="22.5" customHeight="1" spans="1:2">
      <c r="A179" s="9">
        <v>178</v>
      </c>
      <c r="B179" s="10">
        <v>3</v>
      </c>
    </row>
    <row r="180" s="1" customFormat="1" ht="22.5" customHeight="1" spans="1:2">
      <c r="A180" s="9">
        <v>179</v>
      </c>
      <c r="B180" s="10">
        <v>3</v>
      </c>
    </row>
    <row r="181" s="1" customFormat="1" ht="22.5" customHeight="1" spans="1:2">
      <c r="A181" s="9">
        <v>180</v>
      </c>
      <c r="B181" s="10">
        <v>4</v>
      </c>
    </row>
    <row r="182" s="1" customFormat="1" ht="22.5" customHeight="1" spans="1:2">
      <c r="A182" s="9">
        <v>181</v>
      </c>
      <c r="B182" s="10">
        <v>2</v>
      </c>
    </row>
    <row r="183" s="1" customFormat="1" ht="22.5" customHeight="1" spans="1:2">
      <c r="A183" s="9">
        <v>182</v>
      </c>
      <c r="B183" s="10">
        <v>4</v>
      </c>
    </row>
    <row r="184" s="1" customFormat="1" ht="22.5" customHeight="1" spans="1:2">
      <c r="A184" s="9">
        <v>183</v>
      </c>
      <c r="B184" s="10">
        <v>4</v>
      </c>
    </row>
    <row r="185" s="1" customFormat="1" ht="22.5" customHeight="1" spans="1:2">
      <c r="A185" s="9">
        <v>185</v>
      </c>
      <c r="B185" s="10">
        <v>5</v>
      </c>
    </row>
    <row r="186" s="1" customFormat="1" ht="22.5" customHeight="1" spans="1:2">
      <c r="A186" s="9">
        <v>186</v>
      </c>
      <c r="B186" s="10">
        <v>4</v>
      </c>
    </row>
    <row r="187" s="1" customFormat="1" ht="22.5" customHeight="1" spans="1:2">
      <c r="A187" s="9">
        <v>187</v>
      </c>
      <c r="B187" s="10">
        <v>2</v>
      </c>
    </row>
    <row r="188" s="1" customFormat="1" ht="22.5" customHeight="1" spans="1:2">
      <c r="A188" s="9">
        <v>188</v>
      </c>
      <c r="B188" s="10">
        <v>1</v>
      </c>
    </row>
    <row r="189" s="1" customFormat="1" ht="22.5" customHeight="1" spans="1:2">
      <c r="A189" s="9">
        <v>189</v>
      </c>
      <c r="B189" s="10">
        <v>4</v>
      </c>
    </row>
    <row r="190" s="1" customFormat="1" ht="22.5" customHeight="1" spans="1:2">
      <c r="A190" s="9">
        <v>190</v>
      </c>
      <c r="B190" s="10">
        <v>5</v>
      </c>
    </row>
    <row r="191" s="1" customFormat="1" ht="22.5" customHeight="1" spans="1:2">
      <c r="A191" s="9">
        <v>191</v>
      </c>
      <c r="B191" s="10">
        <v>2</v>
      </c>
    </row>
    <row r="192" s="1" customFormat="1" ht="22.5" customHeight="1" spans="1:2">
      <c r="A192" s="9">
        <v>192</v>
      </c>
      <c r="B192" s="10">
        <v>2</v>
      </c>
    </row>
    <row r="193" s="1" customFormat="1" ht="22.5" customHeight="1" spans="1:2">
      <c r="A193" s="9">
        <v>193</v>
      </c>
      <c r="B193" s="10">
        <v>4</v>
      </c>
    </row>
    <row r="194" s="1" customFormat="1" ht="22.5" customHeight="1" spans="1:2">
      <c r="A194" s="9">
        <v>194</v>
      </c>
      <c r="B194" s="10">
        <v>3</v>
      </c>
    </row>
    <row r="195" s="1" customFormat="1" ht="22.5" customHeight="1" spans="1:2">
      <c r="A195" s="9">
        <v>195</v>
      </c>
      <c r="B195" s="10">
        <v>5</v>
      </c>
    </row>
    <row r="196" s="1" customFormat="1" ht="22.5" customHeight="1" spans="1:2">
      <c r="A196" s="9">
        <v>196</v>
      </c>
      <c r="B196" s="10">
        <v>1</v>
      </c>
    </row>
    <row r="197" s="1" customFormat="1" ht="22.5" customHeight="1" spans="1:2">
      <c r="A197" s="9">
        <v>197</v>
      </c>
      <c r="B197" s="10">
        <v>3</v>
      </c>
    </row>
    <row r="198" s="1" customFormat="1" ht="22.5" customHeight="1" spans="1:2">
      <c r="A198" s="9">
        <v>198</v>
      </c>
      <c r="B198" s="10">
        <v>1</v>
      </c>
    </row>
    <row r="199" s="1" customFormat="1" ht="22.5" customHeight="1" spans="1:2">
      <c r="A199" s="9">
        <v>199</v>
      </c>
      <c r="B199" s="10">
        <v>2</v>
      </c>
    </row>
    <row r="200" s="1" customFormat="1" ht="22.5" customHeight="1" spans="1:2">
      <c r="A200" s="9">
        <v>200</v>
      </c>
      <c r="B200" s="10">
        <v>4</v>
      </c>
    </row>
    <row r="201" s="1" customFormat="1" ht="22.5" customHeight="1" spans="1:2">
      <c r="A201" s="9">
        <v>201</v>
      </c>
      <c r="B201" s="10">
        <v>3</v>
      </c>
    </row>
    <row r="202" s="1" customFormat="1" ht="22.5" customHeight="1" spans="1:2">
      <c r="A202" s="9">
        <v>203</v>
      </c>
      <c r="B202" s="10">
        <v>2</v>
      </c>
    </row>
    <row r="203" s="1" customFormat="1" ht="22.5" customHeight="1" spans="1:2">
      <c r="A203" s="9">
        <v>204</v>
      </c>
      <c r="B203" s="10">
        <v>4</v>
      </c>
    </row>
    <row r="204" s="1" customFormat="1" ht="22.5" customHeight="1" spans="1:2">
      <c r="A204" s="9">
        <v>205</v>
      </c>
      <c r="B204" s="10">
        <v>1</v>
      </c>
    </row>
    <row r="205" s="1" customFormat="1" ht="22.5" customHeight="1" spans="1:2">
      <c r="A205" s="9">
        <v>206</v>
      </c>
      <c r="B205" s="10">
        <v>3</v>
      </c>
    </row>
    <row r="206" s="1" customFormat="1" ht="22.5" customHeight="1" spans="1:2">
      <c r="A206" s="9">
        <v>208</v>
      </c>
      <c r="B206" s="10">
        <v>5</v>
      </c>
    </row>
    <row r="207" s="1" customFormat="1" ht="22.5" customHeight="1" spans="1:2">
      <c r="A207" s="9">
        <v>209</v>
      </c>
      <c r="B207" s="10">
        <v>4</v>
      </c>
    </row>
    <row r="208" s="1" customFormat="1" ht="22.5" customHeight="1" spans="1:2">
      <c r="A208" s="9">
        <v>210</v>
      </c>
      <c r="B208" s="10">
        <v>2</v>
      </c>
    </row>
    <row r="209" s="1" customFormat="1" ht="22.5" customHeight="1" spans="1:2">
      <c r="A209" s="9">
        <v>211</v>
      </c>
      <c r="B209" s="10">
        <v>2</v>
      </c>
    </row>
    <row r="210" s="1" customFormat="1" ht="22.5" customHeight="1" spans="1:2">
      <c r="A210" s="9">
        <v>212</v>
      </c>
      <c r="B210" s="10">
        <v>1</v>
      </c>
    </row>
    <row r="211" s="1" customFormat="1" ht="22.5" customHeight="1" spans="1:2">
      <c r="A211" s="9">
        <v>213</v>
      </c>
      <c r="B211" s="10">
        <v>4</v>
      </c>
    </row>
    <row r="212" s="1" customFormat="1" ht="22.5" customHeight="1" spans="1:2">
      <c r="A212" s="9">
        <v>214</v>
      </c>
      <c r="B212" s="10">
        <v>2</v>
      </c>
    </row>
    <row r="213" s="1" customFormat="1" ht="22.5" customHeight="1" spans="1:2">
      <c r="A213" s="9">
        <v>215</v>
      </c>
      <c r="B213" s="10">
        <v>1</v>
      </c>
    </row>
    <row r="214" s="1" customFormat="1" ht="22.5" customHeight="1" spans="1:2">
      <c r="A214" s="9">
        <v>216</v>
      </c>
      <c r="B214" s="10">
        <v>2</v>
      </c>
    </row>
    <row r="215" s="1" customFormat="1" ht="22.5" customHeight="1" spans="1:2">
      <c r="A215" s="9">
        <v>217</v>
      </c>
      <c r="B215" s="10">
        <v>1</v>
      </c>
    </row>
    <row r="216" s="1" customFormat="1" ht="22.5" customHeight="1" spans="1:2">
      <c r="A216" s="9">
        <v>218</v>
      </c>
      <c r="B216" s="10">
        <v>3</v>
      </c>
    </row>
    <row r="217" s="1" customFormat="1" ht="22.5" customHeight="1" spans="1:2">
      <c r="A217" s="9">
        <v>219</v>
      </c>
      <c r="B217" s="10">
        <v>1</v>
      </c>
    </row>
    <row r="218" s="1" customFormat="1" ht="22.5" customHeight="1" spans="1:2">
      <c r="A218" s="9">
        <v>220</v>
      </c>
      <c r="B218" s="10">
        <v>5</v>
      </c>
    </row>
    <row r="219" s="1" customFormat="1" ht="22.5" customHeight="1" spans="1:2">
      <c r="A219" s="9">
        <v>221</v>
      </c>
      <c r="B219" s="10">
        <v>4</v>
      </c>
    </row>
    <row r="220" s="1" customFormat="1" ht="22.5" customHeight="1" spans="1:2">
      <c r="A220" s="9">
        <v>222</v>
      </c>
      <c r="B220" s="10">
        <v>3</v>
      </c>
    </row>
    <row r="221" s="1" customFormat="1" ht="22.5" customHeight="1" spans="1:2">
      <c r="A221" s="9">
        <v>223</v>
      </c>
      <c r="B221" s="10">
        <v>2</v>
      </c>
    </row>
    <row r="222" s="1" customFormat="1" ht="22.5" customHeight="1" spans="1:2">
      <c r="A222" s="9">
        <v>224</v>
      </c>
      <c r="B222" s="10">
        <v>6</v>
      </c>
    </row>
    <row r="223" s="1" customFormat="1" ht="22.5" customHeight="1" spans="1:2">
      <c r="A223" s="9">
        <v>225</v>
      </c>
      <c r="B223" s="10">
        <v>3</v>
      </c>
    </row>
    <row r="224" s="1" customFormat="1" ht="22.5" customHeight="1" spans="1:2">
      <c r="A224" s="9">
        <v>226</v>
      </c>
      <c r="B224" s="10">
        <v>2</v>
      </c>
    </row>
    <row r="225" s="1" customFormat="1" ht="22.5" customHeight="1" spans="1:2">
      <c r="A225" s="9">
        <v>227</v>
      </c>
      <c r="B225" s="10">
        <v>1</v>
      </c>
    </row>
    <row r="226" s="1" customFormat="1" ht="22.5" customHeight="1" spans="1:2">
      <c r="A226" s="9">
        <v>228</v>
      </c>
      <c r="B226" s="10">
        <v>4</v>
      </c>
    </row>
    <row r="227" s="1" customFormat="1" ht="22.5" customHeight="1" spans="1:2">
      <c r="A227" s="9">
        <v>229</v>
      </c>
      <c r="B227" s="10">
        <v>3</v>
      </c>
    </row>
    <row r="228" s="1" customFormat="1" ht="22.5" customHeight="1" spans="1:2">
      <c r="A228" s="9">
        <v>230</v>
      </c>
      <c r="B228" s="10">
        <v>2</v>
      </c>
    </row>
    <row r="229" s="1" customFormat="1" ht="22.5" customHeight="1" spans="1:2">
      <c r="A229" s="9">
        <v>231</v>
      </c>
      <c r="B229" s="10">
        <v>2</v>
      </c>
    </row>
    <row r="230" s="1" customFormat="1" ht="22.5" customHeight="1" spans="1:2">
      <c r="A230" s="9">
        <v>233</v>
      </c>
      <c r="B230" s="10">
        <v>4</v>
      </c>
    </row>
    <row r="231" s="1" customFormat="1" ht="22.5" customHeight="1" spans="1:2">
      <c r="A231" s="9">
        <v>234</v>
      </c>
      <c r="B231" s="10">
        <v>3</v>
      </c>
    </row>
    <row r="232" s="1" customFormat="1" ht="22.5" customHeight="1" spans="1:2">
      <c r="A232" s="9">
        <v>235</v>
      </c>
      <c r="B232" s="10">
        <v>1</v>
      </c>
    </row>
    <row r="233" s="1" customFormat="1" ht="22.5" customHeight="1" spans="1:2">
      <c r="A233" s="9">
        <v>237</v>
      </c>
      <c r="B233" s="10">
        <v>3</v>
      </c>
    </row>
    <row r="234" s="1" customFormat="1" ht="22.5" customHeight="1" spans="1:2">
      <c r="A234" s="9">
        <v>238</v>
      </c>
      <c r="B234" s="10">
        <v>3</v>
      </c>
    </row>
    <row r="235" s="1" customFormat="1" ht="22.5" customHeight="1" spans="1:2">
      <c r="A235" s="9">
        <v>239</v>
      </c>
      <c r="B235" s="10">
        <v>2</v>
      </c>
    </row>
    <row r="236" s="1" customFormat="1" ht="22.5" customHeight="1" spans="1:2">
      <c r="A236" s="9">
        <v>240</v>
      </c>
      <c r="B236" s="10">
        <v>1</v>
      </c>
    </row>
    <row r="237" s="1" customFormat="1" ht="22.5" customHeight="1" spans="1:2">
      <c r="A237" s="9">
        <v>242</v>
      </c>
      <c r="B237" s="10">
        <v>1</v>
      </c>
    </row>
    <row r="238" s="1" customFormat="1" ht="22.5" customHeight="1" spans="1:2">
      <c r="A238" s="9">
        <v>243</v>
      </c>
      <c r="B238" s="10">
        <v>5</v>
      </c>
    </row>
    <row r="239" s="1" customFormat="1" ht="22.5" customHeight="1" spans="1:2">
      <c r="A239" s="9">
        <v>244</v>
      </c>
      <c r="B239" s="10">
        <v>1</v>
      </c>
    </row>
    <row r="240" s="1" customFormat="1" ht="22.5" customHeight="1" spans="1:2">
      <c r="A240" s="9">
        <v>245</v>
      </c>
      <c r="B240" s="10">
        <v>3</v>
      </c>
    </row>
    <row r="241" s="1" customFormat="1" ht="22.5" customHeight="1" spans="1:2">
      <c r="A241" s="9">
        <v>247</v>
      </c>
      <c r="B241" s="10">
        <v>1</v>
      </c>
    </row>
    <row r="242" s="1" customFormat="1" ht="22.5" customHeight="1" spans="1:2">
      <c r="A242" s="9">
        <v>249</v>
      </c>
      <c r="B242" s="10">
        <v>3</v>
      </c>
    </row>
    <row r="243" s="1" customFormat="1" ht="22.5" customHeight="1" spans="1:2">
      <c r="A243" s="9">
        <v>250</v>
      </c>
      <c r="B243" s="10">
        <v>2</v>
      </c>
    </row>
    <row r="244" s="1" customFormat="1" ht="22.5" customHeight="1" spans="1:2">
      <c r="A244" s="9">
        <v>251</v>
      </c>
      <c r="B244" s="10">
        <v>2</v>
      </c>
    </row>
    <row r="245" s="1" customFormat="1" ht="22.5" customHeight="1" spans="1:2">
      <c r="A245" s="9">
        <v>252</v>
      </c>
      <c r="B245" s="10">
        <v>1</v>
      </c>
    </row>
    <row r="246" s="1" customFormat="1" ht="22.5" customHeight="1" spans="1:2">
      <c r="A246" s="9">
        <v>253</v>
      </c>
      <c r="B246" s="10">
        <v>1</v>
      </c>
    </row>
    <row r="247" s="1" customFormat="1" ht="22.5" customHeight="1" spans="1:2">
      <c r="A247" s="9">
        <v>254</v>
      </c>
      <c r="B247" s="10">
        <v>3</v>
      </c>
    </row>
    <row r="248" s="1" customFormat="1" ht="22.5" customHeight="1" spans="1:2">
      <c r="A248" s="9">
        <v>255</v>
      </c>
      <c r="B248" s="10">
        <v>2</v>
      </c>
    </row>
    <row r="249" s="1" customFormat="1" ht="22.5" customHeight="1" spans="1:2">
      <c r="A249" s="9">
        <v>257</v>
      </c>
      <c r="B249" s="10">
        <v>2</v>
      </c>
    </row>
    <row r="250" s="1" customFormat="1" ht="22.5" customHeight="1" spans="1:2">
      <c r="A250" s="9">
        <v>258</v>
      </c>
      <c r="B250" s="10">
        <v>1</v>
      </c>
    </row>
    <row r="251" s="1" customFormat="1" ht="22.5" customHeight="1" spans="1:2">
      <c r="A251" s="9">
        <v>260</v>
      </c>
      <c r="B251" s="10">
        <v>1</v>
      </c>
    </row>
    <row r="252" s="1" customFormat="1" ht="22.5" customHeight="1" spans="1:2">
      <c r="A252" s="9">
        <v>261</v>
      </c>
      <c r="B252" s="10">
        <v>1</v>
      </c>
    </row>
    <row r="253" s="1" customFormat="1" ht="22.5" customHeight="1" spans="1:2">
      <c r="A253" s="9">
        <v>262</v>
      </c>
      <c r="B253" s="10">
        <v>1</v>
      </c>
    </row>
    <row r="254" s="1" customFormat="1" ht="22.5" customHeight="1" spans="1:2">
      <c r="A254" s="9">
        <v>263</v>
      </c>
      <c r="B254" s="10">
        <v>1</v>
      </c>
    </row>
    <row r="255" s="1" customFormat="1" ht="22.5" customHeight="1" spans="1:2">
      <c r="A255" s="9">
        <v>264</v>
      </c>
      <c r="B255" s="10">
        <v>1</v>
      </c>
    </row>
    <row r="256" s="1" customFormat="1" ht="22.5" customHeight="1" spans="1:2">
      <c r="A256" s="9">
        <v>265</v>
      </c>
      <c r="B256" s="10">
        <v>3</v>
      </c>
    </row>
    <row r="257" s="1" customFormat="1" ht="22.5" customHeight="1" spans="1:2">
      <c r="A257" s="9">
        <v>266</v>
      </c>
      <c r="B257" s="10">
        <v>3</v>
      </c>
    </row>
    <row r="258" s="1" customFormat="1" ht="22.5" customHeight="1" spans="1:2">
      <c r="A258" s="9">
        <v>267</v>
      </c>
      <c r="B258" s="10">
        <v>1</v>
      </c>
    </row>
    <row r="259" s="1" customFormat="1" ht="22.5" customHeight="1" spans="1:2">
      <c r="A259" s="9">
        <v>268</v>
      </c>
      <c r="B259" s="10">
        <v>1</v>
      </c>
    </row>
    <row r="260" s="1" customFormat="1" ht="22.5" customHeight="1" spans="1:2">
      <c r="A260" s="9">
        <v>269</v>
      </c>
      <c r="B260" s="10">
        <v>2</v>
      </c>
    </row>
    <row r="261" s="1" customFormat="1" ht="22.5" customHeight="1" spans="1:2">
      <c r="A261" s="9">
        <v>270</v>
      </c>
      <c r="B261" s="10">
        <v>1</v>
      </c>
    </row>
    <row r="262" s="1" customFormat="1" ht="22.5" customHeight="1" spans="1:2">
      <c r="A262" s="9">
        <v>271</v>
      </c>
      <c r="B262" s="10">
        <v>2</v>
      </c>
    </row>
    <row r="263" s="1" customFormat="1" ht="22.5" customHeight="1" spans="1:2">
      <c r="A263" s="9">
        <v>272</v>
      </c>
      <c r="B263" s="10">
        <v>3</v>
      </c>
    </row>
    <row r="264" s="1" customFormat="1" ht="22.5" customHeight="1" spans="1:2">
      <c r="A264" s="9">
        <v>273</v>
      </c>
      <c r="B264" s="10">
        <v>3</v>
      </c>
    </row>
    <row r="265" s="1" customFormat="1" ht="22.5" customHeight="1" spans="1:2">
      <c r="A265" s="9">
        <v>276</v>
      </c>
      <c r="B265" s="10">
        <v>1</v>
      </c>
    </row>
    <row r="266" s="1" customFormat="1" ht="22.5" customHeight="1" spans="1:2">
      <c r="A266" s="9">
        <v>277</v>
      </c>
      <c r="B266" s="10">
        <v>1</v>
      </c>
    </row>
    <row r="267" s="1" customFormat="1" ht="22.5" customHeight="1" spans="1:2">
      <c r="A267" s="9">
        <v>278</v>
      </c>
      <c r="B267" s="10">
        <v>1</v>
      </c>
    </row>
    <row r="268" s="1" customFormat="1" ht="22.5" customHeight="1" spans="1:2">
      <c r="A268" s="9">
        <v>279</v>
      </c>
      <c r="B268" s="10">
        <v>2</v>
      </c>
    </row>
    <row r="269" s="1" customFormat="1" ht="22.5" customHeight="1" spans="1:2">
      <c r="A269" s="9">
        <v>280</v>
      </c>
      <c r="B269" s="10">
        <v>1</v>
      </c>
    </row>
    <row r="270" s="1" customFormat="1" ht="22.5" customHeight="1" spans="1:2">
      <c r="A270" s="9">
        <v>282</v>
      </c>
      <c r="B270" s="10">
        <v>1</v>
      </c>
    </row>
    <row r="271" s="1" customFormat="1" ht="22.5" customHeight="1" spans="1:2">
      <c r="A271" s="9">
        <v>286</v>
      </c>
      <c r="B271" s="10">
        <v>1</v>
      </c>
    </row>
    <row r="272" s="1" customFormat="1" ht="22.5" customHeight="1" spans="1:2">
      <c r="A272" s="9">
        <v>287</v>
      </c>
      <c r="B272" s="10">
        <v>1</v>
      </c>
    </row>
    <row r="273" s="1" customFormat="1" ht="22.5" customHeight="1" spans="1:2">
      <c r="A273" s="9">
        <v>288</v>
      </c>
      <c r="B273" s="10">
        <v>1</v>
      </c>
    </row>
    <row r="274" s="1" customFormat="1" ht="22.5" customHeight="1" spans="1:2">
      <c r="A274" s="9">
        <v>289</v>
      </c>
      <c r="B274" s="10">
        <v>1</v>
      </c>
    </row>
    <row r="275" s="1" customFormat="1" ht="22.5" customHeight="1" spans="1:2">
      <c r="A275" s="9">
        <v>290</v>
      </c>
      <c r="B275" s="10">
        <v>1</v>
      </c>
    </row>
    <row r="276" s="1" customFormat="1" ht="22.5" customHeight="1" spans="1:2">
      <c r="A276" s="9">
        <v>292</v>
      </c>
      <c r="B276" s="10">
        <v>1</v>
      </c>
    </row>
    <row r="277" s="1" customFormat="1" ht="22.5" customHeight="1" spans="1:2">
      <c r="A277" s="9">
        <v>294</v>
      </c>
      <c r="B277" s="10">
        <v>1</v>
      </c>
    </row>
    <row r="278" s="1" customFormat="1" ht="22.5" customHeight="1" spans="1:2">
      <c r="A278" s="9">
        <v>295</v>
      </c>
      <c r="B278" s="10">
        <v>1</v>
      </c>
    </row>
    <row r="279" s="1" customFormat="1" ht="22.5" customHeight="1" spans="1:2">
      <c r="A279" s="9">
        <v>296</v>
      </c>
      <c r="B279" s="10">
        <v>1</v>
      </c>
    </row>
    <row r="280" s="1" customFormat="1" ht="22.5" customHeight="1" spans="1:2">
      <c r="A280" s="9">
        <v>297</v>
      </c>
      <c r="B280" s="10">
        <v>3</v>
      </c>
    </row>
    <row r="281" s="1" customFormat="1" ht="22.5" customHeight="1" spans="1:2">
      <c r="A281" s="9">
        <v>298</v>
      </c>
      <c r="B281" s="10">
        <v>1</v>
      </c>
    </row>
    <row r="282" s="1" customFormat="1" ht="22.5" customHeight="1" spans="1:2">
      <c r="A282" s="9">
        <v>300</v>
      </c>
      <c r="B282" s="10">
        <v>1</v>
      </c>
    </row>
    <row r="283" s="1" customFormat="1" ht="22.5" customHeight="1" spans="1:2">
      <c r="A283" s="9">
        <v>301</v>
      </c>
      <c r="B283" s="10">
        <v>1</v>
      </c>
    </row>
    <row r="284" s="1" customFormat="1" ht="22.5" customHeight="1" spans="1:2">
      <c r="A284" s="9">
        <v>304</v>
      </c>
      <c r="B284" s="10">
        <v>1</v>
      </c>
    </row>
    <row r="285" s="1" customFormat="1" ht="22.5" customHeight="1" spans="1:2">
      <c r="A285" s="9">
        <v>306</v>
      </c>
      <c r="B285" s="10">
        <v>1</v>
      </c>
    </row>
    <row r="286" s="1" customFormat="1" ht="22.5" customHeight="1" spans="1:2">
      <c r="A286" s="9">
        <v>307</v>
      </c>
      <c r="B286" s="10">
        <v>1</v>
      </c>
    </row>
    <row r="287" s="1" customFormat="1" ht="22.5" customHeight="1" spans="1:2">
      <c r="A287" s="9">
        <v>310</v>
      </c>
      <c r="B287" s="10">
        <v>1</v>
      </c>
    </row>
    <row r="288" s="1" customFormat="1" ht="22.5" customHeight="1" spans="1:2">
      <c r="A288" s="9">
        <v>313</v>
      </c>
      <c r="B288" s="10">
        <v>2</v>
      </c>
    </row>
    <row r="289" s="1" customFormat="1" ht="22.5" customHeight="1" spans="1:2">
      <c r="A289" s="9">
        <v>316</v>
      </c>
      <c r="B289" s="10">
        <v>3</v>
      </c>
    </row>
    <row r="290" s="1" customFormat="1" ht="22.5" customHeight="1" spans="1:2">
      <c r="A290" s="9">
        <v>318</v>
      </c>
      <c r="B290" s="10">
        <v>1</v>
      </c>
    </row>
    <row r="291" s="1" customFormat="1" ht="22.5" customHeight="1" spans="1:2">
      <c r="A291" s="9">
        <v>319</v>
      </c>
      <c r="B291" s="10">
        <v>2</v>
      </c>
    </row>
    <row r="292" s="1" customFormat="1" ht="22.5" customHeight="1" spans="1:2">
      <c r="A292" s="9">
        <v>320</v>
      </c>
      <c r="B292" s="10">
        <v>2</v>
      </c>
    </row>
    <row r="293" s="1" customFormat="1" ht="22.5" customHeight="1" spans="1:2">
      <c r="A293" s="9">
        <v>321</v>
      </c>
      <c r="B293" s="10">
        <v>1</v>
      </c>
    </row>
    <row r="294" s="1" customFormat="1" ht="22.5" customHeight="1" spans="1:2">
      <c r="A294" s="9">
        <v>323</v>
      </c>
      <c r="B294" s="10">
        <v>3</v>
      </c>
    </row>
    <row r="295" s="1" customFormat="1" ht="22.5" customHeight="1" spans="1:2">
      <c r="A295" s="9">
        <v>325</v>
      </c>
      <c r="B295" s="10">
        <v>2</v>
      </c>
    </row>
    <row r="296" s="1" customFormat="1" ht="22.5" customHeight="1" spans="1:2">
      <c r="A296" s="9">
        <v>327</v>
      </c>
      <c r="B296" s="10">
        <v>1</v>
      </c>
    </row>
    <row r="297" s="1" customFormat="1" ht="22.5" customHeight="1" spans="1:2">
      <c r="A297" s="9">
        <v>331</v>
      </c>
      <c r="B297" s="10">
        <v>1</v>
      </c>
    </row>
    <row r="298" s="1" customFormat="1" ht="22.5" customHeight="1" spans="1:2">
      <c r="A298" s="9">
        <v>332</v>
      </c>
      <c r="B298" s="10">
        <v>1</v>
      </c>
    </row>
    <row r="299" s="1" customFormat="1" ht="22.5" customHeight="1" spans="1:2">
      <c r="A299" s="9">
        <v>333</v>
      </c>
      <c r="B299" s="10">
        <v>1</v>
      </c>
    </row>
    <row r="300" s="1" customFormat="1" ht="22.5" customHeight="1" spans="1:2">
      <c r="A300" s="9">
        <v>334</v>
      </c>
      <c r="B300" s="10">
        <v>3</v>
      </c>
    </row>
    <row r="301" s="1" customFormat="1" ht="22.5" customHeight="1" spans="1:2">
      <c r="A301" s="9">
        <v>335</v>
      </c>
      <c r="B301" s="10">
        <v>1</v>
      </c>
    </row>
    <row r="302" s="1" customFormat="1" ht="22.5" customHeight="1" spans="1:2">
      <c r="A302" s="9">
        <v>337</v>
      </c>
      <c r="B302" s="10">
        <v>1</v>
      </c>
    </row>
    <row r="303" s="1" customFormat="1" ht="22.5" customHeight="1" spans="1:2">
      <c r="A303" s="9">
        <v>340</v>
      </c>
      <c r="B303" s="10">
        <v>1</v>
      </c>
    </row>
    <row r="304" s="1" customFormat="1" ht="22.5" customHeight="1" spans="1:2">
      <c r="A304" s="9">
        <v>342</v>
      </c>
      <c r="B304" s="10">
        <v>1</v>
      </c>
    </row>
    <row r="305" s="1" customFormat="1" ht="22.5" customHeight="1" spans="1:2">
      <c r="A305" s="9">
        <v>343</v>
      </c>
      <c r="B305" s="10">
        <v>1</v>
      </c>
    </row>
    <row r="306" s="1" customFormat="1" ht="22.5" customHeight="1" spans="1:2">
      <c r="A306" s="9">
        <v>344</v>
      </c>
      <c r="B306" s="10">
        <v>2</v>
      </c>
    </row>
    <row r="307" s="1" customFormat="1" ht="22.5" customHeight="1" spans="1:2">
      <c r="A307" s="9">
        <v>345</v>
      </c>
      <c r="B307" s="10">
        <v>1</v>
      </c>
    </row>
    <row r="308" s="1" customFormat="1" ht="22.5" customHeight="1" spans="1:2">
      <c r="A308" s="9">
        <v>347</v>
      </c>
      <c r="B308" s="10">
        <v>1</v>
      </c>
    </row>
    <row r="309" s="1" customFormat="1" ht="22.5" customHeight="1" spans="1:2">
      <c r="A309" s="9">
        <v>350</v>
      </c>
      <c r="B309" s="10">
        <v>1</v>
      </c>
    </row>
    <row r="310" s="1" customFormat="1" ht="22.5" customHeight="1" spans="1:2">
      <c r="A310" s="9">
        <v>351</v>
      </c>
      <c r="B310" s="10">
        <v>1</v>
      </c>
    </row>
    <row r="311" s="1" customFormat="1" ht="22.5" customHeight="1" spans="1:2">
      <c r="A311" s="9">
        <v>354</v>
      </c>
      <c r="B311" s="10">
        <v>2</v>
      </c>
    </row>
    <row r="312" s="1" customFormat="1" ht="22.5" customHeight="1" spans="1:2">
      <c r="A312" s="9">
        <v>355</v>
      </c>
      <c r="B312" s="10">
        <v>3</v>
      </c>
    </row>
    <row r="313" s="1" customFormat="1" ht="22.5" customHeight="1" spans="1:2">
      <c r="A313" s="9">
        <v>356</v>
      </c>
      <c r="B313" s="10">
        <v>1</v>
      </c>
    </row>
    <row r="314" s="1" customFormat="1" ht="22.5" customHeight="1" spans="1:2">
      <c r="A314" s="9">
        <v>360</v>
      </c>
      <c r="B314" s="10">
        <v>1</v>
      </c>
    </row>
    <row r="315" s="1" customFormat="1" ht="22.5" customHeight="1" spans="1:2">
      <c r="A315" s="9">
        <v>362</v>
      </c>
      <c r="B315" s="10">
        <v>1</v>
      </c>
    </row>
    <row r="316" s="1" customFormat="1" ht="22.5" customHeight="1" spans="1:2">
      <c r="A316" s="9">
        <v>363</v>
      </c>
      <c r="B316" s="10">
        <v>1</v>
      </c>
    </row>
    <row r="317" s="1" customFormat="1" ht="22.5" customHeight="1" spans="1:2">
      <c r="A317" s="9">
        <v>364</v>
      </c>
      <c r="B317" s="10">
        <v>1</v>
      </c>
    </row>
    <row r="318" s="1" customFormat="1" ht="22.5" customHeight="1" spans="1:2">
      <c r="A318" s="9">
        <v>365</v>
      </c>
      <c r="B318" s="10">
        <v>1</v>
      </c>
    </row>
    <row r="319" s="1" customFormat="1" ht="22.5" customHeight="1" spans="1:2">
      <c r="A319" s="9">
        <v>366</v>
      </c>
      <c r="B319" s="10">
        <v>1</v>
      </c>
    </row>
    <row r="320" s="1" customFormat="1" ht="22.5" customHeight="1" spans="1:2">
      <c r="A320" s="9">
        <v>368</v>
      </c>
      <c r="B320" s="10">
        <v>1</v>
      </c>
    </row>
    <row r="321" s="1" customFormat="1" ht="22.5" customHeight="1" spans="1:2">
      <c r="A321" s="9">
        <v>369</v>
      </c>
      <c r="B321" s="10">
        <v>3</v>
      </c>
    </row>
    <row r="322" s="1" customFormat="1" ht="22.5" customHeight="1" spans="1:2">
      <c r="A322" s="9">
        <v>373</v>
      </c>
      <c r="B322" s="10">
        <v>2</v>
      </c>
    </row>
    <row r="323" s="1" customFormat="1" ht="22.5" customHeight="1" spans="1:2">
      <c r="A323" s="9">
        <v>375</v>
      </c>
      <c r="B323" s="10">
        <v>2</v>
      </c>
    </row>
    <row r="324" s="1" customFormat="1" ht="22.5" customHeight="1" spans="1:2">
      <c r="A324" s="9">
        <v>380</v>
      </c>
      <c r="B324" s="10">
        <v>1</v>
      </c>
    </row>
    <row r="325" s="1" customFormat="1" ht="22.5" customHeight="1" spans="1:2">
      <c r="A325" s="9">
        <v>381</v>
      </c>
      <c r="B325" s="10">
        <v>1</v>
      </c>
    </row>
    <row r="326" s="1" customFormat="1" ht="22.5" customHeight="1" spans="1:2">
      <c r="A326" s="9">
        <v>382</v>
      </c>
      <c r="B326" s="10">
        <v>1</v>
      </c>
    </row>
    <row r="327" s="1" customFormat="1" ht="22.5" customHeight="1" spans="1:2">
      <c r="A327" s="9">
        <v>384</v>
      </c>
      <c r="B327" s="10">
        <v>1</v>
      </c>
    </row>
    <row r="328" s="1" customFormat="1" ht="22.5" customHeight="1" spans="1:2">
      <c r="A328" s="9">
        <v>385</v>
      </c>
      <c r="B328" s="10">
        <v>1</v>
      </c>
    </row>
    <row r="329" s="1" customFormat="1" ht="22.5" customHeight="1" spans="1:2">
      <c r="A329" s="9">
        <v>386</v>
      </c>
      <c r="B329" s="10">
        <v>3</v>
      </c>
    </row>
    <row r="330" s="1" customFormat="1" ht="22.5" customHeight="1" spans="1:2">
      <c r="A330" s="9">
        <v>388</v>
      </c>
      <c r="B330" s="10">
        <v>1</v>
      </c>
    </row>
    <row r="331" s="1" customFormat="1" ht="22.5" customHeight="1" spans="1:2">
      <c r="A331" s="9">
        <v>392</v>
      </c>
      <c r="B331" s="10">
        <v>1</v>
      </c>
    </row>
    <row r="332" s="1" customFormat="1" ht="22.5" customHeight="1" spans="1:2">
      <c r="A332" s="9">
        <v>396</v>
      </c>
      <c r="B332" s="10">
        <v>1</v>
      </c>
    </row>
    <row r="333" s="1" customFormat="1" ht="22.5" customHeight="1" spans="1:2">
      <c r="A333" s="9">
        <v>399</v>
      </c>
      <c r="B333" s="10">
        <v>1</v>
      </c>
    </row>
    <row r="334" s="1" customFormat="1" ht="22.5" customHeight="1" spans="1:2">
      <c r="A334" s="9">
        <v>402</v>
      </c>
      <c r="B334" s="10">
        <v>1</v>
      </c>
    </row>
    <row r="335" s="1" customFormat="1" ht="22.5" customHeight="1" spans="1:2">
      <c r="A335" s="9">
        <v>405</v>
      </c>
      <c r="B335" s="10">
        <v>1</v>
      </c>
    </row>
    <row r="336" s="1" customFormat="1" ht="22.5" customHeight="1" spans="1:2">
      <c r="A336" s="9">
        <v>407</v>
      </c>
      <c r="B336" s="10">
        <v>1</v>
      </c>
    </row>
    <row r="337" s="1" customFormat="1" ht="22.5" customHeight="1" spans="1:2">
      <c r="A337" s="9">
        <v>414</v>
      </c>
      <c r="B337" s="10">
        <v>1</v>
      </c>
    </row>
    <row r="338" s="1" customFormat="1" ht="22.5" customHeight="1" spans="1:2">
      <c r="A338" s="9">
        <v>417</v>
      </c>
      <c r="B338" s="10">
        <v>1</v>
      </c>
    </row>
    <row r="339" s="1" customFormat="1" ht="22.5" customHeight="1" spans="1:2">
      <c r="A339" s="9">
        <v>418</v>
      </c>
      <c r="B339" s="10">
        <v>1</v>
      </c>
    </row>
    <row r="340" s="1" customFormat="1" ht="22.5" customHeight="1" spans="1:2">
      <c r="A340" s="9">
        <v>420</v>
      </c>
      <c r="B340" s="10">
        <v>1</v>
      </c>
    </row>
    <row r="341" s="1" customFormat="1" ht="22.5" customHeight="1" spans="1:2">
      <c r="A341" s="9">
        <v>426</v>
      </c>
      <c r="B341" s="10">
        <v>1</v>
      </c>
    </row>
    <row r="342" s="1" customFormat="1" ht="22.5" customHeight="1" spans="1:2">
      <c r="A342" s="9">
        <v>427</v>
      </c>
      <c r="B342" s="10">
        <v>1</v>
      </c>
    </row>
    <row r="343" s="1" customFormat="1" ht="22.5" customHeight="1" spans="1:2">
      <c r="A343" s="9">
        <v>430</v>
      </c>
      <c r="B343" s="10">
        <v>1</v>
      </c>
    </row>
    <row r="344" s="1" customFormat="1" ht="22.5" customHeight="1" spans="1:2">
      <c r="A344" s="9">
        <v>431</v>
      </c>
      <c r="B344" s="10">
        <v>1</v>
      </c>
    </row>
    <row r="345" s="1" customFormat="1" ht="22.5" customHeight="1" spans="1:2">
      <c r="A345" s="9">
        <v>432</v>
      </c>
      <c r="B345" s="10">
        <v>1</v>
      </c>
    </row>
    <row r="346" s="1" customFormat="1" ht="22.5" customHeight="1" spans="1:2">
      <c r="A346" s="9">
        <v>449</v>
      </c>
      <c r="B346" s="10">
        <v>1</v>
      </c>
    </row>
    <row r="347" s="1" customFormat="1" ht="22.5" customHeight="1" spans="1:2">
      <c r="A347" s="9">
        <v>450</v>
      </c>
      <c r="B347" s="10">
        <v>1</v>
      </c>
    </row>
    <row r="348" s="1" customFormat="1" ht="22.5" customHeight="1" spans="1:2">
      <c r="A348" s="9">
        <v>454</v>
      </c>
      <c r="B348" s="10">
        <v>2</v>
      </c>
    </row>
    <row r="349" s="1" customFormat="1" ht="22.5" customHeight="1" spans="1:2">
      <c r="A349" s="9">
        <v>455</v>
      </c>
      <c r="B349" s="10">
        <v>2</v>
      </c>
    </row>
    <row r="350" s="1" customFormat="1" ht="22.5" customHeight="1" spans="1:2">
      <c r="A350" s="9">
        <v>456</v>
      </c>
      <c r="B350" s="10">
        <v>1</v>
      </c>
    </row>
    <row r="351" s="1" customFormat="1" ht="22.5" customHeight="1" spans="1:2">
      <c r="A351" s="9">
        <v>458</v>
      </c>
      <c r="B351" s="10">
        <v>1</v>
      </c>
    </row>
    <row r="352" s="1" customFormat="1" ht="22.5" customHeight="1" spans="1:2">
      <c r="A352" s="9">
        <v>466</v>
      </c>
      <c r="B352" s="10">
        <v>1</v>
      </c>
    </row>
    <row r="353" s="1" customFormat="1" ht="22.5" customHeight="1" spans="1:2">
      <c r="A353" s="9">
        <v>467</v>
      </c>
      <c r="B353" s="10">
        <v>1</v>
      </c>
    </row>
    <row r="354" s="1" customFormat="1" ht="22.5" customHeight="1" spans="1:2">
      <c r="A354" s="9">
        <v>471</v>
      </c>
      <c r="B354" s="10">
        <v>1</v>
      </c>
    </row>
    <row r="355" s="1" customFormat="1" ht="22.5" customHeight="1" spans="1:2">
      <c r="A355" s="9">
        <v>483</v>
      </c>
      <c r="B355" s="10">
        <v>1</v>
      </c>
    </row>
    <row r="356" s="1" customFormat="1" ht="22.5" customHeight="1" spans="1:2">
      <c r="A356" s="9">
        <v>486</v>
      </c>
      <c r="B356" s="10">
        <v>2</v>
      </c>
    </row>
    <row r="357" s="1" customFormat="1" ht="22.5" customHeight="1" spans="1:2">
      <c r="A357" s="9">
        <v>488</v>
      </c>
      <c r="B357" s="10">
        <v>1</v>
      </c>
    </row>
    <row r="358" s="1" customFormat="1" ht="22.5" customHeight="1" spans="1:2">
      <c r="A358" s="9">
        <v>494</v>
      </c>
      <c r="B358" s="10">
        <v>1</v>
      </c>
    </row>
    <row r="359" s="1" customFormat="1" ht="22.5" customHeight="1" spans="1:2">
      <c r="A359" s="9">
        <v>495</v>
      </c>
      <c r="B359" s="10">
        <v>2</v>
      </c>
    </row>
    <row r="360" s="1" customFormat="1" ht="22.5" customHeight="1" spans="1:2">
      <c r="A360" s="9">
        <v>500</v>
      </c>
      <c r="B360" s="10">
        <v>1</v>
      </c>
    </row>
    <row r="361" s="1" customFormat="1" ht="22.5" customHeight="1" spans="1:2">
      <c r="A361" s="9">
        <v>512</v>
      </c>
      <c r="B361" s="10">
        <v>1</v>
      </c>
    </row>
    <row r="362" s="1" customFormat="1" ht="22.5" customHeight="1" spans="1:2">
      <c r="A362" s="9">
        <v>515</v>
      </c>
      <c r="B362" s="10">
        <v>1</v>
      </c>
    </row>
    <row r="363" s="1" customFormat="1" ht="22.5" customHeight="1" spans="1:2">
      <c r="A363" s="9">
        <v>516</v>
      </c>
      <c r="B363" s="10">
        <v>1</v>
      </c>
    </row>
    <row r="364" s="1" customFormat="1" ht="22.5" customHeight="1" spans="1:2">
      <c r="A364" s="9">
        <v>519</v>
      </c>
      <c r="B364" s="10">
        <v>1</v>
      </c>
    </row>
    <row r="365" s="1" customFormat="1" ht="22.5" customHeight="1" spans="1:2">
      <c r="A365" s="9">
        <v>522</v>
      </c>
      <c r="B365" s="10">
        <v>1</v>
      </c>
    </row>
    <row r="366" s="1" customFormat="1" ht="22.5" customHeight="1" spans="1:2">
      <c r="A366" s="9">
        <v>523</v>
      </c>
      <c r="B366" s="10">
        <v>1</v>
      </c>
    </row>
    <row r="367" s="1" customFormat="1" ht="22.5" customHeight="1" spans="1:2">
      <c r="A367" s="9">
        <v>525</v>
      </c>
      <c r="B367" s="10">
        <v>1</v>
      </c>
    </row>
    <row r="368" s="1" customFormat="1" ht="22.5" customHeight="1" spans="1:2">
      <c r="A368" s="9">
        <v>527</v>
      </c>
      <c r="B368" s="10">
        <v>1</v>
      </c>
    </row>
    <row r="369" s="1" customFormat="1" ht="22.5" customHeight="1" spans="1:2">
      <c r="A369" s="9">
        <v>529</v>
      </c>
      <c r="B369" s="10">
        <v>1</v>
      </c>
    </row>
    <row r="370" s="1" customFormat="1" ht="22.5" customHeight="1" spans="1:2">
      <c r="A370" s="9">
        <v>535</v>
      </c>
      <c r="B370" s="10">
        <v>1</v>
      </c>
    </row>
    <row r="371" s="1" customFormat="1" ht="22.5" customHeight="1" spans="1:2">
      <c r="A371" s="9">
        <v>539</v>
      </c>
      <c r="B371" s="10">
        <v>2</v>
      </c>
    </row>
    <row r="372" s="1" customFormat="1" ht="22.5" customHeight="1" spans="1:2">
      <c r="A372" s="9">
        <v>542</v>
      </c>
      <c r="B372" s="10">
        <v>1</v>
      </c>
    </row>
    <row r="373" s="1" customFormat="1" ht="22.5" customHeight="1" spans="1:2">
      <c r="A373" s="9">
        <v>544</v>
      </c>
      <c r="B373" s="10">
        <v>1</v>
      </c>
    </row>
    <row r="374" s="1" customFormat="1" ht="22.5" customHeight="1" spans="1:2">
      <c r="A374" s="9">
        <v>545</v>
      </c>
      <c r="B374" s="10">
        <v>1</v>
      </c>
    </row>
    <row r="375" s="1" customFormat="1" ht="22.5" customHeight="1" spans="1:2">
      <c r="A375" s="9">
        <v>548</v>
      </c>
      <c r="B375" s="10">
        <v>1</v>
      </c>
    </row>
    <row r="376" s="1" customFormat="1" ht="22.5" customHeight="1" spans="1:2">
      <c r="A376" s="9">
        <v>549</v>
      </c>
      <c r="B376" s="10">
        <v>1</v>
      </c>
    </row>
    <row r="377" s="1" customFormat="1" ht="22.5" customHeight="1" spans="1:2">
      <c r="A377" s="9">
        <v>550</v>
      </c>
      <c r="B377" s="10">
        <v>1</v>
      </c>
    </row>
    <row r="378" s="1" customFormat="1" ht="22.5" customHeight="1" spans="1:2">
      <c r="A378" s="9">
        <v>563</v>
      </c>
      <c r="B378" s="10">
        <v>2</v>
      </c>
    </row>
    <row r="379" s="1" customFormat="1" ht="22.5" customHeight="1" spans="1:2">
      <c r="A379" s="9">
        <v>565</v>
      </c>
      <c r="B379" s="10">
        <v>1</v>
      </c>
    </row>
    <row r="380" s="1" customFormat="1" ht="22.5" customHeight="1" spans="1:2">
      <c r="A380" s="9">
        <v>566</v>
      </c>
      <c r="B380" s="10">
        <v>1</v>
      </c>
    </row>
    <row r="381" s="1" customFormat="1" ht="22.5" customHeight="1" spans="1:2">
      <c r="A381" s="9">
        <v>581</v>
      </c>
      <c r="B381" s="10">
        <v>1</v>
      </c>
    </row>
    <row r="382" s="1" customFormat="1" ht="22.5" customHeight="1" spans="1:2">
      <c r="A382" s="9">
        <v>582</v>
      </c>
      <c r="B382" s="10">
        <v>1</v>
      </c>
    </row>
    <row r="383" s="1" customFormat="1" ht="22.5" customHeight="1" spans="1:2">
      <c r="A383" s="9">
        <v>583</v>
      </c>
      <c r="B383" s="10">
        <v>1</v>
      </c>
    </row>
    <row r="384" s="1" customFormat="1" ht="22.5" customHeight="1" spans="1:2">
      <c r="A384" s="9">
        <v>590</v>
      </c>
      <c r="B384" s="10">
        <v>1</v>
      </c>
    </row>
    <row r="385" s="1" customFormat="1" ht="22.5" customHeight="1" spans="1:2">
      <c r="A385" s="9">
        <v>595</v>
      </c>
      <c r="B385" s="10">
        <v>1</v>
      </c>
    </row>
    <row r="386" s="1" customFormat="1" ht="22.5" customHeight="1" spans="1:2">
      <c r="A386" s="9">
        <v>598</v>
      </c>
      <c r="B386" s="10">
        <v>1</v>
      </c>
    </row>
    <row r="387" s="1" customFormat="1" ht="22.5" customHeight="1" spans="1:2">
      <c r="A387" s="9">
        <v>628</v>
      </c>
      <c r="B387" s="10">
        <v>1</v>
      </c>
    </row>
    <row r="388" s="1" customFormat="1" ht="22.5" customHeight="1" spans="1:2">
      <c r="A388" s="9">
        <v>630</v>
      </c>
      <c r="B388" s="10">
        <v>1</v>
      </c>
    </row>
    <row r="389" s="1" customFormat="1" ht="22.5" customHeight="1" spans="1:2">
      <c r="A389" s="9">
        <v>645</v>
      </c>
      <c r="B389" s="10">
        <v>1</v>
      </c>
    </row>
    <row r="390" s="1" customFormat="1" ht="22.5" customHeight="1" spans="1:2">
      <c r="A390" s="9">
        <v>647</v>
      </c>
      <c r="B390" s="10">
        <v>1</v>
      </c>
    </row>
    <row r="391" s="1" customFormat="1" ht="22.5" customHeight="1" spans="1:2">
      <c r="A391" s="9">
        <v>669</v>
      </c>
      <c r="B391" s="10">
        <v>1</v>
      </c>
    </row>
    <row r="392" s="1" customFormat="1" ht="22.5" customHeight="1" spans="1:2">
      <c r="A392" s="9">
        <v>671</v>
      </c>
      <c r="B392" s="10">
        <v>1</v>
      </c>
    </row>
    <row r="393" s="1" customFormat="1" ht="22.5" customHeight="1" spans="1:2">
      <c r="A393" s="9">
        <v>685</v>
      </c>
      <c r="B393" s="10">
        <v>1</v>
      </c>
    </row>
    <row r="394" s="1" customFormat="1" ht="22.5" customHeight="1" spans="1:2">
      <c r="A394" s="9">
        <v>713</v>
      </c>
      <c r="B394" s="10">
        <v>1</v>
      </c>
    </row>
    <row r="395" s="1" customFormat="1" ht="22.5" customHeight="1" spans="1:2">
      <c r="A395" s="9">
        <v>714</v>
      </c>
      <c r="B395" s="10">
        <v>2</v>
      </c>
    </row>
    <row r="396" s="1" customFormat="1" ht="22.5" customHeight="1" spans="1:2">
      <c r="A396" s="9">
        <v>725</v>
      </c>
      <c r="B396" s="10">
        <v>1</v>
      </c>
    </row>
    <row r="397" s="1" customFormat="1" ht="22.5" customHeight="1" spans="1:2">
      <c r="A397" s="9">
        <v>730</v>
      </c>
      <c r="B397" s="10">
        <v>1</v>
      </c>
    </row>
    <row r="398" s="1" customFormat="1" ht="22.5" customHeight="1" spans="1:2">
      <c r="A398" s="9">
        <v>745</v>
      </c>
      <c r="B398" s="10">
        <v>1</v>
      </c>
    </row>
    <row r="399" s="1" customFormat="1" ht="22.5" customHeight="1" spans="1:2">
      <c r="A399" s="9">
        <v>765</v>
      </c>
      <c r="B399" s="10">
        <v>1</v>
      </c>
    </row>
    <row r="400" s="1" customFormat="1" ht="22.5" customHeight="1" spans="1:2">
      <c r="A400" s="9">
        <v>766</v>
      </c>
      <c r="B400" s="10">
        <v>1</v>
      </c>
    </row>
    <row r="401" s="1" customFormat="1" ht="22.5" customHeight="1" spans="1:2">
      <c r="A401" s="9">
        <v>792</v>
      </c>
      <c r="B401" s="10">
        <v>1</v>
      </c>
    </row>
    <row r="402" s="1" customFormat="1" ht="22.5" customHeight="1" spans="1:2">
      <c r="A402" s="9">
        <v>799</v>
      </c>
      <c r="B402" s="10">
        <v>1</v>
      </c>
    </row>
    <row r="403" s="1" customFormat="1" ht="22.5" customHeight="1" spans="1:2">
      <c r="A403" s="9">
        <v>817</v>
      </c>
      <c r="B403" s="10">
        <v>1</v>
      </c>
    </row>
    <row r="404" s="1" customFormat="1" ht="22.5" customHeight="1" spans="1:2">
      <c r="A404" s="9">
        <v>818</v>
      </c>
      <c r="B404" s="10">
        <v>1</v>
      </c>
    </row>
    <row r="405" s="1" customFormat="1" ht="22.5" customHeight="1" spans="1:2">
      <c r="A405" s="9">
        <v>823</v>
      </c>
      <c r="B405" s="10">
        <v>1</v>
      </c>
    </row>
    <row r="406" s="1" customFormat="1" ht="22.5" customHeight="1" spans="1:2">
      <c r="A406" s="9">
        <v>828</v>
      </c>
      <c r="B406" s="10">
        <v>1</v>
      </c>
    </row>
    <row r="407" s="1" customFormat="1" ht="22.5" customHeight="1" spans="1:2">
      <c r="A407" s="9">
        <v>843</v>
      </c>
      <c r="B407" s="10">
        <v>1</v>
      </c>
    </row>
    <row r="408" s="1" customFormat="1" ht="22.5" customHeight="1" spans="1:2">
      <c r="A408" s="9">
        <v>851</v>
      </c>
      <c r="B408" s="10">
        <v>1</v>
      </c>
    </row>
    <row r="409" s="1" customFormat="1" ht="22.5" customHeight="1" spans="1:2">
      <c r="A409" s="9">
        <v>852</v>
      </c>
      <c r="B409" s="10">
        <v>1</v>
      </c>
    </row>
    <row r="410" s="1" customFormat="1" ht="22.5" customHeight="1" spans="1:2">
      <c r="A410" s="9">
        <v>859</v>
      </c>
      <c r="B410" s="10">
        <v>1</v>
      </c>
    </row>
    <row r="411" s="1" customFormat="1" ht="22.5" customHeight="1" spans="1:2">
      <c r="A411" s="9">
        <v>918</v>
      </c>
      <c r="B411" s="10">
        <v>1</v>
      </c>
    </row>
    <row r="412" s="1" customFormat="1" ht="22.5" customHeight="1" spans="1:2">
      <c r="A412" s="9">
        <v>923</v>
      </c>
      <c r="B412" s="10">
        <v>1</v>
      </c>
    </row>
    <row r="413" s="1" customFormat="1" ht="22.5" customHeight="1" spans="1:2">
      <c r="A413" s="9">
        <v>959</v>
      </c>
      <c r="B413" s="10">
        <v>1</v>
      </c>
    </row>
    <row r="414" s="1" customFormat="1" ht="22.5" customHeight="1" spans="1:2">
      <c r="A414" s="9">
        <v>979</v>
      </c>
      <c r="B414" s="10">
        <v>1</v>
      </c>
    </row>
    <row r="415" s="1" customFormat="1" ht="22.5" customHeight="1" spans="1:2">
      <c r="A415" s="9">
        <v>986</v>
      </c>
      <c r="B415" s="10">
        <v>1</v>
      </c>
    </row>
    <row r="416" s="1" customFormat="1" ht="22.5" customHeight="1" spans="1:2">
      <c r="A416" s="9">
        <v>990</v>
      </c>
      <c r="B416" s="10">
        <v>1</v>
      </c>
    </row>
    <row r="417" s="1" customFormat="1" ht="22.5" customHeight="1" spans="1:2">
      <c r="A417" s="9">
        <v>993</v>
      </c>
      <c r="B417" s="10">
        <v>1</v>
      </c>
    </row>
    <row r="418" s="1" customFormat="1" ht="22.5" customHeight="1" spans="1:2">
      <c r="A418" s="9">
        <v>1059</v>
      </c>
      <c r="B418" s="10">
        <v>1</v>
      </c>
    </row>
    <row r="419" s="1" customFormat="1" ht="22.5" customHeight="1" spans="1:2">
      <c r="A419" s="9">
        <v>1099</v>
      </c>
      <c r="B419" s="10">
        <v>1</v>
      </c>
    </row>
    <row r="420" s="1" customFormat="1" ht="22.5" customHeight="1" spans="1:2">
      <c r="A420" s="9">
        <v>1116</v>
      </c>
      <c r="B420" s="10">
        <v>1</v>
      </c>
    </row>
    <row r="421" s="1" customFormat="1" ht="22.5" customHeight="1" spans="1:2">
      <c r="A421" s="9">
        <v>1124</v>
      </c>
      <c r="B421" s="10">
        <v>1</v>
      </c>
    </row>
    <row r="422" s="1" customFormat="1" ht="22.5" customHeight="1" spans="1:2">
      <c r="A422" s="9">
        <v>1143</v>
      </c>
      <c r="B422" s="10">
        <v>1</v>
      </c>
    </row>
    <row r="423" s="1" customFormat="1" ht="22.5" customHeight="1" spans="1:2">
      <c r="A423" s="9">
        <v>1174</v>
      </c>
      <c r="B423" s="10">
        <v>1</v>
      </c>
    </row>
    <row r="424" s="1" customFormat="1" ht="22.5" customHeight="1" spans="1:2">
      <c r="A424" s="9">
        <v>1208</v>
      </c>
      <c r="B424" s="10">
        <v>1</v>
      </c>
    </row>
    <row r="425" s="1" customFormat="1" ht="22.5" customHeight="1" spans="1:2">
      <c r="A425" s="9">
        <v>1228</v>
      </c>
      <c r="B425" s="10">
        <v>1</v>
      </c>
    </row>
    <row r="426" s="1" customFormat="1" ht="22.5" customHeight="1" spans="1:2">
      <c r="A426" s="9">
        <v>1365</v>
      </c>
      <c r="B426" s="10">
        <v>1</v>
      </c>
    </row>
    <row r="427" s="1" customFormat="1" ht="22.5" customHeight="1" spans="1:2">
      <c r="A427" s="9">
        <v>1379</v>
      </c>
      <c r="B427" s="10">
        <v>1</v>
      </c>
    </row>
    <row r="428" s="1" customFormat="1" ht="22.5" customHeight="1" spans="1:2">
      <c r="A428" s="9">
        <v>1383</v>
      </c>
      <c r="B428" s="10">
        <v>1</v>
      </c>
    </row>
    <row r="429" s="1" customFormat="1" ht="22.5" customHeight="1" spans="1:2">
      <c r="A429" s="9">
        <v>1399</v>
      </c>
      <c r="B429" s="10">
        <v>1</v>
      </c>
    </row>
    <row r="430" s="1" customFormat="1" ht="22.5" customHeight="1" spans="1:2">
      <c r="A430" s="9">
        <v>1438</v>
      </c>
      <c r="B430" s="10">
        <v>1</v>
      </c>
    </row>
    <row r="431" s="1" customFormat="1" ht="22.5" customHeight="1" spans="1:2">
      <c r="A431" s="9">
        <v>1501</v>
      </c>
      <c r="B431" s="10">
        <v>1</v>
      </c>
    </row>
    <row r="432" s="1" customFormat="1" ht="22.5" customHeight="1" spans="1:2">
      <c r="A432" s="9">
        <v>1534</v>
      </c>
      <c r="B432" s="10">
        <v>1</v>
      </c>
    </row>
    <row r="433" s="1" customFormat="1" ht="22.5" customHeight="1" spans="1:2">
      <c r="A433" s="9">
        <v>1552</v>
      </c>
      <c r="B433" s="10">
        <v>1</v>
      </c>
    </row>
    <row r="434" s="1" customFormat="1" ht="22.5" customHeight="1" spans="1:2">
      <c r="A434" s="9">
        <v>1570</v>
      </c>
      <c r="B434" s="10">
        <v>1</v>
      </c>
    </row>
    <row r="435" s="1" customFormat="1" ht="22.5" customHeight="1" spans="1:2">
      <c r="A435" s="9">
        <v>1593</v>
      </c>
      <c r="B435" s="10">
        <v>1</v>
      </c>
    </row>
    <row r="436" s="1" customFormat="1" ht="22.5" customHeight="1" spans="1:2">
      <c r="A436" s="9">
        <v>1638</v>
      </c>
      <c r="B436" s="10">
        <v>1</v>
      </c>
    </row>
    <row r="437" s="1" customFormat="1" ht="22.5" customHeight="1" spans="1:2">
      <c r="A437" s="9">
        <v>1886</v>
      </c>
      <c r="B437" s="10">
        <v>1</v>
      </c>
    </row>
    <row r="438" s="1" customFormat="1" ht="22.5" customHeight="1" spans="1:2">
      <c r="A438" s="9">
        <v>2040</v>
      </c>
      <c r="B438" s="10">
        <v>1</v>
      </c>
    </row>
    <row r="439" s="1" customFormat="1" ht="22.5" customHeight="1" spans="1:2">
      <c r="A439" s="9">
        <v>2659</v>
      </c>
      <c r="B439" s="10">
        <v>1</v>
      </c>
    </row>
    <row r="440" s="1" customFormat="1" ht="22.5" customHeight="1" spans="1:2">
      <c r="A440" s="9">
        <v>2694</v>
      </c>
      <c r="B440" s="10">
        <v>1</v>
      </c>
    </row>
    <row r="441" s="1" customFormat="1" ht="22.5" customHeight="1" spans="1:2">
      <c r="A441" s="9">
        <v>2762</v>
      </c>
      <c r="B441" s="10">
        <v>1</v>
      </c>
    </row>
    <row r="442" s="1" customFormat="1" ht="22.5" customHeight="1" spans="1:2">
      <c r="A442" s="9">
        <v>2833</v>
      </c>
      <c r="B442" s="10">
        <v>1</v>
      </c>
    </row>
    <row r="443" s="1" customFormat="1" ht="22.5" customHeight="1" spans="1:2">
      <c r="A443" s="9">
        <v>3048</v>
      </c>
      <c r="B443" s="10">
        <v>1</v>
      </c>
    </row>
    <row r="444" s="1" customFormat="1" ht="22.5" customHeight="1" spans="1:2">
      <c r="A444" s="9">
        <v>3687</v>
      </c>
      <c r="B444" s="10">
        <v>1</v>
      </c>
    </row>
    <row r="445" s="1" customFormat="1" ht="22.5" customHeight="1" spans="1:2">
      <c r="A445" s="9">
        <v>4430</v>
      </c>
      <c r="B445" s="10">
        <v>1</v>
      </c>
    </row>
    <row r="446" s="1" customFormat="1" ht="22.5" customHeight="1" spans="1:2">
      <c r="A446" s="9">
        <v>4817</v>
      </c>
      <c r="B446" s="10">
        <v>1</v>
      </c>
    </row>
    <row r="447" s="1" customFormat="1" ht="22.5" customHeight="1" spans="1:2">
      <c r="A447" s="9">
        <v>5222</v>
      </c>
      <c r="B447" s="10">
        <v>1</v>
      </c>
    </row>
    <row r="448" s="1" customFormat="1" ht="22.5" customHeight="1" spans="1:2">
      <c r="A448" s="9">
        <v>5852</v>
      </c>
      <c r="B448" s="10">
        <v>1</v>
      </c>
    </row>
    <row r="449" s="1" customFormat="1" ht="22.5" customHeight="1" spans="1:2">
      <c r="A449" s="9">
        <v>7347</v>
      </c>
      <c r="B449" s="10">
        <v>1</v>
      </c>
    </row>
    <row r="450" s="1" customFormat="1" ht="22.5" customHeight="1" spans="1:2">
      <c r="A450" s="9">
        <v>7768</v>
      </c>
      <c r="B450" s="10">
        <v>1</v>
      </c>
    </row>
    <row r="451" s="1" customFormat="1" ht="22.5" customHeight="1" spans="1:2">
      <c r="A451" s="9">
        <v>8092</v>
      </c>
      <c r="B451" s="10">
        <v>1</v>
      </c>
    </row>
    <row r="452" s="1" customFormat="1" ht="22.5" customHeight="1" spans="1:2">
      <c r="A452" s="9">
        <v>9383</v>
      </c>
      <c r="B452" s="10">
        <v>1</v>
      </c>
    </row>
    <row r="453" s="1" customFormat="1" ht="22.5" customHeight="1" spans="1:2">
      <c r="A453" s="9">
        <v>10407</v>
      </c>
      <c r="B453" s="10">
        <v>1</v>
      </c>
    </row>
    <row r="454" s="1" customFormat="1" ht="22.5" customHeight="1" spans="1:2">
      <c r="A454" s="9">
        <v>11809</v>
      </c>
      <c r="B454" s="10">
        <v>1</v>
      </c>
    </row>
    <row r="455" s="1" customFormat="1" ht="22.5" customHeight="1" spans="1:2">
      <c r="A455" s="9">
        <v>12057</v>
      </c>
      <c r="B455" s="10">
        <v>1</v>
      </c>
    </row>
    <row r="456" s="1" customFormat="1" ht="22.5" customHeight="1" spans="1:2">
      <c r="A456" s="9">
        <v>15308</v>
      </c>
      <c r="B456" s="10">
        <v>1</v>
      </c>
    </row>
    <row r="457" s="1" customFormat="1" ht="22.5" customHeight="1" spans="1:2">
      <c r="A457" s="9">
        <v>19004</v>
      </c>
      <c r="B457" s="10">
        <v>1</v>
      </c>
    </row>
    <row r="458" s="1" customFormat="1" ht="22.5" customHeight="1" spans="1:2">
      <c r="A458" s="11" t="s">
        <v>3</v>
      </c>
      <c r="B458" s="12">
        <v>516712</v>
      </c>
    </row>
  </sheetData>
  <pageMargins left="0.75" right="0.75" top="1" bottom="1" header="0.5" footer="0.5"/>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404"/>
  <sheetViews>
    <sheetView workbookViewId="0">
      <selection activeCell="E20" sqref="E20"/>
    </sheetView>
  </sheetViews>
  <sheetFormatPr defaultColWidth="8" defaultRowHeight="14" outlineLevelCol="4"/>
  <cols>
    <col min="1" max="1" width="14.0083333333333" style="1" customWidth="1"/>
    <col min="2" max="2" width="11.3416666666667" style="1" customWidth="1"/>
    <col min="3" max="3" width="8" style="1"/>
    <col min="4" max="4" width="14.0083333333333" style="1" customWidth="1"/>
    <col min="5" max="5" width="11.3416666666667" style="1" customWidth="1"/>
    <col min="6" max="16384" width="8" style="1"/>
  </cols>
  <sheetData>
    <row r="1" s="1" customFormat="1" ht="22.5" customHeight="1" spans="1:5">
      <c r="A1" s="2" t="s">
        <v>267</v>
      </c>
      <c r="B1" s="2" t="s">
        <v>8</v>
      </c>
      <c r="D1" s="2" t="s">
        <v>267</v>
      </c>
      <c r="E1" s="2" t="s">
        <v>8</v>
      </c>
    </row>
    <row r="2" s="1" customFormat="1" ht="22.5" customHeight="1" spans="1:5">
      <c r="A2" s="3">
        <v>0</v>
      </c>
      <c r="B2" s="4">
        <v>146963</v>
      </c>
      <c r="D2" s="3">
        <v>0</v>
      </c>
      <c r="E2" s="4">
        <v>146963</v>
      </c>
    </row>
    <row r="3" s="1" customFormat="1" ht="22.5" customHeight="1" spans="1:5">
      <c r="A3" s="3">
        <v>1</v>
      </c>
      <c r="B3" s="4">
        <v>57625</v>
      </c>
      <c r="D3" s="3">
        <v>1</v>
      </c>
      <c r="E3" s="4">
        <v>57625</v>
      </c>
    </row>
    <row r="4" s="1" customFormat="1" ht="22.5" customHeight="1" spans="1:5">
      <c r="A4" s="3">
        <v>2</v>
      </c>
      <c r="B4" s="4">
        <v>47310</v>
      </c>
      <c r="D4" s="3">
        <v>2</v>
      </c>
      <c r="E4" s="4">
        <v>47310</v>
      </c>
    </row>
    <row r="5" s="1" customFormat="1" ht="22.5" customHeight="1" spans="1:5">
      <c r="A5" s="3">
        <v>3</v>
      </c>
      <c r="B5" s="4">
        <v>38863</v>
      </c>
      <c r="D5" s="3">
        <v>3</v>
      </c>
      <c r="E5" s="4">
        <v>38863</v>
      </c>
    </row>
    <row r="6" s="1" customFormat="1" ht="22.5" customHeight="1" spans="1:5">
      <c r="A6" s="3">
        <v>4</v>
      </c>
      <c r="B6" s="4">
        <v>22654</v>
      </c>
      <c r="D6" s="3">
        <v>4</v>
      </c>
      <c r="E6" s="4">
        <v>22654</v>
      </c>
    </row>
    <row r="7" s="1" customFormat="1" ht="22.5" customHeight="1" spans="1:5">
      <c r="A7" s="3">
        <v>5</v>
      </c>
      <c r="B7" s="4">
        <v>21184</v>
      </c>
      <c r="D7" s="3">
        <v>5</v>
      </c>
      <c r="E7" s="4">
        <v>21184</v>
      </c>
    </row>
    <row r="8" s="1" customFormat="1" ht="22.5" customHeight="1" spans="1:5">
      <c r="A8" s="3">
        <v>6</v>
      </c>
      <c r="B8" s="4">
        <v>17691</v>
      </c>
      <c r="D8" s="3">
        <v>6</v>
      </c>
      <c r="E8" s="4">
        <v>17691</v>
      </c>
    </row>
    <row r="9" s="1" customFormat="1" ht="22.5" customHeight="1" spans="1:5">
      <c r="A9" s="3">
        <v>7</v>
      </c>
      <c r="B9" s="4">
        <v>13506</v>
      </c>
      <c r="D9" s="3">
        <v>7</v>
      </c>
      <c r="E9" s="4">
        <v>13506</v>
      </c>
    </row>
    <row r="10" s="1" customFormat="1" ht="22.5" customHeight="1" spans="1:5">
      <c r="A10" s="3">
        <v>8</v>
      </c>
      <c r="B10" s="4">
        <v>11354</v>
      </c>
      <c r="D10" s="3">
        <v>8</v>
      </c>
      <c r="E10" s="4">
        <v>11354</v>
      </c>
    </row>
    <row r="11" s="1" customFormat="1" ht="22.5" customHeight="1" spans="1:5">
      <c r="A11" s="3">
        <v>9</v>
      </c>
      <c r="B11" s="4">
        <v>10006</v>
      </c>
      <c r="D11" s="3">
        <v>9</v>
      </c>
      <c r="E11" s="4">
        <v>10006</v>
      </c>
    </row>
    <row r="12" s="1" customFormat="1" ht="22.5" customHeight="1" spans="1:5">
      <c r="A12" s="3">
        <v>10</v>
      </c>
      <c r="B12" s="4">
        <v>9156</v>
      </c>
      <c r="D12" s="3">
        <v>10</v>
      </c>
      <c r="E12" s="4">
        <v>9156</v>
      </c>
    </row>
    <row r="13" s="1" customFormat="1" ht="22.5" customHeight="1" spans="1:5">
      <c r="A13" s="3">
        <v>11</v>
      </c>
      <c r="B13" s="4">
        <v>7998</v>
      </c>
      <c r="D13" s="4" t="s">
        <v>268</v>
      </c>
      <c r="E13" s="4">
        <f>B13+B14</f>
        <v>14857</v>
      </c>
    </row>
    <row r="14" s="1" customFormat="1" ht="22.5" customHeight="1" spans="1:5">
      <c r="A14" s="3">
        <v>12</v>
      </c>
      <c r="B14" s="4">
        <v>6859</v>
      </c>
      <c r="D14" s="4" t="s">
        <v>269</v>
      </c>
      <c r="E14" s="4">
        <f>B15+B16+B17</f>
        <v>17230</v>
      </c>
    </row>
    <row r="15" s="1" customFormat="1" ht="22.5" customHeight="1" spans="1:5">
      <c r="A15" s="3">
        <v>13</v>
      </c>
      <c r="B15" s="4">
        <v>6697</v>
      </c>
      <c r="D15" s="4" t="s">
        <v>270</v>
      </c>
      <c r="E15" s="4">
        <f>SUM(B18:B22)</f>
        <v>19389</v>
      </c>
    </row>
    <row r="16" s="1" customFormat="1" ht="22.5" customHeight="1" spans="1:5">
      <c r="A16" s="3">
        <v>14</v>
      </c>
      <c r="B16" s="4">
        <v>5519</v>
      </c>
      <c r="D16" s="4" t="s">
        <v>271</v>
      </c>
      <c r="E16" s="4">
        <f>SUM(B23:B32)</f>
        <v>20466</v>
      </c>
    </row>
    <row r="17" s="1" customFormat="1" ht="22.5" customHeight="1" spans="1:5">
      <c r="A17" s="3">
        <v>15</v>
      </c>
      <c r="B17" s="4">
        <v>5014</v>
      </c>
      <c r="D17" s="4" t="s">
        <v>272</v>
      </c>
      <c r="E17" s="4">
        <f>SUM(B33:B52)</f>
        <v>18156</v>
      </c>
    </row>
    <row r="18" s="1" customFormat="1" ht="22.5" customHeight="1" spans="1:5">
      <c r="A18" s="3">
        <v>16</v>
      </c>
      <c r="B18" s="4">
        <v>4690</v>
      </c>
      <c r="D18" s="4" t="s">
        <v>273</v>
      </c>
      <c r="E18" s="4">
        <f>SUM(B53:B102)</f>
        <v>15302</v>
      </c>
    </row>
    <row r="19" s="1" customFormat="1" ht="22.5" customHeight="1" spans="1:5">
      <c r="A19" s="3">
        <v>17</v>
      </c>
      <c r="B19" s="4">
        <v>4117</v>
      </c>
      <c r="D19" s="4" t="s">
        <v>264</v>
      </c>
      <c r="E19" s="4">
        <f>SUM(B103:B1403)</f>
        <v>15000</v>
      </c>
    </row>
    <row r="20" s="1" customFormat="1" ht="22.5" customHeight="1" spans="1:2">
      <c r="A20" s="3">
        <v>18</v>
      </c>
      <c r="B20" s="4">
        <v>3665</v>
      </c>
    </row>
    <row r="21" s="1" customFormat="1" ht="22.5" customHeight="1" spans="1:2">
      <c r="A21" s="3">
        <v>19</v>
      </c>
      <c r="B21" s="4">
        <v>3484</v>
      </c>
    </row>
    <row r="22" s="1" customFormat="1" ht="22.5" customHeight="1" spans="1:2">
      <c r="A22" s="3">
        <v>20</v>
      </c>
      <c r="B22" s="4">
        <v>3433</v>
      </c>
    </row>
    <row r="23" s="1" customFormat="1" ht="22.5" customHeight="1" spans="1:2">
      <c r="A23" s="3">
        <v>21</v>
      </c>
      <c r="B23" s="4">
        <v>3084</v>
      </c>
    </row>
    <row r="24" s="1" customFormat="1" ht="22.5" customHeight="1" spans="1:2">
      <c r="A24" s="3">
        <v>22</v>
      </c>
      <c r="B24" s="4">
        <v>2749</v>
      </c>
    </row>
    <row r="25" s="1" customFormat="1" ht="22.5" customHeight="1" spans="1:2">
      <c r="A25" s="3">
        <v>23</v>
      </c>
      <c r="B25" s="4">
        <v>2271</v>
      </c>
    </row>
    <row r="26" s="1" customFormat="1" ht="22.5" customHeight="1" spans="1:2">
      <c r="A26" s="3">
        <v>24</v>
      </c>
      <c r="B26" s="4">
        <v>2135</v>
      </c>
    </row>
    <row r="27" s="1" customFormat="1" ht="22.5" customHeight="1" spans="1:2">
      <c r="A27" s="3">
        <v>25</v>
      </c>
      <c r="B27" s="4">
        <v>2040</v>
      </c>
    </row>
    <row r="28" s="1" customFormat="1" ht="22.5" customHeight="1" spans="1:2">
      <c r="A28" s="3">
        <v>26</v>
      </c>
      <c r="B28" s="4">
        <v>1914</v>
      </c>
    </row>
    <row r="29" s="1" customFormat="1" ht="22.5" customHeight="1" spans="1:2">
      <c r="A29" s="3">
        <v>27</v>
      </c>
      <c r="B29" s="4">
        <v>1788</v>
      </c>
    </row>
    <row r="30" s="1" customFormat="1" ht="22.5" customHeight="1" spans="1:2">
      <c r="A30" s="3">
        <v>28</v>
      </c>
      <c r="B30" s="4">
        <v>1635</v>
      </c>
    </row>
    <row r="31" s="1" customFormat="1" ht="22.5" customHeight="1" spans="1:2">
      <c r="A31" s="3">
        <v>29</v>
      </c>
      <c r="B31" s="4">
        <v>1456</v>
      </c>
    </row>
    <row r="32" s="1" customFormat="1" ht="22.5" customHeight="1" spans="1:2">
      <c r="A32" s="3">
        <v>30</v>
      </c>
      <c r="B32" s="4">
        <v>1394</v>
      </c>
    </row>
    <row r="33" s="1" customFormat="1" ht="22.5" customHeight="1" spans="1:2">
      <c r="A33" s="3">
        <v>31</v>
      </c>
      <c r="B33" s="4">
        <v>1328</v>
      </c>
    </row>
    <row r="34" s="1" customFormat="1" ht="22.5" customHeight="1" spans="1:2">
      <c r="A34" s="3">
        <v>32</v>
      </c>
      <c r="B34" s="4">
        <v>1300</v>
      </c>
    </row>
    <row r="35" s="1" customFormat="1" ht="22.5" customHeight="1" spans="1:2">
      <c r="A35" s="3">
        <v>33</v>
      </c>
      <c r="B35" s="4">
        <v>1257</v>
      </c>
    </row>
    <row r="36" s="1" customFormat="1" ht="22.5" customHeight="1" spans="1:2">
      <c r="A36" s="3">
        <v>34</v>
      </c>
      <c r="B36" s="4">
        <v>1177</v>
      </c>
    </row>
    <row r="37" s="1" customFormat="1" ht="22.5" customHeight="1" spans="1:2">
      <c r="A37" s="3">
        <v>35</v>
      </c>
      <c r="B37" s="4">
        <v>1083</v>
      </c>
    </row>
    <row r="38" s="1" customFormat="1" ht="22.5" customHeight="1" spans="1:2">
      <c r="A38" s="3">
        <v>36</v>
      </c>
      <c r="B38" s="4">
        <v>1129</v>
      </c>
    </row>
    <row r="39" s="1" customFormat="1" ht="22.5" customHeight="1" spans="1:2">
      <c r="A39" s="3">
        <v>37</v>
      </c>
      <c r="B39" s="4">
        <v>1011</v>
      </c>
    </row>
    <row r="40" s="1" customFormat="1" ht="22.5" customHeight="1" spans="1:2">
      <c r="A40" s="3">
        <v>38</v>
      </c>
      <c r="B40" s="4">
        <v>953</v>
      </c>
    </row>
    <row r="41" s="1" customFormat="1" ht="22.5" customHeight="1" spans="1:2">
      <c r="A41" s="3">
        <v>39</v>
      </c>
      <c r="B41" s="4">
        <v>935</v>
      </c>
    </row>
    <row r="42" s="1" customFormat="1" ht="22.5" customHeight="1" spans="1:2">
      <c r="A42" s="3">
        <v>40</v>
      </c>
      <c r="B42" s="4">
        <v>865</v>
      </c>
    </row>
    <row r="43" s="1" customFormat="1" ht="22.5" customHeight="1" spans="1:2">
      <c r="A43" s="3">
        <v>41</v>
      </c>
      <c r="B43" s="4">
        <v>880</v>
      </c>
    </row>
    <row r="44" s="1" customFormat="1" ht="22.5" customHeight="1" spans="1:2">
      <c r="A44" s="3">
        <v>42</v>
      </c>
      <c r="B44" s="4">
        <v>792</v>
      </c>
    </row>
    <row r="45" s="1" customFormat="1" ht="22.5" customHeight="1" spans="1:2">
      <c r="A45" s="3">
        <v>43</v>
      </c>
      <c r="B45" s="4">
        <v>766</v>
      </c>
    </row>
    <row r="46" s="1" customFormat="1" ht="22.5" customHeight="1" spans="1:2">
      <c r="A46" s="3">
        <v>44</v>
      </c>
      <c r="B46" s="4">
        <v>718</v>
      </c>
    </row>
    <row r="47" s="1" customFormat="1" ht="22.5" customHeight="1" spans="1:2">
      <c r="A47" s="3">
        <v>45</v>
      </c>
      <c r="B47" s="4">
        <v>759</v>
      </c>
    </row>
    <row r="48" s="1" customFormat="1" ht="22.5" customHeight="1" spans="1:2">
      <c r="A48" s="3">
        <v>46</v>
      </c>
      <c r="B48" s="4">
        <v>646</v>
      </c>
    </row>
    <row r="49" s="1" customFormat="1" ht="22.5" customHeight="1" spans="1:2">
      <c r="A49" s="3">
        <v>47</v>
      </c>
      <c r="B49" s="4">
        <v>665</v>
      </c>
    </row>
    <row r="50" s="1" customFormat="1" ht="22.5" customHeight="1" spans="1:2">
      <c r="A50" s="3">
        <v>48</v>
      </c>
      <c r="B50" s="4">
        <v>628</v>
      </c>
    </row>
    <row r="51" s="1" customFormat="1" ht="22.5" customHeight="1" spans="1:2">
      <c r="A51" s="3">
        <v>49</v>
      </c>
      <c r="B51" s="4">
        <v>648</v>
      </c>
    </row>
    <row r="52" s="1" customFormat="1" ht="22.5" customHeight="1" spans="1:2">
      <c r="A52" s="3">
        <v>50</v>
      </c>
      <c r="B52" s="4">
        <v>616</v>
      </c>
    </row>
    <row r="53" s="1" customFormat="1" ht="22.5" customHeight="1" spans="1:2">
      <c r="A53" s="3">
        <v>51</v>
      </c>
      <c r="B53" s="4">
        <v>574</v>
      </c>
    </row>
    <row r="54" s="1" customFormat="1" ht="22.5" customHeight="1" spans="1:2">
      <c r="A54" s="3">
        <v>52</v>
      </c>
      <c r="B54" s="4">
        <v>520</v>
      </c>
    </row>
    <row r="55" s="1" customFormat="1" ht="22.5" customHeight="1" spans="1:2">
      <c r="A55" s="3">
        <v>53</v>
      </c>
      <c r="B55" s="4">
        <v>520</v>
      </c>
    </row>
    <row r="56" s="1" customFormat="1" ht="22.5" customHeight="1" spans="1:2">
      <c r="A56" s="3">
        <v>54</v>
      </c>
      <c r="B56" s="4">
        <v>510</v>
      </c>
    </row>
    <row r="57" s="1" customFormat="1" ht="22.5" customHeight="1" spans="1:2">
      <c r="A57" s="3">
        <v>55</v>
      </c>
      <c r="B57" s="4">
        <v>491</v>
      </c>
    </row>
    <row r="58" s="1" customFormat="1" ht="22.5" customHeight="1" spans="1:2">
      <c r="A58" s="3">
        <v>56</v>
      </c>
      <c r="B58" s="4">
        <v>477</v>
      </c>
    </row>
    <row r="59" s="1" customFormat="1" ht="22.5" customHeight="1" spans="1:2">
      <c r="A59" s="3">
        <v>57</v>
      </c>
      <c r="B59" s="4">
        <v>465</v>
      </c>
    </row>
    <row r="60" s="1" customFormat="1" ht="22.5" customHeight="1" spans="1:2">
      <c r="A60" s="3">
        <v>58</v>
      </c>
      <c r="B60" s="4">
        <v>457</v>
      </c>
    </row>
    <row r="61" s="1" customFormat="1" ht="22.5" customHeight="1" spans="1:2">
      <c r="A61" s="3">
        <v>59</v>
      </c>
      <c r="B61" s="4">
        <v>456</v>
      </c>
    </row>
    <row r="62" s="1" customFormat="1" ht="22.5" customHeight="1" spans="1:2">
      <c r="A62" s="3">
        <v>60</v>
      </c>
      <c r="B62" s="4">
        <v>444</v>
      </c>
    </row>
    <row r="63" s="1" customFormat="1" ht="22.5" customHeight="1" spans="1:2">
      <c r="A63" s="3">
        <v>61</v>
      </c>
      <c r="B63" s="4">
        <v>372</v>
      </c>
    </row>
    <row r="64" s="1" customFormat="1" ht="22.5" customHeight="1" spans="1:2">
      <c r="A64" s="3">
        <v>62</v>
      </c>
      <c r="B64" s="4">
        <v>390</v>
      </c>
    </row>
    <row r="65" s="1" customFormat="1" ht="22.5" customHeight="1" spans="1:2">
      <c r="A65" s="3">
        <v>63</v>
      </c>
      <c r="B65" s="4">
        <v>387</v>
      </c>
    </row>
    <row r="66" s="1" customFormat="1" ht="22.5" customHeight="1" spans="1:2">
      <c r="A66" s="3">
        <v>64</v>
      </c>
      <c r="B66" s="4">
        <v>411</v>
      </c>
    </row>
    <row r="67" s="1" customFormat="1" ht="22.5" customHeight="1" spans="1:2">
      <c r="A67" s="3">
        <v>65</v>
      </c>
      <c r="B67" s="4">
        <v>417</v>
      </c>
    </row>
    <row r="68" s="1" customFormat="1" ht="22.5" customHeight="1" spans="1:2">
      <c r="A68" s="3">
        <v>66</v>
      </c>
      <c r="B68" s="4">
        <v>343</v>
      </c>
    </row>
    <row r="69" s="1" customFormat="1" ht="22.5" customHeight="1" spans="1:2">
      <c r="A69" s="3">
        <v>67</v>
      </c>
      <c r="B69" s="4">
        <v>367</v>
      </c>
    </row>
    <row r="70" s="1" customFormat="1" ht="22.5" customHeight="1" spans="1:2">
      <c r="A70" s="3">
        <v>68</v>
      </c>
      <c r="B70" s="4">
        <v>301</v>
      </c>
    </row>
    <row r="71" s="1" customFormat="1" ht="22.5" customHeight="1" spans="1:2">
      <c r="A71" s="3">
        <v>69</v>
      </c>
      <c r="B71" s="4">
        <v>320</v>
      </c>
    </row>
    <row r="72" s="1" customFormat="1" ht="22.5" customHeight="1" spans="1:2">
      <c r="A72" s="3">
        <v>70</v>
      </c>
      <c r="B72" s="4">
        <v>314</v>
      </c>
    </row>
    <row r="73" s="1" customFormat="1" ht="22.5" customHeight="1" spans="1:2">
      <c r="A73" s="3">
        <v>71</v>
      </c>
      <c r="B73" s="4">
        <v>338</v>
      </c>
    </row>
    <row r="74" s="1" customFormat="1" ht="22.5" customHeight="1" spans="1:2">
      <c r="A74" s="3">
        <v>72</v>
      </c>
      <c r="B74" s="4">
        <v>309</v>
      </c>
    </row>
    <row r="75" s="1" customFormat="1" ht="22.5" customHeight="1" spans="1:2">
      <c r="A75" s="3">
        <v>73</v>
      </c>
      <c r="B75" s="4">
        <v>292</v>
      </c>
    </row>
    <row r="76" s="1" customFormat="1" ht="22.5" customHeight="1" spans="1:2">
      <c r="A76" s="3">
        <v>74</v>
      </c>
      <c r="B76" s="4">
        <v>272</v>
      </c>
    </row>
    <row r="77" s="1" customFormat="1" ht="22.5" customHeight="1" spans="1:2">
      <c r="A77" s="3">
        <v>75</v>
      </c>
      <c r="B77" s="4">
        <v>314</v>
      </c>
    </row>
    <row r="78" s="1" customFormat="1" ht="22.5" customHeight="1" spans="1:2">
      <c r="A78" s="3">
        <v>76</v>
      </c>
      <c r="B78" s="4">
        <v>268</v>
      </c>
    </row>
    <row r="79" s="1" customFormat="1" ht="22.5" customHeight="1" spans="1:2">
      <c r="A79" s="3">
        <v>77</v>
      </c>
      <c r="B79" s="4">
        <v>236</v>
      </c>
    </row>
    <row r="80" s="1" customFormat="1" ht="22.5" customHeight="1" spans="1:2">
      <c r="A80" s="3">
        <v>78</v>
      </c>
      <c r="B80" s="4">
        <v>253</v>
      </c>
    </row>
    <row r="81" s="1" customFormat="1" ht="22.5" customHeight="1" spans="1:2">
      <c r="A81" s="3">
        <v>79</v>
      </c>
      <c r="B81" s="4">
        <v>213</v>
      </c>
    </row>
    <row r="82" s="1" customFormat="1" ht="22.5" customHeight="1" spans="1:2">
      <c r="A82" s="3">
        <v>80</v>
      </c>
      <c r="B82" s="4">
        <v>247</v>
      </c>
    </row>
    <row r="83" s="1" customFormat="1" ht="22.5" customHeight="1" spans="1:2">
      <c r="A83" s="3">
        <v>81</v>
      </c>
      <c r="B83" s="4">
        <v>218</v>
      </c>
    </row>
    <row r="84" s="1" customFormat="1" ht="22.5" customHeight="1" spans="1:2">
      <c r="A84" s="3">
        <v>82</v>
      </c>
      <c r="B84" s="4">
        <v>244</v>
      </c>
    </row>
    <row r="85" s="1" customFormat="1" ht="22.5" customHeight="1" spans="1:2">
      <c r="A85" s="3">
        <v>83</v>
      </c>
      <c r="B85" s="4">
        <v>221</v>
      </c>
    </row>
    <row r="86" s="1" customFormat="1" ht="22.5" customHeight="1" spans="1:2">
      <c r="A86" s="3">
        <v>84</v>
      </c>
      <c r="B86" s="4">
        <v>213</v>
      </c>
    </row>
    <row r="87" s="1" customFormat="1" ht="22.5" customHeight="1" spans="1:2">
      <c r="A87" s="3">
        <v>85</v>
      </c>
      <c r="B87" s="4">
        <v>236</v>
      </c>
    </row>
    <row r="88" s="1" customFormat="1" ht="22.5" customHeight="1" spans="1:2">
      <c r="A88" s="3">
        <v>86</v>
      </c>
      <c r="B88" s="4">
        <v>206</v>
      </c>
    </row>
    <row r="89" s="1" customFormat="1" ht="22.5" customHeight="1" spans="1:2">
      <c r="A89" s="3">
        <v>87</v>
      </c>
      <c r="B89" s="4">
        <v>202</v>
      </c>
    </row>
    <row r="90" s="1" customFormat="1" ht="22.5" customHeight="1" spans="1:2">
      <c r="A90" s="3">
        <v>88</v>
      </c>
      <c r="B90" s="4">
        <v>207</v>
      </c>
    </row>
    <row r="91" s="1" customFormat="1" ht="22.5" customHeight="1" spans="1:2">
      <c r="A91" s="3">
        <v>89</v>
      </c>
      <c r="B91" s="4">
        <v>211</v>
      </c>
    </row>
    <row r="92" s="1" customFormat="1" ht="22.5" customHeight="1" spans="1:2">
      <c r="A92" s="3">
        <v>90</v>
      </c>
      <c r="B92" s="4">
        <v>207</v>
      </c>
    </row>
    <row r="93" s="1" customFormat="1" ht="22.5" customHeight="1" spans="1:2">
      <c r="A93" s="3">
        <v>91</v>
      </c>
      <c r="B93" s="4">
        <v>213</v>
      </c>
    </row>
    <row r="94" s="1" customFormat="1" ht="22.5" customHeight="1" spans="1:2">
      <c r="A94" s="3">
        <v>92</v>
      </c>
      <c r="B94" s="4">
        <v>216</v>
      </c>
    </row>
    <row r="95" s="1" customFormat="1" ht="22.5" customHeight="1" spans="1:2">
      <c r="A95" s="3">
        <v>93</v>
      </c>
      <c r="B95" s="4">
        <v>201</v>
      </c>
    </row>
    <row r="96" s="1" customFormat="1" ht="22.5" customHeight="1" spans="1:2">
      <c r="A96" s="3">
        <v>94</v>
      </c>
      <c r="B96" s="4">
        <v>218</v>
      </c>
    </row>
    <row r="97" s="1" customFormat="1" ht="22.5" customHeight="1" spans="1:2">
      <c r="A97" s="3">
        <v>95</v>
      </c>
      <c r="B97" s="4">
        <v>164</v>
      </c>
    </row>
    <row r="98" s="1" customFormat="1" ht="22.5" customHeight="1" spans="1:2">
      <c r="A98" s="3">
        <v>96</v>
      </c>
      <c r="B98" s="4">
        <v>171</v>
      </c>
    </row>
    <row r="99" s="1" customFormat="1" ht="22.5" customHeight="1" spans="1:2">
      <c r="A99" s="3">
        <v>97</v>
      </c>
      <c r="B99" s="4">
        <v>170</v>
      </c>
    </row>
    <row r="100" s="1" customFormat="1" ht="22.5" customHeight="1" spans="1:2">
      <c r="A100" s="3">
        <v>98</v>
      </c>
      <c r="B100" s="4">
        <v>183</v>
      </c>
    </row>
    <row r="101" s="1" customFormat="1" ht="22.5" customHeight="1" spans="1:2">
      <c r="A101" s="3">
        <v>99</v>
      </c>
      <c r="B101" s="4">
        <v>159</v>
      </c>
    </row>
    <row r="102" s="1" customFormat="1" ht="22.5" customHeight="1" spans="1:2">
      <c r="A102" s="3">
        <v>100</v>
      </c>
      <c r="B102" s="4">
        <v>164</v>
      </c>
    </row>
    <row r="103" s="1" customFormat="1" ht="22.5" customHeight="1" spans="1:2">
      <c r="A103" s="3">
        <v>101</v>
      </c>
      <c r="B103" s="4">
        <v>137</v>
      </c>
    </row>
    <row r="104" s="1" customFormat="1" ht="22.5" customHeight="1" spans="1:2">
      <c r="A104" s="3">
        <v>102</v>
      </c>
      <c r="B104" s="4">
        <v>152</v>
      </c>
    </row>
    <row r="105" s="1" customFormat="1" ht="22.5" customHeight="1" spans="1:2">
      <c r="A105" s="3">
        <v>103</v>
      </c>
      <c r="B105" s="4">
        <v>159</v>
      </c>
    </row>
    <row r="106" s="1" customFormat="1" ht="22.5" customHeight="1" spans="1:2">
      <c r="A106" s="3">
        <v>104</v>
      </c>
      <c r="B106" s="4">
        <v>163</v>
      </c>
    </row>
    <row r="107" s="1" customFormat="1" ht="22.5" customHeight="1" spans="1:2">
      <c r="A107" s="3">
        <v>105</v>
      </c>
      <c r="B107" s="4">
        <v>166</v>
      </c>
    </row>
    <row r="108" s="1" customFormat="1" ht="22.5" customHeight="1" spans="1:2">
      <c r="A108" s="3">
        <v>106</v>
      </c>
      <c r="B108" s="4">
        <v>142</v>
      </c>
    </row>
    <row r="109" s="1" customFormat="1" ht="22.5" customHeight="1" spans="1:2">
      <c r="A109" s="3">
        <v>107</v>
      </c>
      <c r="B109" s="4">
        <v>154</v>
      </c>
    </row>
    <row r="110" s="1" customFormat="1" ht="22.5" customHeight="1" spans="1:2">
      <c r="A110" s="3">
        <v>108</v>
      </c>
      <c r="B110" s="4">
        <v>164</v>
      </c>
    </row>
    <row r="111" s="1" customFormat="1" ht="22.5" customHeight="1" spans="1:2">
      <c r="A111" s="3">
        <v>109</v>
      </c>
      <c r="B111" s="4">
        <v>143</v>
      </c>
    </row>
    <row r="112" s="1" customFormat="1" ht="22.5" customHeight="1" spans="1:2">
      <c r="A112" s="3">
        <v>110</v>
      </c>
      <c r="B112" s="4">
        <v>139</v>
      </c>
    </row>
    <row r="113" s="1" customFormat="1" ht="22.5" customHeight="1" spans="1:2">
      <c r="A113" s="3">
        <v>111</v>
      </c>
      <c r="B113" s="4">
        <v>128</v>
      </c>
    </row>
    <row r="114" s="1" customFormat="1" ht="22.5" customHeight="1" spans="1:2">
      <c r="A114" s="3">
        <v>112</v>
      </c>
      <c r="B114" s="4">
        <v>159</v>
      </c>
    </row>
    <row r="115" s="1" customFormat="1" ht="22.5" customHeight="1" spans="1:2">
      <c r="A115" s="3">
        <v>113</v>
      </c>
      <c r="B115" s="4">
        <v>136</v>
      </c>
    </row>
    <row r="116" s="1" customFormat="1" ht="22.5" customHeight="1" spans="1:2">
      <c r="A116" s="3">
        <v>114</v>
      </c>
      <c r="B116" s="4">
        <v>130</v>
      </c>
    </row>
    <row r="117" s="1" customFormat="1" ht="22.5" customHeight="1" spans="1:2">
      <c r="A117" s="3">
        <v>115</v>
      </c>
      <c r="B117" s="4">
        <v>129</v>
      </c>
    </row>
    <row r="118" s="1" customFormat="1" ht="22.5" customHeight="1" spans="1:2">
      <c r="A118" s="3">
        <v>116</v>
      </c>
      <c r="B118" s="4">
        <v>128</v>
      </c>
    </row>
    <row r="119" s="1" customFormat="1" ht="22.5" customHeight="1" spans="1:2">
      <c r="A119" s="3">
        <v>117</v>
      </c>
      <c r="B119" s="4">
        <v>137</v>
      </c>
    </row>
    <row r="120" s="1" customFormat="1" ht="22.5" customHeight="1" spans="1:2">
      <c r="A120" s="3">
        <v>118</v>
      </c>
      <c r="B120" s="4">
        <v>139</v>
      </c>
    </row>
    <row r="121" s="1" customFormat="1" ht="22.5" customHeight="1" spans="1:2">
      <c r="A121" s="3">
        <v>119</v>
      </c>
      <c r="B121" s="4">
        <v>120</v>
      </c>
    </row>
    <row r="122" s="1" customFormat="1" ht="22.5" customHeight="1" spans="1:2">
      <c r="A122" s="3">
        <v>120</v>
      </c>
      <c r="B122" s="4">
        <v>130</v>
      </c>
    </row>
    <row r="123" s="1" customFormat="1" ht="22.5" customHeight="1" spans="1:2">
      <c r="A123" s="3">
        <v>121</v>
      </c>
      <c r="B123" s="4">
        <v>110</v>
      </c>
    </row>
    <row r="124" s="1" customFormat="1" ht="22.5" customHeight="1" spans="1:2">
      <c r="A124" s="3">
        <v>122</v>
      </c>
      <c r="B124" s="4">
        <v>113</v>
      </c>
    </row>
    <row r="125" s="1" customFormat="1" ht="22.5" customHeight="1" spans="1:2">
      <c r="A125" s="3">
        <v>123</v>
      </c>
      <c r="B125" s="4">
        <v>111</v>
      </c>
    </row>
    <row r="126" s="1" customFormat="1" ht="22.5" customHeight="1" spans="1:2">
      <c r="A126" s="3">
        <v>124</v>
      </c>
      <c r="B126" s="4">
        <v>122</v>
      </c>
    </row>
    <row r="127" s="1" customFormat="1" ht="22.5" customHeight="1" spans="1:2">
      <c r="A127" s="3">
        <v>125</v>
      </c>
      <c r="B127" s="4">
        <v>111</v>
      </c>
    </row>
    <row r="128" s="1" customFormat="1" ht="22.5" customHeight="1" spans="1:2">
      <c r="A128" s="3">
        <v>126</v>
      </c>
      <c r="B128" s="4">
        <v>103</v>
      </c>
    </row>
    <row r="129" s="1" customFormat="1" ht="22.5" customHeight="1" spans="1:2">
      <c r="A129" s="3">
        <v>127</v>
      </c>
      <c r="B129" s="4">
        <v>110</v>
      </c>
    </row>
    <row r="130" s="1" customFormat="1" ht="22.5" customHeight="1" spans="1:2">
      <c r="A130" s="3">
        <v>128</v>
      </c>
      <c r="B130" s="4">
        <v>97</v>
      </c>
    </row>
    <row r="131" s="1" customFormat="1" ht="22.5" customHeight="1" spans="1:2">
      <c r="A131" s="3">
        <v>129</v>
      </c>
      <c r="B131" s="4">
        <v>99</v>
      </c>
    </row>
    <row r="132" s="1" customFormat="1" ht="22.5" customHeight="1" spans="1:2">
      <c r="A132" s="3">
        <v>130</v>
      </c>
      <c r="B132" s="4">
        <v>114</v>
      </c>
    </row>
    <row r="133" s="1" customFormat="1" ht="22.5" customHeight="1" spans="1:2">
      <c r="A133" s="3">
        <v>131</v>
      </c>
      <c r="B133" s="4">
        <v>103</v>
      </c>
    </row>
    <row r="134" s="1" customFormat="1" ht="22.5" customHeight="1" spans="1:2">
      <c r="A134" s="3">
        <v>132</v>
      </c>
      <c r="B134" s="4">
        <v>100</v>
      </c>
    </row>
    <row r="135" s="1" customFormat="1" ht="22.5" customHeight="1" spans="1:2">
      <c r="A135" s="3">
        <v>133</v>
      </c>
      <c r="B135" s="4">
        <v>90</v>
      </c>
    </row>
    <row r="136" s="1" customFormat="1" ht="22.5" customHeight="1" spans="1:2">
      <c r="A136" s="3">
        <v>134</v>
      </c>
      <c r="B136" s="4">
        <v>87</v>
      </c>
    </row>
    <row r="137" s="1" customFormat="1" ht="22.5" customHeight="1" spans="1:2">
      <c r="A137" s="3">
        <v>135</v>
      </c>
      <c r="B137" s="4">
        <v>90</v>
      </c>
    </row>
    <row r="138" s="1" customFormat="1" ht="22.5" customHeight="1" spans="1:2">
      <c r="A138" s="3">
        <v>136</v>
      </c>
      <c r="B138" s="4">
        <v>103</v>
      </c>
    </row>
    <row r="139" s="1" customFormat="1" ht="22.5" customHeight="1" spans="1:2">
      <c r="A139" s="3">
        <v>137</v>
      </c>
      <c r="B139" s="4">
        <v>96</v>
      </c>
    </row>
    <row r="140" s="1" customFormat="1" ht="22.5" customHeight="1" spans="1:2">
      <c r="A140" s="3">
        <v>138</v>
      </c>
      <c r="B140" s="4">
        <v>96</v>
      </c>
    </row>
    <row r="141" s="1" customFormat="1" ht="22.5" customHeight="1" spans="1:2">
      <c r="A141" s="3">
        <v>139</v>
      </c>
      <c r="B141" s="4">
        <v>87</v>
      </c>
    </row>
    <row r="142" s="1" customFormat="1" ht="22.5" customHeight="1" spans="1:2">
      <c r="A142" s="3">
        <v>140</v>
      </c>
      <c r="B142" s="4">
        <v>88</v>
      </c>
    </row>
    <row r="143" s="1" customFormat="1" ht="22.5" customHeight="1" spans="1:2">
      <c r="A143" s="3">
        <v>141</v>
      </c>
      <c r="B143" s="4">
        <v>83</v>
      </c>
    </row>
    <row r="144" s="1" customFormat="1" ht="22.5" customHeight="1" spans="1:2">
      <c r="A144" s="3">
        <v>142</v>
      </c>
      <c r="B144" s="4">
        <v>103</v>
      </c>
    </row>
    <row r="145" s="1" customFormat="1" ht="22.5" customHeight="1" spans="1:2">
      <c r="A145" s="3">
        <v>143</v>
      </c>
      <c r="B145" s="4">
        <v>85</v>
      </c>
    </row>
    <row r="146" s="1" customFormat="1" ht="22.5" customHeight="1" spans="1:2">
      <c r="A146" s="3">
        <v>144</v>
      </c>
      <c r="B146" s="4">
        <v>83</v>
      </c>
    </row>
    <row r="147" s="1" customFormat="1" ht="22.5" customHeight="1" spans="1:2">
      <c r="A147" s="3">
        <v>145</v>
      </c>
      <c r="B147" s="4">
        <v>79</v>
      </c>
    </row>
    <row r="148" s="1" customFormat="1" ht="22.5" customHeight="1" spans="1:2">
      <c r="A148" s="3">
        <v>146</v>
      </c>
      <c r="B148" s="4">
        <v>86</v>
      </c>
    </row>
    <row r="149" s="1" customFormat="1" ht="22.5" customHeight="1" spans="1:2">
      <c r="A149" s="3">
        <v>147</v>
      </c>
      <c r="B149" s="4">
        <v>78</v>
      </c>
    </row>
    <row r="150" s="1" customFormat="1" ht="22.5" customHeight="1" spans="1:2">
      <c r="A150" s="3">
        <v>148</v>
      </c>
      <c r="B150" s="4">
        <v>81</v>
      </c>
    </row>
    <row r="151" s="1" customFormat="1" ht="22.5" customHeight="1" spans="1:2">
      <c r="A151" s="3">
        <v>149</v>
      </c>
      <c r="B151" s="4">
        <v>85</v>
      </c>
    </row>
    <row r="152" s="1" customFormat="1" ht="22.5" customHeight="1" spans="1:2">
      <c r="A152" s="3">
        <v>150</v>
      </c>
      <c r="B152" s="4">
        <v>84</v>
      </c>
    </row>
    <row r="153" s="1" customFormat="1" ht="22.5" customHeight="1" spans="1:2">
      <c r="A153" s="3">
        <v>151</v>
      </c>
      <c r="B153" s="4">
        <v>92</v>
      </c>
    </row>
    <row r="154" s="1" customFormat="1" ht="22.5" customHeight="1" spans="1:2">
      <c r="A154" s="3">
        <v>152</v>
      </c>
      <c r="B154" s="4">
        <v>74</v>
      </c>
    </row>
    <row r="155" s="1" customFormat="1" ht="22.5" customHeight="1" spans="1:2">
      <c r="A155" s="3">
        <v>153</v>
      </c>
      <c r="B155" s="4">
        <v>62</v>
      </c>
    </row>
    <row r="156" s="1" customFormat="1" ht="22.5" customHeight="1" spans="1:2">
      <c r="A156" s="3">
        <v>154</v>
      </c>
      <c r="B156" s="4">
        <v>67</v>
      </c>
    </row>
    <row r="157" s="1" customFormat="1" ht="22.5" customHeight="1" spans="1:2">
      <c r="A157" s="3">
        <v>155</v>
      </c>
      <c r="B157" s="4">
        <v>77</v>
      </c>
    </row>
    <row r="158" s="1" customFormat="1" ht="22.5" customHeight="1" spans="1:2">
      <c r="A158" s="3">
        <v>156</v>
      </c>
      <c r="B158" s="4">
        <v>89</v>
      </c>
    </row>
    <row r="159" s="1" customFormat="1" ht="22.5" customHeight="1" spans="1:2">
      <c r="A159" s="3">
        <v>157</v>
      </c>
      <c r="B159" s="4">
        <v>56</v>
      </c>
    </row>
    <row r="160" s="1" customFormat="1" ht="22.5" customHeight="1" spans="1:2">
      <c r="A160" s="3">
        <v>158</v>
      </c>
      <c r="B160" s="4">
        <v>72</v>
      </c>
    </row>
    <row r="161" s="1" customFormat="1" ht="22.5" customHeight="1" spans="1:2">
      <c r="A161" s="3">
        <v>159</v>
      </c>
      <c r="B161" s="4">
        <v>70</v>
      </c>
    </row>
    <row r="162" s="1" customFormat="1" ht="22.5" customHeight="1" spans="1:2">
      <c r="A162" s="3">
        <v>160</v>
      </c>
      <c r="B162" s="4">
        <v>64</v>
      </c>
    </row>
    <row r="163" s="1" customFormat="1" ht="22.5" customHeight="1" spans="1:2">
      <c r="A163" s="3">
        <v>161</v>
      </c>
      <c r="B163" s="4">
        <v>60</v>
      </c>
    </row>
    <row r="164" s="1" customFormat="1" ht="22.5" customHeight="1" spans="1:2">
      <c r="A164" s="3">
        <v>162</v>
      </c>
      <c r="B164" s="4">
        <v>68</v>
      </c>
    </row>
    <row r="165" s="1" customFormat="1" ht="22.5" customHeight="1" spans="1:2">
      <c r="A165" s="3">
        <v>163</v>
      </c>
      <c r="B165" s="4">
        <v>67</v>
      </c>
    </row>
    <row r="166" s="1" customFormat="1" ht="22.5" customHeight="1" spans="1:2">
      <c r="A166" s="3">
        <v>164</v>
      </c>
      <c r="B166" s="4">
        <v>58</v>
      </c>
    </row>
    <row r="167" s="1" customFormat="1" ht="22.5" customHeight="1" spans="1:2">
      <c r="A167" s="3">
        <v>165</v>
      </c>
      <c r="B167" s="4">
        <v>69</v>
      </c>
    </row>
    <row r="168" s="1" customFormat="1" ht="22.5" customHeight="1" spans="1:2">
      <c r="A168" s="3">
        <v>166</v>
      </c>
      <c r="B168" s="4">
        <v>67</v>
      </c>
    </row>
    <row r="169" s="1" customFormat="1" ht="22.5" customHeight="1" spans="1:2">
      <c r="A169" s="3">
        <v>167</v>
      </c>
      <c r="B169" s="4">
        <v>63</v>
      </c>
    </row>
    <row r="170" s="1" customFormat="1" ht="22.5" customHeight="1" spans="1:2">
      <c r="A170" s="3">
        <v>168</v>
      </c>
      <c r="B170" s="4">
        <v>78</v>
      </c>
    </row>
    <row r="171" s="1" customFormat="1" ht="22.5" customHeight="1" spans="1:2">
      <c r="A171" s="3">
        <v>169</v>
      </c>
      <c r="B171" s="4">
        <v>67</v>
      </c>
    </row>
    <row r="172" s="1" customFormat="1" ht="22.5" customHeight="1" spans="1:2">
      <c r="A172" s="3">
        <v>170</v>
      </c>
      <c r="B172" s="4">
        <v>59</v>
      </c>
    </row>
    <row r="173" s="1" customFormat="1" ht="22.5" customHeight="1" spans="1:2">
      <c r="A173" s="3">
        <v>171</v>
      </c>
      <c r="B173" s="4">
        <v>49</v>
      </c>
    </row>
    <row r="174" s="1" customFormat="1" ht="22.5" customHeight="1" spans="1:2">
      <c r="A174" s="3">
        <v>172</v>
      </c>
      <c r="B174" s="4">
        <v>49</v>
      </c>
    </row>
    <row r="175" s="1" customFormat="1" ht="22.5" customHeight="1" spans="1:2">
      <c r="A175" s="3">
        <v>173</v>
      </c>
      <c r="B175" s="4">
        <v>57</v>
      </c>
    </row>
    <row r="176" s="1" customFormat="1" ht="22.5" customHeight="1" spans="1:2">
      <c r="A176" s="3">
        <v>174</v>
      </c>
      <c r="B176" s="4">
        <v>66</v>
      </c>
    </row>
    <row r="177" s="1" customFormat="1" ht="22.5" customHeight="1" spans="1:2">
      <c r="A177" s="3">
        <v>175</v>
      </c>
      <c r="B177" s="4">
        <v>66</v>
      </c>
    </row>
    <row r="178" s="1" customFormat="1" ht="22.5" customHeight="1" spans="1:2">
      <c r="A178" s="3">
        <v>176</v>
      </c>
      <c r="B178" s="4">
        <v>55</v>
      </c>
    </row>
    <row r="179" s="1" customFormat="1" ht="22.5" customHeight="1" spans="1:2">
      <c r="A179" s="3">
        <v>177</v>
      </c>
      <c r="B179" s="4">
        <v>59</v>
      </c>
    </row>
    <row r="180" s="1" customFormat="1" ht="22.5" customHeight="1" spans="1:2">
      <c r="A180" s="3">
        <v>178</v>
      </c>
      <c r="B180" s="4">
        <v>68</v>
      </c>
    </row>
    <row r="181" s="1" customFormat="1" ht="22.5" customHeight="1" spans="1:2">
      <c r="A181" s="3">
        <v>179</v>
      </c>
      <c r="B181" s="4">
        <v>51</v>
      </c>
    </row>
    <row r="182" s="1" customFormat="1" ht="22.5" customHeight="1" spans="1:2">
      <c r="A182" s="3">
        <v>180</v>
      </c>
      <c r="B182" s="4">
        <v>43</v>
      </c>
    </row>
    <row r="183" s="1" customFormat="1" ht="22.5" customHeight="1" spans="1:2">
      <c r="A183" s="3">
        <v>181</v>
      </c>
      <c r="B183" s="4">
        <v>48</v>
      </c>
    </row>
    <row r="184" s="1" customFormat="1" ht="22.5" customHeight="1" spans="1:2">
      <c r="A184" s="3">
        <v>182</v>
      </c>
      <c r="B184" s="4">
        <v>50</v>
      </c>
    </row>
    <row r="185" s="1" customFormat="1" ht="22.5" customHeight="1" spans="1:2">
      <c r="A185" s="3">
        <v>183</v>
      </c>
      <c r="B185" s="4">
        <v>49</v>
      </c>
    </row>
    <row r="186" s="1" customFormat="1" ht="22.5" customHeight="1" spans="1:2">
      <c r="A186" s="3">
        <v>184</v>
      </c>
      <c r="B186" s="4">
        <v>52</v>
      </c>
    </row>
    <row r="187" s="1" customFormat="1" ht="22.5" customHeight="1" spans="1:2">
      <c r="A187" s="3">
        <v>185</v>
      </c>
      <c r="B187" s="4">
        <v>49</v>
      </c>
    </row>
    <row r="188" s="1" customFormat="1" ht="22.5" customHeight="1" spans="1:2">
      <c r="A188" s="3">
        <v>186</v>
      </c>
      <c r="B188" s="4">
        <v>44</v>
      </c>
    </row>
    <row r="189" s="1" customFormat="1" ht="22.5" customHeight="1" spans="1:2">
      <c r="A189" s="3">
        <v>187</v>
      </c>
      <c r="B189" s="4">
        <v>50</v>
      </c>
    </row>
    <row r="190" s="1" customFormat="1" ht="22.5" customHeight="1" spans="1:2">
      <c r="A190" s="3">
        <v>188</v>
      </c>
      <c r="B190" s="4">
        <v>44</v>
      </c>
    </row>
    <row r="191" s="1" customFormat="1" ht="22.5" customHeight="1" spans="1:2">
      <c r="A191" s="3">
        <v>189</v>
      </c>
      <c r="B191" s="4">
        <v>55</v>
      </c>
    </row>
    <row r="192" s="1" customFormat="1" ht="22.5" customHeight="1" spans="1:2">
      <c r="A192" s="3">
        <v>190</v>
      </c>
      <c r="B192" s="4">
        <v>59</v>
      </c>
    </row>
    <row r="193" s="1" customFormat="1" ht="22.5" customHeight="1" spans="1:2">
      <c r="A193" s="3">
        <v>191</v>
      </c>
      <c r="B193" s="4">
        <v>53</v>
      </c>
    </row>
    <row r="194" s="1" customFormat="1" ht="22.5" customHeight="1" spans="1:2">
      <c r="A194" s="3">
        <v>192</v>
      </c>
      <c r="B194" s="4">
        <v>43</v>
      </c>
    </row>
    <row r="195" s="1" customFormat="1" ht="22.5" customHeight="1" spans="1:2">
      <c r="A195" s="3">
        <v>193</v>
      </c>
      <c r="B195" s="4">
        <v>49</v>
      </c>
    </row>
    <row r="196" s="1" customFormat="1" ht="22.5" customHeight="1" spans="1:2">
      <c r="A196" s="3">
        <v>194</v>
      </c>
      <c r="B196" s="4">
        <v>45</v>
      </c>
    </row>
    <row r="197" s="1" customFormat="1" ht="22.5" customHeight="1" spans="1:2">
      <c r="A197" s="3">
        <v>195</v>
      </c>
      <c r="B197" s="4">
        <v>50</v>
      </c>
    </row>
    <row r="198" s="1" customFormat="1" ht="22.5" customHeight="1" spans="1:2">
      <c r="A198" s="3">
        <v>196</v>
      </c>
      <c r="B198" s="4">
        <v>37</v>
      </c>
    </row>
    <row r="199" s="1" customFormat="1" ht="22.5" customHeight="1" spans="1:2">
      <c r="A199" s="3">
        <v>197</v>
      </c>
      <c r="B199" s="4">
        <v>40</v>
      </c>
    </row>
    <row r="200" s="1" customFormat="1" ht="22.5" customHeight="1" spans="1:2">
      <c r="A200" s="3">
        <v>198</v>
      </c>
      <c r="B200" s="4">
        <v>37</v>
      </c>
    </row>
    <row r="201" s="1" customFormat="1" ht="22.5" customHeight="1" spans="1:2">
      <c r="A201" s="3">
        <v>199</v>
      </c>
      <c r="B201" s="4">
        <v>38</v>
      </c>
    </row>
    <row r="202" s="1" customFormat="1" ht="22.5" customHeight="1" spans="1:2">
      <c r="A202" s="3">
        <v>200</v>
      </c>
      <c r="B202" s="4">
        <v>36</v>
      </c>
    </row>
    <row r="203" s="1" customFormat="1" ht="22.5" customHeight="1" spans="1:2">
      <c r="A203" s="3">
        <v>201</v>
      </c>
      <c r="B203" s="4">
        <v>49</v>
      </c>
    </row>
    <row r="204" s="1" customFormat="1" ht="22.5" customHeight="1" spans="1:2">
      <c r="A204" s="3">
        <v>202</v>
      </c>
      <c r="B204" s="4">
        <v>45</v>
      </c>
    </row>
    <row r="205" s="1" customFormat="1" ht="22.5" customHeight="1" spans="1:2">
      <c r="A205" s="3">
        <v>203</v>
      </c>
      <c r="B205" s="4">
        <v>45</v>
      </c>
    </row>
    <row r="206" s="1" customFormat="1" ht="22.5" customHeight="1" spans="1:2">
      <c r="A206" s="3">
        <v>204</v>
      </c>
      <c r="B206" s="4">
        <v>34</v>
      </c>
    </row>
    <row r="207" s="1" customFormat="1" ht="22.5" customHeight="1" spans="1:2">
      <c r="A207" s="3">
        <v>205</v>
      </c>
      <c r="B207" s="4">
        <v>38</v>
      </c>
    </row>
    <row r="208" s="1" customFormat="1" ht="22.5" customHeight="1" spans="1:2">
      <c r="A208" s="3">
        <v>206</v>
      </c>
      <c r="B208" s="4">
        <v>42</v>
      </c>
    </row>
    <row r="209" s="1" customFormat="1" ht="22.5" customHeight="1" spans="1:2">
      <c r="A209" s="3">
        <v>207</v>
      </c>
      <c r="B209" s="4">
        <v>45</v>
      </c>
    </row>
    <row r="210" s="1" customFormat="1" ht="22.5" customHeight="1" spans="1:2">
      <c r="A210" s="3">
        <v>208</v>
      </c>
      <c r="B210" s="4">
        <v>50</v>
      </c>
    </row>
    <row r="211" s="1" customFormat="1" ht="22.5" customHeight="1" spans="1:2">
      <c r="A211" s="3">
        <v>209</v>
      </c>
      <c r="B211" s="4">
        <v>30</v>
      </c>
    </row>
    <row r="212" s="1" customFormat="1" ht="22.5" customHeight="1" spans="1:2">
      <c r="A212" s="3">
        <v>210</v>
      </c>
      <c r="B212" s="4">
        <v>31</v>
      </c>
    </row>
    <row r="213" s="1" customFormat="1" ht="22.5" customHeight="1" spans="1:2">
      <c r="A213" s="3">
        <v>211</v>
      </c>
      <c r="B213" s="4">
        <v>39</v>
      </c>
    </row>
    <row r="214" s="1" customFormat="1" ht="22.5" customHeight="1" spans="1:2">
      <c r="A214" s="3">
        <v>212</v>
      </c>
      <c r="B214" s="4">
        <v>39</v>
      </c>
    </row>
    <row r="215" s="1" customFormat="1" ht="22.5" customHeight="1" spans="1:2">
      <c r="A215" s="3">
        <v>213</v>
      </c>
      <c r="B215" s="4">
        <v>28</v>
      </c>
    </row>
    <row r="216" s="1" customFormat="1" ht="22.5" customHeight="1" spans="1:2">
      <c r="A216" s="3">
        <v>214</v>
      </c>
      <c r="B216" s="4">
        <v>41</v>
      </c>
    </row>
    <row r="217" s="1" customFormat="1" ht="22.5" customHeight="1" spans="1:2">
      <c r="A217" s="3">
        <v>215</v>
      </c>
      <c r="B217" s="4">
        <v>34</v>
      </c>
    </row>
    <row r="218" s="1" customFormat="1" ht="22.5" customHeight="1" spans="1:2">
      <c r="A218" s="3">
        <v>216</v>
      </c>
      <c r="B218" s="4">
        <v>29</v>
      </c>
    </row>
    <row r="219" s="1" customFormat="1" ht="22.5" customHeight="1" spans="1:2">
      <c r="A219" s="3">
        <v>217</v>
      </c>
      <c r="B219" s="4">
        <v>35</v>
      </c>
    </row>
    <row r="220" s="1" customFormat="1" ht="22.5" customHeight="1" spans="1:2">
      <c r="A220" s="3">
        <v>218</v>
      </c>
      <c r="B220" s="4">
        <v>40</v>
      </c>
    </row>
    <row r="221" s="1" customFormat="1" ht="22.5" customHeight="1" spans="1:2">
      <c r="A221" s="3">
        <v>219</v>
      </c>
      <c r="B221" s="4">
        <v>39</v>
      </c>
    </row>
    <row r="222" s="1" customFormat="1" ht="22.5" customHeight="1" spans="1:2">
      <c r="A222" s="3">
        <v>220</v>
      </c>
      <c r="B222" s="4">
        <v>41</v>
      </c>
    </row>
    <row r="223" s="1" customFormat="1" ht="22.5" customHeight="1" spans="1:2">
      <c r="A223" s="3">
        <v>221</v>
      </c>
      <c r="B223" s="4">
        <v>41</v>
      </c>
    </row>
    <row r="224" s="1" customFormat="1" ht="22.5" customHeight="1" spans="1:2">
      <c r="A224" s="3">
        <v>222</v>
      </c>
      <c r="B224" s="4">
        <v>27</v>
      </c>
    </row>
    <row r="225" s="1" customFormat="1" ht="22.5" customHeight="1" spans="1:2">
      <c r="A225" s="3">
        <v>223</v>
      </c>
      <c r="B225" s="4">
        <v>31</v>
      </c>
    </row>
    <row r="226" s="1" customFormat="1" ht="22.5" customHeight="1" spans="1:2">
      <c r="A226" s="3">
        <v>224</v>
      </c>
      <c r="B226" s="4">
        <v>27</v>
      </c>
    </row>
    <row r="227" s="1" customFormat="1" ht="22.5" customHeight="1" spans="1:2">
      <c r="A227" s="3">
        <v>225</v>
      </c>
      <c r="B227" s="4">
        <v>35</v>
      </c>
    </row>
    <row r="228" s="1" customFormat="1" ht="22.5" customHeight="1" spans="1:2">
      <c r="A228" s="3">
        <v>226</v>
      </c>
      <c r="B228" s="4">
        <v>26</v>
      </c>
    </row>
    <row r="229" s="1" customFormat="1" ht="22.5" customHeight="1" spans="1:2">
      <c r="A229" s="3">
        <v>227</v>
      </c>
      <c r="B229" s="4">
        <v>40</v>
      </c>
    </row>
    <row r="230" s="1" customFormat="1" ht="22.5" customHeight="1" spans="1:2">
      <c r="A230" s="3">
        <v>228</v>
      </c>
      <c r="B230" s="4">
        <v>24</v>
      </c>
    </row>
    <row r="231" s="1" customFormat="1" ht="22.5" customHeight="1" spans="1:2">
      <c r="A231" s="3">
        <v>229</v>
      </c>
      <c r="B231" s="4">
        <v>31</v>
      </c>
    </row>
    <row r="232" s="1" customFormat="1" ht="22.5" customHeight="1" spans="1:2">
      <c r="A232" s="3">
        <v>230</v>
      </c>
      <c r="B232" s="4">
        <v>23</v>
      </c>
    </row>
    <row r="233" s="1" customFormat="1" ht="22.5" customHeight="1" spans="1:2">
      <c r="A233" s="3">
        <v>231</v>
      </c>
      <c r="B233" s="4">
        <v>41</v>
      </c>
    </row>
    <row r="234" s="1" customFormat="1" ht="22.5" customHeight="1" spans="1:2">
      <c r="A234" s="3">
        <v>232</v>
      </c>
      <c r="B234" s="4">
        <v>34</v>
      </c>
    </row>
    <row r="235" s="1" customFormat="1" ht="22.5" customHeight="1" spans="1:2">
      <c r="A235" s="3">
        <v>233</v>
      </c>
      <c r="B235" s="4">
        <v>24</v>
      </c>
    </row>
    <row r="236" s="1" customFormat="1" ht="22.5" customHeight="1" spans="1:2">
      <c r="A236" s="3">
        <v>234</v>
      </c>
      <c r="B236" s="4">
        <v>33</v>
      </c>
    </row>
    <row r="237" s="1" customFormat="1" ht="22.5" customHeight="1" spans="1:2">
      <c r="A237" s="3">
        <v>235</v>
      </c>
      <c r="B237" s="4">
        <v>38</v>
      </c>
    </row>
    <row r="238" s="1" customFormat="1" ht="22.5" customHeight="1" spans="1:2">
      <c r="A238" s="3">
        <v>236</v>
      </c>
      <c r="B238" s="4">
        <v>25</v>
      </c>
    </row>
    <row r="239" s="1" customFormat="1" ht="22.5" customHeight="1" spans="1:2">
      <c r="A239" s="3">
        <v>237</v>
      </c>
      <c r="B239" s="4">
        <v>35</v>
      </c>
    </row>
    <row r="240" s="1" customFormat="1" ht="22.5" customHeight="1" spans="1:2">
      <c r="A240" s="3">
        <v>238</v>
      </c>
      <c r="B240" s="4">
        <v>29</v>
      </c>
    </row>
    <row r="241" s="1" customFormat="1" ht="22.5" customHeight="1" spans="1:2">
      <c r="A241" s="3">
        <v>239</v>
      </c>
      <c r="B241" s="4">
        <v>23</v>
      </c>
    </row>
    <row r="242" s="1" customFormat="1" ht="22.5" customHeight="1" spans="1:2">
      <c r="A242" s="3">
        <v>240</v>
      </c>
      <c r="B242" s="4">
        <v>41</v>
      </c>
    </row>
    <row r="243" s="1" customFormat="1" ht="22.5" customHeight="1" spans="1:2">
      <c r="A243" s="3">
        <v>241</v>
      </c>
      <c r="B243" s="4">
        <v>19</v>
      </c>
    </row>
    <row r="244" s="1" customFormat="1" ht="22.5" customHeight="1" spans="1:2">
      <c r="A244" s="3">
        <v>242</v>
      </c>
      <c r="B244" s="4">
        <v>28</v>
      </c>
    </row>
    <row r="245" s="1" customFormat="1" ht="22.5" customHeight="1" spans="1:2">
      <c r="A245" s="3">
        <v>243</v>
      </c>
      <c r="B245" s="4">
        <v>39</v>
      </c>
    </row>
    <row r="246" s="1" customFormat="1" ht="22.5" customHeight="1" spans="1:2">
      <c r="A246" s="3">
        <v>244</v>
      </c>
      <c r="B246" s="4">
        <v>15</v>
      </c>
    </row>
    <row r="247" s="1" customFormat="1" ht="22.5" customHeight="1" spans="1:2">
      <c r="A247" s="3">
        <v>245</v>
      </c>
      <c r="B247" s="4">
        <v>33</v>
      </c>
    </row>
    <row r="248" s="1" customFormat="1" ht="22.5" customHeight="1" spans="1:2">
      <c r="A248" s="3">
        <v>246</v>
      </c>
      <c r="B248" s="4">
        <v>27</v>
      </c>
    </row>
    <row r="249" s="1" customFormat="1" ht="22.5" customHeight="1" spans="1:2">
      <c r="A249" s="3">
        <v>247</v>
      </c>
      <c r="B249" s="4">
        <v>28</v>
      </c>
    </row>
    <row r="250" s="1" customFormat="1" ht="22.5" customHeight="1" spans="1:2">
      <c r="A250" s="3">
        <v>248</v>
      </c>
      <c r="B250" s="4">
        <v>27</v>
      </c>
    </row>
    <row r="251" s="1" customFormat="1" ht="22.5" customHeight="1" spans="1:2">
      <c r="A251" s="3">
        <v>249</v>
      </c>
      <c r="B251" s="4">
        <v>28</v>
      </c>
    </row>
    <row r="252" s="1" customFormat="1" ht="22.5" customHeight="1" spans="1:2">
      <c r="A252" s="3">
        <v>250</v>
      </c>
      <c r="B252" s="4">
        <v>33</v>
      </c>
    </row>
    <row r="253" s="1" customFormat="1" ht="22.5" customHeight="1" spans="1:2">
      <c r="A253" s="3">
        <v>251</v>
      </c>
      <c r="B253" s="4">
        <v>26</v>
      </c>
    </row>
    <row r="254" s="1" customFormat="1" ht="22.5" customHeight="1" spans="1:2">
      <c r="A254" s="3">
        <v>252</v>
      </c>
      <c r="B254" s="4">
        <v>25</v>
      </c>
    </row>
    <row r="255" s="1" customFormat="1" ht="22.5" customHeight="1" spans="1:2">
      <c r="A255" s="3">
        <v>253</v>
      </c>
      <c r="B255" s="4">
        <v>23</v>
      </c>
    </row>
    <row r="256" s="1" customFormat="1" ht="22.5" customHeight="1" spans="1:2">
      <c r="A256" s="3">
        <v>254</v>
      </c>
      <c r="B256" s="4">
        <v>33</v>
      </c>
    </row>
    <row r="257" s="1" customFormat="1" ht="22.5" customHeight="1" spans="1:2">
      <c r="A257" s="3">
        <v>255</v>
      </c>
      <c r="B257" s="4">
        <v>33</v>
      </c>
    </row>
    <row r="258" s="1" customFormat="1" ht="22.5" customHeight="1" spans="1:2">
      <c r="A258" s="3">
        <v>256</v>
      </c>
      <c r="B258" s="4">
        <v>27</v>
      </c>
    </row>
    <row r="259" s="1" customFormat="1" ht="22.5" customHeight="1" spans="1:2">
      <c r="A259" s="3">
        <v>257</v>
      </c>
      <c r="B259" s="4">
        <v>28</v>
      </c>
    </row>
    <row r="260" s="1" customFormat="1" ht="22.5" customHeight="1" spans="1:2">
      <c r="A260" s="3">
        <v>258</v>
      </c>
      <c r="B260" s="4">
        <v>19</v>
      </c>
    </row>
    <row r="261" s="1" customFormat="1" ht="22.5" customHeight="1" spans="1:2">
      <c r="A261" s="3">
        <v>259</v>
      </c>
      <c r="B261" s="4">
        <v>17</v>
      </c>
    </row>
    <row r="262" s="1" customFormat="1" ht="22.5" customHeight="1" spans="1:2">
      <c r="A262" s="3">
        <v>260</v>
      </c>
      <c r="B262" s="4">
        <v>20</v>
      </c>
    </row>
    <row r="263" s="1" customFormat="1" ht="22.5" customHeight="1" spans="1:2">
      <c r="A263" s="3">
        <v>261</v>
      </c>
      <c r="B263" s="4">
        <v>16</v>
      </c>
    </row>
    <row r="264" s="1" customFormat="1" ht="22.5" customHeight="1" spans="1:2">
      <c r="A264" s="3">
        <v>262</v>
      </c>
      <c r="B264" s="4">
        <v>25</v>
      </c>
    </row>
    <row r="265" s="1" customFormat="1" ht="22.5" customHeight="1" spans="1:2">
      <c r="A265" s="3">
        <v>263</v>
      </c>
      <c r="B265" s="4">
        <v>23</v>
      </c>
    </row>
    <row r="266" s="1" customFormat="1" ht="22.5" customHeight="1" spans="1:2">
      <c r="A266" s="3">
        <v>264</v>
      </c>
      <c r="B266" s="4">
        <v>24</v>
      </c>
    </row>
    <row r="267" s="1" customFormat="1" ht="22.5" customHeight="1" spans="1:2">
      <c r="A267" s="3">
        <v>265</v>
      </c>
      <c r="B267" s="4">
        <v>11</v>
      </c>
    </row>
    <row r="268" s="1" customFormat="1" ht="22.5" customHeight="1" spans="1:2">
      <c r="A268" s="3">
        <v>266</v>
      </c>
      <c r="B268" s="4">
        <v>21</v>
      </c>
    </row>
    <row r="269" s="1" customFormat="1" ht="22.5" customHeight="1" spans="1:2">
      <c r="A269" s="3">
        <v>267</v>
      </c>
      <c r="B269" s="4">
        <v>21</v>
      </c>
    </row>
    <row r="270" s="1" customFormat="1" ht="22.5" customHeight="1" spans="1:2">
      <c r="A270" s="3">
        <v>268</v>
      </c>
      <c r="B270" s="4">
        <v>24</v>
      </c>
    </row>
    <row r="271" s="1" customFormat="1" ht="22.5" customHeight="1" spans="1:2">
      <c r="A271" s="3">
        <v>269</v>
      </c>
      <c r="B271" s="4">
        <v>26</v>
      </c>
    </row>
    <row r="272" s="1" customFormat="1" ht="22.5" customHeight="1" spans="1:2">
      <c r="A272" s="3">
        <v>270</v>
      </c>
      <c r="B272" s="4">
        <v>10</v>
      </c>
    </row>
    <row r="273" s="1" customFormat="1" ht="22.5" customHeight="1" spans="1:2">
      <c r="A273" s="3">
        <v>271</v>
      </c>
      <c r="B273" s="4">
        <v>25</v>
      </c>
    </row>
    <row r="274" s="1" customFormat="1" ht="22.5" customHeight="1" spans="1:2">
      <c r="A274" s="3">
        <v>272</v>
      </c>
      <c r="B274" s="4">
        <v>23</v>
      </c>
    </row>
    <row r="275" s="1" customFormat="1" ht="22.5" customHeight="1" spans="1:2">
      <c r="A275" s="3">
        <v>273</v>
      </c>
      <c r="B275" s="4">
        <v>26</v>
      </c>
    </row>
    <row r="276" s="1" customFormat="1" ht="22.5" customHeight="1" spans="1:2">
      <c r="A276" s="3">
        <v>274</v>
      </c>
      <c r="B276" s="4">
        <v>13</v>
      </c>
    </row>
    <row r="277" s="1" customFormat="1" ht="22.5" customHeight="1" spans="1:2">
      <c r="A277" s="3">
        <v>275</v>
      </c>
      <c r="B277" s="4">
        <v>28</v>
      </c>
    </row>
    <row r="278" s="1" customFormat="1" ht="22.5" customHeight="1" spans="1:2">
      <c r="A278" s="3">
        <v>276</v>
      </c>
      <c r="B278" s="4">
        <v>25</v>
      </c>
    </row>
    <row r="279" s="1" customFormat="1" ht="22.5" customHeight="1" spans="1:2">
      <c r="A279" s="3">
        <v>277</v>
      </c>
      <c r="B279" s="4">
        <v>22</v>
      </c>
    </row>
    <row r="280" s="1" customFormat="1" ht="22.5" customHeight="1" spans="1:2">
      <c r="A280" s="3">
        <v>278</v>
      </c>
      <c r="B280" s="4">
        <v>25</v>
      </c>
    </row>
    <row r="281" s="1" customFormat="1" ht="22.5" customHeight="1" spans="1:2">
      <c r="A281" s="3">
        <v>279</v>
      </c>
      <c r="B281" s="4">
        <v>17</v>
      </c>
    </row>
    <row r="282" s="1" customFormat="1" ht="22.5" customHeight="1" spans="1:2">
      <c r="A282" s="3">
        <v>280</v>
      </c>
      <c r="B282" s="4">
        <v>19</v>
      </c>
    </row>
    <row r="283" s="1" customFormat="1" ht="22.5" customHeight="1" spans="1:2">
      <c r="A283" s="3">
        <v>281</v>
      </c>
      <c r="B283" s="4">
        <v>24</v>
      </c>
    </row>
    <row r="284" s="1" customFormat="1" ht="22.5" customHeight="1" spans="1:2">
      <c r="A284" s="3">
        <v>282</v>
      </c>
      <c r="B284" s="4">
        <v>21</v>
      </c>
    </row>
    <row r="285" s="1" customFormat="1" ht="22.5" customHeight="1" spans="1:2">
      <c r="A285" s="3">
        <v>283</v>
      </c>
      <c r="B285" s="4">
        <v>16</v>
      </c>
    </row>
    <row r="286" s="1" customFormat="1" ht="22.5" customHeight="1" spans="1:2">
      <c r="A286" s="3">
        <v>284</v>
      </c>
      <c r="B286" s="4">
        <v>21</v>
      </c>
    </row>
    <row r="287" s="1" customFormat="1" ht="22.5" customHeight="1" spans="1:2">
      <c r="A287" s="3">
        <v>285</v>
      </c>
      <c r="B287" s="4">
        <v>22</v>
      </c>
    </row>
    <row r="288" s="1" customFormat="1" ht="22.5" customHeight="1" spans="1:2">
      <c r="A288" s="3">
        <v>286</v>
      </c>
      <c r="B288" s="4">
        <v>23</v>
      </c>
    </row>
    <row r="289" s="1" customFormat="1" ht="22.5" customHeight="1" spans="1:2">
      <c r="A289" s="3">
        <v>287</v>
      </c>
      <c r="B289" s="4">
        <v>16</v>
      </c>
    </row>
    <row r="290" s="1" customFormat="1" ht="22.5" customHeight="1" spans="1:2">
      <c r="A290" s="3">
        <v>288</v>
      </c>
      <c r="B290" s="4">
        <v>16</v>
      </c>
    </row>
    <row r="291" s="1" customFormat="1" ht="22.5" customHeight="1" spans="1:2">
      <c r="A291" s="3">
        <v>289</v>
      </c>
      <c r="B291" s="4">
        <v>27</v>
      </c>
    </row>
    <row r="292" s="1" customFormat="1" ht="22.5" customHeight="1" spans="1:2">
      <c r="A292" s="3">
        <v>290</v>
      </c>
      <c r="B292" s="4">
        <v>13</v>
      </c>
    </row>
    <row r="293" s="1" customFormat="1" ht="22.5" customHeight="1" spans="1:2">
      <c r="A293" s="3">
        <v>291</v>
      </c>
      <c r="B293" s="4">
        <v>15</v>
      </c>
    </row>
    <row r="294" s="1" customFormat="1" ht="22.5" customHeight="1" spans="1:2">
      <c r="A294" s="3">
        <v>292</v>
      </c>
      <c r="B294" s="4">
        <v>15</v>
      </c>
    </row>
    <row r="295" s="1" customFormat="1" ht="22.5" customHeight="1" spans="1:2">
      <c r="A295" s="3">
        <v>293</v>
      </c>
      <c r="B295" s="4">
        <v>20</v>
      </c>
    </row>
    <row r="296" s="1" customFormat="1" ht="22.5" customHeight="1" spans="1:2">
      <c r="A296" s="3">
        <v>294</v>
      </c>
      <c r="B296" s="4">
        <v>15</v>
      </c>
    </row>
    <row r="297" s="1" customFormat="1" ht="22.5" customHeight="1" spans="1:2">
      <c r="A297" s="3">
        <v>295</v>
      </c>
      <c r="B297" s="4">
        <v>15</v>
      </c>
    </row>
    <row r="298" s="1" customFormat="1" ht="22.5" customHeight="1" spans="1:2">
      <c r="A298" s="3">
        <v>296</v>
      </c>
      <c r="B298" s="4">
        <v>18</v>
      </c>
    </row>
    <row r="299" s="1" customFormat="1" ht="22.5" customHeight="1" spans="1:2">
      <c r="A299" s="3">
        <v>297</v>
      </c>
      <c r="B299" s="4">
        <v>24</v>
      </c>
    </row>
    <row r="300" s="1" customFormat="1" ht="22.5" customHeight="1" spans="1:2">
      <c r="A300" s="3">
        <v>298</v>
      </c>
      <c r="B300" s="4">
        <v>21</v>
      </c>
    </row>
    <row r="301" s="1" customFormat="1" ht="22.5" customHeight="1" spans="1:2">
      <c r="A301" s="3">
        <v>299</v>
      </c>
      <c r="B301" s="4">
        <v>15</v>
      </c>
    </row>
    <row r="302" s="1" customFormat="1" ht="22.5" customHeight="1" spans="1:2">
      <c r="A302" s="3">
        <v>300</v>
      </c>
      <c r="B302" s="4">
        <v>17</v>
      </c>
    </row>
    <row r="303" s="1" customFormat="1" ht="22.5" customHeight="1" spans="1:2">
      <c r="A303" s="3">
        <v>301</v>
      </c>
      <c r="B303" s="4">
        <v>19</v>
      </c>
    </row>
    <row r="304" s="1" customFormat="1" ht="22.5" customHeight="1" spans="1:2">
      <c r="A304" s="3">
        <v>302</v>
      </c>
      <c r="B304" s="4">
        <v>16</v>
      </c>
    </row>
    <row r="305" s="1" customFormat="1" ht="22.5" customHeight="1" spans="1:2">
      <c r="A305" s="3">
        <v>303</v>
      </c>
      <c r="B305" s="4">
        <v>16</v>
      </c>
    </row>
    <row r="306" s="1" customFormat="1" ht="22.5" customHeight="1" spans="1:2">
      <c r="A306" s="3">
        <v>304</v>
      </c>
      <c r="B306" s="4">
        <v>22</v>
      </c>
    </row>
    <row r="307" s="1" customFormat="1" ht="22.5" customHeight="1" spans="1:2">
      <c r="A307" s="3">
        <v>305</v>
      </c>
      <c r="B307" s="4">
        <v>19</v>
      </c>
    </row>
    <row r="308" s="1" customFormat="1" ht="22.5" customHeight="1" spans="1:2">
      <c r="A308" s="3">
        <v>306</v>
      </c>
      <c r="B308" s="4">
        <v>16</v>
      </c>
    </row>
    <row r="309" s="1" customFormat="1" ht="22.5" customHeight="1" spans="1:2">
      <c r="A309" s="3">
        <v>307</v>
      </c>
      <c r="B309" s="4">
        <v>16</v>
      </c>
    </row>
    <row r="310" s="1" customFormat="1" ht="22.5" customHeight="1" spans="1:2">
      <c r="A310" s="3">
        <v>308</v>
      </c>
      <c r="B310" s="4">
        <v>17</v>
      </c>
    </row>
    <row r="311" s="1" customFormat="1" ht="22.5" customHeight="1" spans="1:2">
      <c r="A311" s="3">
        <v>309</v>
      </c>
      <c r="B311" s="4">
        <v>18</v>
      </c>
    </row>
    <row r="312" s="1" customFormat="1" ht="22.5" customHeight="1" spans="1:2">
      <c r="A312" s="3">
        <v>310</v>
      </c>
      <c r="B312" s="4">
        <v>17</v>
      </c>
    </row>
    <row r="313" s="1" customFormat="1" ht="22.5" customHeight="1" spans="1:2">
      <c r="A313" s="3">
        <v>311</v>
      </c>
      <c r="B313" s="4">
        <v>15</v>
      </c>
    </row>
    <row r="314" s="1" customFormat="1" ht="22.5" customHeight="1" spans="1:2">
      <c r="A314" s="3">
        <v>312</v>
      </c>
      <c r="B314" s="4">
        <v>16</v>
      </c>
    </row>
    <row r="315" s="1" customFormat="1" ht="22.5" customHeight="1" spans="1:2">
      <c r="A315" s="3">
        <v>313</v>
      </c>
      <c r="B315" s="4">
        <v>17</v>
      </c>
    </row>
    <row r="316" s="1" customFormat="1" ht="22.5" customHeight="1" spans="1:2">
      <c r="A316" s="3">
        <v>314</v>
      </c>
      <c r="B316" s="4">
        <v>13</v>
      </c>
    </row>
    <row r="317" s="1" customFormat="1" ht="22.5" customHeight="1" spans="1:2">
      <c r="A317" s="3">
        <v>315</v>
      </c>
      <c r="B317" s="4">
        <v>19</v>
      </c>
    </row>
    <row r="318" s="1" customFormat="1" ht="22.5" customHeight="1" spans="1:2">
      <c r="A318" s="3">
        <v>316</v>
      </c>
      <c r="B318" s="4">
        <v>14</v>
      </c>
    </row>
    <row r="319" s="1" customFormat="1" ht="22.5" customHeight="1" spans="1:2">
      <c r="A319" s="3">
        <v>317</v>
      </c>
      <c r="B319" s="4">
        <v>17</v>
      </c>
    </row>
    <row r="320" s="1" customFormat="1" ht="22.5" customHeight="1" spans="1:2">
      <c r="A320" s="3">
        <v>318</v>
      </c>
      <c r="B320" s="4">
        <v>14</v>
      </c>
    </row>
    <row r="321" s="1" customFormat="1" ht="22.5" customHeight="1" spans="1:2">
      <c r="A321" s="3">
        <v>319</v>
      </c>
      <c r="B321" s="4">
        <v>12</v>
      </c>
    </row>
    <row r="322" s="1" customFormat="1" ht="22.5" customHeight="1" spans="1:2">
      <c r="A322" s="3">
        <v>320</v>
      </c>
      <c r="B322" s="4">
        <v>14</v>
      </c>
    </row>
    <row r="323" s="1" customFormat="1" ht="22.5" customHeight="1" spans="1:2">
      <c r="A323" s="3">
        <v>321</v>
      </c>
      <c r="B323" s="4">
        <v>12</v>
      </c>
    </row>
    <row r="324" s="1" customFormat="1" ht="22.5" customHeight="1" spans="1:2">
      <c r="A324" s="3">
        <v>322</v>
      </c>
      <c r="B324" s="4">
        <v>14</v>
      </c>
    </row>
    <row r="325" s="1" customFormat="1" ht="22.5" customHeight="1" spans="1:2">
      <c r="A325" s="3">
        <v>323</v>
      </c>
      <c r="B325" s="4">
        <v>19</v>
      </c>
    </row>
    <row r="326" s="1" customFormat="1" ht="22.5" customHeight="1" spans="1:2">
      <c r="A326" s="3">
        <v>324</v>
      </c>
      <c r="B326" s="4">
        <v>14</v>
      </c>
    </row>
    <row r="327" s="1" customFormat="1" ht="22.5" customHeight="1" spans="1:2">
      <c r="A327" s="3">
        <v>325</v>
      </c>
      <c r="B327" s="4">
        <v>10</v>
      </c>
    </row>
    <row r="328" s="1" customFormat="1" ht="22.5" customHeight="1" spans="1:2">
      <c r="A328" s="3">
        <v>326</v>
      </c>
      <c r="B328" s="4">
        <v>12</v>
      </c>
    </row>
    <row r="329" s="1" customFormat="1" ht="22.5" customHeight="1" spans="1:2">
      <c r="A329" s="3">
        <v>327</v>
      </c>
      <c r="B329" s="4">
        <v>17</v>
      </c>
    </row>
    <row r="330" s="1" customFormat="1" ht="22.5" customHeight="1" spans="1:2">
      <c r="A330" s="3">
        <v>328</v>
      </c>
      <c r="B330" s="4">
        <v>12</v>
      </c>
    </row>
    <row r="331" s="1" customFormat="1" ht="22.5" customHeight="1" spans="1:2">
      <c r="A331" s="3">
        <v>329</v>
      </c>
      <c r="B331" s="4">
        <v>14</v>
      </c>
    </row>
    <row r="332" s="1" customFormat="1" ht="22.5" customHeight="1" spans="1:2">
      <c r="A332" s="3">
        <v>330</v>
      </c>
      <c r="B332" s="4">
        <v>6</v>
      </c>
    </row>
    <row r="333" s="1" customFormat="1" ht="22.5" customHeight="1" spans="1:2">
      <c r="A333" s="3">
        <v>331</v>
      </c>
      <c r="B333" s="4">
        <v>11</v>
      </c>
    </row>
    <row r="334" s="1" customFormat="1" ht="22.5" customHeight="1" spans="1:2">
      <c r="A334" s="3">
        <v>332</v>
      </c>
      <c r="B334" s="4">
        <v>15</v>
      </c>
    </row>
    <row r="335" s="1" customFormat="1" ht="22.5" customHeight="1" spans="1:2">
      <c r="A335" s="3">
        <v>333</v>
      </c>
      <c r="B335" s="4">
        <v>16</v>
      </c>
    </row>
    <row r="336" s="1" customFormat="1" ht="22.5" customHeight="1" spans="1:2">
      <c r="A336" s="3">
        <v>334</v>
      </c>
      <c r="B336" s="4">
        <v>19</v>
      </c>
    </row>
    <row r="337" s="1" customFormat="1" ht="22.5" customHeight="1" spans="1:2">
      <c r="A337" s="3">
        <v>335</v>
      </c>
      <c r="B337" s="4">
        <v>21</v>
      </c>
    </row>
    <row r="338" s="1" customFormat="1" ht="22.5" customHeight="1" spans="1:2">
      <c r="A338" s="3">
        <v>336</v>
      </c>
      <c r="B338" s="4">
        <v>18</v>
      </c>
    </row>
    <row r="339" s="1" customFormat="1" ht="22.5" customHeight="1" spans="1:2">
      <c r="A339" s="3">
        <v>337</v>
      </c>
      <c r="B339" s="4">
        <v>11</v>
      </c>
    </row>
    <row r="340" s="1" customFormat="1" ht="22.5" customHeight="1" spans="1:2">
      <c r="A340" s="3">
        <v>338</v>
      </c>
      <c r="B340" s="4">
        <v>15</v>
      </c>
    </row>
    <row r="341" s="1" customFormat="1" ht="22.5" customHeight="1" spans="1:2">
      <c r="A341" s="3">
        <v>339</v>
      </c>
      <c r="B341" s="4">
        <v>17</v>
      </c>
    </row>
    <row r="342" s="1" customFormat="1" ht="22.5" customHeight="1" spans="1:2">
      <c r="A342" s="3">
        <v>340</v>
      </c>
      <c r="B342" s="4">
        <v>13</v>
      </c>
    </row>
    <row r="343" s="1" customFormat="1" ht="22.5" customHeight="1" spans="1:2">
      <c r="A343" s="3">
        <v>341</v>
      </c>
      <c r="B343" s="4">
        <v>11</v>
      </c>
    </row>
    <row r="344" s="1" customFormat="1" ht="22.5" customHeight="1" spans="1:2">
      <c r="A344" s="3">
        <v>342</v>
      </c>
      <c r="B344" s="4">
        <v>10</v>
      </c>
    </row>
    <row r="345" s="1" customFormat="1" ht="22.5" customHeight="1" spans="1:2">
      <c r="A345" s="3">
        <v>343</v>
      </c>
      <c r="B345" s="4">
        <v>12</v>
      </c>
    </row>
    <row r="346" s="1" customFormat="1" ht="22.5" customHeight="1" spans="1:2">
      <c r="A346" s="3">
        <v>344</v>
      </c>
      <c r="B346" s="4">
        <v>11</v>
      </c>
    </row>
    <row r="347" s="1" customFormat="1" ht="22.5" customHeight="1" spans="1:2">
      <c r="A347" s="3">
        <v>345</v>
      </c>
      <c r="B347" s="4">
        <v>17</v>
      </c>
    </row>
    <row r="348" s="1" customFormat="1" ht="22.5" customHeight="1" spans="1:2">
      <c r="A348" s="3">
        <v>346</v>
      </c>
      <c r="B348" s="4">
        <v>13</v>
      </c>
    </row>
    <row r="349" s="1" customFormat="1" ht="22.5" customHeight="1" spans="1:2">
      <c r="A349" s="3">
        <v>347</v>
      </c>
      <c r="B349" s="4">
        <v>9</v>
      </c>
    </row>
    <row r="350" s="1" customFormat="1" ht="22.5" customHeight="1" spans="1:2">
      <c r="A350" s="3">
        <v>348</v>
      </c>
      <c r="B350" s="4">
        <v>12</v>
      </c>
    </row>
    <row r="351" s="1" customFormat="1" ht="22.5" customHeight="1" spans="1:2">
      <c r="A351" s="3">
        <v>349</v>
      </c>
      <c r="B351" s="4">
        <v>8</v>
      </c>
    </row>
    <row r="352" s="1" customFormat="1" ht="22.5" customHeight="1" spans="1:2">
      <c r="A352" s="3">
        <v>350</v>
      </c>
      <c r="B352" s="4">
        <v>15</v>
      </c>
    </row>
    <row r="353" s="1" customFormat="1" ht="22.5" customHeight="1" spans="1:2">
      <c r="A353" s="3">
        <v>351</v>
      </c>
      <c r="B353" s="4">
        <v>10</v>
      </c>
    </row>
    <row r="354" s="1" customFormat="1" ht="22.5" customHeight="1" spans="1:2">
      <c r="A354" s="3">
        <v>352</v>
      </c>
      <c r="B354" s="4">
        <v>14</v>
      </c>
    </row>
    <row r="355" s="1" customFormat="1" ht="22.5" customHeight="1" spans="1:2">
      <c r="A355" s="3">
        <v>353</v>
      </c>
      <c r="B355" s="4">
        <v>10</v>
      </c>
    </row>
    <row r="356" s="1" customFormat="1" ht="22.5" customHeight="1" spans="1:2">
      <c r="A356" s="3">
        <v>354</v>
      </c>
      <c r="B356" s="4">
        <v>12</v>
      </c>
    </row>
    <row r="357" s="1" customFormat="1" ht="22.5" customHeight="1" spans="1:2">
      <c r="A357" s="3">
        <v>355</v>
      </c>
      <c r="B357" s="4">
        <v>11</v>
      </c>
    </row>
    <row r="358" s="1" customFormat="1" ht="22.5" customHeight="1" spans="1:2">
      <c r="A358" s="3">
        <v>356</v>
      </c>
      <c r="B358" s="4">
        <v>6</v>
      </c>
    </row>
    <row r="359" s="1" customFormat="1" ht="22.5" customHeight="1" spans="1:2">
      <c r="A359" s="3">
        <v>357</v>
      </c>
      <c r="B359" s="4">
        <v>10</v>
      </c>
    </row>
    <row r="360" s="1" customFormat="1" ht="22.5" customHeight="1" spans="1:2">
      <c r="A360" s="3">
        <v>358</v>
      </c>
      <c r="B360" s="4">
        <v>12</v>
      </c>
    </row>
    <row r="361" s="1" customFormat="1" ht="22.5" customHeight="1" spans="1:2">
      <c r="A361" s="3">
        <v>359</v>
      </c>
      <c r="B361" s="4">
        <v>11</v>
      </c>
    </row>
    <row r="362" s="1" customFormat="1" ht="22.5" customHeight="1" spans="1:2">
      <c r="A362" s="3">
        <v>360</v>
      </c>
      <c r="B362" s="4">
        <v>9</v>
      </c>
    </row>
    <row r="363" s="1" customFormat="1" ht="22.5" customHeight="1" spans="1:2">
      <c r="A363" s="3">
        <v>361</v>
      </c>
      <c r="B363" s="4">
        <v>8</v>
      </c>
    </row>
    <row r="364" s="1" customFormat="1" ht="22.5" customHeight="1" spans="1:2">
      <c r="A364" s="3">
        <v>362</v>
      </c>
      <c r="B364" s="4">
        <v>15</v>
      </c>
    </row>
    <row r="365" s="1" customFormat="1" ht="22.5" customHeight="1" spans="1:2">
      <c r="A365" s="3">
        <v>363</v>
      </c>
      <c r="B365" s="4">
        <v>10</v>
      </c>
    </row>
    <row r="366" s="1" customFormat="1" ht="22.5" customHeight="1" spans="1:2">
      <c r="A366" s="3">
        <v>364</v>
      </c>
      <c r="B366" s="4">
        <v>12</v>
      </c>
    </row>
    <row r="367" s="1" customFormat="1" ht="22.5" customHeight="1" spans="1:2">
      <c r="A367" s="3">
        <v>365</v>
      </c>
      <c r="B367" s="4">
        <v>11</v>
      </c>
    </row>
    <row r="368" s="1" customFormat="1" ht="22.5" customHeight="1" spans="1:2">
      <c r="A368" s="3">
        <v>366</v>
      </c>
      <c r="B368" s="4">
        <v>15</v>
      </c>
    </row>
    <row r="369" s="1" customFormat="1" ht="22.5" customHeight="1" spans="1:2">
      <c r="A369" s="3">
        <v>367</v>
      </c>
      <c r="B369" s="4">
        <v>11</v>
      </c>
    </row>
    <row r="370" s="1" customFormat="1" ht="22.5" customHeight="1" spans="1:2">
      <c r="A370" s="3">
        <v>368</v>
      </c>
      <c r="B370" s="4">
        <v>9</v>
      </c>
    </row>
    <row r="371" s="1" customFormat="1" ht="22.5" customHeight="1" spans="1:2">
      <c r="A371" s="3">
        <v>369</v>
      </c>
      <c r="B371" s="4">
        <v>12</v>
      </c>
    </row>
    <row r="372" s="1" customFormat="1" ht="22.5" customHeight="1" spans="1:2">
      <c r="A372" s="3">
        <v>370</v>
      </c>
      <c r="B372" s="4">
        <v>13</v>
      </c>
    </row>
    <row r="373" s="1" customFormat="1" ht="22.5" customHeight="1" spans="1:2">
      <c r="A373" s="3">
        <v>371</v>
      </c>
      <c r="B373" s="4">
        <v>14</v>
      </c>
    </row>
    <row r="374" s="1" customFormat="1" ht="22.5" customHeight="1" spans="1:2">
      <c r="A374" s="3">
        <v>372</v>
      </c>
      <c r="B374" s="4">
        <v>12</v>
      </c>
    </row>
    <row r="375" s="1" customFormat="1" ht="22.5" customHeight="1" spans="1:2">
      <c r="A375" s="3">
        <v>373</v>
      </c>
      <c r="B375" s="4">
        <v>12</v>
      </c>
    </row>
    <row r="376" s="1" customFormat="1" ht="22.5" customHeight="1" spans="1:2">
      <c r="A376" s="3">
        <v>374</v>
      </c>
      <c r="B376" s="4">
        <v>9</v>
      </c>
    </row>
    <row r="377" s="1" customFormat="1" ht="22.5" customHeight="1" spans="1:2">
      <c r="A377" s="3">
        <v>375</v>
      </c>
      <c r="B377" s="4">
        <v>10</v>
      </c>
    </row>
    <row r="378" s="1" customFormat="1" ht="22.5" customHeight="1" spans="1:2">
      <c r="A378" s="3">
        <v>376</v>
      </c>
      <c r="B378" s="4">
        <v>21</v>
      </c>
    </row>
    <row r="379" s="1" customFormat="1" ht="22.5" customHeight="1" spans="1:2">
      <c r="A379" s="3">
        <v>377</v>
      </c>
      <c r="B379" s="4">
        <v>12</v>
      </c>
    </row>
    <row r="380" s="1" customFormat="1" ht="22.5" customHeight="1" spans="1:2">
      <c r="A380" s="3">
        <v>378</v>
      </c>
      <c r="B380" s="4">
        <v>11</v>
      </c>
    </row>
    <row r="381" s="1" customFormat="1" ht="22.5" customHeight="1" spans="1:2">
      <c r="A381" s="3">
        <v>379</v>
      </c>
      <c r="B381" s="4">
        <v>9</v>
      </c>
    </row>
    <row r="382" s="1" customFormat="1" ht="22.5" customHeight="1" spans="1:2">
      <c r="A382" s="3">
        <v>380</v>
      </c>
      <c r="B382" s="4">
        <v>7</v>
      </c>
    </row>
    <row r="383" s="1" customFormat="1" ht="22.5" customHeight="1" spans="1:2">
      <c r="A383" s="3">
        <v>381</v>
      </c>
      <c r="B383" s="4">
        <v>6</v>
      </c>
    </row>
    <row r="384" s="1" customFormat="1" ht="22.5" customHeight="1" spans="1:2">
      <c r="A384" s="3">
        <v>382</v>
      </c>
      <c r="B384" s="4">
        <v>8</v>
      </c>
    </row>
    <row r="385" s="1" customFormat="1" ht="22.5" customHeight="1" spans="1:2">
      <c r="A385" s="3">
        <v>383</v>
      </c>
      <c r="B385" s="4">
        <v>9</v>
      </c>
    </row>
    <row r="386" s="1" customFormat="1" ht="22.5" customHeight="1" spans="1:2">
      <c r="A386" s="3">
        <v>384</v>
      </c>
      <c r="B386" s="4">
        <v>8</v>
      </c>
    </row>
    <row r="387" s="1" customFormat="1" ht="22.5" customHeight="1" spans="1:2">
      <c r="A387" s="3">
        <v>385</v>
      </c>
      <c r="B387" s="4">
        <v>12</v>
      </c>
    </row>
    <row r="388" s="1" customFormat="1" ht="22.5" customHeight="1" spans="1:2">
      <c r="A388" s="3">
        <v>386</v>
      </c>
      <c r="B388" s="4">
        <v>13</v>
      </c>
    </row>
    <row r="389" s="1" customFormat="1" ht="22.5" customHeight="1" spans="1:2">
      <c r="A389" s="3">
        <v>387</v>
      </c>
      <c r="B389" s="4">
        <v>11</v>
      </c>
    </row>
    <row r="390" s="1" customFormat="1" ht="22.5" customHeight="1" spans="1:2">
      <c r="A390" s="3">
        <v>388</v>
      </c>
      <c r="B390" s="4">
        <v>14</v>
      </c>
    </row>
    <row r="391" s="1" customFormat="1" ht="22.5" customHeight="1" spans="1:2">
      <c r="A391" s="3">
        <v>389</v>
      </c>
      <c r="B391" s="4">
        <v>4</v>
      </c>
    </row>
    <row r="392" s="1" customFormat="1" ht="22.5" customHeight="1" spans="1:2">
      <c r="A392" s="3">
        <v>390</v>
      </c>
      <c r="B392" s="4">
        <v>9</v>
      </c>
    </row>
    <row r="393" s="1" customFormat="1" ht="22.5" customHeight="1" spans="1:2">
      <c r="A393" s="3">
        <v>391</v>
      </c>
      <c r="B393" s="4">
        <v>12</v>
      </c>
    </row>
    <row r="394" s="1" customFormat="1" ht="22.5" customHeight="1" spans="1:2">
      <c r="A394" s="3">
        <v>392</v>
      </c>
      <c r="B394" s="4">
        <v>16</v>
      </c>
    </row>
    <row r="395" s="1" customFormat="1" ht="22.5" customHeight="1" spans="1:2">
      <c r="A395" s="3">
        <v>393</v>
      </c>
      <c r="B395" s="4">
        <v>7</v>
      </c>
    </row>
    <row r="396" s="1" customFormat="1" ht="22.5" customHeight="1" spans="1:2">
      <c r="A396" s="3">
        <v>394</v>
      </c>
      <c r="B396" s="4">
        <v>14</v>
      </c>
    </row>
    <row r="397" s="1" customFormat="1" ht="22.5" customHeight="1" spans="1:2">
      <c r="A397" s="3">
        <v>395</v>
      </c>
      <c r="B397" s="4">
        <v>14</v>
      </c>
    </row>
    <row r="398" s="1" customFormat="1" ht="22.5" customHeight="1" spans="1:2">
      <c r="A398" s="3">
        <v>396</v>
      </c>
      <c r="B398" s="4">
        <v>16</v>
      </c>
    </row>
    <row r="399" s="1" customFormat="1" ht="22.5" customHeight="1" spans="1:2">
      <c r="A399" s="3">
        <v>397</v>
      </c>
      <c r="B399" s="4">
        <v>8</v>
      </c>
    </row>
    <row r="400" s="1" customFormat="1" ht="22.5" customHeight="1" spans="1:2">
      <c r="A400" s="3">
        <v>398</v>
      </c>
      <c r="B400" s="4">
        <v>10</v>
      </c>
    </row>
    <row r="401" s="1" customFormat="1" ht="22.5" customHeight="1" spans="1:2">
      <c r="A401" s="3">
        <v>399</v>
      </c>
      <c r="B401" s="4">
        <v>8</v>
      </c>
    </row>
    <row r="402" s="1" customFormat="1" ht="22.5" customHeight="1" spans="1:2">
      <c r="A402" s="3">
        <v>400</v>
      </c>
      <c r="B402" s="4">
        <v>3</v>
      </c>
    </row>
    <row r="403" s="1" customFormat="1" ht="22.5" customHeight="1" spans="1:2">
      <c r="A403" s="3">
        <v>401</v>
      </c>
      <c r="B403" s="4">
        <v>11</v>
      </c>
    </row>
    <row r="404" s="1" customFormat="1" ht="22.5" customHeight="1" spans="1:2">
      <c r="A404" s="3">
        <v>402</v>
      </c>
      <c r="B404" s="4">
        <v>11</v>
      </c>
    </row>
    <row r="405" s="1" customFormat="1" ht="22.5" customHeight="1" spans="1:2">
      <c r="A405" s="3">
        <v>403</v>
      </c>
      <c r="B405" s="4">
        <v>6</v>
      </c>
    </row>
    <row r="406" s="1" customFormat="1" ht="22.5" customHeight="1" spans="1:2">
      <c r="A406" s="3">
        <v>404</v>
      </c>
      <c r="B406" s="4">
        <v>9</v>
      </c>
    </row>
    <row r="407" s="1" customFormat="1" ht="22.5" customHeight="1" spans="1:2">
      <c r="A407" s="3">
        <v>405</v>
      </c>
      <c r="B407" s="4">
        <v>14</v>
      </c>
    </row>
    <row r="408" s="1" customFormat="1" ht="22.5" customHeight="1" spans="1:2">
      <c r="A408" s="3">
        <v>406</v>
      </c>
      <c r="B408" s="4">
        <v>5</v>
      </c>
    </row>
    <row r="409" s="1" customFormat="1" ht="22.5" customHeight="1" spans="1:2">
      <c r="A409" s="3">
        <v>407</v>
      </c>
      <c r="B409" s="4">
        <v>7</v>
      </c>
    </row>
    <row r="410" s="1" customFormat="1" ht="22.5" customHeight="1" spans="1:2">
      <c r="A410" s="3">
        <v>408</v>
      </c>
      <c r="B410" s="4">
        <v>14</v>
      </c>
    </row>
    <row r="411" s="1" customFormat="1" ht="22.5" customHeight="1" spans="1:2">
      <c r="A411" s="3">
        <v>409</v>
      </c>
      <c r="B411" s="4">
        <v>7</v>
      </c>
    </row>
    <row r="412" s="1" customFormat="1" ht="22.5" customHeight="1" spans="1:2">
      <c r="A412" s="3">
        <v>410</v>
      </c>
      <c r="B412" s="4">
        <v>7</v>
      </c>
    </row>
    <row r="413" s="1" customFormat="1" ht="22.5" customHeight="1" spans="1:2">
      <c r="A413" s="3">
        <v>411</v>
      </c>
      <c r="B413" s="4">
        <v>15</v>
      </c>
    </row>
    <row r="414" s="1" customFormat="1" ht="22.5" customHeight="1" spans="1:2">
      <c r="A414" s="3">
        <v>412</v>
      </c>
      <c r="B414" s="4">
        <v>9</v>
      </c>
    </row>
    <row r="415" s="1" customFormat="1" ht="22.5" customHeight="1" spans="1:2">
      <c r="A415" s="3">
        <v>413</v>
      </c>
      <c r="B415" s="4">
        <v>4</v>
      </c>
    </row>
    <row r="416" s="1" customFormat="1" ht="22.5" customHeight="1" spans="1:2">
      <c r="A416" s="3">
        <v>414</v>
      </c>
      <c r="B416" s="4">
        <v>5</v>
      </c>
    </row>
    <row r="417" s="1" customFormat="1" ht="22.5" customHeight="1" spans="1:2">
      <c r="A417" s="3">
        <v>415</v>
      </c>
      <c r="B417" s="4">
        <v>11</v>
      </c>
    </row>
    <row r="418" s="1" customFormat="1" ht="22.5" customHeight="1" spans="1:2">
      <c r="A418" s="3">
        <v>416</v>
      </c>
      <c r="B418" s="4">
        <v>6</v>
      </c>
    </row>
    <row r="419" s="1" customFormat="1" ht="22.5" customHeight="1" spans="1:2">
      <c r="A419" s="3">
        <v>417</v>
      </c>
      <c r="B419" s="4">
        <v>10</v>
      </c>
    </row>
    <row r="420" s="1" customFormat="1" ht="22.5" customHeight="1" spans="1:2">
      <c r="A420" s="3">
        <v>418</v>
      </c>
      <c r="B420" s="4">
        <v>8</v>
      </c>
    </row>
    <row r="421" s="1" customFormat="1" ht="22.5" customHeight="1" spans="1:2">
      <c r="A421" s="3">
        <v>419</v>
      </c>
      <c r="B421" s="4">
        <v>2</v>
      </c>
    </row>
    <row r="422" s="1" customFormat="1" ht="22.5" customHeight="1" spans="1:2">
      <c r="A422" s="3">
        <v>420</v>
      </c>
      <c r="B422" s="4">
        <v>10</v>
      </c>
    </row>
    <row r="423" s="1" customFormat="1" ht="22.5" customHeight="1" spans="1:2">
      <c r="A423" s="3">
        <v>421</v>
      </c>
      <c r="B423" s="4">
        <v>4</v>
      </c>
    </row>
    <row r="424" s="1" customFormat="1" ht="22.5" customHeight="1" spans="1:2">
      <c r="A424" s="3">
        <v>422</v>
      </c>
      <c r="B424" s="4">
        <v>7</v>
      </c>
    </row>
    <row r="425" s="1" customFormat="1" ht="22.5" customHeight="1" spans="1:2">
      <c r="A425" s="3">
        <v>423</v>
      </c>
      <c r="B425" s="4">
        <v>7</v>
      </c>
    </row>
    <row r="426" s="1" customFormat="1" ht="22.5" customHeight="1" spans="1:2">
      <c r="A426" s="3">
        <v>424</v>
      </c>
      <c r="B426" s="4">
        <v>9</v>
      </c>
    </row>
    <row r="427" s="1" customFormat="1" ht="22.5" customHeight="1" spans="1:2">
      <c r="A427" s="3">
        <v>425</v>
      </c>
      <c r="B427" s="4">
        <v>10</v>
      </c>
    </row>
    <row r="428" s="1" customFormat="1" ht="22.5" customHeight="1" spans="1:2">
      <c r="A428" s="3">
        <v>426</v>
      </c>
      <c r="B428" s="4">
        <v>6</v>
      </c>
    </row>
    <row r="429" s="1" customFormat="1" ht="22.5" customHeight="1" spans="1:2">
      <c r="A429" s="3">
        <v>427</v>
      </c>
      <c r="B429" s="4">
        <v>11</v>
      </c>
    </row>
    <row r="430" s="1" customFormat="1" ht="22.5" customHeight="1" spans="1:2">
      <c r="A430" s="3">
        <v>428</v>
      </c>
      <c r="B430" s="4">
        <v>9</v>
      </c>
    </row>
    <row r="431" s="1" customFormat="1" ht="22.5" customHeight="1" spans="1:2">
      <c r="A431" s="3">
        <v>429</v>
      </c>
      <c r="B431" s="4">
        <v>10</v>
      </c>
    </row>
    <row r="432" s="1" customFormat="1" ht="22.5" customHeight="1" spans="1:2">
      <c r="A432" s="3">
        <v>430</v>
      </c>
      <c r="B432" s="4">
        <v>11</v>
      </c>
    </row>
    <row r="433" s="1" customFormat="1" ht="22.5" customHeight="1" spans="1:2">
      <c r="A433" s="3">
        <v>431</v>
      </c>
      <c r="B433" s="4">
        <v>4</v>
      </c>
    </row>
    <row r="434" s="1" customFormat="1" ht="22.5" customHeight="1" spans="1:2">
      <c r="A434" s="3">
        <v>432</v>
      </c>
      <c r="B434" s="4">
        <v>10</v>
      </c>
    </row>
    <row r="435" s="1" customFormat="1" ht="22.5" customHeight="1" spans="1:2">
      <c r="A435" s="3">
        <v>433</v>
      </c>
      <c r="B435" s="4">
        <v>10</v>
      </c>
    </row>
    <row r="436" s="1" customFormat="1" ht="22.5" customHeight="1" spans="1:2">
      <c r="A436" s="3">
        <v>434</v>
      </c>
      <c r="B436" s="4">
        <v>8</v>
      </c>
    </row>
    <row r="437" s="1" customFormat="1" ht="22.5" customHeight="1" spans="1:2">
      <c r="A437" s="3">
        <v>435</v>
      </c>
      <c r="B437" s="4">
        <v>7</v>
      </c>
    </row>
    <row r="438" s="1" customFormat="1" ht="22.5" customHeight="1" spans="1:2">
      <c r="A438" s="3">
        <v>436</v>
      </c>
      <c r="B438" s="4">
        <v>7</v>
      </c>
    </row>
    <row r="439" s="1" customFormat="1" ht="22.5" customHeight="1" spans="1:2">
      <c r="A439" s="3">
        <v>437</v>
      </c>
      <c r="B439" s="4">
        <v>11</v>
      </c>
    </row>
    <row r="440" s="1" customFormat="1" ht="22.5" customHeight="1" spans="1:2">
      <c r="A440" s="3">
        <v>438</v>
      </c>
      <c r="B440" s="4">
        <v>10</v>
      </c>
    </row>
    <row r="441" s="1" customFormat="1" ht="22.5" customHeight="1" spans="1:2">
      <c r="A441" s="3">
        <v>439</v>
      </c>
      <c r="B441" s="4">
        <v>7</v>
      </c>
    </row>
    <row r="442" s="1" customFormat="1" ht="22.5" customHeight="1" spans="1:2">
      <c r="A442" s="3">
        <v>440</v>
      </c>
      <c r="B442" s="4">
        <v>12</v>
      </c>
    </row>
    <row r="443" s="1" customFormat="1" ht="22.5" customHeight="1" spans="1:2">
      <c r="A443" s="3">
        <v>441</v>
      </c>
      <c r="B443" s="4">
        <v>10</v>
      </c>
    </row>
    <row r="444" s="1" customFormat="1" ht="22.5" customHeight="1" spans="1:2">
      <c r="A444" s="3">
        <v>442</v>
      </c>
      <c r="B444" s="4">
        <v>6</v>
      </c>
    </row>
    <row r="445" s="1" customFormat="1" ht="22.5" customHeight="1" spans="1:2">
      <c r="A445" s="3">
        <v>443</v>
      </c>
      <c r="B445" s="4">
        <v>13</v>
      </c>
    </row>
    <row r="446" s="1" customFormat="1" ht="22.5" customHeight="1" spans="1:2">
      <c r="A446" s="3">
        <v>444</v>
      </c>
      <c r="B446" s="4">
        <v>5</v>
      </c>
    </row>
    <row r="447" s="1" customFormat="1" ht="22.5" customHeight="1" spans="1:2">
      <c r="A447" s="3">
        <v>445</v>
      </c>
      <c r="B447" s="4">
        <v>8</v>
      </c>
    </row>
    <row r="448" s="1" customFormat="1" ht="22.5" customHeight="1" spans="1:2">
      <c r="A448" s="3">
        <v>446</v>
      </c>
      <c r="B448" s="4">
        <v>13</v>
      </c>
    </row>
    <row r="449" s="1" customFormat="1" ht="22.5" customHeight="1" spans="1:2">
      <c r="A449" s="3">
        <v>447</v>
      </c>
      <c r="B449" s="4">
        <v>3</v>
      </c>
    </row>
    <row r="450" s="1" customFormat="1" ht="22.5" customHeight="1" spans="1:2">
      <c r="A450" s="3">
        <v>448</v>
      </c>
      <c r="B450" s="4">
        <v>15</v>
      </c>
    </row>
    <row r="451" s="1" customFormat="1" ht="22.5" customHeight="1" spans="1:2">
      <c r="A451" s="3">
        <v>449</v>
      </c>
      <c r="B451" s="4">
        <v>5</v>
      </c>
    </row>
    <row r="452" s="1" customFormat="1" ht="22.5" customHeight="1" spans="1:2">
      <c r="A452" s="3">
        <v>450</v>
      </c>
      <c r="B452" s="4">
        <v>12</v>
      </c>
    </row>
    <row r="453" s="1" customFormat="1" ht="22.5" customHeight="1" spans="1:2">
      <c r="A453" s="3">
        <v>451</v>
      </c>
      <c r="B453" s="4">
        <v>4</v>
      </c>
    </row>
    <row r="454" s="1" customFormat="1" ht="22.5" customHeight="1" spans="1:2">
      <c r="A454" s="3">
        <v>452</v>
      </c>
      <c r="B454" s="4">
        <v>9</v>
      </c>
    </row>
    <row r="455" s="1" customFormat="1" ht="22.5" customHeight="1" spans="1:2">
      <c r="A455" s="3">
        <v>453</v>
      </c>
      <c r="B455" s="4">
        <v>2</v>
      </c>
    </row>
    <row r="456" s="1" customFormat="1" ht="22.5" customHeight="1" spans="1:2">
      <c r="A456" s="3">
        <v>454</v>
      </c>
      <c r="B456" s="4">
        <v>4</v>
      </c>
    </row>
    <row r="457" s="1" customFormat="1" ht="22.5" customHeight="1" spans="1:2">
      <c r="A457" s="3">
        <v>455</v>
      </c>
      <c r="B457" s="4">
        <v>3</v>
      </c>
    </row>
    <row r="458" s="1" customFormat="1" ht="22.5" customHeight="1" spans="1:2">
      <c r="A458" s="3">
        <v>456</v>
      </c>
      <c r="B458" s="4">
        <v>5</v>
      </c>
    </row>
    <row r="459" s="1" customFormat="1" ht="22.5" customHeight="1" spans="1:2">
      <c r="A459" s="3">
        <v>457</v>
      </c>
      <c r="B459" s="4">
        <v>7</v>
      </c>
    </row>
    <row r="460" s="1" customFormat="1" ht="22.5" customHeight="1" spans="1:2">
      <c r="A460" s="3">
        <v>458</v>
      </c>
      <c r="B460" s="4">
        <v>9</v>
      </c>
    </row>
    <row r="461" s="1" customFormat="1" ht="22.5" customHeight="1" spans="1:2">
      <c r="A461" s="3">
        <v>459</v>
      </c>
      <c r="B461" s="4">
        <v>5</v>
      </c>
    </row>
    <row r="462" s="1" customFormat="1" ht="22.5" customHeight="1" spans="1:2">
      <c r="A462" s="3">
        <v>460</v>
      </c>
      <c r="B462" s="4">
        <v>3</v>
      </c>
    </row>
    <row r="463" s="1" customFormat="1" ht="22.5" customHeight="1" spans="1:2">
      <c r="A463" s="3">
        <v>461</v>
      </c>
      <c r="B463" s="4">
        <v>3</v>
      </c>
    </row>
    <row r="464" s="1" customFormat="1" ht="22.5" customHeight="1" spans="1:2">
      <c r="A464" s="3">
        <v>462</v>
      </c>
      <c r="B464" s="4">
        <v>4</v>
      </c>
    </row>
    <row r="465" s="1" customFormat="1" ht="22.5" customHeight="1" spans="1:2">
      <c r="A465" s="3">
        <v>463</v>
      </c>
      <c r="B465" s="4">
        <v>7</v>
      </c>
    </row>
    <row r="466" s="1" customFormat="1" ht="22.5" customHeight="1" spans="1:2">
      <c r="A466" s="3">
        <v>464</v>
      </c>
      <c r="B466" s="4">
        <v>5</v>
      </c>
    </row>
    <row r="467" s="1" customFormat="1" ht="22.5" customHeight="1" spans="1:2">
      <c r="A467" s="3">
        <v>465</v>
      </c>
      <c r="B467" s="4">
        <v>8</v>
      </c>
    </row>
    <row r="468" s="1" customFormat="1" ht="22.5" customHeight="1" spans="1:2">
      <c r="A468" s="3">
        <v>466</v>
      </c>
      <c r="B468" s="4">
        <v>8</v>
      </c>
    </row>
    <row r="469" s="1" customFormat="1" ht="22.5" customHeight="1" spans="1:2">
      <c r="A469" s="3">
        <v>467</v>
      </c>
      <c r="B469" s="4">
        <v>3</v>
      </c>
    </row>
    <row r="470" s="1" customFormat="1" ht="22.5" customHeight="1" spans="1:2">
      <c r="A470" s="3">
        <v>468</v>
      </c>
      <c r="B470" s="4">
        <v>5</v>
      </c>
    </row>
    <row r="471" s="1" customFormat="1" ht="22.5" customHeight="1" spans="1:2">
      <c r="A471" s="3">
        <v>469</v>
      </c>
      <c r="B471" s="4">
        <v>5</v>
      </c>
    </row>
    <row r="472" s="1" customFormat="1" ht="22.5" customHeight="1" spans="1:2">
      <c r="A472" s="3">
        <v>470</v>
      </c>
      <c r="B472" s="4">
        <v>5</v>
      </c>
    </row>
    <row r="473" s="1" customFormat="1" ht="22.5" customHeight="1" spans="1:2">
      <c r="A473" s="3">
        <v>471</v>
      </c>
      <c r="B473" s="4">
        <v>10</v>
      </c>
    </row>
    <row r="474" s="1" customFormat="1" ht="22.5" customHeight="1" spans="1:2">
      <c r="A474" s="3">
        <v>472</v>
      </c>
      <c r="B474" s="4">
        <v>8</v>
      </c>
    </row>
    <row r="475" s="1" customFormat="1" ht="22.5" customHeight="1" spans="1:2">
      <c r="A475" s="3">
        <v>473</v>
      </c>
      <c r="B475" s="4">
        <v>5</v>
      </c>
    </row>
    <row r="476" s="1" customFormat="1" ht="22.5" customHeight="1" spans="1:2">
      <c r="A476" s="3">
        <v>474</v>
      </c>
      <c r="B476" s="4">
        <v>8</v>
      </c>
    </row>
    <row r="477" s="1" customFormat="1" ht="22.5" customHeight="1" spans="1:2">
      <c r="A477" s="3">
        <v>475</v>
      </c>
      <c r="B477" s="4">
        <v>3</v>
      </c>
    </row>
    <row r="478" s="1" customFormat="1" ht="22.5" customHeight="1" spans="1:2">
      <c r="A478" s="3">
        <v>476</v>
      </c>
      <c r="B478" s="4">
        <v>9</v>
      </c>
    </row>
    <row r="479" s="1" customFormat="1" ht="22.5" customHeight="1" spans="1:2">
      <c r="A479" s="3">
        <v>477</v>
      </c>
      <c r="B479" s="4">
        <v>7</v>
      </c>
    </row>
    <row r="480" s="1" customFormat="1" ht="22.5" customHeight="1" spans="1:2">
      <c r="A480" s="3">
        <v>478</v>
      </c>
      <c r="B480" s="4">
        <v>8</v>
      </c>
    </row>
    <row r="481" s="1" customFormat="1" ht="22.5" customHeight="1" spans="1:2">
      <c r="A481" s="3">
        <v>479</v>
      </c>
      <c r="B481" s="4">
        <v>5</v>
      </c>
    </row>
    <row r="482" s="1" customFormat="1" ht="22.5" customHeight="1" spans="1:2">
      <c r="A482" s="3">
        <v>480</v>
      </c>
      <c r="B482" s="4">
        <v>4</v>
      </c>
    </row>
    <row r="483" s="1" customFormat="1" ht="22.5" customHeight="1" spans="1:2">
      <c r="A483" s="3">
        <v>481</v>
      </c>
      <c r="B483" s="4">
        <v>4</v>
      </c>
    </row>
    <row r="484" s="1" customFormat="1" ht="22.5" customHeight="1" spans="1:2">
      <c r="A484" s="3">
        <v>482</v>
      </c>
      <c r="B484" s="4">
        <v>4</v>
      </c>
    </row>
    <row r="485" s="1" customFormat="1" ht="22.5" customHeight="1" spans="1:2">
      <c r="A485" s="3">
        <v>483</v>
      </c>
      <c r="B485" s="4">
        <v>9</v>
      </c>
    </row>
    <row r="486" s="1" customFormat="1" ht="22.5" customHeight="1" spans="1:2">
      <c r="A486" s="3">
        <v>484</v>
      </c>
      <c r="B486" s="4">
        <v>5</v>
      </c>
    </row>
    <row r="487" s="1" customFormat="1" ht="22.5" customHeight="1" spans="1:2">
      <c r="A487" s="3">
        <v>485</v>
      </c>
      <c r="B487" s="4">
        <v>8</v>
      </c>
    </row>
    <row r="488" s="1" customFormat="1" ht="22.5" customHeight="1" spans="1:2">
      <c r="A488" s="3">
        <v>486</v>
      </c>
      <c r="B488" s="4">
        <v>4</v>
      </c>
    </row>
    <row r="489" s="1" customFormat="1" ht="22.5" customHeight="1" spans="1:2">
      <c r="A489" s="3">
        <v>487</v>
      </c>
      <c r="B489" s="4">
        <v>5</v>
      </c>
    </row>
    <row r="490" s="1" customFormat="1" ht="22.5" customHeight="1" spans="1:2">
      <c r="A490" s="3">
        <v>488</v>
      </c>
      <c r="B490" s="4">
        <v>5</v>
      </c>
    </row>
    <row r="491" s="1" customFormat="1" ht="22.5" customHeight="1" spans="1:2">
      <c r="A491" s="3">
        <v>489</v>
      </c>
      <c r="B491" s="4">
        <v>6</v>
      </c>
    </row>
    <row r="492" s="1" customFormat="1" ht="22.5" customHeight="1" spans="1:2">
      <c r="A492" s="3">
        <v>490</v>
      </c>
      <c r="B492" s="4">
        <v>3</v>
      </c>
    </row>
    <row r="493" s="1" customFormat="1" ht="22.5" customHeight="1" spans="1:2">
      <c r="A493" s="3">
        <v>491</v>
      </c>
      <c r="B493" s="4">
        <v>6</v>
      </c>
    </row>
    <row r="494" s="1" customFormat="1" ht="22.5" customHeight="1" spans="1:2">
      <c r="A494" s="3">
        <v>492</v>
      </c>
      <c r="B494" s="4">
        <v>6</v>
      </c>
    </row>
    <row r="495" s="1" customFormat="1" ht="22.5" customHeight="1" spans="1:2">
      <c r="A495" s="3">
        <v>493</v>
      </c>
      <c r="B495" s="4">
        <v>5</v>
      </c>
    </row>
    <row r="496" s="1" customFormat="1" ht="22.5" customHeight="1" spans="1:2">
      <c r="A496" s="3">
        <v>494</v>
      </c>
      <c r="B496" s="4">
        <v>2</v>
      </c>
    </row>
    <row r="497" s="1" customFormat="1" ht="22.5" customHeight="1" spans="1:2">
      <c r="A497" s="3">
        <v>495</v>
      </c>
      <c r="B497" s="4">
        <v>4</v>
      </c>
    </row>
    <row r="498" s="1" customFormat="1" ht="22.5" customHeight="1" spans="1:2">
      <c r="A498" s="3">
        <v>496</v>
      </c>
      <c r="B498" s="4">
        <v>4</v>
      </c>
    </row>
    <row r="499" s="1" customFormat="1" ht="22.5" customHeight="1" spans="1:2">
      <c r="A499" s="3">
        <v>497</v>
      </c>
      <c r="B499" s="4">
        <v>4</v>
      </c>
    </row>
    <row r="500" s="1" customFormat="1" ht="22.5" customHeight="1" spans="1:2">
      <c r="A500" s="3">
        <v>498</v>
      </c>
      <c r="B500" s="4">
        <v>6</v>
      </c>
    </row>
    <row r="501" s="1" customFormat="1" ht="22.5" customHeight="1" spans="1:2">
      <c r="A501" s="3">
        <v>499</v>
      </c>
      <c r="B501" s="4">
        <v>4</v>
      </c>
    </row>
    <row r="502" s="1" customFormat="1" ht="22.5" customHeight="1" spans="1:2">
      <c r="A502" s="3">
        <v>500</v>
      </c>
      <c r="B502" s="4">
        <v>6</v>
      </c>
    </row>
    <row r="503" s="1" customFormat="1" ht="22.5" customHeight="1" spans="1:2">
      <c r="A503" s="3">
        <v>501</v>
      </c>
      <c r="B503" s="4">
        <v>2</v>
      </c>
    </row>
    <row r="504" s="1" customFormat="1" ht="22.5" customHeight="1" spans="1:2">
      <c r="A504" s="3">
        <v>502</v>
      </c>
      <c r="B504" s="4">
        <v>3</v>
      </c>
    </row>
    <row r="505" s="1" customFormat="1" ht="22.5" customHeight="1" spans="1:2">
      <c r="A505" s="3">
        <v>503</v>
      </c>
      <c r="B505" s="4">
        <v>7</v>
      </c>
    </row>
    <row r="506" s="1" customFormat="1" ht="22.5" customHeight="1" spans="1:2">
      <c r="A506" s="3">
        <v>504</v>
      </c>
      <c r="B506" s="4">
        <v>7</v>
      </c>
    </row>
    <row r="507" s="1" customFormat="1" ht="22.5" customHeight="1" spans="1:2">
      <c r="A507" s="3">
        <v>505</v>
      </c>
      <c r="B507" s="4">
        <v>5</v>
      </c>
    </row>
    <row r="508" s="1" customFormat="1" ht="22.5" customHeight="1" spans="1:2">
      <c r="A508" s="3">
        <v>506</v>
      </c>
      <c r="B508" s="4">
        <v>6</v>
      </c>
    </row>
    <row r="509" s="1" customFormat="1" ht="22.5" customHeight="1" spans="1:2">
      <c r="A509" s="3">
        <v>507</v>
      </c>
      <c r="B509" s="4">
        <v>6</v>
      </c>
    </row>
    <row r="510" s="1" customFormat="1" ht="22.5" customHeight="1" spans="1:2">
      <c r="A510" s="3">
        <v>508</v>
      </c>
      <c r="B510" s="4">
        <v>5</v>
      </c>
    </row>
    <row r="511" s="1" customFormat="1" ht="22.5" customHeight="1" spans="1:2">
      <c r="A511" s="3">
        <v>509</v>
      </c>
      <c r="B511" s="4">
        <v>4</v>
      </c>
    </row>
    <row r="512" s="1" customFormat="1" ht="22.5" customHeight="1" spans="1:2">
      <c r="A512" s="3">
        <v>510</v>
      </c>
      <c r="B512" s="4">
        <v>8</v>
      </c>
    </row>
    <row r="513" s="1" customFormat="1" ht="22.5" customHeight="1" spans="1:2">
      <c r="A513" s="3">
        <v>511</v>
      </c>
      <c r="B513" s="4">
        <v>6</v>
      </c>
    </row>
    <row r="514" s="1" customFormat="1" ht="22.5" customHeight="1" spans="1:2">
      <c r="A514" s="3">
        <v>512</v>
      </c>
      <c r="B514" s="4">
        <v>4</v>
      </c>
    </row>
    <row r="515" s="1" customFormat="1" ht="22.5" customHeight="1" spans="1:2">
      <c r="A515" s="3">
        <v>513</v>
      </c>
      <c r="B515" s="4">
        <v>1</v>
      </c>
    </row>
    <row r="516" s="1" customFormat="1" ht="22.5" customHeight="1" spans="1:2">
      <c r="A516" s="3">
        <v>514</v>
      </c>
      <c r="B516" s="4">
        <v>4</v>
      </c>
    </row>
    <row r="517" s="1" customFormat="1" ht="22.5" customHeight="1" spans="1:2">
      <c r="A517" s="3">
        <v>515</v>
      </c>
      <c r="B517" s="4">
        <v>5</v>
      </c>
    </row>
    <row r="518" s="1" customFormat="1" ht="22.5" customHeight="1" spans="1:2">
      <c r="A518" s="3">
        <v>516</v>
      </c>
      <c r="B518" s="4">
        <v>8</v>
      </c>
    </row>
    <row r="519" s="1" customFormat="1" ht="22.5" customHeight="1" spans="1:2">
      <c r="A519" s="3">
        <v>517</v>
      </c>
      <c r="B519" s="4">
        <v>6</v>
      </c>
    </row>
    <row r="520" s="1" customFormat="1" ht="22.5" customHeight="1" spans="1:2">
      <c r="A520" s="3">
        <v>518</v>
      </c>
      <c r="B520" s="4">
        <v>4</v>
      </c>
    </row>
    <row r="521" s="1" customFormat="1" ht="22.5" customHeight="1" spans="1:2">
      <c r="A521" s="3">
        <v>519</v>
      </c>
      <c r="B521" s="4">
        <v>4</v>
      </c>
    </row>
    <row r="522" s="1" customFormat="1" ht="22.5" customHeight="1" spans="1:2">
      <c r="A522" s="3">
        <v>520</v>
      </c>
      <c r="B522" s="4">
        <v>12</v>
      </c>
    </row>
    <row r="523" s="1" customFormat="1" ht="22.5" customHeight="1" spans="1:2">
      <c r="A523" s="3">
        <v>521</v>
      </c>
      <c r="B523" s="4">
        <v>7</v>
      </c>
    </row>
    <row r="524" s="1" customFormat="1" ht="22.5" customHeight="1" spans="1:2">
      <c r="A524" s="3">
        <v>522</v>
      </c>
      <c r="B524" s="4">
        <v>3</v>
      </c>
    </row>
    <row r="525" s="1" customFormat="1" ht="22.5" customHeight="1" spans="1:2">
      <c r="A525" s="3">
        <v>523</v>
      </c>
      <c r="B525" s="4">
        <v>5</v>
      </c>
    </row>
    <row r="526" s="1" customFormat="1" ht="22.5" customHeight="1" spans="1:2">
      <c r="A526" s="3">
        <v>524</v>
      </c>
      <c r="B526" s="4">
        <v>3</v>
      </c>
    </row>
    <row r="527" s="1" customFormat="1" ht="22.5" customHeight="1" spans="1:2">
      <c r="A527" s="3">
        <v>525</v>
      </c>
      <c r="B527" s="4">
        <v>2</v>
      </c>
    </row>
    <row r="528" s="1" customFormat="1" ht="22.5" customHeight="1" spans="1:2">
      <c r="A528" s="3">
        <v>526</v>
      </c>
      <c r="B528" s="4">
        <v>6</v>
      </c>
    </row>
    <row r="529" s="1" customFormat="1" ht="22.5" customHeight="1" spans="1:2">
      <c r="A529" s="3">
        <v>527</v>
      </c>
      <c r="B529" s="4">
        <v>3</v>
      </c>
    </row>
    <row r="530" s="1" customFormat="1" ht="22.5" customHeight="1" spans="1:2">
      <c r="A530" s="3">
        <v>528</v>
      </c>
      <c r="B530" s="4">
        <v>6</v>
      </c>
    </row>
    <row r="531" s="1" customFormat="1" ht="22.5" customHeight="1" spans="1:2">
      <c r="A531" s="3">
        <v>529</v>
      </c>
      <c r="B531" s="4">
        <v>4</v>
      </c>
    </row>
    <row r="532" s="1" customFormat="1" ht="22.5" customHeight="1" spans="1:2">
      <c r="A532" s="3">
        <v>530</v>
      </c>
      <c r="B532" s="4">
        <v>2</v>
      </c>
    </row>
    <row r="533" s="1" customFormat="1" ht="22.5" customHeight="1" spans="1:2">
      <c r="A533" s="3">
        <v>531</v>
      </c>
      <c r="B533" s="4">
        <v>3</v>
      </c>
    </row>
    <row r="534" s="1" customFormat="1" ht="22.5" customHeight="1" spans="1:2">
      <c r="A534" s="3">
        <v>532</v>
      </c>
      <c r="B534" s="4">
        <v>6</v>
      </c>
    </row>
    <row r="535" s="1" customFormat="1" ht="22.5" customHeight="1" spans="1:2">
      <c r="A535" s="3">
        <v>533</v>
      </c>
      <c r="B535" s="4">
        <v>4</v>
      </c>
    </row>
    <row r="536" s="1" customFormat="1" ht="22.5" customHeight="1" spans="1:2">
      <c r="A536" s="3">
        <v>534</v>
      </c>
      <c r="B536" s="4">
        <v>4</v>
      </c>
    </row>
    <row r="537" s="1" customFormat="1" ht="22.5" customHeight="1" spans="1:2">
      <c r="A537" s="3">
        <v>535</v>
      </c>
      <c r="B537" s="4">
        <v>4</v>
      </c>
    </row>
    <row r="538" s="1" customFormat="1" ht="22.5" customHeight="1" spans="1:2">
      <c r="A538" s="3">
        <v>536</v>
      </c>
      <c r="B538" s="4">
        <v>4</v>
      </c>
    </row>
    <row r="539" s="1" customFormat="1" ht="22.5" customHeight="1" spans="1:2">
      <c r="A539" s="3">
        <v>537</v>
      </c>
      <c r="B539" s="4">
        <v>2</v>
      </c>
    </row>
    <row r="540" s="1" customFormat="1" ht="22.5" customHeight="1" spans="1:2">
      <c r="A540" s="3">
        <v>538</v>
      </c>
      <c r="B540" s="4">
        <v>2</v>
      </c>
    </row>
    <row r="541" s="1" customFormat="1" ht="22.5" customHeight="1" spans="1:2">
      <c r="A541" s="3">
        <v>540</v>
      </c>
      <c r="B541" s="4">
        <v>5</v>
      </c>
    </row>
    <row r="542" s="1" customFormat="1" ht="22.5" customHeight="1" spans="1:2">
      <c r="A542" s="3">
        <v>541</v>
      </c>
      <c r="B542" s="4">
        <v>1</v>
      </c>
    </row>
    <row r="543" s="1" customFormat="1" ht="22.5" customHeight="1" spans="1:2">
      <c r="A543" s="3">
        <v>542</v>
      </c>
      <c r="B543" s="4">
        <v>5</v>
      </c>
    </row>
    <row r="544" s="1" customFormat="1" ht="22.5" customHeight="1" spans="1:2">
      <c r="A544" s="3">
        <v>543</v>
      </c>
      <c r="B544" s="4">
        <v>2</v>
      </c>
    </row>
    <row r="545" s="1" customFormat="1" ht="22.5" customHeight="1" spans="1:2">
      <c r="A545" s="3">
        <v>544</v>
      </c>
      <c r="B545" s="4">
        <v>7</v>
      </c>
    </row>
    <row r="546" s="1" customFormat="1" ht="22.5" customHeight="1" spans="1:2">
      <c r="A546" s="3">
        <v>545</v>
      </c>
      <c r="B546" s="4">
        <v>4</v>
      </c>
    </row>
    <row r="547" s="1" customFormat="1" ht="22.5" customHeight="1" spans="1:2">
      <c r="A547" s="3">
        <v>546</v>
      </c>
      <c r="B547" s="4">
        <v>2</v>
      </c>
    </row>
    <row r="548" s="1" customFormat="1" ht="22.5" customHeight="1" spans="1:2">
      <c r="A548" s="3">
        <v>547</v>
      </c>
      <c r="B548" s="4">
        <v>5</v>
      </c>
    </row>
    <row r="549" s="1" customFormat="1" ht="22.5" customHeight="1" spans="1:2">
      <c r="A549" s="3">
        <v>548</v>
      </c>
      <c r="B549" s="4">
        <v>3</v>
      </c>
    </row>
    <row r="550" s="1" customFormat="1" ht="22.5" customHeight="1" spans="1:2">
      <c r="A550" s="3">
        <v>549</v>
      </c>
      <c r="B550" s="4">
        <v>3</v>
      </c>
    </row>
    <row r="551" s="1" customFormat="1" ht="22.5" customHeight="1" spans="1:2">
      <c r="A551" s="3">
        <v>550</v>
      </c>
      <c r="B551" s="4">
        <v>2</v>
      </c>
    </row>
    <row r="552" s="1" customFormat="1" ht="22.5" customHeight="1" spans="1:2">
      <c r="A552" s="3">
        <v>551</v>
      </c>
      <c r="B552" s="4">
        <v>3</v>
      </c>
    </row>
    <row r="553" s="1" customFormat="1" ht="22.5" customHeight="1" spans="1:2">
      <c r="A553" s="3">
        <v>552</v>
      </c>
      <c r="B553" s="4">
        <v>5</v>
      </c>
    </row>
    <row r="554" s="1" customFormat="1" ht="22.5" customHeight="1" spans="1:2">
      <c r="A554" s="3">
        <v>553</v>
      </c>
      <c r="B554" s="4">
        <v>9</v>
      </c>
    </row>
    <row r="555" s="1" customFormat="1" ht="22.5" customHeight="1" spans="1:2">
      <c r="A555" s="3">
        <v>554</v>
      </c>
      <c r="B555" s="4">
        <v>2</v>
      </c>
    </row>
    <row r="556" s="1" customFormat="1" ht="22.5" customHeight="1" spans="1:2">
      <c r="A556" s="3">
        <v>555</v>
      </c>
      <c r="B556" s="4">
        <v>7</v>
      </c>
    </row>
    <row r="557" s="1" customFormat="1" ht="22.5" customHeight="1" spans="1:2">
      <c r="A557" s="3">
        <v>556</v>
      </c>
      <c r="B557" s="4">
        <v>6</v>
      </c>
    </row>
    <row r="558" s="1" customFormat="1" ht="22.5" customHeight="1" spans="1:2">
      <c r="A558" s="3">
        <v>557</v>
      </c>
      <c r="B558" s="4">
        <v>4</v>
      </c>
    </row>
    <row r="559" s="1" customFormat="1" ht="22.5" customHeight="1" spans="1:2">
      <c r="A559" s="3">
        <v>558</v>
      </c>
      <c r="B559" s="4">
        <v>4</v>
      </c>
    </row>
    <row r="560" s="1" customFormat="1" ht="22.5" customHeight="1" spans="1:2">
      <c r="A560" s="3">
        <v>559</v>
      </c>
      <c r="B560" s="4">
        <v>3</v>
      </c>
    </row>
    <row r="561" s="1" customFormat="1" ht="22.5" customHeight="1" spans="1:2">
      <c r="A561" s="3">
        <v>560</v>
      </c>
      <c r="B561" s="4">
        <v>5</v>
      </c>
    </row>
    <row r="562" s="1" customFormat="1" ht="22.5" customHeight="1" spans="1:2">
      <c r="A562" s="3">
        <v>561</v>
      </c>
      <c r="B562" s="4">
        <v>6</v>
      </c>
    </row>
    <row r="563" s="1" customFormat="1" ht="22.5" customHeight="1" spans="1:2">
      <c r="A563" s="3">
        <v>562</v>
      </c>
      <c r="B563" s="4">
        <v>4</v>
      </c>
    </row>
    <row r="564" s="1" customFormat="1" ht="22.5" customHeight="1" spans="1:2">
      <c r="A564" s="3">
        <v>563</v>
      </c>
      <c r="B564" s="4">
        <v>9</v>
      </c>
    </row>
    <row r="565" s="1" customFormat="1" ht="22.5" customHeight="1" spans="1:2">
      <c r="A565" s="3">
        <v>564</v>
      </c>
      <c r="B565" s="4">
        <v>5</v>
      </c>
    </row>
    <row r="566" s="1" customFormat="1" ht="22.5" customHeight="1" spans="1:2">
      <c r="A566" s="3">
        <v>565</v>
      </c>
      <c r="B566" s="4">
        <v>5</v>
      </c>
    </row>
    <row r="567" s="1" customFormat="1" ht="22.5" customHeight="1" spans="1:2">
      <c r="A567" s="3">
        <v>566</v>
      </c>
      <c r="B567" s="4">
        <v>5</v>
      </c>
    </row>
    <row r="568" s="1" customFormat="1" ht="22.5" customHeight="1" spans="1:2">
      <c r="A568" s="3">
        <v>567</v>
      </c>
      <c r="B568" s="4">
        <v>4</v>
      </c>
    </row>
    <row r="569" s="1" customFormat="1" ht="22.5" customHeight="1" spans="1:2">
      <c r="A569" s="3">
        <v>568</v>
      </c>
      <c r="B569" s="4">
        <v>5</v>
      </c>
    </row>
    <row r="570" s="1" customFormat="1" ht="22.5" customHeight="1" spans="1:2">
      <c r="A570" s="3">
        <v>569</v>
      </c>
      <c r="B570" s="4">
        <v>5</v>
      </c>
    </row>
    <row r="571" s="1" customFormat="1" ht="22.5" customHeight="1" spans="1:2">
      <c r="A571" s="3">
        <v>570</v>
      </c>
      <c r="B571" s="4">
        <v>8</v>
      </c>
    </row>
    <row r="572" s="1" customFormat="1" ht="22.5" customHeight="1" spans="1:2">
      <c r="A572" s="3">
        <v>572</v>
      </c>
      <c r="B572" s="4">
        <v>2</v>
      </c>
    </row>
    <row r="573" s="1" customFormat="1" ht="22.5" customHeight="1" spans="1:2">
      <c r="A573" s="3">
        <v>573</v>
      </c>
      <c r="B573" s="4">
        <v>5</v>
      </c>
    </row>
    <row r="574" s="1" customFormat="1" ht="22.5" customHeight="1" spans="1:2">
      <c r="A574" s="3">
        <v>574</v>
      </c>
      <c r="B574" s="4">
        <v>3</v>
      </c>
    </row>
    <row r="575" s="1" customFormat="1" ht="22.5" customHeight="1" spans="1:2">
      <c r="A575" s="3">
        <v>575</v>
      </c>
      <c r="B575" s="4">
        <v>1</v>
      </c>
    </row>
    <row r="576" s="1" customFormat="1" ht="22.5" customHeight="1" spans="1:2">
      <c r="A576" s="3">
        <v>576</v>
      </c>
      <c r="B576" s="4">
        <v>7</v>
      </c>
    </row>
    <row r="577" s="1" customFormat="1" ht="22.5" customHeight="1" spans="1:2">
      <c r="A577" s="3">
        <v>577</v>
      </c>
      <c r="B577" s="4">
        <v>10</v>
      </c>
    </row>
    <row r="578" s="1" customFormat="1" ht="22.5" customHeight="1" spans="1:2">
      <c r="A578" s="3">
        <v>578</v>
      </c>
      <c r="B578" s="4">
        <v>4</v>
      </c>
    </row>
    <row r="579" s="1" customFormat="1" ht="22.5" customHeight="1" spans="1:2">
      <c r="A579" s="3">
        <v>579</v>
      </c>
      <c r="B579" s="4">
        <v>1</v>
      </c>
    </row>
    <row r="580" s="1" customFormat="1" ht="22.5" customHeight="1" spans="1:2">
      <c r="A580" s="3">
        <v>580</v>
      </c>
      <c r="B580" s="4">
        <v>3</v>
      </c>
    </row>
    <row r="581" s="1" customFormat="1" ht="22.5" customHeight="1" spans="1:2">
      <c r="A581" s="3">
        <v>581</v>
      </c>
      <c r="B581" s="4">
        <v>5</v>
      </c>
    </row>
    <row r="582" s="1" customFormat="1" ht="22.5" customHeight="1" spans="1:2">
      <c r="A582" s="3">
        <v>582</v>
      </c>
      <c r="B582" s="4">
        <v>4</v>
      </c>
    </row>
    <row r="583" s="1" customFormat="1" ht="22.5" customHeight="1" spans="1:2">
      <c r="A583" s="3">
        <v>584</v>
      </c>
      <c r="B583" s="4">
        <v>8</v>
      </c>
    </row>
    <row r="584" s="1" customFormat="1" ht="22.5" customHeight="1" spans="1:2">
      <c r="A584" s="3">
        <v>585</v>
      </c>
      <c r="B584" s="4">
        <v>12</v>
      </c>
    </row>
    <row r="585" s="1" customFormat="1" ht="22.5" customHeight="1" spans="1:2">
      <c r="A585" s="3">
        <v>586</v>
      </c>
      <c r="B585" s="4">
        <v>4</v>
      </c>
    </row>
    <row r="586" s="1" customFormat="1" ht="22.5" customHeight="1" spans="1:2">
      <c r="A586" s="3">
        <v>587</v>
      </c>
      <c r="B586" s="4">
        <v>3</v>
      </c>
    </row>
    <row r="587" s="1" customFormat="1" ht="22.5" customHeight="1" spans="1:2">
      <c r="A587" s="3">
        <v>588</v>
      </c>
      <c r="B587" s="4">
        <v>4</v>
      </c>
    </row>
    <row r="588" s="1" customFormat="1" ht="22.5" customHeight="1" spans="1:2">
      <c r="A588" s="3">
        <v>589</v>
      </c>
      <c r="B588" s="4">
        <v>6</v>
      </c>
    </row>
    <row r="589" s="1" customFormat="1" ht="22.5" customHeight="1" spans="1:2">
      <c r="A589" s="3">
        <v>590</v>
      </c>
      <c r="B589" s="4">
        <v>4</v>
      </c>
    </row>
    <row r="590" s="1" customFormat="1" ht="22.5" customHeight="1" spans="1:2">
      <c r="A590" s="3">
        <v>591</v>
      </c>
      <c r="B590" s="4">
        <v>3</v>
      </c>
    </row>
    <row r="591" s="1" customFormat="1" ht="22.5" customHeight="1" spans="1:2">
      <c r="A591" s="3">
        <v>592</v>
      </c>
      <c r="B591" s="4">
        <v>5</v>
      </c>
    </row>
    <row r="592" s="1" customFormat="1" ht="22.5" customHeight="1" spans="1:2">
      <c r="A592" s="3">
        <v>593</v>
      </c>
      <c r="B592" s="4">
        <v>3</v>
      </c>
    </row>
    <row r="593" s="1" customFormat="1" ht="22.5" customHeight="1" spans="1:2">
      <c r="A593" s="3">
        <v>594</v>
      </c>
      <c r="B593" s="4">
        <v>1</v>
      </c>
    </row>
    <row r="594" s="1" customFormat="1" ht="22.5" customHeight="1" spans="1:2">
      <c r="A594" s="3">
        <v>595</v>
      </c>
      <c r="B594" s="4">
        <v>4</v>
      </c>
    </row>
    <row r="595" s="1" customFormat="1" ht="22.5" customHeight="1" spans="1:2">
      <c r="A595" s="3">
        <v>596</v>
      </c>
      <c r="B595" s="4">
        <v>2</v>
      </c>
    </row>
    <row r="596" s="1" customFormat="1" ht="22.5" customHeight="1" spans="1:2">
      <c r="A596" s="3">
        <v>597</v>
      </c>
      <c r="B596" s="4">
        <v>1</v>
      </c>
    </row>
    <row r="597" s="1" customFormat="1" ht="22.5" customHeight="1" spans="1:2">
      <c r="A597" s="3">
        <v>598</v>
      </c>
      <c r="B597" s="4">
        <v>5</v>
      </c>
    </row>
    <row r="598" s="1" customFormat="1" ht="22.5" customHeight="1" spans="1:2">
      <c r="A598" s="3">
        <v>601</v>
      </c>
      <c r="B598" s="4">
        <v>2</v>
      </c>
    </row>
    <row r="599" s="1" customFormat="1" ht="22.5" customHeight="1" spans="1:2">
      <c r="A599" s="3">
        <v>602</v>
      </c>
      <c r="B599" s="4">
        <v>5</v>
      </c>
    </row>
    <row r="600" s="1" customFormat="1" ht="22.5" customHeight="1" spans="1:2">
      <c r="A600" s="3">
        <v>603</v>
      </c>
      <c r="B600" s="4">
        <v>3</v>
      </c>
    </row>
    <row r="601" s="1" customFormat="1" ht="22.5" customHeight="1" spans="1:2">
      <c r="A601" s="3">
        <v>604</v>
      </c>
      <c r="B601" s="4">
        <v>2</v>
      </c>
    </row>
    <row r="602" s="1" customFormat="1" ht="22.5" customHeight="1" spans="1:2">
      <c r="A602" s="3">
        <v>605</v>
      </c>
      <c r="B602" s="4">
        <v>3</v>
      </c>
    </row>
    <row r="603" s="1" customFormat="1" ht="22.5" customHeight="1" spans="1:2">
      <c r="A603" s="3">
        <v>606</v>
      </c>
      <c r="B603" s="4">
        <v>1</v>
      </c>
    </row>
    <row r="604" s="1" customFormat="1" ht="22.5" customHeight="1" spans="1:2">
      <c r="A604" s="3">
        <v>607</v>
      </c>
      <c r="B604" s="4">
        <v>1</v>
      </c>
    </row>
    <row r="605" s="1" customFormat="1" ht="22.5" customHeight="1" spans="1:2">
      <c r="A605" s="3">
        <v>608</v>
      </c>
      <c r="B605" s="4">
        <v>1</v>
      </c>
    </row>
    <row r="606" s="1" customFormat="1" ht="22.5" customHeight="1" spans="1:2">
      <c r="A606" s="3">
        <v>609</v>
      </c>
      <c r="B606" s="4">
        <v>3</v>
      </c>
    </row>
    <row r="607" s="1" customFormat="1" ht="22.5" customHeight="1" spans="1:2">
      <c r="A607" s="3">
        <v>610</v>
      </c>
      <c r="B607" s="4">
        <v>4</v>
      </c>
    </row>
    <row r="608" s="1" customFormat="1" ht="22.5" customHeight="1" spans="1:2">
      <c r="A608" s="3">
        <v>611</v>
      </c>
      <c r="B608" s="4">
        <v>6</v>
      </c>
    </row>
    <row r="609" s="1" customFormat="1" ht="22.5" customHeight="1" spans="1:2">
      <c r="A609" s="3">
        <v>612</v>
      </c>
      <c r="B609" s="4">
        <v>2</v>
      </c>
    </row>
    <row r="610" s="1" customFormat="1" ht="22.5" customHeight="1" spans="1:2">
      <c r="A610" s="3">
        <v>613</v>
      </c>
      <c r="B610" s="4">
        <v>1</v>
      </c>
    </row>
    <row r="611" s="1" customFormat="1" ht="22.5" customHeight="1" spans="1:2">
      <c r="A611" s="3">
        <v>614</v>
      </c>
      <c r="B611" s="4">
        <v>1</v>
      </c>
    </row>
    <row r="612" s="1" customFormat="1" ht="22.5" customHeight="1" spans="1:2">
      <c r="A612" s="3">
        <v>615</v>
      </c>
      <c r="B612" s="4">
        <v>1</v>
      </c>
    </row>
    <row r="613" s="1" customFormat="1" ht="22.5" customHeight="1" spans="1:2">
      <c r="A613" s="3">
        <v>616</v>
      </c>
      <c r="B613" s="4">
        <v>2</v>
      </c>
    </row>
    <row r="614" s="1" customFormat="1" ht="22.5" customHeight="1" spans="1:2">
      <c r="A614" s="3">
        <v>617</v>
      </c>
      <c r="B614" s="4">
        <v>4</v>
      </c>
    </row>
    <row r="615" s="1" customFormat="1" ht="22.5" customHeight="1" spans="1:2">
      <c r="A615" s="3">
        <v>618</v>
      </c>
      <c r="B615" s="4">
        <v>2</v>
      </c>
    </row>
    <row r="616" s="1" customFormat="1" ht="22.5" customHeight="1" spans="1:2">
      <c r="A616" s="3">
        <v>619</v>
      </c>
      <c r="B616" s="4">
        <v>3</v>
      </c>
    </row>
    <row r="617" s="1" customFormat="1" ht="22.5" customHeight="1" spans="1:2">
      <c r="A617" s="3">
        <v>620</v>
      </c>
      <c r="B617" s="4">
        <v>2</v>
      </c>
    </row>
    <row r="618" s="1" customFormat="1" ht="22.5" customHeight="1" spans="1:2">
      <c r="A618" s="3">
        <v>621</v>
      </c>
      <c r="B618" s="4">
        <v>4</v>
      </c>
    </row>
    <row r="619" s="1" customFormat="1" ht="22.5" customHeight="1" spans="1:2">
      <c r="A619" s="3">
        <v>622</v>
      </c>
      <c r="B619" s="4">
        <v>2</v>
      </c>
    </row>
    <row r="620" s="1" customFormat="1" ht="22.5" customHeight="1" spans="1:2">
      <c r="A620" s="3">
        <v>623</v>
      </c>
      <c r="B620" s="4">
        <v>4</v>
      </c>
    </row>
    <row r="621" s="1" customFormat="1" ht="22.5" customHeight="1" spans="1:2">
      <c r="A621" s="3">
        <v>624</v>
      </c>
      <c r="B621" s="4">
        <v>5</v>
      </c>
    </row>
    <row r="622" s="1" customFormat="1" ht="22.5" customHeight="1" spans="1:2">
      <c r="A622" s="3">
        <v>625</v>
      </c>
      <c r="B622" s="4">
        <v>2</v>
      </c>
    </row>
    <row r="623" s="1" customFormat="1" ht="22.5" customHeight="1" spans="1:2">
      <c r="A623" s="3">
        <v>626</v>
      </c>
      <c r="B623" s="4">
        <v>7</v>
      </c>
    </row>
    <row r="624" s="1" customFormat="1" ht="22.5" customHeight="1" spans="1:2">
      <c r="A624" s="3">
        <v>627</v>
      </c>
      <c r="B624" s="4">
        <v>6</v>
      </c>
    </row>
    <row r="625" s="1" customFormat="1" ht="22.5" customHeight="1" spans="1:2">
      <c r="A625" s="3">
        <v>628</v>
      </c>
      <c r="B625" s="4">
        <v>1</v>
      </c>
    </row>
    <row r="626" s="1" customFormat="1" ht="22.5" customHeight="1" spans="1:2">
      <c r="A626" s="3">
        <v>629</v>
      </c>
      <c r="B626" s="4">
        <v>1</v>
      </c>
    </row>
    <row r="627" s="1" customFormat="1" ht="22.5" customHeight="1" spans="1:2">
      <c r="A627" s="3">
        <v>630</v>
      </c>
      <c r="B627" s="4">
        <v>5</v>
      </c>
    </row>
    <row r="628" s="1" customFormat="1" ht="22.5" customHeight="1" spans="1:2">
      <c r="A628" s="3">
        <v>631</v>
      </c>
      <c r="B628" s="4">
        <v>5</v>
      </c>
    </row>
    <row r="629" s="1" customFormat="1" ht="22.5" customHeight="1" spans="1:2">
      <c r="A629" s="3">
        <v>632</v>
      </c>
      <c r="B629" s="4">
        <v>1</v>
      </c>
    </row>
    <row r="630" s="1" customFormat="1" ht="22.5" customHeight="1" spans="1:2">
      <c r="A630" s="3">
        <v>633</v>
      </c>
      <c r="B630" s="4">
        <v>4</v>
      </c>
    </row>
    <row r="631" s="1" customFormat="1" ht="22.5" customHeight="1" spans="1:2">
      <c r="A631" s="3">
        <v>634</v>
      </c>
      <c r="B631" s="4">
        <v>3</v>
      </c>
    </row>
    <row r="632" s="1" customFormat="1" ht="22.5" customHeight="1" spans="1:2">
      <c r="A632" s="3">
        <v>635</v>
      </c>
      <c r="B632" s="4">
        <v>9</v>
      </c>
    </row>
    <row r="633" s="1" customFormat="1" ht="22.5" customHeight="1" spans="1:2">
      <c r="A633" s="3">
        <v>636</v>
      </c>
      <c r="B633" s="4">
        <v>4</v>
      </c>
    </row>
    <row r="634" s="1" customFormat="1" ht="22.5" customHeight="1" spans="1:2">
      <c r="A634" s="3">
        <v>637</v>
      </c>
      <c r="B634" s="4">
        <v>6</v>
      </c>
    </row>
    <row r="635" s="1" customFormat="1" ht="22.5" customHeight="1" spans="1:2">
      <c r="A635" s="3">
        <v>638</v>
      </c>
      <c r="B635" s="4">
        <v>2</v>
      </c>
    </row>
    <row r="636" s="1" customFormat="1" ht="22.5" customHeight="1" spans="1:2">
      <c r="A636" s="3">
        <v>639</v>
      </c>
      <c r="B636" s="4">
        <v>1</v>
      </c>
    </row>
    <row r="637" s="1" customFormat="1" ht="22.5" customHeight="1" spans="1:2">
      <c r="A637" s="3">
        <v>640</v>
      </c>
      <c r="B637" s="4">
        <v>5</v>
      </c>
    </row>
    <row r="638" s="1" customFormat="1" ht="22.5" customHeight="1" spans="1:2">
      <c r="A638" s="3">
        <v>641</v>
      </c>
      <c r="B638" s="4">
        <v>4</v>
      </c>
    </row>
    <row r="639" s="1" customFormat="1" ht="22.5" customHeight="1" spans="1:2">
      <c r="A639" s="3">
        <v>642</v>
      </c>
      <c r="B639" s="4">
        <v>3</v>
      </c>
    </row>
    <row r="640" s="1" customFormat="1" ht="22.5" customHeight="1" spans="1:2">
      <c r="A640" s="3">
        <v>643</v>
      </c>
      <c r="B640" s="4">
        <v>3</v>
      </c>
    </row>
    <row r="641" s="1" customFormat="1" ht="22.5" customHeight="1" spans="1:2">
      <c r="A641" s="3">
        <v>644</v>
      </c>
      <c r="B641" s="4">
        <v>1</v>
      </c>
    </row>
    <row r="642" s="1" customFormat="1" ht="22.5" customHeight="1" spans="1:2">
      <c r="A642" s="3">
        <v>645</v>
      </c>
      <c r="B642" s="4">
        <v>2</v>
      </c>
    </row>
    <row r="643" s="1" customFormat="1" ht="22.5" customHeight="1" spans="1:2">
      <c r="A643" s="3">
        <v>646</v>
      </c>
      <c r="B643" s="4">
        <v>4</v>
      </c>
    </row>
    <row r="644" s="1" customFormat="1" ht="22.5" customHeight="1" spans="1:2">
      <c r="A644" s="3">
        <v>647</v>
      </c>
      <c r="B644" s="4">
        <v>3</v>
      </c>
    </row>
    <row r="645" s="1" customFormat="1" ht="22.5" customHeight="1" spans="1:2">
      <c r="A645" s="3">
        <v>648</v>
      </c>
      <c r="B645" s="4">
        <v>2</v>
      </c>
    </row>
    <row r="646" s="1" customFormat="1" ht="22.5" customHeight="1" spans="1:2">
      <c r="A646" s="3">
        <v>649</v>
      </c>
      <c r="B646" s="4">
        <v>2</v>
      </c>
    </row>
    <row r="647" s="1" customFormat="1" ht="22.5" customHeight="1" spans="1:2">
      <c r="A647" s="3">
        <v>650</v>
      </c>
      <c r="B647" s="4">
        <v>4</v>
      </c>
    </row>
    <row r="648" s="1" customFormat="1" ht="22.5" customHeight="1" spans="1:2">
      <c r="A648" s="3">
        <v>651</v>
      </c>
      <c r="B648" s="4">
        <v>2</v>
      </c>
    </row>
    <row r="649" s="1" customFormat="1" ht="22.5" customHeight="1" spans="1:2">
      <c r="A649" s="3">
        <v>652</v>
      </c>
      <c r="B649" s="4">
        <v>3</v>
      </c>
    </row>
    <row r="650" s="1" customFormat="1" ht="22.5" customHeight="1" spans="1:2">
      <c r="A650" s="3">
        <v>653</v>
      </c>
      <c r="B650" s="4">
        <v>2</v>
      </c>
    </row>
    <row r="651" s="1" customFormat="1" ht="22.5" customHeight="1" spans="1:2">
      <c r="A651" s="3">
        <v>654</v>
      </c>
      <c r="B651" s="4">
        <v>4</v>
      </c>
    </row>
    <row r="652" s="1" customFormat="1" ht="22.5" customHeight="1" spans="1:2">
      <c r="A652" s="3">
        <v>655</v>
      </c>
      <c r="B652" s="4">
        <v>1</v>
      </c>
    </row>
    <row r="653" s="1" customFormat="1" ht="22.5" customHeight="1" spans="1:2">
      <c r="A653" s="3">
        <v>656</v>
      </c>
      <c r="B653" s="4">
        <v>1</v>
      </c>
    </row>
    <row r="654" s="1" customFormat="1" ht="22.5" customHeight="1" spans="1:2">
      <c r="A654" s="3">
        <v>657</v>
      </c>
      <c r="B654" s="4">
        <v>1</v>
      </c>
    </row>
    <row r="655" s="1" customFormat="1" ht="22.5" customHeight="1" spans="1:2">
      <c r="A655" s="3">
        <v>658</v>
      </c>
      <c r="B655" s="4">
        <v>5</v>
      </c>
    </row>
    <row r="656" s="1" customFormat="1" ht="22.5" customHeight="1" spans="1:2">
      <c r="A656" s="3">
        <v>659</v>
      </c>
      <c r="B656" s="4">
        <v>4</v>
      </c>
    </row>
    <row r="657" s="1" customFormat="1" ht="22.5" customHeight="1" spans="1:2">
      <c r="A657" s="3">
        <v>660</v>
      </c>
      <c r="B657" s="4">
        <v>3</v>
      </c>
    </row>
    <row r="658" s="1" customFormat="1" ht="22.5" customHeight="1" spans="1:2">
      <c r="A658" s="3">
        <v>661</v>
      </c>
      <c r="B658" s="4">
        <v>1</v>
      </c>
    </row>
    <row r="659" s="1" customFormat="1" ht="22.5" customHeight="1" spans="1:2">
      <c r="A659" s="3">
        <v>662</v>
      </c>
      <c r="B659" s="4">
        <v>2</v>
      </c>
    </row>
    <row r="660" s="1" customFormat="1" ht="22.5" customHeight="1" spans="1:2">
      <c r="A660" s="3">
        <v>663</v>
      </c>
      <c r="B660" s="4">
        <v>2</v>
      </c>
    </row>
    <row r="661" s="1" customFormat="1" ht="22.5" customHeight="1" spans="1:2">
      <c r="A661" s="3">
        <v>664</v>
      </c>
      <c r="B661" s="4">
        <v>1</v>
      </c>
    </row>
    <row r="662" s="1" customFormat="1" ht="22.5" customHeight="1" spans="1:2">
      <c r="A662" s="3">
        <v>665</v>
      </c>
      <c r="B662" s="4">
        <v>4</v>
      </c>
    </row>
    <row r="663" s="1" customFormat="1" ht="22.5" customHeight="1" spans="1:2">
      <c r="A663" s="3">
        <v>666</v>
      </c>
      <c r="B663" s="4">
        <v>4</v>
      </c>
    </row>
    <row r="664" s="1" customFormat="1" ht="22.5" customHeight="1" spans="1:2">
      <c r="A664" s="3">
        <v>667</v>
      </c>
      <c r="B664" s="4">
        <v>3</v>
      </c>
    </row>
    <row r="665" s="1" customFormat="1" ht="22.5" customHeight="1" spans="1:2">
      <c r="A665" s="3">
        <v>668</v>
      </c>
      <c r="B665" s="4">
        <v>2</v>
      </c>
    </row>
    <row r="666" s="1" customFormat="1" ht="22.5" customHeight="1" spans="1:2">
      <c r="A666" s="3">
        <v>669</v>
      </c>
      <c r="B666" s="4">
        <v>1</v>
      </c>
    </row>
    <row r="667" s="1" customFormat="1" ht="22.5" customHeight="1" spans="1:2">
      <c r="A667" s="3">
        <v>670</v>
      </c>
      <c r="B667" s="4">
        <v>2</v>
      </c>
    </row>
    <row r="668" s="1" customFormat="1" ht="22.5" customHeight="1" spans="1:2">
      <c r="A668" s="3">
        <v>671</v>
      </c>
      <c r="B668" s="4">
        <v>4</v>
      </c>
    </row>
    <row r="669" s="1" customFormat="1" ht="22.5" customHeight="1" spans="1:2">
      <c r="A669" s="3">
        <v>672</v>
      </c>
      <c r="B669" s="4">
        <v>4</v>
      </c>
    </row>
    <row r="670" s="1" customFormat="1" ht="22.5" customHeight="1" spans="1:2">
      <c r="A670" s="3">
        <v>673</v>
      </c>
      <c r="B670" s="4">
        <v>2</v>
      </c>
    </row>
    <row r="671" s="1" customFormat="1" ht="22.5" customHeight="1" spans="1:2">
      <c r="A671" s="3">
        <v>674</v>
      </c>
      <c r="B671" s="4">
        <v>2</v>
      </c>
    </row>
    <row r="672" s="1" customFormat="1" ht="22.5" customHeight="1" spans="1:2">
      <c r="A672" s="3">
        <v>675</v>
      </c>
      <c r="B672" s="4">
        <v>2</v>
      </c>
    </row>
    <row r="673" s="1" customFormat="1" ht="22.5" customHeight="1" spans="1:2">
      <c r="A673" s="3">
        <v>676</v>
      </c>
      <c r="B673" s="4">
        <v>1</v>
      </c>
    </row>
    <row r="674" s="1" customFormat="1" ht="22.5" customHeight="1" spans="1:2">
      <c r="A674" s="3">
        <v>677</v>
      </c>
      <c r="B674" s="4">
        <v>3</v>
      </c>
    </row>
    <row r="675" s="1" customFormat="1" ht="22.5" customHeight="1" spans="1:2">
      <c r="A675" s="3">
        <v>678</v>
      </c>
      <c r="B675" s="4">
        <v>3</v>
      </c>
    </row>
    <row r="676" s="1" customFormat="1" ht="22.5" customHeight="1" spans="1:2">
      <c r="A676" s="3">
        <v>679</v>
      </c>
      <c r="B676" s="4">
        <v>3</v>
      </c>
    </row>
    <row r="677" s="1" customFormat="1" ht="22.5" customHeight="1" spans="1:2">
      <c r="A677" s="3">
        <v>680</v>
      </c>
      <c r="B677" s="4">
        <v>1</v>
      </c>
    </row>
    <row r="678" s="1" customFormat="1" ht="22.5" customHeight="1" spans="1:2">
      <c r="A678" s="3">
        <v>681</v>
      </c>
      <c r="B678" s="4">
        <v>3</v>
      </c>
    </row>
    <row r="679" s="1" customFormat="1" ht="22.5" customHeight="1" spans="1:2">
      <c r="A679" s="3">
        <v>682</v>
      </c>
      <c r="B679" s="4">
        <v>5</v>
      </c>
    </row>
    <row r="680" s="1" customFormat="1" ht="22.5" customHeight="1" spans="1:2">
      <c r="A680" s="3">
        <v>683</v>
      </c>
      <c r="B680" s="4">
        <v>5</v>
      </c>
    </row>
    <row r="681" s="1" customFormat="1" ht="22.5" customHeight="1" spans="1:2">
      <c r="A681" s="3">
        <v>684</v>
      </c>
      <c r="B681" s="4">
        <v>4</v>
      </c>
    </row>
    <row r="682" s="1" customFormat="1" ht="22.5" customHeight="1" spans="1:2">
      <c r="A682" s="3">
        <v>685</v>
      </c>
      <c r="B682" s="4">
        <v>1</v>
      </c>
    </row>
    <row r="683" s="1" customFormat="1" ht="22.5" customHeight="1" spans="1:2">
      <c r="A683" s="3">
        <v>686</v>
      </c>
      <c r="B683" s="4">
        <v>1</v>
      </c>
    </row>
    <row r="684" s="1" customFormat="1" ht="22.5" customHeight="1" spans="1:2">
      <c r="A684" s="3">
        <v>687</v>
      </c>
      <c r="B684" s="4">
        <v>5</v>
      </c>
    </row>
    <row r="685" s="1" customFormat="1" ht="22.5" customHeight="1" spans="1:2">
      <c r="A685" s="3">
        <v>688</v>
      </c>
      <c r="B685" s="4">
        <v>5</v>
      </c>
    </row>
    <row r="686" s="1" customFormat="1" ht="22.5" customHeight="1" spans="1:2">
      <c r="A686" s="3">
        <v>689</v>
      </c>
      <c r="B686" s="4">
        <v>4</v>
      </c>
    </row>
    <row r="687" s="1" customFormat="1" ht="22.5" customHeight="1" spans="1:2">
      <c r="A687" s="3">
        <v>690</v>
      </c>
      <c r="B687" s="4">
        <v>1</v>
      </c>
    </row>
    <row r="688" s="1" customFormat="1" ht="22.5" customHeight="1" spans="1:2">
      <c r="A688" s="3">
        <v>691</v>
      </c>
      <c r="B688" s="4">
        <v>3</v>
      </c>
    </row>
    <row r="689" s="1" customFormat="1" ht="22.5" customHeight="1" spans="1:2">
      <c r="A689" s="3">
        <v>692</v>
      </c>
      <c r="B689" s="4">
        <v>3</v>
      </c>
    </row>
    <row r="690" s="1" customFormat="1" ht="22.5" customHeight="1" spans="1:2">
      <c r="A690" s="3">
        <v>693</v>
      </c>
      <c r="B690" s="4">
        <v>3</v>
      </c>
    </row>
    <row r="691" s="1" customFormat="1" ht="22.5" customHeight="1" spans="1:2">
      <c r="A691" s="3">
        <v>694</v>
      </c>
      <c r="B691" s="4">
        <v>3</v>
      </c>
    </row>
    <row r="692" s="1" customFormat="1" ht="22.5" customHeight="1" spans="1:2">
      <c r="A692" s="3">
        <v>695</v>
      </c>
      <c r="B692" s="4">
        <v>4</v>
      </c>
    </row>
    <row r="693" s="1" customFormat="1" ht="22.5" customHeight="1" spans="1:2">
      <c r="A693" s="3">
        <v>697</v>
      </c>
      <c r="B693" s="4">
        <v>2</v>
      </c>
    </row>
    <row r="694" s="1" customFormat="1" ht="22.5" customHeight="1" spans="1:2">
      <c r="A694" s="3">
        <v>698</v>
      </c>
      <c r="B694" s="4">
        <v>2</v>
      </c>
    </row>
    <row r="695" s="1" customFormat="1" ht="22.5" customHeight="1" spans="1:2">
      <c r="A695" s="3">
        <v>699</v>
      </c>
      <c r="B695" s="4">
        <v>3</v>
      </c>
    </row>
    <row r="696" s="1" customFormat="1" ht="22.5" customHeight="1" spans="1:2">
      <c r="A696" s="3">
        <v>700</v>
      </c>
      <c r="B696" s="4">
        <v>4</v>
      </c>
    </row>
    <row r="697" s="1" customFormat="1" ht="22.5" customHeight="1" spans="1:2">
      <c r="A697" s="3">
        <v>701</v>
      </c>
      <c r="B697" s="4">
        <v>3</v>
      </c>
    </row>
    <row r="698" s="1" customFormat="1" ht="22.5" customHeight="1" spans="1:2">
      <c r="A698" s="3">
        <v>703</v>
      </c>
      <c r="B698" s="4">
        <v>4</v>
      </c>
    </row>
    <row r="699" s="1" customFormat="1" ht="22.5" customHeight="1" spans="1:2">
      <c r="A699" s="3">
        <v>704</v>
      </c>
      <c r="B699" s="4">
        <v>2</v>
      </c>
    </row>
    <row r="700" s="1" customFormat="1" ht="22.5" customHeight="1" spans="1:2">
      <c r="A700" s="3">
        <v>705</v>
      </c>
      <c r="B700" s="4">
        <v>3</v>
      </c>
    </row>
    <row r="701" s="1" customFormat="1" ht="22.5" customHeight="1" spans="1:2">
      <c r="A701" s="3">
        <v>706</v>
      </c>
      <c r="B701" s="4">
        <v>4</v>
      </c>
    </row>
    <row r="702" s="1" customFormat="1" ht="22.5" customHeight="1" spans="1:2">
      <c r="A702" s="3">
        <v>707</v>
      </c>
      <c r="B702" s="4">
        <v>1</v>
      </c>
    </row>
    <row r="703" s="1" customFormat="1" ht="22.5" customHeight="1" spans="1:2">
      <c r="A703" s="3">
        <v>708</v>
      </c>
      <c r="B703" s="4">
        <v>7</v>
      </c>
    </row>
    <row r="704" s="1" customFormat="1" ht="22.5" customHeight="1" spans="1:2">
      <c r="A704" s="3">
        <v>709</v>
      </c>
      <c r="B704" s="4">
        <v>1</v>
      </c>
    </row>
    <row r="705" s="1" customFormat="1" ht="22.5" customHeight="1" spans="1:2">
      <c r="A705" s="3">
        <v>710</v>
      </c>
      <c r="B705" s="4">
        <v>1</v>
      </c>
    </row>
    <row r="706" s="1" customFormat="1" ht="22.5" customHeight="1" spans="1:2">
      <c r="A706" s="3">
        <v>711</v>
      </c>
      <c r="B706" s="4">
        <v>1</v>
      </c>
    </row>
    <row r="707" s="1" customFormat="1" ht="22.5" customHeight="1" spans="1:2">
      <c r="A707" s="3">
        <v>712</v>
      </c>
      <c r="B707" s="4">
        <v>4</v>
      </c>
    </row>
    <row r="708" s="1" customFormat="1" ht="22.5" customHeight="1" spans="1:2">
      <c r="A708" s="3">
        <v>713</v>
      </c>
      <c r="B708" s="4">
        <v>1</v>
      </c>
    </row>
    <row r="709" s="1" customFormat="1" ht="22.5" customHeight="1" spans="1:2">
      <c r="A709" s="3">
        <v>714</v>
      </c>
      <c r="B709" s="4">
        <v>2</v>
      </c>
    </row>
    <row r="710" s="1" customFormat="1" ht="22.5" customHeight="1" spans="1:2">
      <c r="A710" s="3">
        <v>715</v>
      </c>
      <c r="B710" s="4">
        <v>1</v>
      </c>
    </row>
    <row r="711" s="1" customFormat="1" ht="22.5" customHeight="1" spans="1:2">
      <c r="A711" s="3">
        <v>716</v>
      </c>
      <c r="B711" s="4">
        <v>2</v>
      </c>
    </row>
    <row r="712" s="1" customFormat="1" ht="22.5" customHeight="1" spans="1:2">
      <c r="A712" s="3">
        <v>717</v>
      </c>
      <c r="B712" s="4">
        <v>2</v>
      </c>
    </row>
    <row r="713" s="1" customFormat="1" ht="22.5" customHeight="1" spans="1:2">
      <c r="A713" s="3">
        <v>718</v>
      </c>
      <c r="B713" s="4">
        <v>3</v>
      </c>
    </row>
    <row r="714" s="1" customFormat="1" ht="22.5" customHeight="1" spans="1:2">
      <c r="A714" s="3">
        <v>719</v>
      </c>
      <c r="B714" s="4">
        <v>2</v>
      </c>
    </row>
    <row r="715" s="1" customFormat="1" ht="22.5" customHeight="1" spans="1:2">
      <c r="A715" s="3">
        <v>721</v>
      </c>
      <c r="B715" s="4">
        <v>2</v>
      </c>
    </row>
    <row r="716" s="1" customFormat="1" ht="22.5" customHeight="1" spans="1:2">
      <c r="A716" s="3">
        <v>722</v>
      </c>
      <c r="B716" s="4">
        <v>2</v>
      </c>
    </row>
    <row r="717" s="1" customFormat="1" ht="22.5" customHeight="1" spans="1:2">
      <c r="A717" s="3">
        <v>723</v>
      </c>
      <c r="B717" s="4">
        <v>2</v>
      </c>
    </row>
    <row r="718" s="1" customFormat="1" ht="22.5" customHeight="1" spans="1:2">
      <c r="A718" s="3">
        <v>724</v>
      </c>
      <c r="B718" s="4">
        <v>2</v>
      </c>
    </row>
    <row r="719" s="1" customFormat="1" ht="22.5" customHeight="1" spans="1:2">
      <c r="A719" s="3">
        <v>726</v>
      </c>
      <c r="B719" s="4">
        <v>2</v>
      </c>
    </row>
    <row r="720" s="1" customFormat="1" ht="22.5" customHeight="1" spans="1:2">
      <c r="A720" s="3">
        <v>727</v>
      </c>
      <c r="B720" s="4">
        <v>3</v>
      </c>
    </row>
    <row r="721" s="1" customFormat="1" ht="22.5" customHeight="1" spans="1:2">
      <c r="A721" s="3">
        <v>729</v>
      </c>
      <c r="B721" s="4">
        <v>3</v>
      </c>
    </row>
    <row r="722" s="1" customFormat="1" ht="22.5" customHeight="1" spans="1:2">
      <c r="A722" s="3">
        <v>730</v>
      </c>
      <c r="B722" s="4">
        <v>1</v>
      </c>
    </row>
    <row r="723" s="1" customFormat="1" ht="22.5" customHeight="1" spans="1:2">
      <c r="A723" s="3">
        <v>731</v>
      </c>
      <c r="B723" s="4">
        <v>4</v>
      </c>
    </row>
    <row r="724" s="1" customFormat="1" ht="22.5" customHeight="1" spans="1:2">
      <c r="A724" s="3">
        <v>732</v>
      </c>
      <c r="B724" s="4">
        <v>5</v>
      </c>
    </row>
    <row r="725" s="1" customFormat="1" ht="22.5" customHeight="1" spans="1:2">
      <c r="A725" s="3">
        <v>733</v>
      </c>
      <c r="B725" s="4">
        <v>3</v>
      </c>
    </row>
    <row r="726" s="1" customFormat="1" ht="22.5" customHeight="1" spans="1:2">
      <c r="A726" s="3">
        <v>735</v>
      </c>
      <c r="B726" s="4">
        <v>2</v>
      </c>
    </row>
    <row r="727" s="1" customFormat="1" ht="22.5" customHeight="1" spans="1:2">
      <c r="A727" s="3">
        <v>736</v>
      </c>
      <c r="B727" s="4">
        <v>1</v>
      </c>
    </row>
    <row r="728" s="1" customFormat="1" ht="22.5" customHeight="1" spans="1:2">
      <c r="A728" s="3">
        <v>739</v>
      </c>
      <c r="B728" s="4">
        <v>1</v>
      </c>
    </row>
    <row r="729" s="1" customFormat="1" ht="22.5" customHeight="1" spans="1:2">
      <c r="A729" s="3">
        <v>740</v>
      </c>
      <c r="B729" s="4">
        <v>3</v>
      </c>
    </row>
    <row r="730" s="1" customFormat="1" ht="22.5" customHeight="1" spans="1:2">
      <c r="A730" s="3">
        <v>741</v>
      </c>
      <c r="B730" s="4">
        <v>1</v>
      </c>
    </row>
    <row r="731" s="1" customFormat="1" ht="22.5" customHeight="1" spans="1:2">
      <c r="A731" s="3">
        <v>742</v>
      </c>
      <c r="B731" s="4">
        <v>1</v>
      </c>
    </row>
    <row r="732" s="1" customFormat="1" ht="22.5" customHeight="1" spans="1:2">
      <c r="A732" s="3">
        <v>743</v>
      </c>
      <c r="B732" s="4">
        <v>2</v>
      </c>
    </row>
    <row r="733" s="1" customFormat="1" ht="22.5" customHeight="1" spans="1:2">
      <c r="A733" s="3">
        <v>744</v>
      </c>
      <c r="B733" s="4">
        <v>3</v>
      </c>
    </row>
    <row r="734" s="1" customFormat="1" ht="22.5" customHeight="1" spans="1:2">
      <c r="A734" s="3">
        <v>745</v>
      </c>
      <c r="B734" s="4">
        <v>4</v>
      </c>
    </row>
    <row r="735" s="1" customFormat="1" ht="22.5" customHeight="1" spans="1:2">
      <c r="A735" s="3">
        <v>746</v>
      </c>
      <c r="B735" s="4">
        <v>3</v>
      </c>
    </row>
    <row r="736" s="1" customFormat="1" ht="22.5" customHeight="1" spans="1:2">
      <c r="A736" s="3">
        <v>748</v>
      </c>
      <c r="B736" s="4">
        <v>6</v>
      </c>
    </row>
    <row r="737" s="1" customFormat="1" ht="22.5" customHeight="1" spans="1:2">
      <c r="A737" s="3">
        <v>749</v>
      </c>
      <c r="B737" s="4">
        <v>4</v>
      </c>
    </row>
    <row r="738" s="1" customFormat="1" ht="22.5" customHeight="1" spans="1:2">
      <c r="A738" s="3">
        <v>750</v>
      </c>
      <c r="B738" s="4">
        <v>2</v>
      </c>
    </row>
    <row r="739" s="1" customFormat="1" ht="22.5" customHeight="1" spans="1:2">
      <c r="A739" s="3">
        <v>751</v>
      </c>
      <c r="B739" s="4">
        <v>2</v>
      </c>
    </row>
    <row r="740" s="1" customFormat="1" ht="22.5" customHeight="1" spans="1:2">
      <c r="A740" s="3">
        <v>752</v>
      </c>
      <c r="B740" s="4">
        <v>2</v>
      </c>
    </row>
    <row r="741" s="1" customFormat="1" ht="22.5" customHeight="1" spans="1:2">
      <c r="A741" s="3">
        <v>753</v>
      </c>
      <c r="B741" s="4">
        <v>2</v>
      </c>
    </row>
    <row r="742" s="1" customFormat="1" ht="22.5" customHeight="1" spans="1:2">
      <c r="A742" s="3">
        <v>755</v>
      </c>
      <c r="B742" s="4">
        <v>1</v>
      </c>
    </row>
    <row r="743" s="1" customFormat="1" ht="22.5" customHeight="1" spans="1:2">
      <c r="A743" s="3">
        <v>756</v>
      </c>
      <c r="B743" s="4">
        <v>4</v>
      </c>
    </row>
    <row r="744" s="1" customFormat="1" ht="22.5" customHeight="1" spans="1:2">
      <c r="A744" s="3">
        <v>757</v>
      </c>
      <c r="B744" s="4">
        <v>3</v>
      </c>
    </row>
    <row r="745" s="1" customFormat="1" ht="22.5" customHeight="1" spans="1:2">
      <c r="A745" s="3">
        <v>758</v>
      </c>
      <c r="B745" s="4">
        <v>1</v>
      </c>
    </row>
    <row r="746" s="1" customFormat="1" ht="22.5" customHeight="1" spans="1:2">
      <c r="A746" s="3">
        <v>759</v>
      </c>
      <c r="B746" s="4">
        <v>1</v>
      </c>
    </row>
    <row r="747" s="1" customFormat="1" ht="22.5" customHeight="1" spans="1:2">
      <c r="A747" s="3">
        <v>761</v>
      </c>
      <c r="B747" s="4">
        <v>1</v>
      </c>
    </row>
    <row r="748" s="1" customFormat="1" ht="22.5" customHeight="1" spans="1:2">
      <c r="A748" s="3">
        <v>762</v>
      </c>
      <c r="B748" s="4">
        <v>1</v>
      </c>
    </row>
    <row r="749" s="1" customFormat="1" ht="22.5" customHeight="1" spans="1:2">
      <c r="A749" s="3">
        <v>763</v>
      </c>
      <c r="B749" s="4">
        <v>1</v>
      </c>
    </row>
    <row r="750" s="1" customFormat="1" ht="22.5" customHeight="1" spans="1:2">
      <c r="A750" s="3">
        <v>764</v>
      </c>
      <c r="B750" s="4">
        <v>3</v>
      </c>
    </row>
    <row r="751" s="1" customFormat="1" ht="22.5" customHeight="1" spans="1:2">
      <c r="A751" s="3">
        <v>765</v>
      </c>
      <c r="B751" s="4">
        <v>3</v>
      </c>
    </row>
    <row r="752" s="1" customFormat="1" ht="22.5" customHeight="1" spans="1:2">
      <c r="A752" s="3">
        <v>766</v>
      </c>
      <c r="B752" s="4">
        <v>1</v>
      </c>
    </row>
    <row r="753" s="1" customFormat="1" ht="22.5" customHeight="1" spans="1:2">
      <c r="A753" s="3">
        <v>767</v>
      </c>
      <c r="B753" s="4">
        <v>2</v>
      </c>
    </row>
    <row r="754" s="1" customFormat="1" ht="22.5" customHeight="1" spans="1:2">
      <c r="A754" s="3">
        <v>768</v>
      </c>
      <c r="B754" s="4">
        <v>1</v>
      </c>
    </row>
    <row r="755" s="1" customFormat="1" ht="22.5" customHeight="1" spans="1:2">
      <c r="A755" s="3">
        <v>771</v>
      </c>
      <c r="B755" s="4">
        <v>3</v>
      </c>
    </row>
    <row r="756" s="1" customFormat="1" ht="22.5" customHeight="1" spans="1:2">
      <c r="A756" s="3">
        <v>772</v>
      </c>
      <c r="B756" s="4">
        <v>3</v>
      </c>
    </row>
    <row r="757" s="1" customFormat="1" ht="22.5" customHeight="1" spans="1:2">
      <c r="A757" s="3">
        <v>777</v>
      </c>
      <c r="B757" s="4">
        <v>2</v>
      </c>
    </row>
    <row r="758" s="1" customFormat="1" ht="22.5" customHeight="1" spans="1:2">
      <c r="A758" s="3">
        <v>779</v>
      </c>
      <c r="B758" s="4">
        <v>1</v>
      </c>
    </row>
    <row r="759" s="1" customFormat="1" ht="22.5" customHeight="1" spans="1:2">
      <c r="A759" s="3">
        <v>780</v>
      </c>
      <c r="B759" s="4">
        <v>2</v>
      </c>
    </row>
    <row r="760" s="1" customFormat="1" ht="22.5" customHeight="1" spans="1:2">
      <c r="A760" s="3">
        <v>781</v>
      </c>
      <c r="B760" s="4">
        <v>2</v>
      </c>
    </row>
    <row r="761" s="1" customFormat="1" ht="22.5" customHeight="1" spans="1:2">
      <c r="A761" s="3">
        <v>782</v>
      </c>
      <c r="B761" s="4">
        <v>2</v>
      </c>
    </row>
    <row r="762" s="1" customFormat="1" ht="22.5" customHeight="1" spans="1:2">
      <c r="A762" s="3">
        <v>784</v>
      </c>
      <c r="B762" s="4">
        <v>3</v>
      </c>
    </row>
    <row r="763" s="1" customFormat="1" ht="22.5" customHeight="1" spans="1:2">
      <c r="A763" s="3">
        <v>786</v>
      </c>
      <c r="B763" s="4">
        <v>4</v>
      </c>
    </row>
    <row r="764" s="1" customFormat="1" ht="22.5" customHeight="1" spans="1:2">
      <c r="A764" s="3">
        <v>787</v>
      </c>
      <c r="B764" s="4">
        <v>4</v>
      </c>
    </row>
    <row r="765" s="1" customFormat="1" ht="22.5" customHeight="1" spans="1:2">
      <c r="A765" s="3">
        <v>788</v>
      </c>
      <c r="B765" s="4">
        <v>2</v>
      </c>
    </row>
    <row r="766" s="1" customFormat="1" ht="22.5" customHeight="1" spans="1:2">
      <c r="A766" s="3">
        <v>789</v>
      </c>
      <c r="B766" s="4">
        <v>1</v>
      </c>
    </row>
    <row r="767" s="1" customFormat="1" ht="22.5" customHeight="1" spans="1:2">
      <c r="A767" s="3">
        <v>790</v>
      </c>
      <c r="B767" s="4">
        <v>2</v>
      </c>
    </row>
    <row r="768" s="1" customFormat="1" ht="22.5" customHeight="1" spans="1:2">
      <c r="A768" s="3">
        <v>792</v>
      </c>
      <c r="B768" s="4">
        <v>1</v>
      </c>
    </row>
    <row r="769" s="1" customFormat="1" ht="22.5" customHeight="1" spans="1:2">
      <c r="A769" s="3">
        <v>793</v>
      </c>
      <c r="B769" s="4">
        <v>2</v>
      </c>
    </row>
    <row r="770" s="1" customFormat="1" ht="22.5" customHeight="1" spans="1:2">
      <c r="A770" s="3">
        <v>794</v>
      </c>
      <c r="B770" s="4">
        <v>3</v>
      </c>
    </row>
    <row r="771" s="1" customFormat="1" ht="22.5" customHeight="1" spans="1:2">
      <c r="A771" s="3">
        <v>795</v>
      </c>
      <c r="B771" s="4">
        <v>2</v>
      </c>
    </row>
    <row r="772" s="1" customFormat="1" ht="22.5" customHeight="1" spans="1:2">
      <c r="A772" s="3">
        <v>796</v>
      </c>
      <c r="B772" s="4">
        <v>2</v>
      </c>
    </row>
    <row r="773" s="1" customFormat="1" ht="22.5" customHeight="1" spans="1:2">
      <c r="A773" s="3">
        <v>797</v>
      </c>
      <c r="B773" s="4">
        <v>3</v>
      </c>
    </row>
    <row r="774" s="1" customFormat="1" ht="22.5" customHeight="1" spans="1:2">
      <c r="A774" s="3">
        <v>798</v>
      </c>
      <c r="B774" s="4">
        <v>3</v>
      </c>
    </row>
    <row r="775" s="1" customFormat="1" ht="22.5" customHeight="1" spans="1:2">
      <c r="A775" s="3">
        <v>799</v>
      </c>
      <c r="B775" s="4">
        <v>1</v>
      </c>
    </row>
    <row r="776" s="1" customFormat="1" ht="22.5" customHeight="1" spans="1:2">
      <c r="A776" s="3">
        <v>801</v>
      </c>
      <c r="B776" s="4">
        <v>1</v>
      </c>
    </row>
    <row r="777" s="1" customFormat="1" ht="22.5" customHeight="1" spans="1:2">
      <c r="A777" s="3">
        <v>802</v>
      </c>
      <c r="B777" s="4">
        <v>4</v>
      </c>
    </row>
    <row r="778" s="1" customFormat="1" ht="22.5" customHeight="1" spans="1:2">
      <c r="A778" s="3">
        <v>803</v>
      </c>
      <c r="B778" s="4">
        <v>1</v>
      </c>
    </row>
    <row r="779" s="1" customFormat="1" ht="22.5" customHeight="1" spans="1:2">
      <c r="A779" s="3">
        <v>804</v>
      </c>
      <c r="B779" s="4">
        <v>3</v>
      </c>
    </row>
    <row r="780" s="1" customFormat="1" ht="22.5" customHeight="1" spans="1:2">
      <c r="A780" s="3">
        <v>805</v>
      </c>
      <c r="B780" s="4">
        <v>1</v>
      </c>
    </row>
    <row r="781" s="1" customFormat="1" ht="22.5" customHeight="1" spans="1:2">
      <c r="A781" s="3">
        <v>806</v>
      </c>
      <c r="B781" s="4">
        <v>5</v>
      </c>
    </row>
    <row r="782" s="1" customFormat="1" ht="22.5" customHeight="1" spans="1:2">
      <c r="A782" s="3">
        <v>807</v>
      </c>
      <c r="B782" s="4">
        <v>1</v>
      </c>
    </row>
    <row r="783" s="1" customFormat="1" ht="22.5" customHeight="1" spans="1:2">
      <c r="A783" s="3">
        <v>808</v>
      </c>
      <c r="B783" s="4">
        <v>2</v>
      </c>
    </row>
    <row r="784" s="1" customFormat="1" ht="22.5" customHeight="1" spans="1:2">
      <c r="A784" s="3">
        <v>809</v>
      </c>
      <c r="B784" s="4">
        <v>5</v>
      </c>
    </row>
    <row r="785" s="1" customFormat="1" ht="22.5" customHeight="1" spans="1:2">
      <c r="A785" s="3">
        <v>810</v>
      </c>
      <c r="B785" s="4">
        <v>2</v>
      </c>
    </row>
    <row r="786" s="1" customFormat="1" ht="22.5" customHeight="1" spans="1:2">
      <c r="A786" s="3">
        <v>811</v>
      </c>
      <c r="B786" s="4">
        <v>1</v>
      </c>
    </row>
    <row r="787" s="1" customFormat="1" ht="22.5" customHeight="1" spans="1:2">
      <c r="A787" s="3">
        <v>812</v>
      </c>
      <c r="B787" s="4">
        <v>2</v>
      </c>
    </row>
    <row r="788" s="1" customFormat="1" ht="22.5" customHeight="1" spans="1:2">
      <c r="A788" s="3">
        <v>814</v>
      </c>
      <c r="B788" s="4">
        <v>2</v>
      </c>
    </row>
    <row r="789" s="1" customFormat="1" ht="22.5" customHeight="1" spans="1:2">
      <c r="A789" s="3">
        <v>816</v>
      </c>
      <c r="B789" s="4">
        <v>1</v>
      </c>
    </row>
    <row r="790" s="1" customFormat="1" ht="22.5" customHeight="1" spans="1:2">
      <c r="A790" s="3">
        <v>818</v>
      </c>
      <c r="B790" s="4">
        <v>1</v>
      </c>
    </row>
    <row r="791" s="1" customFormat="1" ht="22.5" customHeight="1" spans="1:2">
      <c r="A791" s="3">
        <v>820</v>
      </c>
      <c r="B791" s="4">
        <v>1</v>
      </c>
    </row>
    <row r="792" s="1" customFormat="1" ht="22.5" customHeight="1" spans="1:2">
      <c r="A792" s="3">
        <v>821</v>
      </c>
      <c r="B792" s="4">
        <v>1</v>
      </c>
    </row>
    <row r="793" s="1" customFormat="1" ht="22.5" customHeight="1" spans="1:2">
      <c r="A793" s="3">
        <v>822</v>
      </c>
      <c r="B793" s="4">
        <v>3</v>
      </c>
    </row>
    <row r="794" s="1" customFormat="1" ht="22.5" customHeight="1" spans="1:2">
      <c r="A794" s="3">
        <v>823</v>
      </c>
      <c r="B794" s="4">
        <v>1</v>
      </c>
    </row>
    <row r="795" s="1" customFormat="1" ht="22.5" customHeight="1" spans="1:2">
      <c r="A795" s="3">
        <v>824</v>
      </c>
      <c r="B795" s="4">
        <v>1</v>
      </c>
    </row>
    <row r="796" s="1" customFormat="1" ht="22.5" customHeight="1" spans="1:2">
      <c r="A796" s="3">
        <v>825</v>
      </c>
      <c r="B796" s="4">
        <v>4</v>
      </c>
    </row>
    <row r="797" s="1" customFormat="1" ht="22.5" customHeight="1" spans="1:2">
      <c r="A797" s="3">
        <v>826</v>
      </c>
      <c r="B797" s="4">
        <v>1</v>
      </c>
    </row>
    <row r="798" s="1" customFormat="1" ht="22.5" customHeight="1" spans="1:2">
      <c r="A798" s="3">
        <v>828</v>
      </c>
      <c r="B798" s="4">
        <v>1</v>
      </c>
    </row>
    <row r="799" s="1" customFormat="1" ht="22.5" customHeight="1" spans="1:2">
      <c r="A799" s="3">
        <v>829</v>
      </c>
      <c r="B799" s="4">
        <v>1</v>
      </c>
    </row>
    <row r="800" s="1" customFormat="1" ht="22.5" customHeight="1" spans="1:2">
      <c r="A800" s="3">
        <v>830</v>
      </c>
      <c r="B800" s="4">
        <v>3</v>
      </c>
    </row>
    <row r="801" s="1" customFormat="1" ht="22.5" customHeight="1" spans="1:2">
      <c r="A801" s="3">
        <v>831</v>
      </c>
      <c r="B801" s="4">
        <v>1</v>
      </c>
    </row>
    <row r="802" s="1" customFormat="1" ht="22.5" customHeight="1" spans="1:2">
      <c r="A802" s="3">
        <v>833</v>
      </c>
      <c r="B802" s="4">
        <v>1</v>
      </c>
    </row>
    <row r="803" s="1" customFormat="1" ht="22.5" customHeight="1" spans="1:2">
      <c r="A803" s="3">
        <v>834</v>
      </c>
      <c r="B803" s="4">
        <v>1</v>
      </c>
    </row>
    <row r="804" s="1" customFormat="1" ht="22.5" customHeight="1" spans="1:2">
      <c r="A804" s="3">
        <v>835</v>
      </c>
      <c r="B804" s="4">
        <v>1</v>
      </c>
    </row>
    <row r="805" s="1" customFormat="1" ht="22.5" customHeight="1" spans="1:2">
      <c r="A805" s="3">
        <v>837</v>
      </c>
      <c r="B805" s="4">
        <v>2</v>
      </c>
    </row>
    <row r="806" s="1" customFormat="1" ht="22.5" customHeight="1" spans="1:2">
      <c r="A806" s="3">
        <v>838</v>
      </c>
      <c r="B806" s="4">
        <v>2</v>
      </c>
    </row>
    <row r="807" s="1" customFormat="1" ht="22.5" customHeight="1" spans="1:2">
      <c r="A807" s="3">
        <v>843</v>
      </c>
      <c r="B807" s="4">
        <v>3</v>
      </c>
    </row>
    <row r="808" s="1" customFormat="1" ht="22.5" customHeight="1" spans="1:2">
      <c r="A808" s="3">
        <v>844</v>
      </c>
      <c r="B808" s="4">
        <v>3</v>
      </c>
    </row>
    <row r="809" s="1" customFormat="1" ht="22.5" customHeight="1" spans="1:2">
      <c r="A809" s="3">
        <v>845</v>
      </c>
      <c r="B809" s="4">
        <v>1</v>
      </c>
    </row>
    <row r="810" s="1" customFormat="1" ht="22.5" customHeight="1" spans="1:2">
      <c r="A810" s="3">
        <v>846</v>
      </c>
      <c r="B810" s="4">
        <v>1</v>
      </c>
    </row>
    <row r="811" s="1" customFormat="1" ht="22.5" customHeight="1" spans="1:2">
      <c r="A811" s="3">
        <v>847</v>
      </c>
      <c r="B811" s="4">
        <v>2</v>
      </c>
    </row>
    <row r="812" s="1" customFormat="1" ht="22.5" customHeight="1" spans="1:2">
      <c r="A812" s="3">
        <v>849</v>
      </c>
      <c r="B812" s="4">
        <v>2</v>
      </c>
    </row>
    <row r="813" s="1" customFormat="1" ht="22.5" customHeight="1" spans="1:2">
      <c r="A813" s="3">
        <v>850</v>
      </c>
      <c r="B813" s="4">
        <v>3</v>
      </c>
    </row>
    <row r="814" s="1" customFormat="1" ht="22.5" customHeight="1" spans="1:2">
      <c r="A814" s="3">
        <v>851</v>
      </c>
      <c r="B814" s="4">
        <v>1</v>
      </c>
    </row>
    <row r="815" s="1" customFormat="1" ht="22.5" customHeight="1" spans="1:2">
      <c r="A815" s="3">
        <v>852</v>
      </c>
      <c r="B815" s="4">
        <v>3</v>
      </c>
    </row>
    <row r="816" s="1" customFormat="1" ht="22.5" customHeight="1" spans="1:2">
      <c r="A816" s="3">
        <v>853</v>
      </c>
      <c r="B816" s="4">
        <v>1</v>
      </c>
    </row>
    <row r="817" s="1" customFormat="1" ht="22.5" customHeight="1" spans="1:2">
      <c r="A817" s="3">
        <v>855</v>
      </c>
      <c r="B817" s="4">
        <v>2</v>
      </c>
    </row>
    <row r="818" s="1" customFormat="1" ht="22.5" customHeight="1" spans="1:2">
      <c r="A818" s="3">
        <v>856</v>
      </c>
      <c r="B818" s="4">
        <v>1</v>
      </c>
    </row>
    <row r="819" s="1" customFormat="1" ht="22.5" customHeight="1" spans="1:2">
      <c r="A819" s="3">
        <v>857</v>
      </c>
      <c r="B819" s="4">
        <v>1</v>
      </c>
    </row>
    <row r="820" s="1" customFormat="1" ht="22.5" customHeight="1" spans="1:2">
      <c r="A820" s="3">
        <v>858</v>
      </c>
      <c r="B820" s="4">
        <v>1</v>
      </c>
    </row>
    <row r="821" s="1" customFormat="1" ht="22.5" customHeight="1" spans="1:2">
      <c r="A821" s="3">
        <v>859</v>
      </c>
      <c r="B821" s="4">
        <v>3</v>
      </c>
    </row>
    <row r="822" s="1" customFormat="1" ht="22.5" customHeight="1" spans="1:2">
      <c r="A822" s="3">
        <v>860</v>
      </c>
      <c r="B822" s="4">
        <v>2</v>
      </c>
    </row>
    <row r="823" s="1" customFormat="1" ht="22.5" customHeight="1" spans="1:2">
      <c r="A823" s="3">
        <v>861</v>
      </c>
      <c r="B823" s="4">
        <v>1</v>
      </c>
    </row>
    <row r="824" s="1" customFormat="1" ht="22.5" customHeight="1" spans="1:2">
      <c r="A824" s="3">
        <v>862</v>
      </c>
      <c r="B824" s="4">
        <v>1</v>
      </c>
    </row>
    <row r="825" s="1" customFormat="1" ht="22.5" customHeight="1" spans="1:2">
      <c r="A825" s="3">
        <v>863</v>
      </c>
      <c r="B825" s="4">
        <v>2</v>
      </c>
    </row>
    <row r="826" s="1" customFormat="1" ht="22.5" customHeight="1" spans="1:2">
      <c r="A826" s="3">
        <v>864</v>
      </c>
      <c r="B826" s="4">
        <v>1</v>
      </c>
    </row>
    <row r="827" s="1" customFormat="1" ht="22.5" customHeight="1" spans="1:2">
      <c r="A827" s="3">
        <v>865</v>
      </c>
      <c r="B827" s="4">
        <v>2</v>
      </c>
    </row>
    <row r="828" s="1" customFormat="1" ht="22.5" customHeight="1" spans="1:2">
      <c r="A828" s="3">
        <v>867</v>
      </c>
      <c r="B828" s="4">
        <v>1</v>
      </c>
    </row>
    <row r="829" s="1" customFormat="1" ht="22.5" customHeight="1" spans="1:2">
      <c r="A829" s="3">
        <v>870</v>
      </c>
      <c r="B829" s="4">
        <v>1</v>
      </c>
    </row>
    <row r="830" s="1" customFormat="1" ht="22.5" customHeight="1" spans="1:2">
      <c r="A830" s="3">
        <v>871</v>
      </c>
      <c r="B830" s="4">
        <v>1</v>
      </c>
    </row>
    <row r="831" s="1" customFormat="1" ht="22.5" customHeight="1" spans="1:2">
      <c r="A831" s="3">
        <v>872</v>
      </c>
      <c r="B831" s="4">
        <v>1</v>
      </c>
    </row>
    <row r="832" s="1" customFormat="1" ht="22.5" customHeight="1" spans="1:2">
      <c r="A832" s="3">
        <v>873</v>
      </c>
      <c r="B832" s="4">
        <v>1</v>
      </c>
    </row>
    <row r="833" s="1" customFormat="1" ht="22.5" customHeight="1" spans="1:2">
      <c r="A833" s="3">
        <v>876</v>
      </c>
      <c r="B833" s="4">
        <v>1</v>
      </c>
    </row>
    <row r="834" s="1" customFormat="1" ht="22.5" customHeight="1" spans="1:2">
      <c r="A834" s="3">
        <v>877</v>
      </c>
      <c r="B834" s="4">
        <v>1</v>
      </c>
    </row>
    <row r="835" s="1" customFormat="1" ht="22.5" customHeight="1" spans="1:2">
      <c r="A835" s="3">
        <v>879</v>
      </c>
      <c r="B835" s="4">
        <v>1</v>
      </c>
    </row>
    <row r="836" s="1" customFormat="1" ht="22.5" customHeight="1" spans="1:2">
      <c r="A836" s="3">
        <v>880</v>
      </c>
      <c r="B836" s="4">
        <v>1</v>
      </c>
    </row>
    <row r="837" s="1" customFormat="1" ht="22.5" customHeight="1" spans="1:2">
      <c r="A837" s="3">
        <v>881</v>
      </c>
      <c r="B837" s="4">
        <v>1</v>
      </c>
    </row>
    <row r="838" s="1" customFormat="1" ht="22.5" customHeight="1" spans="1:2">
      <c r="A838" s="3">
        <v>882</v>
      </c>
      <c r="B838" s="4">
        <v>1</v>
      </c>
    </row>
    <row r="839" s="1" customFormat="1" ht="22.5" customHeight="1" spans="1:2">
      <c r="A839" s="3">
        <v>885</v>
      </c>
      <c r="B839" s="4">
        <v>1</v>
      </c>
    </row>
    <row r="840" s="1" customFormat="1" ht="22.5" customHeight="1" spans="1:2">
      <c r="A840" s="3">
        <v>887</v>
      </c>
      <c r="B840" s="4">
        <v>1</v>
      </c>
    </row>
    <row r="841" s="1" customFormat="1" ht="22.5" customHeight="1" spans="1:2">
      <c r="A841" s="3">
        <v>888</v>
      </c>
      <c r="B841" s="4">
        <v>2</v>
      </c>
    </row>
    <row r="842" s="1" customFormat="1" ht="22.5" customHeight="1" spans="1:2">
      <c r="A842" s="3">
        <v>889</v>
      </c>
      <c r="B842" s="4">
        <v>2</v>
      </c>
    </row>
    <row r="843" s="1" customFormat="1" ht="22.5" customHeight="1" spans="1:2">
      <c r="A843" s="3">
        <v>890</v>
      </c>
      <c r="B843" s="4">
        <v>2</v>
      </c>
    </row>
    <row r="844" s="1" customFormat="1" ht="22.5" customHeight="1" spans="1:2">
      <c r="A844" s="3">
        <v>892</v>
      </c>
      <c r="B844" s="4">
        <v>3</v>
      </c>
    </row>
    <row r="845" s="1" customFormat="1" ht="22.5" customHeight="1" spans="1:2">
      <c r="A845" s="3">
        <v>893</v>
      </c>
      <c r="B845" s="4">
        <v>1</v>
      </c>
    </row>
    <row r="846" s="1" customFormat="1" ht="22.5" customHeight="1" spans="1:2">
      <c r="A846" s="3">
        <v>896</v>
      </c>
      <c r="B846" s="4">
        <v>2</v>
      </c>
    </row>
    <row r="847" s="1" customFormat="1" ht="22.5" customHeight="1" spans="1:2">
      <c r="A847" s="3">
        <v>898</v>
      </c>
      <c r="B847" s="4">
        <v>2</v>
      </c>
    </row>
    <row r="848" s="1" customFormat="1" ht="22.5" customHeight="1" spans="1:2">
      <c r="A848" s="3">
        <v>899</v>
      </c>
      <c r="B848" s="4">
        <v>3</v>
      </c>
    </row>
    <row r="849" s="1" customFormat="1" ht="22.5" customHeight="1" spans="1:2">
      <c r="A849" s="3">
        <v>900</v>
      </c>
      <c r="B849" s="4">
        <v>1</v>
      </c>
    </row>
    <row r="850" s="1" customFormat="1" ht="22.5" customHeight="1" spans="1:2">
      <c r="A850" s="3">
        <v>901</v>
      </c>
      <c r="B850" s="4">
        <v>4</v>
      </c>
    </row>
    <row r="851" s="1" customFormat="1" ht="22.5" customHeight="1" spans="1:2">
      <c r="A851" s="3">
        <v>902</v>
      </c>
      <c r="B851" s="4">
        <v>1</v>
      </c>
    </row>
    <row r="852" s="1" customFormat="1" ht="22.5" customHeight="1" spans="1:2">
      <c r="A852" s="3">
        <v>903</v>
      </c>
      <c r="B852" s="4">
        <v>1</v>
      </c>
    </row>
    <row r="853" s="1" customFormat="1" ht="22.5" customHeight="1" spans="1:2">
      <c r="A853" s="3">
        <v>904</v>
      </c>
      <c r="B853" s="4">
        <v>3</v>
      </c>
    </row>
    <row r="854" s="1" customFormat="1" ht="22.5" customHeight="1" spans="1:2">
      <c r="A854" s="3">
        <v>905</v>
      </c>
      <c r="B854" s="4">
        <v>4</v>
      </c>
    </row>
    <row r="855" s="1" customFormat="1" ht="22.5" customHeight="1" spans="1:2">
      <c r="A855" s="3">
        <v>906</v>
      </c>
      <c r="B855" s="4">
        <v>1</v>
      </c>
    </row>
    <row r="856" s="1" customFormat="1" ht="22.5" customHeight="1" spans="1:2">
      <c r="A856" s="3">
        <v>907</v>
      </c>
      <c r="B856" s="4">
        <v>1</v>
      </c>
    </row>
    <row r="857" s="1" customFormat="1" ht="22.5" customHeight="1" spans="1:2">
      <c r="A857" s="3">
        <v>908</v>
      </c>
      <c r="B857" s="4">
        <v>1</v>
      </c>
    </row>
    <row r="858" s="1" customFormat="1" ht="22.5" customHeight="1" spans="1:2">
      <c r="A858" s="3">
        <v>909</v>
      </c>
      <c r="B858" s="4">
        <v>2</v>
      </c>
    </row>
    <row r="859" s="1" customFormat="1" ht="22.5" customHeight="1" spans="1:2">
      <c r="A859" s="3">
        <v>910</v>
      </c>
      <c r="B859" s="4">
        <v>3</v>
      </c>
    </row>
    <row r="860" s="1" customFormat="1" ht="22.5" customHeight="1" spans="1:2">
      <c r="A860" s="3">
        <v>911</v>
      </c>
      <c r="B860" s="4">
        <v>1</v>
      </c>
    </row>
    <row r="861" s="1" customFormat="1" ht="22.5" customHeight="1" spans="1:2">
      <c r="A861" s="3">
        <v>913</v>
      </c>
      <c r="B861" s="4">
        <v>4</v>
      </c>
    </row>
    <row r="862" s="1" customFormat="1" ht="22.5" customHeight="1" spans="1:2">
      <c r="A862" s="3">
        <v>914</v>
      </c>
      <c r="B862" s="4">
        <v>3</v>
      </c>
    </row>
    <row r="863" s="1" customFormat="1" ht="22.5" customHeight="1" spans="1:2">
      <c r="A863" s="3">
        <v>915</v>
      </c>
      <c r="B863" s="4">
        <v>1</v>
      </c>
    </row>
    <row r="864" s="1" customFormat="1" ht="22.5" customHeight="1" spans="1:2">
      <c r="A864" s="3">
        <v>917</v>
      </c>
      <c r="B864" s="4">
        <v>1</v>
      </c>
    </row>
    <row r="865" s="1" customFormat="1" ht="22.5" customHeight="1" spans="1:2">
      <c r="A865" s="3">
        <v>918</v>
      </c>
      <c r="B865" s="4">
        <v>1</v>
      </c>
    </row>
    <row r="866" s="1" customFormat="1" ht="22.5" customHeight="1" spans="1:2">
      <c r="A866" s="3">
        <v>919</v>
      </c>
      <c r="B866" s="4">
        <v>1</v>
      </c>
    </row>
    <row r="867" s="1" customFormat="1" ht="22.5" customHeight="1" spans="1:2">
      <c r="A867" s="3">
        <v>920</v>
      </c>
      <c r="B867" s="4">
        <v>1</v>
      </c>
    </row>
    <row r="868" s="1" customFormat="1" ht="22.5" customHeight="1" spans="1:2">
      <c r="A868" s="3">
        <v>922</v>
      </c>
      <c r="B868" s="4">
        <v>1</v>
      </c>
    </row>
    <row r="869" s="1" customFormat="1" ht="22.5" customHeight="1" spans="1:2">
      <c r="A869" s="3">
        <v>923</v>
      </c>
      <c r="B869" s="4">
        <v>1</v>
      </c>
    </row>
    <row r="870" s="1" customFormat="1" ht="22.5" customHeight="1" spans="1:2">
      <c r="A870" s="3">
        <v>926</v>
      </c>
      <c r="B870" s="4">
        <v>2</v>
      </c>
    </row>
    <row r="871" s="1" customFormat="1" ht="22.5" customHeight="1" spans="1:2">
      <c r="A871" s="3">
        <v>928</v>
      </c>
      <c r="B871" s="4">
        <v>1</v>
      </c>
    </row>
    <row r="872" s="1" customFormat="1" ht="22.5" customHeight="1" spans="1:2">
      <c r="A872" s="3">
        <v>930</v>
      </c>
      <c r="B872" s="4">
        <v>2</v>
      </c>
    </row>
    <row r="873" s="1" customFormat="1" ht="22.5" customHeight="1" spans="1:2">
      <c r="A873" s="3">
        <v>931</v>
      </c>
      <c r="B873" s="4">
        <v>1</v>
      </c>
    </row>
    <row r="874" s="1" customFormat="1" ht="22.5" customHeight="1" spans="1:2">
      <c r="A874" s="3">
        <v>932</v>
      </c>
      <c r="B874" s="4">
        <v>1</v>
      </c>
    </row>
    <row r="875" s="1" customFormat="1" ht="22.5" customHeight="1" spans="1:2">
      <c r="A875" s="3">
        <v>933</v>
      </c>
      <c r="B875" s="4">
        <v>2</v>
      </c>
    </row>
    <row r="876" s="1" customFormat="1" ht="22.5" customHeight="1" spans="1:2">
      <c r="A876" s="3">
        <v>934</v>
      </c>
      <c r="B876" s="4">
        <v>1</v>
      </c>
    </row>
    <row r="877" s="1" customFormat="1" ht="22.5" customHeight="1" spans="1:2">
      <c r="A877" s="3">
        <v>935</v>
      </c>
      <c r="B877" s="4">
        <v>1</v>
      </c>
    </row>
    <row r="878" s="1" customFormat="1" ht="22.5" customHeight="1" spans="1:2">
      <c r="A878" s="3">
        <v>936</v>
      </c>
      <c r="B878" s="4">
        <v>2</v>
      </c>
    </row>
    <row r="879" s="1" customFormat="1" ht="22.5" customHeight="1" spans="1:2">
      <c r="A879" s="3">
        <v>937</v>
      </c>
      <c r="B879" s="4">
        <v>1</v>
      </c>
    </row>
    <row r="880" s="1" customFormat="1" ht="22.5" customHeight="1" spans="1:2">
      <c r="A880" s="3">
        <v>939</v>
      </c>
      <c r="B880" s="4">
        <v>2</v>
      </c>
    </row>
    <row r="881" s="1" customFormat="1" ht="22.5" customHeight="1" spans="1:2">
      <c r="A881" s="3">
        <v>940</v>
      </c>
      <c r="B881" s="4">
        <v>1</v>
      </c>
    </row>
    <row r="882" s="1" customFormat="1" ht="22.5" customHeight="1" spans="1:2">
      <c r="A882" s="3">
        <v>941</v>
      </c>
      <c r="B882" s="4">
        <v>2</v>
      </c>
    </row>
    <row r="883" s="1" customFormat="1" ht="22.5" customHeight="1" spans="1:2">
      <c r="A883" s="3">
        <v>942</v>
      </c>
      <c r="B883" s="4">
        <v>2</v>
      </c>
    </row>
    <row r="884" s="1" customFormat="1" ht="22.5" customHeight="1" spans="1:2">
      <c r="A884" s="3">
        <v>944</v>
      </c>
      <c r="B884" s="4">
        <v>1</v>
      </c>
    </row>
    <row r="885" s="1" customFormat="1" ht="22.5" customHeight="1" spans="1:2">
      <c r="A885" s="3">
        <v>946</v>
      </c>
      <c r="B885" s="4">
        <v>1</v>
      </c>
    </row>
    <row r="886" s="1" customFormat="1" ht="22.5" customHeight="1" spans="1:2">
      <c r="A886" s="3">
        <v>947</v>
      </c>
      <c r="B886" s="4">
        <v>1</v>
      </c>
    </row>
    <row r="887" s="1" customFormat="1" ht="22.5" customHeight="1" spans="1:2">
      <c r="A887" s="3">
        <v>949</v>
      </c>
      <c r="B887" s="4">
        <v>1</v>
      </c>
    </row>
    <row r="888" s="1" customFormat="1" ht="22.5" customHeight="1" spans="1:2">
      <c r="A888" s="3">
        <v>950</v>
      </c>
      <c r="B888" s="4">
        <v>1</v>
      </c>
    </row>
    <row r="889" s="1" customFormat="1" ht="22.5" customHeight="1" spans="1:2">
      <c r="A889" s="3">
        <v>952</v>
      </c>
      <c r="B889" s="4">
        <v>1</v>
      </c>
    </row>
    <row r="890" s="1" customFormat="1" ht="22.5" customHeight="1" spans="1:2">
      <c r="A890" s="3">
        <v>953</v>
      </c>
      <c r="B890" s="4">
        <v>1</v>
      </c>
    </row>
    <row r="891" s="1" customFormat="1" ht="22.5" customHeight="1" spans="1:2">
      <c r="A891" s="3">
        <v>955</v>
      </c>
      <c r="B891" s="4">
        <v>1</v>
      </c>
    </row>
    <row r="892" s="1" customFormat="1" ht="22.5" customHeight="1" spans="1:2">
      <c r="A892" s="3">
        <v>957</v>
      </c>
      <c r="B892" s="4">
        <v>3</v>
      </c>
    </row>
    <row r="893" s="1" customFormat="1" ht="22.5" customHeight="1" spans="1:2">
      <c r="A893" s="3">
        <v>958</v>
      </c>
      <c r="B893" s="4">
        <v>1</v>
      </c>
    </row>
    <row r="894" s="1" customFormat="1" ht="22.5" customHeight="1" spans="1:2">
      <c r="A894" s="3">
        <v>960</v>
      </c>
      <c r="B894" s="4">
        <v>2</v>
      </c>
    </row>
    <row r="895" s="1" customFormat="1" ht="22.5" customHeight="1" spans="1:2">
      <c r="A895" s="3">
        <v>961</v>
      </c>
      <c r="B895" s="4">
        <v>1</v>
      </c>
    </row>
    <row r="896" s="1" customFormat="1" ht="22.5" customHeight="1" spans="1:2">
      <c r="A896" s="3">
        <v>964</v>
      </c>
      <c r="B896" s="4">
        <v>1</v>
      </c>
    </row>
    <row r="897" s="1" customFormat="1" ht="22.5" customHeight="1" spans="1:2">
      <c r="A897" s="3">
        <v>965</v>
      </c>
      <c r="B897" s="4">
        <v>1</v>
      </c>
    </row>
    <row r="898" s="1" customFormat="1" ht="22.5" customHeight="1" spans="1:2">
      <c r="A898" s="3">
        <v>968</v>
      </c>
      <c r="B898" s="4">
        <v>1</v>
      </c>
    </row>
    <row r="899" s="1" customFormat="1" ht="22.5" customHeight="1" spans="1:2">
      <c r="A899" s="3">
        <v>969</v>
      </c>
      <c r="B899" s="4">
        <v>3</v>
      </c>
    </row>
    <row r="900" s="1" customFormat="1" ht="22.5" customHeight="1" spans="1:2">
      <c r="A900" s="3">
        <v>973</v>
      </c>
      <c r="B900" s="4">
        <v>1</v>
      </c>
    </row>
    <row r="901" s="1" customFormat="1" ht="22.5" customHeight="1" spans="1:2">
      <c r="A901" s="3">
        <v>974</v>
      </c>
      <c r="B901" s="4">
        <v>1</v>
      </c>
    </row>
    <row r="902" s="1" customFormat="1" ht="22.5" customHeight="1" spans="1:2">
      <c r="A902" s="3">
        <v>975</v>
      </c>
      <c r="B902" s="4">
        <v>2</v>
      </c>
    </row>
    <row r="903" s="1" customFormat="1" ht="22.5" customHeight="1" spans="1:2">
      <c r="A903" s="3">
        <v>976</v>
      </c>
      <c r="B903" s="4">
        <v>3</v>
      </c>
    </row>
    <row r="904" s="1" customFormat="1" ht="22.5" customHeight="1" spans="1:2">
      <c r="A904" s="3">
        <v>977</v>
      </c>
      <c r="B904" s="4">
        <v>3</v>
      </c>
    </row>
    <row r="905" s="1" customFormat="1" ht="22.5" customHeight="1" spans="1:2">
      <c r="A905" s="3">
        <v>978</v>
      </c>
      <c r="B905" s="4">
        <v>3</v>
      </c>
    </row>
    <row r="906" s="1" customFormat="1" ht="22.5" customHeight="1" spans="1:2">
      <c r="A906" s="3">
        <v>980</v>
      </c>
      <c r="B906" s="4">
        <v>3</v>
      </c>
    </row>
    <row r="907" s="1" customFormat="1" ht="22.5" customHeight="1" spans="1:2">
      <c r="A907" s="3">
        <v>981</v>
      </c>
      <c r="B907" s="4">
        <v>2</v>
      </c>
    </row>
    <row r="908" s="1" customFormat="1" ht="22.5" customHeight="1" spans="1:2">
      <c r="A908" s="3">
        <v>982</v>
      </c>
      <c r="B908" s="4">
        <v>4</v>
      </c>
    </row>
    <row r="909" s="1" customFormat="1" ht="22.5" customHeight="1" spans="1:2">
      <c r="A909" s="3">
        <v>983</v>
      </c>
      <c r="B909" s="4">
        <v>4</v>
      </c>
    </row>
    <row r="910" s="1" customFormat="1" ht="22.5" customHeight="1" spans="1:2">
      <c r="A910" s="3">
        <v>984</v>
      </c>
      <c r="B910" s="4">
        <v>1</v>
      </c>
    </row>
    <row r="911" s="1" customFormat="1" ht="22.5" customHeight="1" spans="1:2">
      <c r="A911" s="3">
        <v>985</v>
      </c>
      <c r="B911" s="4">
        <v>1</v>
      </c>
    </row>
    <row r="912" s="1" customFormat="1" ht="22.5" customHeight="1" spans="1:2">
      <c r="A912" s="3">
        <v>986</v>
      </c>
      <c r="B912" s="4">
        <v>1</v>
      </c>
    </row>
    <row r="913" s="1" customFormat="1" ht="22.5" customHeight="1" spans="1:2">
      <c r="A913" s="3">
        <v>987</v>
      </c>
      <c r="B913" s="4">
        <v>2</v>
      </c>
    </row>
    <row r="914" s="1" customFormat="1" ht="22.5" customHeight="1" spans="1:2">
      <c r="A914" s="3">
        <v>988</v>
      </c>
      <c r="B914" s="4">
        <v>2</v>
      </c>
    </row>
    <row r="915" s="1" customFormat="1" ht="22.5" customHeight="1" spans="1:2">
      <c r="A915" s="3">
        <v>989</v>
      </c>
      <c r="B915" s="4">
        <v>1</v>
      </c>
    </row>
    <row r="916" s="1" customFormat="1" ht="22.5" customHeight="1" spans="1:2">
      <c r="A916" s="3">
        <v>990</v>
      </c>
      <c r="B916" s="4">
        <v>2</v>
      </c>
    </row>
    <row r="917" s="1" customFormat="1" ht="22.5" customHeight="1" spans="1:2">
      <c r="A917" s="3">
        <v>991</v>
      </c>
      <c r="B917" s="4">
        <v>1</v>
      </c>
    </row>
    <row r="918" s="1" customFormat="1" ht="22.5" customHeight="1" spans="1:2">
      <c r="A918" s="3">
        <v>992</v>
      </c>
      <c r="B918" s="4">
        <v>1</v>
      </c>
    </row>
    <row r="919" s="1" customFormat="1" ht="22.5" customHeight="1" spans="1:2">
      <c r="A919" s="3">
        <v>997</v>
      </c>
      <c r="B919" s="4">
        <v>1</v>
      </c>
    </row>
    <row r="920" s="1" customFormat="1" ht="22.5" customHeight="1" spans="1:2">
      <c r="A920" s="3">
        <v>1001</v>
      </c>
      <c r="B920" s="4">
        <v>2</v>
      </c>
    </row>
    <row r="921" s="1" customFormat="1" ht="22.5" customHeight="1" spans="1:2">
      <c r="A921" s="3">
        <v>1005</v>
      </c>
      <c r="B921" s="4">
        <v>3</v>
      </c>
    </row>
    <row r="922" s="1" customFormat="1" ht="22.5" customHeight="1" spans="1:2">
      <c r="A922" s="3">
        <v>1006</v>
      </c>
      <c r="B922" s="4">
        <v>1</v>
      </c>
    </row>
    <row r="923" s="1" customFormat="1" ht="22.5" customHeight="1" spans="1:2">
      <c r="A923" s="3">
        <v>1007</v>
      </c>
      <c r="B923" s="4">
        <v>1</v>
      </c>
    </row>
    <row r="924" s="1" customFormat="1" ht="22.5" customHeight="1" spans="1:2">
      <c r="A924" s="3">
        <v>1008</v>
      </c>
      <c r="B924" s="4">
        <v>1</v>
      </c>
    </row>
    <row r="925" s="1" customFormat="1" ht="22.5" customHeight="1" spans="1:2">
      <c r="A925" s="3">
        <v>1009</v>
      </c>
      <c r="B925" s="4">
        <v>1</v>
      </c>
    </row>
    <row r="926" s="1" customFormat="1" ht="22.5" customHeight="1" spans="1:2">
      <c r="A926" s="3">
        <v>1010</v>
      </c>
      <c r="B926" s="4">
        <v>2</v>
      </c>
    </row>
    <row r="927" s="1" customFormat="1" ht="22.5" customHeight="1" spans="1:2">
      <c r="A927" s="3">
        <v>1015</v>
      </c>
      <c r="B927" s="4">
        <v>1</v>
      </c>
    </row>
    <row r="928" s="1" customFormat="1" ht="22.5" customHeight="1" spans="1:2">
      <c r="A928" s="3">
        <v>1017</v>
      </c>
      <c r="B928" s="4">
        <v>3</v>
      </c>
    </row>
    <row r="929" s="1" customFormat="1" ht="22.5" customHeight="1" spans="1:2">
      <c r="A929" s="3">
        <v>1018</v>
      </c>
      <c r="B929" s="4">
        <v>1</v>
      </c>
    </row>
    <row r="930" s="1" customFormat="1" ht="22.5" customHeight="1" spans="1:2">
      <c r="A930" s="3">
        <v>1021</v>
      </c>
      <c r="B930" s="4">
        <v>2</v>
      </c>
    </row>
    <row r="931" s="1" customFormat="1" ht="22.5" customHeight="1" spans="1:2">
      <c r="A931" s="3">
        <v>1023</v>
      </c>
      <c r="B931" s="4">
        <v>1</v>
      </c>
    </row>
    <row r="932" s="1" customFormat="1" ht="22.5" customHeight="1" spans="1:2">
      <c r="A932" s="3">
        <v>1027</v>
      </c>
      <c r="B932" s="4">
        <v>1</v>
      </c>
    </row>
    <row r="933" s="1" customFormat="1" ht="22.5" customHeight="1" spans="1:2">
      <c r="A933" s="3">
        <v>1029</v>
      </c>
      <c r="B933" s="4">
        <v>2</v>
      </c>
    </row>
    <row r="934" s="1" customFormat="1" ht="22.5" customHeight="1" spans="1:2">
      <c r="A934" s="3">
        <v>1032</v>
      </c>
      <c r="B934" s="4">
        <v>1</v>
      </c>
    </row>
    <row r="935" s="1" customFormat="1" ht="22.5" customHeight="1" spans="1:2">
      <c r="A935" s="3">
        <v>1034</v>
      </c>
      <c r="B935" s="4">
        <v>2</v>
      </c>
    </row>
    <row r="936" s="1" customFormat="1" ht="22.5" customHeight="1" spans="1:2">
      <c r="A936" s="3">
        <v>1036</v>
      </c>
      <c r="B936" s="4">
        <v>2</v>
      </c>
    </row>
    <row r="937" s="1" customFormat="1" ht="22.5" customHeight="1" spans="1:2">
      <c r="A937" s="3">
        <v>1040</v>
      </c>
      <c r="B937" s="4">
        <v>2</v>
      </c>
    </row>
    <row r="938" s="1" customFormat="1" ht="22.5" customHeight="1" spans="1:2">
      <c r="A938" s="3">
        <v>1042</v>
      </c>
      <c r="B938" s="4">
        <v>2</v>
      </c>
    </row>
    <row r="939" s="1" customFormat="1" ht="22.5" customHeight="1" spans="1:2">
      <c r="A939" s="3">
        <v>1044</v>
      </c>
      <c r="B939" s="4">
        <v>2</v>
      </c>
    </row>
    <row r="940" s="1" customFormat="1" ht="22.5" customHeight="1" spans="1:2">
      <c r="A940" s="3">
        <v>1045</v>
      </c>
      <c r="B940" s="4">
        <v>1</v>
      </c>
    </row>
    <row r="941" s="1" customFormat="1" ht="22.5" customHeight="1" spans="1:2">
      <c r="A941" s="3">
        <v>1047</v>
      </c>
      <c r="B941" s="4">
        <v>1</v>
      </c>
    </row>
    <row r="942" s="1" customFormat="1" ht="22.5" customHeight="1" spans="1:2">
      <c r="A942" s="3">
        <v>1048</v>
      </c>
      <c r="B942" s="4">
        <v>1</v>
      </c>
    </row>
    <row r="943" s="1" customFormat="1" ht="22.5" customHeight="1" spans="1:2">
      <c r="A943" s="3">
        <v>1049</v>
      </c>
      <c r="B943" s="4">
        <v>2</v>
      </c>
    </row>
    <row r="944" s="1" customFormat="1" ht="22.5" customHeight="1" spans="1:2">
      <c r="A944" s="3">
        <v>1050</v>
      </c>
      <c r="B944" s="4">
        <v>1</v>
      </c>
    </row>
    <row r="945" s="1" customFormat="1" ht="22.5" customHeight="1" spans="1:2">
      <c r="A945" s="3">
        <v>1051</v>
      </c>
      <c r="B945" s="4">
        <v>1</v>
      </c>
    </row>
    <row r="946" s="1" customFormat="1" ht="22.5" customHeight="1" spans="1:2">
      <c r="A946" s="3">
        <v>1052</v>
      </c>
      <c r="B946" s="4">
        <v>1</v>
      </c>
    </row>
    <row r="947" s="1" customFormat="1" ht="22.5" customHeight="1" spans="1:2">
      <c r="A947" s="3">
        <v>1053</v>
      </c>
      <c r="B947" s="4">
        <v>1</v>
      </c>
    </row>
    <row r="948" s="1" customFormat="1" ht="22.5" customHeight="1" spans="1:2">
      <c r="A948" s="3">
        <v>1054</v>
      </c>
      <c r="B948" s="4">
        <v>1</v>
      </c>
    </row>
    <row r="949" s="1" customFormat="1" ht="22.5" customHeight="1" spans="1:2">
      <c r="A949" s="3">
        <v>1055</v>
      </c>
      <c r="B949" s="4">
        <v>1</v>
      </c>
    </row>
    <row r="950" s="1" customFormat="1" ht="22.5" customHeight="1" spans="1:2">
      <c r="A950" s="3">
        <v>1057</v>
      </c>
      <c r="B950" s="4">
        <v>2</v>
      </c>
    </row>
    <row r="951" s="1" customFormat="1" ht="22.5" customHeight="1" spans="1:2">
      <c r="A951" s="3">
        <v>1058</v>
      </c>
      <c r="B951" s="4">
        <v>1</v>
      </c>
    </row>
    <row r="952" s="1" customFormat="1" ht="22.5" customHeight="1" spans="1:2">
      <c r="A952" s="3">
        <v>1061</v>
      </c>
      <c r="B952" s="4">
        <v>1</v>
      </c>
    </row>
    <row r="953" s="1" customFormat="1" ht="22.5" customHeight="1" spans="1:2">
      <c r="A953" s="3">
        <v>1063</v>
      </c>
      <c r="B953" s="4">
        <v>1</v>
      </c>
    </row>
    <row r="954" s="1" customFormat="1" ht="22.5" customHeight="1" spans="1:2">
      <c r="A954" s="3">
        <v>1065</v>
      </c>
      <c r="B954" s="4">
        <v>3</v>
      </c>
    </row>
    <row r="955" s="1" customFormat="1" ht="22.5" customHeight="1" spans="1:2">
      <c r="A955" s="3">
        <v>1066</v>
      </c>
      <c r="B955" s="4">
        <v>2</v>
      </c>
    </row>
    <row r="956" s="1" customFormat="1" ht="22.5" customHeight="1" spans="1:2">
      <c r="A956" s="3">
        <v>1068</v>
      </c>
      <c r="B956" s="4">
        <v>1</v>
      </c>
    </row>
    <row r="957" s="1" customFormat="1" ht="22.5" customHeight="1" spans="1:2">
      <c r="A957" s="3">
        <v>1069</v>
      </c>
      <c r="B957" s="4">
        <v>1</v>
      </c>
    </row>
    <row r="958" s="1" customFormat="1" ht="22.5" customHeight="1" spans="1:2">
      <c r="A958" s="3">
        <v>1070</v>
      </c>
      <c r="B958" s="4">
        <v>1</v>
      </c>
    </row>
    <row r="959" s="1" customFormat="1" ht="22.5" customHeight="1" spans="1:2">
      <c r="A959" s="3">
        <v>1072</v>
      </c>
      <c r="B959" s="4">
        <v>2</v>
      </c>
    </row>
    <row r="960" s="1" customFormat="1" ht="22.5" customHeight="1" spans="1:2">
      <c r="A960" s="3">
        <v>1073</v>
      </c>
      <c r="B960" s="4">
        <v>1</v>
      </c>
    </row>
    <row r="961" s="1" customFormat="1" ht="22.5" customHeight="1" spans="1:2">
      <c r="A961" s="3">
        <v>1074</v>
      </c>
      <c r="B961" s="4">
        <v>1</v>
      </c>
    </row>
    <row r="962" s="1" customFormat="1" ht="22.5" customHeight="1" spans="1:2">
      <c r="A962" s="3">
        <v>1078</v>
      </c>
      <c r="B962" s="4">
        <v>1</v>
      </c>
    </row>
    <row r="963" s="1" customFormat="1" ht="22.5" customHeight="1" spans="1:2">
      <c r="A963" s="3">
        <v>1080</v>
      </c>
      <c r="B963" s="4">
        <v>1</v>
      </c>
    </row>
    <row r="964" s="1" customFormat="1" ht="22.5" customHeight="1" spans="1:2">
      <c r="A964" s="3">
        <v>1083</v>
      </c>
      <c r="B964" s="4">
        <v>2</v>
      </c>
    </row>
    <row r="965" s="1" customFormat="1" ht="22.5" customHeight="1" spans="1:2">
      <c r="A965" s="3">
        <v>1086</v>
      </c>
      <c r="B965" s="4">
        <v>1</v>
      </c>
    </row>
    <row r="966" s="1" customFormat="1" ht="22.5" customHeight="1" spans="1:2">
      <c r="A966" s="3">
        <v>1088</v>
      </c>
      <c r="B966" s="4">
        <v>2</v>
      </c>
    </row>
    <row r="967" s="1" customFormat="1" ht="22.5" customHeight="1" spans="1:2">
      <c r="A967" s="3">
        <v>1089</v>
      </c>
      <c r="B967" s="4">
        <v>2</v>
      </c>
    </row>
    <row r="968" s="1" customFormat="1" ht="22.5" customHeight="1" spans="1:2">
      <c r="A968" s="3">
        <v>1090</v>
      </c>
      <c r="B968" s="4">
        <v>1</v>
      </c>
    </row>
    <row r="969" s="1" customFormat="1" ht="22.5" customHeight="1" spans="1:2">
      <c r="A969" s="3">
        <v>1091</v>
      </c>
      <c r="B969" s="4">
        <v>1</v>
      </c>
    </row>
    <row r="970" s="1" customFormat="1" ht="22.5" customHeight="1" spans="1:2">
      <c r="A970" s="3">
        <v>1092</v>
      </c>
      <c r="B970" s="4">
        <v>1</v>
      </c>
    </row>
    <row r="971" s="1" customFormat="1" ht="22.5" customHeight="1" spans="1:2">
      <c r="A971" s="3">
        <v>1094</v>
      </c>
      <c r="B971" s="4">
        <v>1</v>
      </c>
    </row>
    <row r="972" s="1" customFormat="1" ht="22.5" customHeight="1" spans="1:2">
      <c r="A972" s="3">
        <v>1095</v>
      </c>
      <c r="B972" s="4">
        <v>2</v>
      </c>
    </row>
    <row r="973" s="1" customFormat="1" ht="22.5" customHeight="1" spans="1:2">
      <c r="A973" s="3">
        <v>1098</v>
      </c>
      <c r="B973" s="4">
        <v>1</v>
      </c>
    </row>
    <row r="974" s="1" customFormat="1" ht="22.5" customHeight="1" spans="1:2">
      <c r="A974" s="3">
        <v>1100</v>
      </c>
      <c r="B974" s="4">
        <v>1</v>
      </c>
    </row>
    <row r="975" s="1" customFormat="1" ht="22.5" customHeight="1" spans="1:2">
      <c r="A975" s="3">
        <v>1101</v>
      </c>
      <c r="B975" s="4">
        <v>1</v>
      </c>
    </row>
    <row r="976" s="1" customFormat="1" ht="22.5" customHeight="1" spans="1:2">
      <c r="A976" s="3">
        <v>1103</v>
      </c>
      <c r="B976" s="4">
        <v>2</v>
      </c>
    </row>
    <row r="977" s="1" customFormat="1" ht="22.5" customHeight="1" spans="1:2">
      <c r="A977" s="3">
        <v>1104</v>
      </c>
      <c r="B977" s="4">
        <v>1</v>
      </c>
    </row>
    <row r="978" s="1" customFormat="1" ht="22.5" customHeight="1" spans="1:2">
      <c r="A978" s="3">
        <v>1106</v>
      </c>
      <c r="B978" s="4">
        <v>2</v>
      </c>
    </row>
    <row r="979" s="1" customFormat="1" ht="22.5" customHeight="1" spans="1:2">
      <c r="A979" s="3">
        <v>1109</v>
      </c>
      <c r="B979" s="4">
        <v>2</v>
      </c>
    </row>
    <row r="980" s="1" customFormat="1" ht="22.5" customHeight="1" spans="1:2">
      <c r="A980" s="3">
        <v>1113</v>
      </c>
      <c r="B980" s="4">
        <v>1</v>
      </c>
    </row>
    <row r="981" s="1" customFormat="1" ht="22.5" customHeight="1" spans="1:2">
      <c r="A981" s="3">
        <v>1115</v>
      </c>
      <c r="B981" s="4">
        <v>2</v>
      </c>
    </row>
    <row r="982" s="1" customFormat="1" ht="22.5" customHeight="1" spans="1:2">
      <c r="A982" s="3">
        <v>1116</v>
      </c>
      <c r="B982" s="4">
        <v>1</v>
      </c>
    </row>
    <row r="983" s="1" customFormat="1" ht="22.5" customHeight="1" spans="1:2">
      <c r="A983" s="3">
        <v>1118</v>
      </c>
      <c r="B983" s="4">
        <v>1</v>
      </c>
    </row>
    <row r="984" s="1" customFormat="1" ht="22.5" customHeight="1" spans="1:2">
      <c r="A984" s="3">
        <v>1120</v>
      </c>
      <c r="B984" s="4">
        <v>1</v>
      </c>
    </row>
    <row r="985" s="1" customFormat="1" ht="22.5" customHeight="1" spans="1:2">
      <c r="A985" s="3">
        <v>1122</v>
      </c>
      <c r="B985" s="4">
        <v>1</v>
      </c>
    </row>
    <row r="986" s="1" customFormat="1" ht="22.5" customHeight="1" spans="1:2">
      <c r="A986" s="3">
        <v>1124</v>
      </c>
      <c r="B986" s="4">
        <v>2</v>
      </c>
    </row>
    <row r="987" s="1" customFormat="1" ht="22.5" customHeight="1" spans="1:2">
      <c r="A987" s="3">
        <v>1128</v>
      </c>
      <c r="B987" s="4">
        <v>1</v>
      </c>
    </row>
    <row r="988" s="1" customFormat="1" ht="22.5" customHeight="1" spans="1:2">
      <c r="A988" s="3">
        <v>1129</v>
      </c>
      <c r="B988" s="4">
        <v>1</v>
      </c>
    </row>
    <row r="989" s="1" customFormat="1" ht="22.5" customHeight="1" spans="1:2">
      <c r="A989" s="3">
        <v>1133</v>
      </c>
      <c r="B989" s="4">
        <v>2</v>
      </c>
    </row>
    <row r="990" s="1" customFormat="1" ht="22.5" customHeight="1" spans="1:2">
      <c r="A990" s="3">
        <v>1137</v>
      </c>
      <c r="B990" s="4">
        <v>1</v>
      </c>
    </row>
    <row r="991" s="1" customFormat="1" ht="22.5" customHeight="1" spans="1:2">
      <c r="A991" s="3">
        <v>1143</v>
      </c>
      <c r="B991" s="4">
        <v>1</v>
      </c>
    </row>
    <row r="992" s="1" customFormat="1" ht="22.5" customHeight="1" spans="1:2">
      <c r="A992" s="3">
        <v>1146</v>
      </c>
      <c r="B992" s="4">
        <v>2</v>
      </c>
    </row>
    <row r="993" s="1" customFormat="1" ht="22.5" customHeight="1" spans="1:2">
      <c r="A993" s="3">
        <v>1147</v>
      </c>
      <c r="B993" s="4">
        <v>1</v>
      </c>
    </row>
    <row r="994" s="1" customFormat="1" ht="22.5" customHeight="1" spans="1:2">
      <c r="A994" s="3">
        <v>1148</v>
      </c>
      <c r="B994" s="4">
        <v>2</v>
      </c>
    </row>
    <row r="995" s="1" customFormat="1" ht="22.5" customHeight="1" spans="1:2">
      <c r="A995" s="3">
        <v>1149</v>
      </c>
      <c r="B995" s="4">
        <v>1</v>
      </c>
    </row>
    <row r="996" s="1" customFormat="1" ht="22.5" customHeight="1" spans="1:2">
      <c r="A996" s="3">
        <v>1151</v>
      </c>
      <c r="B996" s="4">
        <v>1</v>
      </c>
    </row>
    <row r="997" s="1" customFormat="1" ht="22.5" customHeight="1" spans="1:2">
      <c r="A997" s="3">
        <v>1152</v>
      </c>
      <c r="B997" s="4">
        <v>1</v>
      </c>
    </row>
    <row r="998" s="1" customFormat="1" ht="22.5" customHeight="1" spans="1:2">
      <c r="A998" s="3">
        <v>1155</v>
      </c>
      <c r="B998" s="4">
        <v>2</v>
      </c>
    </row>
    <row r="999" s="1" customFormat="1" ht="22.5" customHeight="1" spans="1:2">
      <c r="A999" s="3">
        <v>1156</v>
      </c>
      <c r="B999" s="4">
        <v>1</v>
      </c>
    </row>
    <row r="1000" s="1" customFormat="1" ht="22.5" customHeight="1" spans="1:2">
      <c r="A1000" s="3">
        <v>1158</v>
      </c>
      <c r="B1000" s="4">
        <v>2</v>
      </c>
    </row>
    <row r="1001" s="1" customFormat="1" ht="22.5" customHeight="1" spans="1:2">
      <c r="A1001" s="3">
        <v>1161</v>
      </c>
      <c r="B1001" s="4">
        <v>2</v>
      </c>
    </row>
    <row r="1002" s="1" customFormat="1" ht="22.5" customHeight="1" spans="1:2">
      <c r="A1002" s="3">
        <v>1162</v>
      </c>
      <c r="B1002" s="4">
        <v>1</v>
      </c>
    </row>
    <row r="1003" s="1" customFormat="1" ht="22.5" customHeight="1" spans="1:2">
      <c r="A1003" s="3">
        <v>1165</v>
      </c>
      <c r="B1003" s="4">
        <v>1</v>
      </c>
    </row>
    <row r="1004" s="1" customFormat="1" ht="22.5" customHeight="1" spans="1:2">
      <c r="A1004" s="3">
        <v>1171</v>
      </c>
      <c r="B1004" s="4">
        <v>1</v>
      </c>
    </row>
    <row r="1005" s="1" customFormat="1" ht="22.5" customHeight="1" spans="1:2">
      <c r="A1005" s="3">
        <v>1172</v>
      </c>
      <c r="B1005" s="4">
        <v>2</v>
      </c>
    </row>
    <row r="1006" s="1" customFormat="1" ht="22.5" customHeight="1" spans="1:2">
      <c r="A1006" s="3">
        <v>1183</v>
      </c>
      <c r="B1006" s="4">
        <v>3</v>
      </c>
    </row>
    <row r="1007" s="1" customFormat="1" ht="22.5" customHeight="1" spans="1:2">
      <c r="A1007" s="3">
        <v>1184</v>
      </c>
      <c r="B1007" s="4">
        <v>3</v>
      </c>
    </row>
    <row r="1008" s="1" customFormat="1" ht="22.5" customHeight="1" spans="1:2">
      <c r="A1008" s="3">
        <v>1185</v>
      </c>
      <c r="B1008" s="4">
        <v>1</v>
      </c>
    </row>
    <row r="1009" s="1" customFormat="1" ht="22.5" customHeight="1" spans="1:2">
      <c r="A1009" s="3">
        <v>1187</v>
      </c>
      <c r="B1009" s="4">
        <v>1</v>
      </c>
    </row>
    <row r="1010" s="1" customFormat="1" ht="22.5" customHeight="1" spans="1:2">
      <c r="A1010" s="3">
        <v>1189</v>
      </c>
      <c r="B1010" s="4">
        <v>1</v>
      </c>
    </row>
    <row r="1011" s="1" customFormat="1" ht="22.5" customHeight="1" spans="1:2">
      <c r="A1011" s="3">
        <v>1190</v>
      </c>
      <c r="B1011" s="4">
        <v>1</v>
      </c>
    </row>
    <row r="1012" s="1" customFormat="1" ht="22.5" customHeight="1" spans="1:2">
      <c r="A1012" s="3">
        <v>1193</v>
      </c>
      <c r="B1012" s="4">
        <v>1</v>
      </c>
    </row>
    <row r="1013" s="1" customFormat="1" ht="22.5" customHeight="1" spans="1:2">
      <c r="A1013" s="3">
        <v>1195</v>
      </c>
      <c r="B1013" s="4">
        <v>1</v>
      </c>
    </row>
    <row r="1014" s="1" customFormat="1" ht="22.5" customHeight="1" spans="1:2">
      <c r="A1014" s="3">
        <v>1203</v>
      </c>
      <c r="B1014" s="4">
        <v>1</v>
      </c>
    </row>
    <row r="1015" s="1" customFormat="1" ht="22.5" customHeight="1" spans="1:2">
      <c r="A1015" s="3">
        <v>1204</v>
      </c>
      <c r="B1015" s="4">
        <v>1</v>
      </c>
    </row>
    <row r="1016" s="1" customFormat="1" ht="22.5" customHeight="1" spans="1:2">
      <c r="A1016" s="3">
        <v>1209</v>
      </c>
      <c r="B1016" s="4">
        <v>2</v>
      </c>
    </row>
    <row r="1017" s="1" customFormat="1" ht="22.5" customHeight="1" spans="1:2">
      <c r="A1017" s="3">
        <v>1210</v>
      </c>
      <c r="B1017" s="4">
        <v>2</v>
      </c>
    </row>
    <row r="1018" s="1" customFormat="1" ht="22.5" customHeight="1" spans="1:2">
      <c r="A1018" s="3">
        <v>1214</v>
      </c>
      <c r="B1018" s="4">
        <v>1</v>
      </c>
    </row>
    <row r="1019" s="1" customFormat="1" ht="22.5" customHeight="1" spans="1:2">
      <c r="A1019" s="3">
        <v>1220</v>
      </c>
      <c r="B1019" s="4">
        <v>1</v>
      </c>
    </row>
    <row r="1020" s="1" customFormat="1" ht="22.5" customHeight="1" spans="1:2">
      <c r="A1020" s="3">
        <v>1221</v>
      </c>
      <c r="B1020" s="4">
        <v>1</v>
      </c>
    </row>
    <row r="1021" s="1" customFormat="1" ht="22.5" customHeight="1" spans="1:2">
      <c r="A1021" s="3">
        <v>1224</v>
      </c>
      <c r="B1021" s="4">
        <v>1</v>
      </c>
    </row>
    <row r="1022" s="1" customFormat="1" ht="22.5" customHeight="1" spans="1:2">
      <c r="A1022" s="3">
        <v>1227</v>
      </c>
      <c r="B1022" s="4">
        <v>1</v>
      </c>
    </row>
    <row r="1023" s="1" customFormat="1" ht="22.5" customHeight="1" spans="1:2">
      <c r="A1023" s="3">
        <v>1228</v>
      </c>
      <c r="B1023" s="4">
        <v>1</v>
      </c>
    </row>
    <row r="1024" s="1" customFormat="1" ht="22.5" customHeight="1" spans="1:2">
      <c r="A1024" s="3">
        <v>1229</v>
      </c>
      <c r="B1024" s="4">
        <v>1</v>
      </c>
    </row>
    <row r="1025" s="1" customFormat="1" ht="22.5" customHeight="1" spans="1:2">
      <c r="A1025" s="3">
        <v>1230</v>
      </c>
      <c r="B1025" s="4">
        <v>2</v>
      </c>
    </row>
    <row r="1026" s="1" customFormat="1" ht="22.5" customHeight="1" spans="1:2">
      <c r="A1026" s="3">
        <v>1238</v>
      </c>
      <c r="B1026" s="4">
        <v>1</v>
      </c>
    </row>
    <row r="1027" s="1" customFormat="1" ht="22.5" customHeight="1" spans="1:2">
      <c r="A1027" s="3">
        <v>1239</v>
      </c>
      <c r="B1027" s="4">
        <v>1</v>
      </c>
    </row>
    <row r="1028" s="1" customFormat="1" ht="22.5" customHeight="1" spans="1:2">
      <c r="A1028" s="3">
        <v>1244</v>
      </c>
      <c r="B1028" s="4">
        <v>1</v>
      </c>
    </row>
    <row r="1029" s="1" customFormat="1" ht="22.5" customHeight="1" spans="1:2">
      <c r="A1029" s="3">
        <v>1245</v>
      </c>
      <c r="B1029" s="4">
        <v>2</v>
      </c>
    </row>
    <row r="1030" s="1" customFormat="1" ht="22.5" customHeight="1" spans="1:2">
      <c r="A1030" s="3">
        <v>1246</v>
      </c>
      <c r="B1030" s="4">
        <v>1</v>
      </c>
    </row>
    <row r="1031" s="1" customFormat="1" ht="22.5" customHeight="1" spans="1:2">
      <c r="A1031" s="3">
        <v>1247</v>
      </c>
      <c r="B1031" s="4">
        <v>1</v>
      </c>
    </row>
    <row r="1032" s="1" customFormat="1" ht="22.5" customHeight="1" spans="1:2">
      <c r="A1032" s="3">
        <v>1250</v>
      </c>
      <c r="B1032" s="4">
        <v>1</v>
      </c>
    </row>
    <row r="1033" s="1" customFormat="1" ht="22.5" customHeight="1" spans="1:2">
      <c r="A1033" s="3">
        <v>1261</v>
      </c>
      <c r="B1033" s="4">
        <v>1</v>
      </c>
    </row>
    <row r="1034" s="1" customFormat="1" ht="22.5" customHeight="1" spans="1:2">
      <c r="A1034" s="3">
        <v>1266</v>
      </c>
      <c r="B1034" s="4">
        <v>1</v>
      </c>
    </row>
    <row r="1035" s="1" customFormat="1" ht="22.5" customHeight="1" spans="1:2">
      <c r="A1035" s="3">
        <v>1267</v>
      </c>
      <c r="B1035" s="4">
        <v>1</v>
      </c>
    </row>
    <row r="1036" s="1" customFormat="1" ht="22.5" customHeight="1" spans="1:2">
      <c r="A1036" s="3">
        <v>1283</v>
      </c>
      <c r="B1036" s="4">
        <v>1</v>
      </c>
    </row>
    <row r="1037" s="1" customFormat="1" ht="22.5" customHeight="1" spans="1:2">
      <c r="A1037" s="3">
        <v>1286</v>
      </c>
      <c r="B1037" s="4">
        <v>1</v>
      </c>
    </row>
    <row r="1038" s="1" customFormat="1" ht="22.5" customHeight="1" spans="1:2">
      <c r="A1038" s="3">
        <v>1287</v>
      </c>
      <c r="B1038" s="4">
        <v>4</v>
      </c>
    </row>
    <row r="1039" s="1" customFormat="1" ht="22.5" customHeight="1" spans="1:2">
      <c r="A1039" s="3">
        <v>1292</v>
      </c>
      <c r="B1039" s="4">
        <v>1</v>
      </c>
    </row>
    <row r="1040" s="1" customFormat="1" ht="22.5" customHeight="1" spans="1:2">
      <c r="A1040" s="3">
        <v>1295</v>
      </c>
      <c r="B1040" s="4">
        <v>1</v>
      </c>
    </row>
    <row r="1041" s="1" customFormat="1" ht="22.5" customHeight="1" spans="1:2">
      <c r="A1041" s="3">
        <v>1296</v>
      </c>
      <c r="B1041" s="4">
        <v>1</v>
      </c>
    </row>
    <row r="1042" s="1" customFormat="1" ht="22.5" customHeight="1" spans="1:2">
      <c r="A1042" s="3">
        <v>1301</v>
      </c>
      <c r="B1042" s="4">
        <v>1</v>
      </c>
    </row>
    <row r="1043" s="1" customFormat="1" ht="22.5" customHeight="1" spans="1:2">
      <c r="A1043" s="3">
        <v>1308</v>
      </c>
      <c r="B1043" s="4">
        <v>1</v>
      </c>
    </row>
    <row r="1044" s="1" customFormat="1" ht="22.5" customHeight="1" spans="1:2">
      <c r="A1044" s="3">
        <v>1310</v>
      </c>
      <c r="B1044" s="4">
        <v>1</v>
      </c>
    </row>
    <row r="1045" s="1" customFormat="1" ht="22.5" customHeight="1" spans="1:2">
      <c r="A1045" s="3">
        <v>1323</v>
      </c>
      <c r="B1045" s="4">
        <v>1</v>
      </c>
    </row>
    <row r="1046" s="1" customFormat="1" ht="22.5" customHeight="1" spans="1:2">
      <c r="A1046" s="3">
        <v>1326</v>
      </c>
      <c r="B1046" s="4">
        <v>2</v>
      </c>
    </row>
    <row r="1047" s="1" customFormat="1" ht="22.5" customHeight="1" spans="1:2">
      <c r="A1047" s="3">
        <v>1327</v>
      </c>
      <c r="B1047" s="4">
        <v>1</v>
      </c>
    </row>
    <row r="1048" s="1" customFormat="1" ht="22.5" customHeight="1" spans="1:2">
      <c r="A1048" s="3">
        <v>1329</v>
      </c>
      <c r="B1048" s="4">
        <v>1</v>
      </c>
    </row>
    <row r="1049" s="1" customFormat="1" ht="22.5" customHeight="1" spans="1:2">
      <c r="A1049" s="3">
        <v>1331</v>
      </c>
      <c r="B1049" s="4">
        <v>1</v>
      </c>
    </row>
    <row r="1050" s="1" customFormat="1" ht="22.5" customHeight="1" spans="1:2">
      <c r="A1050" s="3">
        <v>1334</v>
      </c>
      <c r="B1050" s="4">
        <v>1</v>
      </c>
    </row>
    <row r="1051" s="1" customFormat="1" ht="22.5" customHeight="1" spans="1:2">
      <c r="A1051" s="3">
        <v>1336</v>
      </c>
      <c r="B1051" s="4">
        <v>1</v>
      </c>
    </row>
    <row r="1052" s="1" customFormat="1" ht="22.5" customHeight="1" spans="1:2">
      <c r="A1052" s="3">
        <v>1339</v>
      </c>
      <c r="B1052" s="4">
        <v>1</v>
      </c>
    </row>
    <row r="1053" s="1" customFormat="1" ht="22.5" customHeight="1" spans="1:2">
      <c r="A1053" s="3">
        <v>1340</v>
      </c>
      <c r="B1053" s="4">
        <v>1</v>
      </c>
    </row>
    <row r="1054" s="1" customFormat="1" ht="22.5" customHeight="1" spans="1:2">
      <c r="A1054" s="3">
        <v>1341</v>
      </c>
      <c r="B1054" s="4">
        <v>1</v>
      </c>
    </row>
    <row r="1055" s="1" customFormat="1" ht="22.5" customHeight="1" spans="1:2">
      <c r="A1055" s="3">
        <v>1343</v>
      </c>
      <c r="B1055" s="4">
        <v>1</v>
      </c>
    </row>
    <row r="1056" s="1" customFormat="1" ht="22.5" customHeight="1" spans="1:2">
      <c r="A1056" s="3">
        <v>1346</v>
      </c>
      <c r="B1056" s="4">
        <v>1</v>
      </c>
    </row>
    <row r="1057" s="1" customFormat="1" ht="22.5" customHeight="1" spans="1:2">
      <c r="A1057" s="3">
        <v>1347</v>
      </c>
      <c r="B1057" s="4">
        <v>1</v>
      </c>
    </row>
    <row r="1058" s="1" customFormat="1" ht="22.5" customHeight="1" spans="1:2">
      <c r="A1058" s="3">
        <v>1350</v>
      </c>
      <c r="B1058" s="4">
        <v>2</v>
      </c>
    </row>
    <row r="1059" s="1" customFormat="1" ht="22.5" customHeight="1" spans="1:2">
      <c r="A1059" s="3">
        <v>1351</v>
      </c>
      <c r="B1059" s="4">
        <v>1</v>
      </c>
    </row>
    <row r="1060" s="1" customFormat="1" ht="22.5" customHeight="1" spans="1:2">
      <c r="A1060" s="3">
        <v>1352</v>
      </c>
      <c r="B1060" s="4">
        <v>1</v>
      </c>
    </row>
    <row r="1061" s="1" customFormat="1" ht="22.5" customHeight="1" spans="1:2">
      <c r="A1061" s="3">
        <v>1353</v>
      </c>
      <c r="B1061" s="4">
        <v>1</v>
      </c>
    </row>
    <row r="1062" s="1" customFormat="1" ht="22.5" customHeight="1" spans="1:2">
      <c r="A1062" s="3">
        <v>1354</v>
      </c>
      <c r="B1062" s="4">
        <v>2</v>
      </c>
    </row>
    <row r="1063" s="1" customFormat="1" ht="22.5" customHeight="1" spans="1:2">
      <c r="A1063" s="3">
        <v>1360</v>
      </c>
      <c r="B1063" s="4">
        <v>1</v>
      </c>
    </row>
    <row r="1064" s="1" customFormat="1" ht="22.5" customHeight="1" spans="1:2">
      <c r="A1064" s="3">
        <v>1361</v>
      </c>
      <c r="B1064" s="4">
        <v>1</v>
      </c>
    </row>
    <row r="1065" s="1" customFormat="1" ht="22.5" customHeight="1" spans="1:2">
      <c r="A1065" s="3">
        <v>1362</v>
      </c>
      <c r="B1065" s="4">
        <v>2</v>
      </c>
    </row>
    <row r="1066" s="1" customFormat="1" ht="22.5" customHeight="1" spans="1:2">
      <c r="A1066" s="3">
        <v>1363</v>
      </c>
      <c r="B1066" s="4">
        <v>1</v>
      </c>
    </row>
    <row r="1067" s="1" customFormat="1" ht="22.5" customHeight="1" spans="1:2">
      <c r="A1067" s="3">
        <v>1365</v>
      </c>
      <c r="B1067" s="4">
        <v>2</v>
      </c>
    </row>
    <row r="1068" s="1" customFormat="1" ht="22.5" customHeight="1" spans="1:2">
      <c r="A1068" s="3">
        <v>1379</v>
      </c>
      <c r="B1068" s="4">
        <v>2</v>
      </c>
    </row>
    <row r="1069" s="1" customFormat="1" ht="22.5" customHeight="1" spans="1:2">
      <c r="A1069" s="3">
        <v>1381</v>
      </c>
      <c r="B1069" s="4">
        <v>1</v>
      </c>
    </row>
    <row r="1070" s="1" customFormat="1" ht="22.5" customHeight="1" spans="1:2">
      <c r="A1070" s="3">
        <v>1382</v>
      </c>
      <c r="B1070" s="4">
        <v>1</v>
      </c>
    </row>
    <row r="1071" s="1" customFormat="1" ht="22.5" customHeight="1" spans="1:2">
      <c r="A1071" s="3">
        <v>1390</v>
      </c>
      <c r="B1071" s="4">
        <v>1</v>
      </c>
    </row>
    <row r="1072" s="1" customFormat="1" ht="22.5" customHeight="1" spans="1:2">
      <c r="A1072" s="3">
        <v>1394</v>
      </c>
      <c r="B1072" s="4">
        <v>1</v>
      </c>
    </row>
    <row r="1073" s="1" customFormat="1" ht="22.5" customHeight="1" spans="1:2">
      <c r="A1073" s="3">
        <v>1395</v>
      </c>
      <c r="B1073" s="4">
        <v>1</v>
      </c>
    </row>
    <row r="1074" s="1" customFormat="1" ht="22.5" customHeight="1" spans="1:2">
      <c r="A1074" s="3">
        <v>1397</v>
      </c>
      <c r="B1074" s="4">
        <v>1</v>
      </c>
    </row>
    <row r="1075" s="1" customFormat="1" ht="22.5" customHeight="1" spans="1:2">
      <c r="A1075" s="3">
        <v>1399</v>
      </c>
      <c r="B1075" s="4">
        <v>1</v>
      </c>
    </row>
    <row r="1076" s="1" customFormat="1" ht="22.5" customHeight="1" spans="1:2">
      <c r="A1076" s="3">
        <v>1403</v>
      </c>
      <c r="B1076" s="4">
        <v>1</v>
      </c>
    </row>
    <row r="1077" s="1" customFormat="1" ht="22.5" customHeight="1" spans="1:2">
      <c r="A1077" s="3">
        <v>1404</v>
      </c>
      <c r="B1077" s="4">
        <v>2</v>
      </c>
    </row>
    <row r="1078" s="1" customFormat="1" ht="22.5" customHeight="1" spans="1:2">
      <c r="A1078" s="3">
        <v>1406</v>
      </c>
      <c r="B1078" s="4">
        <v>1</v>
      </c>
    </row>
    <row r="1079" s="1" customFormat="1" ht="22.5" customHeight="1" spans="1:2">
      <c r="A1079" s="3">
        <v>1411</v>
      </c>
      <c r="B1079" s="4">
        <v>2</v>
      </c>
    </row>
    <row r="1080" s="1" customFormat="1" ht="22.5" customHeight="1" spans="1:2">
      <c r="A1080" s="3">
        <v>1413</v>
      </c>
      <c r="B1080" s="4">
        <v>1</v>
      </c>
    </row>
    <row r="1081" s="1" customFormat="1" ht="22.5" customHeight="1" spans="1:2">
      <c r="A1081" s="3">
        <v>1416</v>
      </c>
      <c r="B1081" s="4">
        <v>1</v>
      </c>
    </row>
    <row r="1082" s="1" customFormat="1" ht="22.5" customHeight="1" spans="1:2">
      <c r="A1082" s="3">
        <v>1417</v>
      </c>
      <c r="B1082" s="4">
        <v>1</v>
      </c>
    </row>
    <row r="1083" s="1" customFormat="1" ht="22.5" customHeight="1" spans="1:2">
      <c r="A1083" s="3">
        <v>1419</v>
      </c>
      <c r="B1083" s="4">
        <v>1</v>
      </c>
    </row>
    <row r="1084" s="1" customFormat="1" ht="22.5" customHeight="1" spans="1:2">
      <c r="A1084" s="3">
        <v>1422</v>
      </c>
      <c r="B1084" s="4">
        <v>1</v>
      </c>
    </row>
    <row r="1085" s="1" customFormat="1" ht="22.5" customHeight="1" spans="1:2">
      <c r="A1085" s="3">
        <v>1426</v>
      </c>
      <c r="B1085" s="4">
        <v>1</v>
      </c>
    </row>
    <row r="1086" s="1" customFormat="1" ht="22.5" customHeight="1" spans="1:2">
      <c r="A1086" s="3">
        <v>1429</v>
      </c>
      <c r="B1086" s="4">
        <v>1</v>
      </c>
    </row>
    <row r="1087" s="1" customFormat="1" ht="22.5" customHeight="1" spans="1:2">
      <c r="A1087" s="3">
        <v>1435</v>
      </c>
      <c r="B1087" s="4">
        <v>1</v>
      </c>
    </row>
    <row r="1088" s="1" customFormat="1" ht="22.5" customHeight="1" spans="1:2">
      <c r="A1088" s="3">
        <v>1438</v>
      </c>
      <c r="B1088" s="4">
        <v>1</v>
      </c>
    </row>
    <row r="1089" s="1" customFormat="1" ht="22.5" customHeight="1" spans="1:2">
      <c r="A1089" s="3">
        <v>1439</v>
      </c>
      <c r="B1089" s="4">
        <v>3</v>
      </c>
    </row>
    <row r="1090" s="1" customFormat="1" ht="22.5" customHeight="1" spans="1:2">
      <c r="A1090" s="3">
        <v>1445</v>
      </c>
      <c r="B1090" s="4">
        <v>1</v>
      </c>
    </row>
    <row r="1091" s="1" customFormat="1" ht="22.5" customHeight="1" spans="1:2">
      <c r="A1091" s="3">
        <v>1448</v>
      </c>
      <c r="B1091" s="4">
        <v>1</v>
      </c>
    </row>
    <row r="1092" s="1" customFormat="1" ht="22.5" customHeight="1" spans="1:2">
      <c r="A1092" s="3">
        <v>1450</v>
      </c>
      <c r="B1092" s="4">
        <v>1</v>
      </c>
    </row>
    <row r="1093" s="1" customFormat="1" ht="22.5" customHeight="1" spans="1:2">
      <c r="A1093" s="3">
        <v>1455</v>
      </c>
      <c r="B1093" s="4">
        <v>1</v>
      </c>
    </row>
    <row r="1094" s="1" customFormat="1" ht="22.5" customHeight="1" spans="1:2">
      <c r="A1094" s="3">
        <v>1457</v>
      </c>
      <c r="B1094" s="4">
        <v>2</v>
      </c>
    </row>
    <row r="1095" s="1" customFormat="1" ht="22.5" customHeight="1" spans="1:2">
      <c r="A1095" s="3">
        <v>1458</v>
      </c>
      <c r="B1095" s="4">
        <v>1</v>
      </c>
    </row>
    <row r="1096" s="1" customFormat="1" ht="22.5" customHeight="1" spans="1:2">
      <c r="A1096" s="3">
        <v>1460</v>
      </c>
      <c r="B1096" s="4">
        <v>1</v>
      </c>
    </row>
    <row r="1097" s="1" customFormat="1" ht="22.5" customHeight="1" spans="1:2">
      <c r="A1097" s="3">
        <v>1461</v>
      </c>
      <c r="B1097" s="4">
        <v>2</v>
      </c>
    </row>
    <row r="1098" s="1" customFormat="1" ht="22.5" customHeight="1" spans="1:2">
      <c r="A1098" s="3">
        <v>1463</v>
      </c>
      <c r="B1098" s="4">
        <v>1</v>
      </c>
    </row>
    <row r="1099" s="1" customFormat="1" ht="22.5" customHeight="1" spans="1:2">
      <c r="A1099" s="3">
        <v>1464</v>
      </c>
      <c r="B1099" s="4">
        <v>1</v>
      </c>
    </row>
    <row r="1100" s="1" customFormat="1" ht="22.5" customHeight="1" spans="1:2">
      <c r="A1100" s="3">
        <v>1469</v>
      </c>
      <c r="B1100" s="4">
        <v>1</v>
      </c>
    </row>
    <row r="1101" s="1" customFormat="1" ht="22.5" customHeight="1" spans="1:2">
      <c r="A1101" s="3">
        <v>1472</v>
      </c>
      <c r="B1101" s="4">
        <v>1</v>
      </c>
    </row>
    <row r="1102" s="1" customFormat="1" ht="22.5" customHeight="1" spans="1:2">
      <c r="A1102" s="3">
        <v>1474</v>
      </c>
      <c r="B1102" s="4">
        <v>1</v>
      </c>
    </row>
    <row r="1103" s="1" customFormat="1" ht="22.5" customHeight="1" spans="1:2">
      <c r="A1103" s="3">
        <v>1477</v>
      </c>
      <c r="B1103" s="4">
        <v>1</v>
      </c>
    </row>
    <row r="1104" s="1" customFormat="1" ht="22.5" customHeight="1" spans="1:2">
      <c r="A1104" s="3">
        <v>1481</v>
      </c>
      <c r="B1104" s="4">
        <v>2</v>
      </c>
    </row>
    <row r="1105" s="1" customFormat="1" ht="22.5" customHeight="1" spans="1:2">
      <c r="A1105" s="3">
        <v>1487</v>
      </c>
      <c r="B1105" s="4">
        <v>1</v>
      </c>
    </row>
    <row r="1106" s="1" customFormat="1" ht="22.5" customHeight="1" spans="1:2">
      <c r="A1106" s="3">
        <v>1493</v>
      </c>
      <c r="B1106" s="4">
        <v>1</v>
      </c>
    </row>
    <row r="1107" s="1" customFormat="1" ht="22.5" customHeight="1" spans="1:2">
      <c r="A1107" s="3">
        <v>1496</v>
      </c>
      <c r="B1107" s="4">
        <v>1</v>
      </c>
    </row>
    <row r="1108" s="1" customFormat="1" ht="22.5" customHeight="1" spans="1:2">
      <c r="A1108" s="3">
        <v>1499</v>
      </c>
      <c r="B1108" s="4">
        <v>1</v>
      </c>
    </row>
    <row r="1109" s="1" customFormat="1" ht="22.5" customHeight="1" spans="1:2">
      <c r="A1109" s="3">
        <v>1512</v>
      </c>
      <c r="B1109" s="4">
        <v>1</v>
      </c>
    </row>
    <row r="1110" s="1" customFormat="1" ht="22.5" customHeight="1" spans="1:2">
      <c r="A1110" s="3">
        <v>1516</v>
      </c>
      <c r="B1110" s="4">
        <v>1</v>
      </c>
    </row>
    <row r="1111" s="1" customFormat="1" ht="22.5" customHeight="1" spans="1:2">
      <c r="A1111" s="3">
        <v>1519</v>
      </c>
      <c r="B1111" s="4">
        <v>1</v>
      </c>
    </row>
    <row r="1112" s="1" customFormat="1" ht="22.5" customHeight="1" spans="1:2">
      <c r="A1112" s="3">
        <v>1526</v>
      </c>
      <c r="B1112" s="4">
        <v>1</v>
      </c>
    </row>
    <row r="1113" s="1" customFormat="1" ht="22.5" customHeight="1" spans="1:2">
      <c r="A1113" s="3">
        <v>1529</v>
      </c>
      <c r="B1113" s="4">
        <v>1</v>
      </c>
    </row>
    <row r="1114" s="1" customFormat="1" ht="22.5" customHeight="1" spans="1:2">
      <c r="A1114" s="3">
        <v>1534</v>
      </c>
      <c r="B1114" s="4">
        <v>1</v>
      </c>
    </row>
    <row r="1115" s="1" customFormat="1" ht="22.5" customHeight="1" spans="1:2">
      <c r="A1115" s="3">
        <v>1538</v>
      </c>
      <c r="B1115" s="4">
        <v>1</v>
      </c>
    </row>
    <row r="1116" s="1" customFormat="1" ht="22.5" customHeight="1" spans="1:2">
      <c r="A1116" s="3">
        <v>1540</v>
      </c>
      <c r="B1116" s="4">
        <v>1</v>
      </c>
    </row>
    <row r="1117" s="1" customFormat="1" ht="22.5" customHeight="1" spans="1:2">
      <c r="A1117" s="3">
        <v>1542</v>
      </c>
      <c r="B1117" s="4">
        <v>2</v>
      </c>
    </row>
    <row r="1118" s="1" customFormat="1" ht="22.5" customHeight="1" spans="1:2">
      <c r="A1118" s="3">
        <v>1545</v>
      </c>
      <c r="B1118" s="4">
        <v>1</v>
      </c>
    </row>
    <row r="1119" s="1" customFormat="1" ht="22.5" customHeight="1" spans="1:2">
      <c r="A1119" s="3">
        <v>1550</v>
      </c>
      <c r="B1119" s="4">
        <v>1</v>
      </c>
    </row>
    <row r="1120" s="1" customFormat="1" ht="22.5" customHeight="1" spans="1:2">
      <c r="A1120" s="3">
        <v>1554</v>
      </c>
      <c r="B1120" s="4">
        <v>1</v>
      </c>
    </row>
    <row r="1121" s="1" customFormat="1" ht="22.5" customHeight="1" spans="1:2">
      <c r="A1121" s="3">
        <v>1556</v>
      </c>
      <c r="B1121" s="4">
        <v>1</v>
      </c>
    </row>
    <row r="1122" s="1" customFormat="1" ht="22.5" customHeight="1" spans="1:2">
      <c r="A1122" s="3">
        <v>1557</v>
      </c>
      <c r="B1122" s="4">
        <v>1</v>
      </c>
    </row>
    <row r="1123" s="1" customFormat="1" ht="22.5" customHeight="1" spans="1:2">
      <c r="A1123" s="3">
        <v>1560</v>
      </c>
      <c r="B1123" s="4">
        <v>1</v>
      </c>
    </row>
    <row r="1124" s="1" customFormat="1" ht="22.5" customHeight="1" spans="1:2">
      <c r="A1124" s="3">
        <v>1563</v>
      </c>
      <c r="B1124" s="4">
        <v>1</v>
      </c>
    </row>
    <row r="1125" s="1" customFormat="1" ht="22.5" customHeight="1" spans="1:2">
      <c r="A1125" s="3">
        <v>1567</v>
      </c>
      <c r="B1125" s="4">
        <v>1</v>
      </c>
    </row>
    <row r="1126" s="1" customFormat="1" ht="22.5" customHeight="1" spans="1:2">
      <c r="A1126" s="3">
        <v>1569</v>
      </c>
      <c r="B1126" s="4">
        <v>1</v>
      </c>
    </row>
    <row r="1127" s="1" customFormat="1" ht="22.5" customHeight="1" spans="1:2">
      <c r="A1127" s="3">
        <v>1573</v>
      </c>
      <c r="B1127" s="4">
        <v>2</v>
      </c>
    </row>
    <row r="1128" s="1" customFormat="1" ht="22.5" customHeight="1" spans="1:2">
      <c r="A1128" s="3">
        <v>1575</v>
      </c>
      <c r="B1128" s="4">
        <v>2</v>
      </c>
    </row>
    <row r="1129" s="1" customFormat="1" ht="22.5" customHeight="1" spans="1:2">
      <c r="A1129" s="3">
        <v>1576</v>
      </c>
      <c r="B1129" s="4">
        <v>1</v>
      </c>
    </row>
    <row r="1130" s="1" customFormat="1" ht="22.5" customHeight="1" spans="1:2">
      <c r="A1130" s="3">
        <v>1577</v>
      </c>
      <c r="B1130" s="4">
        <v>1</v>
      </c>
    </row>
    <row r="1131" s="1" customFormat="1" ht="22.5" customHeight="1" spans="1:2">
      <c r="A1131" s="3">
        <v>1595</v>
      </c>
      <c r="B1131" s="4">
        <v>2</v>
      </c>
    </row>
    <row r="1132" s="1" customFormat="1" ht="22.5" customHeight="1" spans="1:2">
      <c r="A1132" s="3">
        <v>1597</v>
      </c>
      <c r="B1132" s="4">
        <v>1</v>
      </c>
    </row>
    <row r="1133" s="1" customFormat="1" ht="22.5" customHeight="1" spans="1:2">
      <c r="A1133" s="3">
        <v>1599</v>
      </c>
      <c r="B1133" s="4">
        <v>1</v>
      </c>
    </row>
    <row r="1134" s="1" customFormat="1" ht="22.5" customHeight="1" spans="1:2">
      <c r="A1134" s="3">
        <v>1603</v>
      </c>
      <c r="B1134" s="4">
        <v>1</v>
      </c>
    </row>
    <row r="1135" s="1" customFormat="1" ht="22.5" customHeight="1" spans="1:2">
      <c r="A1135" s="3">
        <v>1610</v>
      </c>
      <c r="B1135" s="4">
        <v>1</v>
      </c>
    </row>
    <row r="1136" s="1" customFormat="1" ht="22.5" customHeight="1" spans="1:2">
      <c r="A1136" s="3">
        <v>1614</v>
      </c>
      <c r="B1136" s="4">
        <v>1</v>
      </c>
    </row>
    <row r="1137" s="1" customFormat="1" ht="22.5" customHeight="1" spans="1:2">
      <c r="A1137" s="3">
        <v>1615</v>
      </c>
      <c r="B1137" s="4">
        <v>1</v>
      </c>
    </row>
    <row r="1138" s="1" customFormat="1" ht="22.5" customHeight="1" spans="1:2">
      <c r="A1138" s="3">
        <v>1622</v>
      </c>
      <c r="B1138" s="4">
        <v>1</v>
      </c>
    </row>
    <row r="1139" s="1" customFormat="1" ht="22.5" customHeight="1" spans="1:2">
      <c r="A1139" s="3">
        <v>1623</v>
      </c>
      <c r="B1139" s="4">
        <v>1</v>
      </c>
    </row>
    <row r="1140" s="1" customFormat="1" ht="22.5" customHeight="1" spans="1:2">
      <c r="A1140" s="3">
        <v>1640</v>
      </c>
      <c r="B1140" s="4">
        <v>1</v>
      </c>
    </row>
    <row r="1141" s="1" customFormat="1" ht="22.5" customHeight="1" spans="1:2">
      <c r="A1141" s="3">
        <v>1653</v>
      </c>
      <c r="B1141" s="4">
        <v>1</v>
      </c>
    </row>
    <row r="1142" s="1" customFormat="1" ht="22.5" customHeight="1" spans="1:2">
      <c r="A1142" s="3">
        <v>1658</v>
      </c>
      <c r="B1142" s="4">
        <v>1</v>
      </c>
    </row>
    <row r="1143" s="1" customFormat="1" ht="22.5" customHeight="1" spans="1:2">
      <c r="A1143" s="3">
        <v>1661</v>
      </c>
      <c r="B1143" s="4">
        <v>1</v>
      </c>
    </row>
    <row r="1144" s="1" customFormat="1" ht="22.5" customHeight="1" spans="1:2">
      <c r="A1144" s="3">
        <v>1664</v>
      </c>
      <c r="B1144" s="4">
        <v>1</v>
      </c>
    </row>
    <row r="1145" s="1" customFormat="1" ht="22.5" customHeight="1" spans="1:2">
      <c r="A1145" s="3">
        <v>1666</v>
      </c>
      <c r="B1145" s="4">
        <v>1</v>
      </c>
    </row>
    <row r="1146" s="1" customFormat="1" ht="22.5" customHeight="1" spans="1:2">
      <c r="A1146" s="3">
        <v>1672</v>
      </c>
      <c r="B1146" s="4">
        <v>1</v>
      </c>
    </row>
    <row r="1147" s="1" customFormat="1" ht="22.5" customHeight="1" spans="1:2">
      <c r="A1147" s="3">
        <v>1673</v>
      </c>
      <c r="B1147" s="4">
        <v>1</v>
      </c>
    </row>
    <row r="1148" s="1" customFormat="1" ht="22.5" customHeight="1" spans="1:2">
      <c r="A1148" s="3">
        <v>1674</v>
      </c>
      <c r="B1148" s="4">
        <v>2</v>
      </c>
    </row>
    <row r="1149" s="1" customFormat="1" ht="22.5" customHeight="1" spans="1:2">
      <c r="A1149" s="3">
        <v>1680</v>
      </c>
      <c r="B1149" s="4">
        <v>1</v>
      </c>
    </row>
    <row r="1150" s="1" customFormat="1" ht="22.5" customHeight="1" spans="1:2">
      <c r="A1150" s="3">
        <v>1685</v>
      </c>
      <c r="B1150" s="4">
        <v>1</v>
      </c>
    </row>
    <row r="1151" s="1" customFormat="1" ht="22.5" customHeight="1" spans="1:2">
      <c r="A1151" s="3">
        <v>1689</v>
      </c>
      <c r="B1151" s="4">
        <v>1</v>
      </c>
    </row>
    <row r="1152" s="1" customFormat="1" ht="22.5" customHeight="1" spans="1:2">
      <c r="A1152" s="3">
        <v>1692</v>
      </c>
      <c r="B1152" s="4">
        <v>2</v>
      </c>
    </row>
    <row r="1153" s="1" customFormat="1" ht="22.5" customHeight="1" spans="1:2">
      <c r="A1153" s="3">
        <v>1701</v>
      </c>
      <c r="B1153" s="4">
        <v>1</v>
      </c>
    </row>
    <row r="1154" s="1" customFormat="1" ht="22.5" customHeight="1" spans="1:2">
      <c r="A1154" s="3">
        <v>1705</v>
      </c>
      <c r="B1154" s="4">
        <v>1</v>
      </c>
    </row>
    <row r="1155" s="1" customFormat="1" ht="22.5" customHeight="1" spans="1:2">
      <c r="A1155" s="3">
        <v>1706</v>
      </c>
      <c r="B1155" s="4">
        <v>1</v>
      </c>
    </row>
    <row r="1156" s="1" customFormat="1" ht="22.5" customHeight="1" spans="1:2">
      <c r="A1156" s="3">
        <v>1711</v>
      </c>
      <c r="B1156" s="4">
        <v>1</v>
      </c>
    </row>
    <row r="1157" s="1" customFormat="1" ht="22.5" customHeight="1" spans="1:2">
      <c r="A1157" s="3">
        <v>1716</v>
      </c>
      <c r="B1157" s="4">
        <v>1</v>
      </c>
    </row>
    <row r="1158" s="1" customFormat="1" ht="22.5" customHeight="1" spans="1:2">
      <c r="A1158" s="3">
        <v>1723</v>
      </c>
      <c r="B1158" s="4">
        <v>1</v>
      </c>
    </row>
    <row r="1159" s="1" customFormat="1" ht="22.5" customHeight="1" spans="1:2">
      <c r="A1159" s="3">
        <v>1724</v>
      </c>
      <c r="B1159" s="4">
        <v>1</v>
      </c>
    </row>
    <row r="1160" s="1" customFormat="1" ht="22.5" customHeight="1" spans="1:2">
      <c r="A1160" s="3">
        <v>1726</v>
      </c>
      <c r="B1160" s="4">
        <v>1</v>
      </c>
    </row>
    <row r="1161" s="1" customFormat="1" ht="22.5" customHeight="1" spans="1:2">
      <c r="A1161" s="3">
        <v>1728</v>
      </c>
      <c r="B1161" s="4">
        <v>1</v>
      </c>
    </row>
    <row r="1162" s="1" customFormat="1" ht="22.5" customHeight="1" spans="1:2">
      <c r="A1162" s="3">
        <v>1734</v>
      </c>
      <c r="B1162" s="4">
        <v>1</v>
      </c>
    </row>
    <row r="1163" s="1" customFormat="1" ht="22.5" customHeight="1" spans="1:2">
      <c r="A1163" s="3">
        <v>1738</v>
      </c>
      <c r="B1163" s="4">
        <v>1</v>
      </c>
    </row>
    <row r="1164" s="1" customFormat="1" ht="22.5" customHeight="1" spans="1:2">
      <c r="A1164" s="3">
        <v>1742</v>
      </c>
      <c r="B1164" s="4">
        <v>1</v>
      </c>
    </row>
    <row r="1165" s="1" customFormat="1" ht="22.5" customHeight="1" spans="1:2">
      <c r="A1165" s="3">
        <v>1745</v>
      </c>
      <c r="B1165" s="4">
        <v>1</v>
      </c>
    </row>
    <row r="1166" s="1" customFormat="1" ht="22.5" customHeight="1" spans="1:2">
      <c r="A1166" s="3">
        <v>1754</v>
      </c>
      <c r="B1166" s="4">
        <v>1</v>
      </c>
    </row>
    <row r="1167" s="1" customFormat="1" ht="22.5" customHeight="1" spans="1:2">
      <c r="A1167" s="3">
        <v>1762</v>
      </c>
      <c r="B1167" s="4">
        <v>1</v>
      </c>
    </row>
    <row r="1168" s="1" customFormat="1" ht="22.5" customHeight="1" spans="1:2">
      <c r="A1168" s="3">
        <v>1765</v>
      </c>
      <c r="B1168" s="4">
        <v>1</v>
      </c>
    </row>
    <row r="1169" s="1" customFormat="1" ht="22.5" customHeight="1" spans="1:2">
      <c r="A1169" s="3">
        <v>1770</v>
      </c>
      <c r="B1169" s="4">
        <v>1</v>
      </c>
    </row>
    <row r="1170" s="1" customFormat="1" ht="22.5" customHeight="1" spans="1:2">
      <c r="A1170" s="3">
        <v>1777</v>
      </c>
      <c r="B1170" s="4">
        <v>1</v>
      </c>
    </row>
    <row r="1171" s="1" customFormat="1" ht="22.5" customHeight="1" spans="1:2">
      <c r="A1171" s="3">
        <v>1781</v>
      </c>
      <c r="B1171" s="4">
        <v>1</v>
      </c>
    </row>
    <row r="1172" s="1" customFormat="1" ht="22.5" customHeight="1" spans="1:2">
      <c r="A1172" s="3">
        <v>1789</v>
      </c>
      <c r="B1172" s="4">
        <v>1</v>
      </c>
    </row>
    <row r="1173" s="1" customFormat="1" ht="22.5" customHeight="1" spans="1:2">
      <c r="A1173" s="3">
        <v>1801</v>
      </c>
      <c r="B1173" s="4">
        <v>1</v>
      </c>
    </row>
    <row r="1174" s="1" customFormat="1" ht="22.5" customHeight="1" spans="1:2">
      <c r="A1174" s="3">
        <v>1806</v>
      </c>
      <c r="B1174" s="4">
        <v>1</v>
      </c>
    </row>
    <row r="1175" s="1" customFormat="1" ht="22.5" customHeight="1" spans="1:2">
      <c r="A1175" s="3">
        <v>1810</v>
      </c>
      <c r="B1175" s="4">
        <v>1</v>
      </c>
    </row>
    <row r="1176" s="1" customFormat="1" ht="22.5" customHeight="1" spans="1:2">
      <c r="A1176" s="3">
        <v>1811</v>
      </c>
      <c r="B1176" s="4">
        <v>1</v>
      </c>
    </row>
    <row r="1177" s="1" customFormat="1" ht="22.5" customHeight="1" spans="1:2">
      <c r="A1177" s="3">
        <v>1814</v>
      </c>
      <c r="B1177" s="4">
        <v>1</v>
      </c>
    </row>
    <row r="1178" s="1" customFormat="1" ht="22.5" customHeight="1" spans="1:2">
      <c r="A1178" s="3">
        <v>1815</v>
      </c>
      <c r="B1178" s="4">
        <v>1</v>
      </c>
    </row>
    <row r="1179" s="1" customFormat="1" ht="22.5" customHeight="1" spans="1:2">
      <c r="A1179" s="3">
        <v>1825</v>
      </c>
      <c r="B1179" s="4">
        <v>1</v>
      </c>
    </row>
    <row r="1180" s="1" customFormat="1" ht="22.5" customHeight="1" spans="1:2">
      <c r="A1180" s="3">
        <v>1826</v>
      </c>
      <c r="B1180" s="4">
        <v>1</v>
      </c>
    </row>
    <row r="1181" s="1" customFormat="1" ht="22.5" customHeight="1" spans="1:2">
      <c r="A1181" s="3">
        <v>1847</v>
      </c>
      <c r="B1181" s="4">
        <v>1</v>
      </c>
    </row>
    <row r="1182" s="1" customFormat="1" ht="22.5" customHeight="1" spans="1:2">
      <c r="A1182" s="3">
        <v>1852</v>
      </c>
      <c r="B1182" s="4">
        <v>1</v>
      </c>
    </row>
    <row r="1183" s="1" customFormat="1" ht="22.5" customHeight="1" spans="1:2">
      <c r="A1183" s="3">
        <v>1859</v>
      </c>
      <c r="B1183" s="4">
        <v>1</v>
      </c>
    </row>
    <row r="1184" s="1" customFormat="1" ht="22.5" customHeight="1" spans="1:2">
      <c r="A1184" s="3">
        <v>1870</v>
      </c>
      <c r="B1184" s="4">
        <v>1</v>
      </c>
    </row>
    <row r="1185" s="1" customFormat="1" ht="22.5" customHeight="1" spans="1:2">
      <c r="A1185" s="3">
        <v>1880</v>
      </c>
      <c r="B1185" s="4">
        <v>1</v>
      </c>
    </row>
    <row r="1186" s="1" customFormat="1" ht="22.5" customHeight="1" spans="1:2">
      <c r="A1186" s="3">
        <v>1882</v>
      </c>
      <c r="B1186" s="4">
        <v>1</v>
      </c>
    </row>
    <row r="1187" s="1" customFormat="1" ht="22.5" customHeight="1" spans="1:2">
      <c r="A1187" s="3">
        <v>1885</v>
      </c>
      <c r="B1187" s="4">
        <v>2</v>
      </c>
    </row>
    <row r="1188" s="1" customFormat="1" ht="22.5" customHeight="1" spans="1:2">
      <c r="A1188" s="3">
        <v>1886</v>
      </c>
      <c r="B1188" s="4">
        <v>1</v>
      </c>
    </row>
    <row r="1189" s="1" customFormat="1" ht="22.5" customHeight="1" spans="1:2">
      <c r="A1189" s="3">
        <v>1888</v>
      </c>
      <c r="B1189" s="4">
        <v>1</v>
      </c>
    </row>
    <row r="1190" s="1" customFormat="1" ht="22.5" customHeight="1" spans="1:2">
      <c r="A1190" s="3">
        <v>1890</v>
      </c>
      <c r="B1190" s="4">
        <v>1</v>
      </c>
    </row>
    <row r="1191" s="1" customFormat="1" ht="22.5" customHeight="1" spans="1:2">
      <c r="A1191" s="3">
        <v>1895</v>
      </c>
      <c r="B1191" s="4">
        <v>1</v>
      </c>
    </row>
    <row r="1192" s="1" customFormat="1" ht="22.5" customHeight="1" spans="1:2">
      <c r="A1192" s="3">
        <v>1898</v>
      </c>
      <c r="B1192" s="4">
        <v>1</v>
      </c>
    </row>
    <row r="1193" s="1" customFormat="1" ht="22.5" customHeight="1" spans="1:2">
      <c r="A1193" s="3">
        <v>1902</v>
      </c>
      <c r="B1193" s="4">
        <v>1</v>
      </c>
    </row>
    <row r="1194" s="1" customFormat="1" ht="22.5" customHeight="1" spans="1:2">
      <c r="A1194" s="3">
        <v>1903</v>
      </c>
      <c r="B1194" s="4">
        <v>1</v>
      </c>
    </row>
    <row r="1195" s="1" customFormat="1" ht="22.5" customHeight="1" spans="1:2">
      <c r="A1195" s="3">
        <v>1909</v>
      </c>
      <c r="B1195" s="4">
        <v>1</v>
      </c>
    </row>
    <row r="1196" s="1" customFormat="1" ht="22.5" customHeight="1" spans="1:2">
      <c r="A1196" s="3">
        <v>1915</v>
      </c>
      <c r="B1196" s="4">
        <v>1</v>
      </c>
    </row>
    <row r="1197" s="1" customFormat="1" ht="22.5" customHeight="1" spans="1:2">
      <c r="A1197" s="3">
        <v>1925</v>
      </c>
      <c r="B1197" s="4">
        <v>1</v>
      </c>
    </row>
    <row r="1198" s="1" customFormat="1" ht="22.5" customHeight="1" spans="1:2">
      <c r="A1198" s="3">
        <v>1926</v>
      </c>
      <c r="B1198" s="4">
        <v>1</v>
      </c>
    </row>
    <row r="1199" s="1" customFormat="1" ht="22.5" customHeight="1" spans="1:2">
      <c r="A1199" s="3">
        <v>1940</v>
      </c>
      <c r="B1199" s="4">
        <v>1</v>
      </c>
    </row>
    <row r="1200" s="1" customFormat="1" ht="22.5" customHeight="1" spans="1:2">
      <c r="A1200" s="3">
        <v>1948</v>
      </c>
      <c r="B1200" s="4">
        <v>1</v>
      </c>
    </row>
    <row r="1201" s="1" customFormat="1" ht="22.5" customHeight="1" spans="1:2">
      <c r="A1201" s="3">
        <v>1952</v>
      </c>
      <c r="B1201" s="4">
        <v>1</v>
      </c>
    </row>
    <row r="1202" s="1" customFormat="1" ht="22.5" customHeight="1" spans="1:2">
      <c r="A1202" s="3">
        <v>1954</v>
      </c>
      <c r="B1202" s="4">
        <v>1</v>
      </c>
    </row>
    <row r="1203" s="1" customFormat="1" ht="22.5" customHeight="1" spans="1:2">
      <c r="A1203" s="3">
        <v>1957</v>
      </c>
      <c r="B1203" s="4">
        <v>1</v>
      </c>
    </row>
    <row r="1204" s="1" customFormat="1" ht="22.5" customHeight="1" spans="1:2">
      <c r="A1204" s="3">
        <v>1965</v>
      </c>
      <c r="B1204" s="4">
        <v>1</v>
      </c>
    </row>
    <row r="1205" s="1" customFormat="1" ht="22.5" customHeight="1" spans="1:2">
      <c r="A1205" s="3">
        <v>1966</v>
      </c>
      <c r="B1205" s="4">
        <v>1</v>
      </c>
    </row>
    <row r="1206" s="1" customFormat="1" ht="22.5" customHeight="1" spans="1:2">
      <c r="A1206" s="3">
        <v>1967</v>
      </c>
      <c r="B1206" s="4">
        <v>1</v>
      </c>
    </row>
    <row r="1207" s="1" customFormat="1" ht="22.5" customHeight="1" spans="1:2">
      <c r="A1207" s="3">
        <v>1971</v>
      </c>
      <c r="B1207" s="4">
        <v>1</v>
      </c>
    </row>
    <row r="1208" s="1" customFormat="1" ht="22.5" customHeight="1" spans="1:2">
      <c r="A1208" s="3">
        <v>1974</v>
      </c>
      <c r="B1208" s="4">
        <v>1</v>
      </c>
    </row>
    <row r="1209" s="1" customFormat="1" ht="22.5" customHeight="1" spans="1:2">
      <c r="A1209" s="3">
        <v>1975</v>
      </c>
      <c r="B1209" s="4">
        <v>1</v>
      </c>
    </row>
    <row r="1210" s="1" customFormat="1" ht="22.5" customHeight="1" spans="1:2">
      <c r="A1210" s="3">
        <v>1978</v>
      </c>
      <c r="B1210" s="4">
        <v>1</v>
      </c>
    </row>
    <row r="1211" s="1" customFormat="1" ht="22.5" customHeight="1" spans="1:2">
      <c r="A1211" s="3">
        <v>1987</v>
      </c>
      <c r="B1211" s="4">
        <v>1</v>
      </c>
    </row>
    <row r="1212" s="1" customFormat="1" ht="22.5" customHeight="1" spans="1:2">
      <c r="A1212" s="3">
        <v>1998</v>
      </c>
      <c r="B1212" s="4">
        <v>1</v>
      </c>
    </row>
    <row r="1213" s="1" customFormat="1" ht="22.5" customHeight="1" spans="1:2">
      <c r="A1213" s="3">
        <v>2030</v>
      </c>
      <c r="B1213" s="4">
        <v>1</v>
      </c>
    </row>
    <row r="1214" s="1" customFormat="1" ht="22.5" customHeight="1" spans="1:2">
      <c r="A1214" s="3">
        <v>2045</v>
      </c>
      <c r="B1214" s="4">
        <v>1</v>
      </c>
    </row>
    <row r="1215" s="1" customFormat="1" ht="22.5" customHeight="1" spans="1:2">
      <c r="A1215" s="3">
        <v>2049</v>
      </c>
      <c r="B1215" s="4">
        <v>2</v>
      </c>
    </row>
    <row r="1216" s="1" customFormat="1" ht="22.5" customHeight="1" spans="1:2">
      <c r="A1216" s="3">
        <v>2072</v>
      </c>
      <c r="B1216" s="4">
        <v>1</v>
      </c>
    </row>
    <row r="1217" s="1" customFormat="1" ht="22.5" customHeight="1" spans="1:2">
      <c r="A1217" s="3">
        <v>2081</v>
      </c>
      <c r="B1217" s="4">
        <v>1</v>
      </c>
    </row>
    <row r="1218" s="1" customFormat="1" ht="22.5" customHeight="1" spans="1:2">
      <c r="A1218" s="3">
        <v>2097</v>
      </c>
      <c r="B1218" s="4">
        <v>1</v>
      </c>
    </row>
    <row r="1219" s="1" customFormat="1" ht="22.5" customHeight="1" spans="1:2">
      <c r="A1219" s="3">
        <v>2099</v>
      </c>
      <c r="B1219" s="4">
        <v>1</v>
      </c>
    </row>
    <row r="1220" s="1" customFormat="1" ht="22.5" customHeight="1" spans="1:2">
      <c r="A1220" s="3">
        <v>2106</v>
      </c>
      <c r="B1220" s="4">
        <v>2</v>
      </c>
    </row>
    <row r="1221" s="1" customFormat="1" ht="22.5" customHeight="1" spans="1:2">
      <c r="A1221" s="3">
        <v>2108</v>
      </c>
      <c r="B1221" s="4">
        <v>1</v>
      </c>
    </row>
    <row r="1222" s="1" customFormat="1" ht="22.5" customHeight="1" spans="1:2">
      <c r="A1222" s="3">
        <v>2130</v>
      </c>
      <c r="B1222" s="4">
        <v>1</v>
      </c>
    </row>
    <row r="1223" s="1" customFormat="1" ht="22.5" customHeight="1" spans="1:2">
      <c r="A1223" s="3">
        <v>2137</v>
      </c>
      <c r="B1223" s="4">
        <v>1</v>
      </c>
    </row>
    <row r="1224" s="1" customFormat="1" ht="22.5" customHeight="1" spans="1:2">
      <c r="A1224" s="3">
        <v>2148</v>
      </c>
      <c r="B1224" s="4">
        <v>1</v>
      </c>
    </row>
    <row r="1225" s="1" customFormat="1" ht="22.5" customHeight="1" spans="1:2">
      <c r="A1225" s="3">
        <v>2158</v>
      </c>
      <c r="B1225" s="4">
        <v>1</v>
      </c>
    </row>
    <row r="1226" s="1" customFormat="1" ht="22.5" customHeight="1" spans="1:2">
      <c r="A1226" s="3">
        <v>2161</v>
      </c>
      <c r="B1226" s="4">
        <v>1</v>
      </c>
    </row>
    <row r="1227" s="1" customFormat="1" ht="22.5" customHeight="1" spans="1:2">
      <c r="A1227" s="3">
        <v>2170</v>
      </c>
      <c r="B1227" s="4">
        <v>1</v>
      </c>
    </row>
    <row r="1228" s="1" customFormat="1" ht="22.5" customHeight="1" spans="1:2">
      <c r="A1228" s="3">
        <v>2174</v>
      </c>
      <c r="B1228" s="4">
        <v>1</v>
      </c>
    </row>
    <row r="1229" s="1" customFormat="1" ht="22.5" customHeight="1" spans="1:2">
      <c r="A1229" s="3">
        <v>2189</v>
      </c>
      <c r="B1229" s="4">
        <v>1</v>
      </c>
    </row>
    <row r="1230" s="1" customFormat="1" ht="22.5" customHeight="1" spans="1:2">
      <c r="A1230" s="3">
        <v>2202</v>
      </c>
      <c r="B1230" s="4">
        <v>1</v>
      </c>
    </row>
    <row r="1231" s="1" customFormat="1" ht="22.5" customHeight="1" spans="1:2">
      <c r="A1231" s="3">
        <v>2224</v>
      </c>
      <c r="B1231" s="4">
        <v>1</v>
      </c>
    </row>
    <row r="1232" s="1" customFormat="1" ht="22.5" customHeight="1" spans="1:2">
      <c r="A1232" s="3">
        <v>2225</v>
      </c>
      <c r="B1232" s="4">
        <v>1</v>
      </c>
    </row>
    <row r="1233" s="1" customFormat="1" ht="22.5" customHeight="1" spans="1:2">
      <c r="A1233" s="3">
        <v>2247</v>
      </c>
      <c r="B1233" s="4">
        <v>1</v>
      </c>
    </row>
    <row r="1234" s="1" customFormat="1" ht="22.5" customHeight="1" spans="1:2">
      <c r="A1234" s="3">
        <v>2258</v>
      </c>
      <c r="B1234" s="4">
        <v>1</v>
      </c>
    </row>
    <row r="1235" s="1" customFormat="1" ht="22.5" customHeight="1" spans="1:2">
      <c r="A1235" s="3">
        <v>2264</v>
      </c>
      <c r="B1235" s="4">
        <v>1</v>
      </c>
    </row>
    <row r="1236" s="1" customFormat="1" ht="22.5" customHeight="1" spans="1:2">
      <c r="A1236" s="3">
        <v>2293</v>
      </c>
      <c r="B1236" s="4">
        <v>1</v>
      </c>
    </row>
    <row r="1237" s="1" customFormat="1" ht="22.5" customHeight="1" spans="1:2">
      <c r="A1237" s="3">
        <v>2323</v>
      </c>
      <c r="B1237" s="4">
        <v>1</v>
      </c>
    </row>
    <row r="1238" s="1" customFormat="1" ht="22.5" customHeight="1" spans="1:2">
      <c r="A1238" s="3">
        <v>2342</v>
      </c>
      <c r="B1238" s="4">
        <v>1</v>
      </c>
    </row>
    <row r="1239" s="1" customFormat="1" ht="22.5" customHeight="1" spans="1:2">
      <c r="A1239" s="3">
        <v>2350</v>
      </c>
      <c r="B1239" s="4">
        <v>1</v>
      </c>
    </row>
    <row r="1240" s="1" customFormat="1" ht="22.5" customHeight="1" spans="1:2">
      <c r="A1240" s="3">
        <v>2366</v>
      </c>
      <c r="B1240" s="4">
        <v>1</v>
      </c>
    </row>
    <row r="1241" s="1" customFormat="1" ht="22.5" customHeight="1" spans="1:2">
      <c r="A1241" s="3">
        <v>2383</v>
      </c>
      <c r="B1241" s="4">
        <v>1</v>
      </c>
    </row>
    <row r="1242" s="1" customFormat="1" ht="22.5" customHeight="1" spans="1:2">
      <c r="A1242" s="3">
        <v>2385</v>
      </c>
      <c r="B1242" s="4">
        <v>1</v>
      </c>
    </row>
    <row r="1243" s="1" customFormat="1" ht="22.5" customHeight="1" spans="1:2">
      <c r="A1243" s="3">
        <v>2387</v>
      </c>
      <c r="B1243" s="4">
        <v>1</v>
      </c>
    </row>
    <row r="1244" s="1" customFormat="1" ht="22.5" customHeight="1" spans="1:2">
      <c r="A1244" s="3">
        <v>2388</v>
      </c>
      <c r="B1244" s="4">
        <v>1</v>
      </c>
    </row>
    <row r="1245" s="1" customFormat="1" ht="22.5" customHeight="1" spans="1:2">
      <c r="A1245" s="3">
        <v>2395</v>
      </c>
      <c r="B1245" s="4">
        <v>1</v>
      </c>
    </row>
    <row r="1246" s="1" customFormat="1" ht="22.5" customHeight="1" spans="1:2">
      <c r="A1246" s="3">
        <v>2410</v>
      </c>
      <c r="B1246" s="4">
        <v>1</v>
      </c>
    </row>
    <row r="1247" s="1" customFormat="1" ht="22.5" customHeight="1" spans="1:2">
      <c r="A1247" s="3">
        <v>2412</v>
      </c>
      <c r="B1247" s="4">
        <v>1</v>
      </c>
    </row>
    <row r="1248" s="1" customFormat="1" ht="22.5" customHeight="1" spans="1:2">
      <c r="A1248" s="3">
        <v>2418</v>
      </c>
      <c r="B1248" s="4">
        <v>1</v>
      </c>
    </row>
    <row r="1249" s="1" customFormat="1" ht="22.5" customHeight="1" spans="1:2">
      <c r="A1249" s="3">
        <v>2435</v>
      </c>
      <c r="B1249" s="4">
        <v>2</v>
      </c>
    </row>
    <row r="1250" s="1" customFormat="1" ht="22.5" customHeight="1" spans="1:2">
      <c r="A1250" s="3">
        <v>2445</v>
      </c>
      <c r="B1250" s="4">
        <v>1</v>
      </c>
    </row>
    <row r="1251" s="1" customFormat="1" ht="22.5" customHeight="1" spans="1:2">
      <c r="A1251" s="3">
        <v>2446</v>
      </c>
      <c r="B1251" s="4">
        <v>1</v>
      </c>
    </row>
    <row r="1252" s="1" customFormat="1" ht="22.5" customHeight="1" spans="1:2">
      <c r="A1252" s="3">
        <v>2458</v>
      </c>
      <c r="B1252" s="4">
        <v>1</v>
      </c>
    </row>
    <row r="1253" s="1" customFormat="1" ht="22.5" customHeight="1" spans="1:2">
      <c r="A1253" s="3">
        <v>2481</v>
      </c>
      <c r="B1253" s="4">
        <v>1</v>
      </c>
    </row>
    <row r="1254" s="1" customFormat="1" ht="22.5" customHeight="1" spans="1:2">
      <c r="A1254" s="3">
        <v>2502</v>
      </c>
      <c r="B1254" s="4">
        <v>1</v>
      </c>
    </row>
    <row r="1255" s="1" customFormat="1" ht="22.5" customHeight="1" spans="1:2">
      <c r="A1255" s="3">
        <v>2530</v>
      </c>
      <c r="B1255" s="4">
        <v>1</v>
      </c>
    </row>
    <row r="1256" s="1" customFormat="1" ht="22.5" customHeight="1" spans="1:2">
      <c r="A1256" s="3">
        <v>2545</v>
      </c>
      <c r="B1256" s="4">
        <v>1</v>
      </c>
    </row>
    <row r="1257" s="1" customFormat="1" ht="22.5" customHeight="1" spans="1:2">
      <c r="A1257" s="3">
        <v>2548</v>
      </c>
      <c r="B1257" s="4">
        <v>1</v>
      </c>
    </row>
    <row r="1258" s="1" customFormat="1" ht="22.5" customHeight="1" spans="1:2">
      <c r="A1258" s="3">
        <v>2576</v>
      </c>
      <c r="B1258" s="4">
        <v>1</v>
      </c>
    </row>
    <row r="1259" s="1" customFormat="1" ht="22.5" customHeight="1" spans="1:2">
      <c r="A1259" s="3">
        <v>2580</v>
      </c>
      <c r="B1259" s="4">
        <v>1</v>
      </c>
    </row>
    <row r="1260" s="1" customFormat="1" ht="22.5" customHeight="1" spans="1:2">
      <c r="A1260" s="3">
        <v>2585</v>
      </c>
      <c r="B1260" s="4">
        <v>1</v>
      </c>
    </row>
    <row r="1261" s="1" customFormat="1" ht="22.5" customHeight="1" spans="1:2">
      <c r="A1261" s="3">
        <v>2592</v>
      </c>
      <c r="B1261" s="4">
        <v>1</v>
      </c>
    </row>
    <row r="1262" s="1" customFormat="1" ht="22.5" customHeight="1" spans="1:2">
      <c r="A1262" s="3">
        <v>2596</v>
      </c>
      <c r="B1262" s="4">
        <v>1</v>
      </c>
    </row>
    <row r="1263" s="1" customFormat="1" ht="22.5" customHeight="1" spans="1:2">
      <c r="A1263" s="3">
        <v>2610</v>
      </c>
      <c r="B1263" s="4">
        <v>1</v>
      </c>
    </row>
    <row r="1264" s="1" customFormat="1" ht="22.5" customHeight="1" spans="1:2">
      <c r="A1264" s="3">
        <v>2615</v>
      </c>
      <c r="B1264" s="4">
        <v>1</v>
      </c>
    </row>
    <row r="1265" s="1" customFormat="1" ht="22.5" customHeight="1" spans="1:2">
      <c r="A1265" s="3">
        <v>2629</v>
      </c>
      <c r="B1265" s="4">
        <v>1</v>
      </c>
    </row>
    <row r="1266" s="1" customFormat="1" ht="22.5" customHeight="1" spans="1:2">
      <c r="A1266" s="3">
        <v>2633</v>
      </c>
      <c r="B1266" s="4">
        <v>1</v>
      </c>
    </row>
    <row r="1267" s="1" customFormat="1" ht="22.5" customHeight="1" spans="1:2">
      <c r="A1267" s="3">
        <v>2669</v>
      </c>
      <c r="B1267" s="4">
        <v>1</v>
      </c>
    </row>
    <row r="1268" s="1" customFormat="1" ht="22.5" customHeight="1" spans="1:2">
      <c r="A1268" s="3">
        <v>2670</v>
      </c>
      <c r="B1268" s="4">
        <v>1</v>
      </c>
    </row>
    <row r="1269" s="1" customFormat="1" ht="22.5" customHeight="1" spans="1:2">
      <c r="A1269" s="3">
        <v>2677</v>
      </c>
      <c r="B1269" s="4">
        <v>1</v>
      </c>
    </row>
    <row r="1270" s="1" customFormat="1" ht="22.5" customHeight="1" spans="1:2">
      <c r="A1270" s="3">
        <v>2683</v>
      </c>
      <c r="B1270" s="4">
        <v>1</v>
      </c>
    </row>
    <row r="1271" s="1" customFormat="1" ht="22.5" customHeight="1" spans="1:2">
      <c r="A1271" s="3">
        <v>2695</v>
      </c>
      <c r="B1271" s="4">
        <v>1</v>
      </c>
    </row>
    <row r="1272" s="1" customFormat="1" ht="22.5" customHeight="1" spans="1:2">
      <c r="A1272" s="3">
        <v>2705</v>
      </c>
      <c r="B1272" s="4">
        <v>1</v>
      </c>
    </row>
    <row r="1273" s="1" customFormat="1" ht="22.5" customHeight="1" spans="1:2">
      <c r="A1273" s="3">
        <v>2709</v>
      </c>
      <c r="B1273" s="4">
        <v>1</v>
      </c>
    </row>
    <row r="1274" s="1" customFormat="1" ht="22.5" customHeight="1" spans="1:2">
      <c r="A1274" s="3">
        <v>2733</v>
      </c>
      <c r="B1274" s="4">
        <v>1</v>
      </c>
    </row>
    <row r="1275" s="1" customFormat="1" ht="22.5" customHeight="1" spans="1:2">
      <c r="A1275" s="3">
        <v>2752</v>
      </c>
      <c r="B1275" s="4">
        <v>1</v>
      </c>
    </row>
    <row r="1276" s="1" customFormat="1" ht="22.5" customHeight="1" spans="1:2">
      <c r="A1276" s="3">
        <v>2760</v>
      </c>
      <c r="B1276" s="4">
        <v>1</v>
      </c>
    </row>
    <row r="1277" s="1" customFormat="1" ht="22.5" customHeight="1" spans="1:2">
      <c r="A1277" s="3">
        <v>2778</v>
      </c>
      <c r="B1277" s="4">
        <v>1</v>
      </c>
    </row>
    <row r="1278" s="1" customFormat="1" ht="22.5" customHeight="1" spans="1:2">
      <c r="A1278" s="3">
        <v>2783</v>
      </c>
      <c r="B1278" s="4">
        <v>1</v>
      </c>
    </row>
    <row r="1279" s="1" customFormat="1" ht="22.5" customHeight="1" spans="1:2">
      <c r="A1279" s="3">
        <v>2796</v>
      </c>
      <c r="B1279" s="4">
        <v>1</v>
      </c>
    </row>
    <row r="1280" s="1" customFormat="1" ht="22.5" customHeight="1" spans="1:2">
      <c r="A1280" s="3">
        <v>2797</v>
      </c>
      <c r="B1280" s="4">
        <v>1</v>
      </c>
    </row>
    <row r="1281" s="1" customFormat="1" ht="22.5" customHeight="1" spans="1:2">
      <c r="A1281" s="3">
        <v>2830</v>
      </c>
      <c r="B1281" s="4">
        <v>1</v>
      </c>
    </row>
    <row r="1282" s="1" customFormat="1" ht="22.5" customHeight="1" spans="1:2">
      <c r="A1282" s="3">
        <v>2892</v>
      </c>
      <c r="B1282" s="4">
        <v>1</v>
      </c>
    </row>
    <row r="1283" s="1" customFormat="1" ht="22.5" customHeight="1" spans="1:2">
      <c r="A1283" s="3">
        <v>2898</v>
      </c>
      <c r="B1283" s="4">
        <v>1</v>
      </c>
    </row>
    <row r="1284" s="1" customFormat="1" ht="22.5" customHeight="1" spans="1:2">
      <c r="A1284" s="3">
        <v>2935</v>
      </c>
      <c r="B1284" s="4">
        <v>1</v>
      </c>
    </row>
    <row r="1285" s="1" customFormat="1" ht="22.5" customHeight="1" spans="1:2">
      <c r="A1285" s="3">
        <v>2936</v>
      </c>
      <c r="B1285" s="4">
        <v>1</v>
      </c>
    </row>
    <row r="1286" s="1" customFormat="1" ht="22.5" customHeight="1" spans="1:2">
      <c r="A1286" s="3">
        <v>2949</v>
      </c>
      <c r="B1286" s="4">
        <v>1</v>
      </c>
    </row>
    <row r="1287" s="1" customFormat="1" ht="22.5" customHeight="1" spans="1:2">
      <c r="A1287" s="3">
        <v>2952</v>
      </c>
      <c r="B1287" s="4">
        <v>1</v>
      </c>
    </row>
    <row r="1288" s="1" customFormat="1" ht="22.5" customHeight="1" spans="1:2">
      <c r="A1288" s="3">
        <v>2962</v>
      </c>
      <c r="B1288" s="4">
        <v>1</v>
      </c>
    </row>
    <row r="1289" s="1" customFormat="1" ht="22.5" customHeight="1" spans="1:2">
      <c r="A1289" s="3">
        <v>2965</v>
      </c>
      <c r="B1289" s="4">
        <v>1</v>
      </c>
    </row>
    <row r="1290" s="1" customFormat="1" ht="22.5" customHeight="1" spans="1:2">
      <c r="A1290" s="3">
        <v>2989</v>
      </c>
      <c r="B1290" s="4">
        <v>1</v>
      </c>
    </row>
    <row r="1291" s="1" customFormat="1" ht="22.5" customHeight="1" spans="1:2">
      <c r="A1291" s="3">
        <v>3007</v>
      </c>
      <c r="B1291" s="4">
        <v>1</v>
      </c>
    </row>
    <row r="1292" s="1" customFormat="1" ht="22.5" customHeight="1" spans="1:2">
      <c r="A1292" s="3">
        <v>3030</v>
      </c>
      <c r="B1292" s="4">
        <v>1</v>
      </c>
    </row>
    <row r="1293" s="1" customFormat="1" ht="22.5" customHeight="1" spans="1:2">
      <c r="A1293" s="3">
        <v>3048</v>
      </c>
      <c r="B1293" s="4">
        <v>1</v>
      </c>
    </row>
    <row r="1294" s="1" customFormat="1" ht="22.5" customHeight="1" spans="1:2">
      <c r="A1294" s="3">
        <v>3053</v>
      </c>
      <c r="B1294" s="4">
        <v>1</v>
      </c>
    </row>
    <row r="1295" s="1" customFormat="1" ht="22.5" customHeight="1" spans="1:2">
      <c r="A1295" s="3">
        <v>3062</v>
      </c>
      <c r="B1295" s="4">
        <v>1</v>
      </c>
    </row>
    <row r="1296" s="1" customFormat="1" ht="22.5" customHeight="1" spans="1:2">
      <c r="A1296" s="3">
        <v>3077</v>
      </c>
      <c r="B1296" s="4">
        <v>1</v>
      </c>
    </row>
    <row r="1297" s="1" customFormat="1" ht="22.5" customHeight="1" spans="1:2">
      <c r="A1297" s="3">
        <v>3090</v>
      </c>
      <c r="B1297" s="4">
        <v>1</v>
      </c>
    </row>
    <row r="1298" s="1" customFormat="1" ht="22.5" customHeight="1" spans="1:2">
      <c r="A1298" s="3">
        <v>3122</v>
      </c>
      <c r="B1298" s="4">
        <v>1</v>
      </c>
    </row>
    <row r="1299" s="1" customFormat="1" ht="22.5" customHeight="1" spans="1:2">
      <c r="A1299" s="3">
        <v>3123</v>
      </c>
      <c r="B1299" s="4">
        <v>1</v>
      </c>
    </row>
    <row r="1300" s="1" customFormat="1" ht="22.5" customHeight="1" spans="1:2">
      <c r="A1300" s="3">
        <v>3129</v>
      </c>
      <c r="B1300" s="4">
        <v>1</v>
      </c>
    </row>
    <row r="1301" s="1" customFormat="1" ht="22.5" customHeight="1" spans="1:2">
      <c r="A1301" s="3">
        <v>3156</v>
      </c>
      <c r="B1301" s="4">
        <v>1</v>
      </c>
    </row>
    <row r="1302" s="1" customFormat="1" ht="22.5" customHeight="1" spans="1:2">
      <c r="A1302" s="3">
        <v>3171</v>
      </c>
      <c r="B1302" s="4">
        <v>1</v>
      </c>
    </row>
    <row r="1303" s="1" customFormat="1" ht="22.5" customHeight="1" spans="1:2">
      <c r="A1303" s="3">
        <v>3173</v>
      </c>
      <c r="B1303" s="4">
        <v>1</v>
      </c>
    </row>
    <row r="1304" s="1" customFormat="1" ht="22.5" customHeight="1" spans="1:2">
      <c r="A1304" s="3">
        <v>3202</v>
      </c>
      <c r="B1304" s="4">
        <v>1</v>
      </c>
    </row>
    <row r="1305" s="1" customFormat="1" ht="22.5" customHeight="1" spans="1:2">
      <c r="A1305" s="3">
        <v>3219</v>
      </c>
      <c r="B1305" s="4">
        <v>1</v>
      </c>
    </row>
    <row r="1306" s="1" customFormat="1" ht="22.5" customHeight="1" spans="1:2">
      <c r="A1306" s="3">
        <v>3229</v>
      </c>
      <c r="B1306" s="4">
        <v>1</v>
      </c>
    </row>
    <row r="1307" s="1" customFormat="1" ht="22.5" customHeight="1" spans="1:2">
      <c r="A1307" s="3">
        <v>3273</v>
      </c>
      <c r="B1307" s="4">
        <v>1</v>
      </c>
    </row>
    <row r="1308" s="1" customFormat="1" ht="22.5" customHeight="1" spans="1:2">
      <c r="A1308" s="3">
        <v>3275</v>
      </c>
      <c r="B1308" s="4">
        <v>1</v>
      </c>
    </row>
    <row r="1309" s="1" customFormat="1" ht="22.5" customHeight="1" spans="1:2">
      <c r="A1309" s="3">
        <v>3287</v>
      </c>
      <c r="B1309" s="4">
        <v>1</v>
      </c>
    </row>
    <row r="1310" s="1" customFormat="1" ht="22.5" customHeight="1" spans="1:2">
      <c r="A1310" s="3">
        <v>3299</v>
      </c>
      <c r="B1310" s="4">
        <v>1</v>
      </c>
    </row>
    <row r="1311" s="1" customFormat="1" ht="22.5" customHeight="1" spans="1:2">
      <c r="A1311" s="3">
        <v>3310</v>
      </c>
      <c r="B1311" s="4">
        <v>1</v>
      </c>
    </row>
    <row r="1312" s="1" customFormat="1" ht="22.5" customHeight="1" spans="1:2">
      <c r="A1312" s="3">
        <v>3349</v>
      </c>
      <c r="B1312" s="4">
        <v>1</v>
      </c>
    </row>
    <row r="1313" s="1" customFormat="1" ht="22.5" customHeight="1" spans="1:2">
      <c r="A1313" s="3">
        <v>3350</v>
      </c>
      <c r="B1313" s="4">
        <v>1</v>
      </c>
    </row>
    <row r="1314" s="1" customFormat="1" ht="22.5" customHeight="1" spans="1:2">
      <c r="A1314" s="3">
        <v>3379</v>
      </c>
      <c r="B1314" s="4">
        <v>1</v>
      </c>
    </row>
    <row r="1315" s="1" customFormat="1" ht="22.5" customHeight="1" spans="1:2">
      <c r="A1315" s="3">
        <v>3397</v>
      </c>
      <c r="B1315" s="4">
        <v>2</v>
      </c>
    </row>
    <row r="1316" s="1" customFormat="1" ht="22.5" customHeight="1" spans="1:2">
      <c r="A1316" s="3">
        <v>3403</v>
      </c>
      <c r="B1316" s="4">
        <v>1</v>
      </c>
    </row>
    <row r="1317" s="1" customFormat="1" ht="22.5" customHeight="1" spans="1:2">
      <c r="A1317" s="3">
        <v>3408</v>
      </c>
      <c r="B1317" s="4">
        <v>1</v>
      </c>
    </row>
    <row r="1318" s="1" customFormat="1" ht="22.5" customHeight="1" spans="1:2">
      <c r="A1318" s="3">
        <v>3443</v>
      </c>
      <c r="B1318" s="4">
        <v>1</v>
      </c>
    </row>
    <row r="1319" s="1" customFormat="1" ht="22.5" customHeight="1" spans="1:2">
      <c r="A1319" s="3">
        <v>3484</v>
      </c>
      <c r="B1319" s="4">
        <v>1</v>
      </c>
    </row>
    <row r="1320" s="1" customFormat="1" ht="22.5" customHeight="1" spans="1:2">
      <c r="A1320" s="3">
        <v>3542</v>
      </c>
      <c r="B1320" s="4">
        <v>1</v>
      </c>
    </row>
    <row r="1321" s="1" customFormat="1" ht="22.5" customHeight="1" spans="1:2">
      <c r="A1321" s="3">
        <v>3575</v>
      </c>
      <c r="B1321" s="4">
        <v>1</v>
      </c>
    </row>
    <row r="1322" s="1" customFormat="1" ht="22.5" customHeight="1" spans="1:2">
      <c r="A1322" s="3">
        <v>3590</v>
      </c>
      <c r="B1322" s="4">
        <v>1</v>
      </c>
    </row>
    <row r="1323" s="1" customFormat="1" ht="22.5" customHeight="1" spans="1:2">
      <c r="A1323" s="3">
        <v>3621</v>
      </c>
      <c r="B1323" s="4">
        <v>1</v>
      </c>
    </row>
    <row r="1324" s="1" customFormat="1" ht="22.5" customHeight="1" spans="1:2">
      <c r="A1324" s="3">
        <v>3637</v>
      </c>
      <c r="B1324" s="4">
        <v>1</v>
      </c>
    </row>
    <row r="1325" s="1" customFormat="1" ht="22.5" customHeight="1" spans="1:2">
      <c r="A1325" s="3">
        <v>3694</v>
      </c>
      <c r="B1325" s="4">
        <v>1</v>
      </c>
    </row>
    <row r="1326" s="1" customFormat="1" ht="22.5" customHeight="1" spans="1:2">
      <c r="A1326" s="3">
        <v>3707</v>
      </c>
      <c r="B1326" s="4">
        <v>1</v>
      </c>
    </row>
    <row r="1327" s="1" customFormat="1" ht="22.5" customHeight="1" spans="1:2">
      <c r="A1327" s="3">
        <v>3863</v>
      </c>
      <c r="B1327" s="4">
        <v>1</v>
      </c>
    </row>
    <row r="1328" s="1" customFormat="1" ht="22.5" customHeight="1" spans="1:2">
      <c r="A1328" s="3">
        <v>3952</v>
      </c>
      <c r="B1328" s="4">
        <v>1</v>
      </c>
    </row>
    <row r="1329" s="1" customFormat="1" ht="22.5" customHeight="1" spans="1:2">
      <c r="A1329" s="3">
        <v>3957</v>
      </c>
      <c r="B1329" s="4">
        <v>1</v>
      </c>
    </row>
    <row r="1330" s="1" customFormat="1" ht="22.5" customHeight="1" spans="1:2">
      <c r="A1330" s="3">
        <v>3962</v>
      </c>
      <c r="B1330" s="4">
        <v>1</v>
      </c>
    </row>
    <row r="1331" s="1" customFormat="1" ht="22.5" customHeight="1" spans="1:2">
      <c r="A1331" s="3">
        <v>4097</v>
      </c>
      <c r="B1331" s="4">
        <v>1</v>
      </c>
    </row>
    <row r="1332" s="1" customFormat="1" ht="22.5" customHeight="1" spans="1:2">
      <c r="A1332" s="3">
        <v>4144</v>
      </c>
      <c r="B1332" s="4">
        <v>1</v>
      </c>
    </row>
    <row r="1333" s="1" customFormat="1" ht="22.5" customHeight="1" spans="1:2">
      <c r="A1333" s="3">
        <v>4162</v>
      </c>
      <c r="B1333" s="4">
        <v>1</v>
      </c>
    </row>
    <row r="1334" s="1" customFormat="1" ht="22.5" customHeight="1" spans="1:2">
      <c r="A1334" s="3">
        <v>4165</v>
      </c>
      <c r="B1334" s="4">
        <v>1</v>
      </c>
    </row>
    <row r="1335" s="1" customFormat="1" ht="22.5" customHeight="1" spans="1:2">
      <c r="A1335" s="3">
        <v>4194</v>
      </c>
      <c r="B1335" s="4">
        <v>1</v>
      </c>
    </row>
    <row r="1336" s="1" customFormat="1" ht="22.5" customHeight="1" spans="1:2">
      <c r="A1336" s="3">
        <v>4209</v>
      </c>
      <c r="B1336" s="4">
        <v>1</v>
      </c>
    </row>
    <row r="1337" s="1" customFormat="1" ht="22.5" customHeight="1" spans="1:2">
      <c r="A1337" s="3">
        <v>4275</v>
      </c>
      <c r="B1337" s="4">
        <v>1</v>
      </c>
    </row>
    <row r="1338" s="1" customFormat="1" ht="22.5" customHeight="1" spans="1:2">
      <c r="A1338" s="3">
        <v>4308</v>
      </c>
      <c r="B1338" s="4">
        <v>1</v>
      </c>
    </row>
    <row r="1339" s="1" customFormat="1" ht="22.5" customHeight="1" spans="1:2">
      <c r="A1339" s="3">
        <v>4341</v>
      </c>
      <c r="B1339" s="4">
        <v>1</v>
      </c>
    </row>
    <row r="1340" s="1" customFormat="1" ht="22.5" customHeight="1" spans="1:2">
      <c r="A1340" s="3">
        <v>4360</v>
      </c>
      <c r="B1340" s="4">
        <v>1</v>
      </c>
    </row>
    <row r="1341" s="1" customFormat="1" ht="22.5" customHeight="1" spans="1:2">
      <c r="A1341" s="3">
        <v>4434</v>
      </c>
      <c r="B1341" s="4">
        <v>1</v>
      </c>
    </row>
    <row r="1342" s="1" customFormat="1" ht="22.5" customHeight="1" spans="1:2">
      <c r="A1342" s="3">
        <v>4539</v>
      </c>
      <c r="B1342" s="4">
        <v>1</v>
      </c>
    </row>
    <row r="1343" s="1" customFormat="1" ht="22.5" customHeight="1" spans="1:2">
      <c r="A1343" s="3">
        <v>4677</v>
      </c>
      <c r="B1343" s="4">
        <v>1</v>
      </c>
    </row>
    <row r="1344" s="1" customFormat="1" ht="22.5" customHeight="1" spans="1:2">
      <c r="A1344" s="3">
        <v>4678</v>
      </c>
      <c r="B1344" s="4">
        <v>1</v>
      </c>
    </row>
    <row r="1345" s="1" customFormat="1" ht="22.5" customHeight="1" spans="1:2">
      <c r="A1345" s="3">
        <v>4747</v>
      </c>
      <c r="B1345" s="4">
        <v>1</v>
      </c>
    </row>
    <row r="1346" s="1" customFormat="1" ht="22.5" customHeight="1" spans="1:2">
      <c r="A1346" s="3">
        <v>5002</v>
      </c>
      <c r="B1346" s="4">
        <v>1</v>
      </c>
    </row>
    <row r="1347" s="1" customFormat="1" ht="22.5" customHeight="1" spans="1:2">
      <c r="A1347" s="3">
        <v>5013</v>
      </c>
      <c r="B1347" s="4">
        <v>1</v>
      </c>
    </row>
    <row r="1348" s="1" customFormat="1" ht="22.5" customHeight="1" spans="1:2">
      <c r="A1348" s="3">
        <v>5014</v>
      </c>
      <c r="B1348" s="4">
        <v>1</v>
      </c>
    </row>
    <row r="1349" s="1" customFormat="1" ht="22.5" customHeight="1" spans="1:2">
      <c r="A1349" s="3">
        <v>5036</v>
      </c>
      <c r="B1349" s="4">
        <v>1</v>
      </c>
    </row>
    <row r="1350" s="1" customFormat="1" ht="22.5" customHeight="1" spans="1:2">
      <c r="A1350" s="3">
        <v>5199</v>
      </c>
      <c r="B1350" s="4">
        <v>1</v>
      </c>
    </row>
    <row r="1351" s="1" customFormat="1" ht="22.5" customHeight="1" spans="1:2">
      <c r="A1351" s="3">
        <v>5257</v>
      </c>
      <c r="B1351" s="4">
        <v>1</v>
      </c>
    </row>
    <row r="1352" s="1" customFormat="1" ht="22.5" customHeight="1" spans="1:2">
      <c r="A1352" s="3">
        <v>5276</v>
      </c>
      <c r="B1352" s="4">
        <v>1</v>
      </c>
    </row>
    <row r="1353" s="1" customFormat="1" ht="22.5" customHeight="1" spans="1:2">
      <c r="A1353" s="3">
        <v>5410</v>
      </c>
      <c r="B1353" s="4">
        <v>1</v>
      </c>
    </row>
    <row r="1354" s="1" customFormat="1" ht="22.5" customHeight="1" spans="1:2">
      <c r="A1354" s="3">
        <v>5431</v>
      </c>
      <c r="B1354" s="4">
        <v>1</v>
      </c>
    </row>
    <row r="1355" s="1" customFormat="1" ht="22.5" customHeight="1" spans="1:2">
      <c r="A1355" s="3">
        <v>5535</v>
      </c>
      <c r="B1355" s="4">
        <v>1</v>
      </c>
    </row>
    <row r="1356" s="1" customFormat="1" ht="22.5" customHeight="1" spans="1:2">
      <c r="A1356" s="3">
        <v>5577</v>
      </c>
      <c r="B1356" s="4">
        <v>1</v>
      </c>
    </row>
    <row r="1357" s="1" customFormat="1" ht="22.5" customHeight="1" spans="1:2">
      <c r="A1357" s="3">
        <v>5618</v>
      </c>
      <c r="B1357" s="4">
        <v>1</v>
      </c>
    </row>
    <row r="1358" s="1" customFormat="1" ht="22.5" customHeight="1" spans="1:2">
      <c r="A1358" s="3">
        <v>5622</v>
      </c>
      <c r="B1358" s="4">
        <v>1</v>
      </c>
    </row>
    <row r="1359" s="1" customFormat="1" ht="22.5" customHeight="1" spans="1:2">
      <c r="A1359" s="3">
        <v>5670</v>
      </c>
      <c r="B1359" s="4">
        <v>1</v>
      </c>
    </row>
    <row r="1360" s="1" customFormat="1" ht="22.5" customHeight="1" spans="1:2">
      <c r="A1360" s="3">
        <v>5693</v>
      </c>
      <c r="B1360" s="4">
        <v>1</v>
      </c>
    </row>
    <row r="1361" s="1" customFormat="1" ht="22.5" customHeight="1" spans="1:2">
      <c r="A1361" s="3">
        <v>5769</v>
      </c>
      <c r="B1361" s="4">
        <v>1</v>
      </c>
    </row>
    <row r="1362" s="1" customFormat="1" ht="22.5" customHeight="1" spans="1:2">
      <c r="A1362" s="3">
        <v>5812</v>
      </c>
      <c r="B1362" s="4">
        <v>1</v>
      </c>
    </row>
    <row r="1363" s="1" customFormat="1" ht="22.5" customHeight="1" spans="1:2">
      <c r="A1363" s="3">
        <v>5957</v>
      </c>
      <c r="B1363" s="4">
        <v>1</v>
      </c>
    </row>
    <row r="1364" s="1" customFormat="1" ht="22.5" customHeight="1" spans="1:2">
      <c r="A1364" s="3">
        <v>6108</v>
      </c>
      <c r="B1364" s="4">
        <v>1</v>
      </c>
    </row>
    <row r="1365" s="1" customFormat="1" ht="22.5" customHeight="1" spans="1:2">
      <c r="A1365" s="3">
        <v>6181</v>
      </c>
      <c r="B1365" s="4">
        <v>1</v>
      </c>
    </row>
    <row r="1366" s="1" customFormat="1" ht="22.5" customHeight="1" spans="1:2">
      <c r="A1366" s="3">
        <v>6384</v>
      </c>
      <c r="B1366" s="4">
        <v>1</v>
      </c>
    </row>
    <row r="1367" s="1" customFormat="1" ht="22.5" customHeight="1" spans="1:2">
      <c r="A1367" s="3">
        <v>6402</v>
      </c>
      <c r="B1367" s="4">
        <v>1</v>
      </c>
    </row>
    <row r="1368" s="1" customFormat="1" ht="22.5" customHeight="1" spans="1:2">
      <c r="A1368" s="3">
        <v>6408</v>
      </c>
      <c r="B1368" s="4">
        <v>1</v>
      </c>
    </row>
    <row r="1369" s="1" customFormat="1" ht="22.5" customHeight="1" spans="1:2">
      <c r="A1369" s="3">
        <v>6430</v>
      </c>
      <c r="B1369" s="4">
        <v>1</v>
      </c>
    </row>
    <row r="1370" s="1" customFormat="1" ht="22.5" customHeight="1" spans="1:2">
      <c r="A1370" s="3">
        <v>7232</v>
      </c>
      <c r="B1370" s="4">
        <v>1</v>
      </c>
    </row>
    <row r="1371" s="1" customFormat="1" ht="22.5" customHeight="1" spans="1:2">
      <c r="A1371" s="3">
        <v>7419</v>
      </c>
      <c r="B1371" s="4">
        <v>1</v>
      </c>
    </row>
    <row r="1372" s="1" customFormat="1" ht="22.5" customHeight="1" spans="1:2">
      <c r="A1372" s="3">
        <v>8371</v>
      </c>
      <c r="B1372" s="4">
        <v>1</v>
      </c>
    </row>
    <row r="1373" s="1" customFormat="1" ht="22.5" customHeight="1" spans="1:2">
      <c r="A1373" s="3">
        <v>8373</v>
      </c>
      <c r="B1373" s="4">
        <v>1</v>
      </c>
    </row>
    <row r="1374" s="1" customFormat="1" ht="22.5" customHeight="1" spans="1:2">
      <c r="A1374" s="3">
        <v>8470</v>
      </c>
      <c r="B1374" s="4">
        <v>1</v>
      </c>
    </row>
    <row r="1375" s="1" customFormat="1" ht="22.5" customHeight="1" spans="1:2">
      <c r="A1375" s="3">
        <v>8715</v>
      </c>
      <c r="B1375" s="4">
        <v>1</v>
      </c>
    </row>
    <row r="1376" s="1" customFormat="1" ht="22.5" customHeight="1" spans="1:2">
      <c r="A1376" s="3">
        <v>8717</v>
      </c>
      <c r="B1376" s="4">
        <v>1</v>
      </c>
    </row>
    <row r="1377" s="1" customFormat="1" ht="22.5" customHeight="1" spans="1:2">
      <c r="A1377" s="3">
        <v>9033</v>
      </c>
      <c r="B1377" s="4">
        <v>1</v>
      </c>
    </row>
    <row r="1378" s="1" customFormat="1" ht="22.5" customHeight="1" spans="1:2">
      <c r="A1378" s="3">
        <v>9912</v>
      </c>
      <c r="B1378" s="4">
        <v>1</v>
      </c>
    </row>
    <row r="1379" s="1" customFormat="1" ht="22.5" customHeight="1" spans="1:2">
      <c r="A1379" s="3">
        <v>10327</v>
      </c>
      <c r="B1379" s="4">
        <v>1</v>
      </c>
    </row>
    <row r="1380" s="1" customFormat="1" ht="22.5" customHeight="1" spans="1:2">
      <c r="A1380" s="3">
        <v>11695</v>
      </c>
      <c r="B1380" s="4">
        <v>1</v>
      </c>
    </row>
    <row r="1381" s="1" customFormat="1" ht="22.5" customHeight="1" spans="1:2">
      <c r="A1381" s="3">
        <v>14229</v>
      </c>
      <c r="B1381" s="4">
        <v>1</v>
      </c>
    </row>
    <row r="1382" s="1" customFormat="1" ht="22.5" customHeight="1" spans="1:2">
      <c r="A1382" s="3">
        <v>14448</v>
      </c>
      <c r="B1382" s="4">
        <v>1</v>
      </c>
    </row>
    <row r="1383" s="1" customFormat="1" ht="22.5" customHeight="1" spans="1:2">
      <c r="A1383" s="3">
        <v>14837</v>
      </c>
      <c r="B1383" s="4">
        <v>1</v>
      </c>
    </row>
    <row r="1384" s="1" customFormat="1" ht="22.5" customHeight="1" spans="1:2">
      <c r="A1384" s="3">
        <v>15024</v>
      </c>
      <c r="B1384" s="4">
        <v>1</v>
      </c>
    </row>
    <row r="1385" s="1" customFormat="1" ht="22.5" customHeight="1" spans="1:2">
      <c r="A1385" s="3">
        <v>15298</v>
      </c>
      <c r="B1385" s="4">
        <v>1</v>
      </c>
    </row>
    <row r="1386" s="1" customFormat="1" ht="22.5" customHeight="1" spans="1:2">
      <c r="A1386" s="3">
        <v>16220</v>
      </c>
      <c r="B1386" s="4">
        <v>1</v>
      </c>
    </row>
    <row r="1387" s="1" customFormat="1" ht="22.5" customHeight="1" spans="1:2">
      <c r="A1387" s="3">
        <v>16826</v>
      </c>
      <c r="B1387" s="4">
        <v>1</v>
      </c>
    </row>
    <row r="1388" s="1" customFormat="1" ht="22.5" customHeight="1" spans="1:2">
      <c r="A1388" s="3">
        <v>25470</v>
      </c>
      <c r="B1388" s="4">
        <v>1</v>
      </c>
    </row>
    <row r="1389" s="1" customFormat="1" ht="22.5" customHeight="1" spans="1:2">
      <c r="A1389" s="3">
        <v>27380</v>
      </c>
      <c r="B1389" s="4">
        <v>1</v>
      </c>
    </row>
    <row r="1390" s="1" customFormat="1" ht="22.5" customHeight="1" spans="1:2">
      <c r="A1390" s="3">
        <v>27851</v>
      </c>
      <c r="B1390" s="4">
        <v>1</v>
      </c>
    </row>
    <row r="1391" s="1" customFormat="1" ht="22.5" customHeight="1" spans="1:2">
      <c r="A1391" s="3">
        <v>28743</v>
      </c>
      <c r="B1391" s="4">
        <v>1</v>
      </c>
    </row>
    <row r="1392" s="1" customFormat="1" ht="22.5" customHeight="1" spans="1:2">
      <c r="A1392" s="3">
        <v>29261</v>
      </c>
      <c r="B1392" s="4">
        <v>1</v>
      </c>
    </row>
    <row r="1393" s="1" customFormat="1" ht="22.5" customHeight="1" spans="1:2">
      <c r="A1393" s="3">
        <v>40815</v>
      </c>
      <c r="B1393" s="4">
        <v>1</v>
      </c>
    </row>
    <row r="1394" s="1" customFormat="1" ht="22.5" customHeight="1" spans="1:2">
      <c r="A1394" s="3">
        <v>45085</v>
      </c>
      <c r="B1394" s="4">
        <v>1</v>
      </c>
    </row>
    <row r="1395" s="1" customFormat="1" ht="22.5" customHeight="1" spans="1:2">
      <c r="A1395" s="3">
        <v>45291</v>
      </c>
      <c r="B1395" s="4">
        <v>1</v>
      </c>
    </row>
    <row r="1396" s="1" customFormat="1" ht="22.5" customHeight="1" spans="1:2">
      <c r="A1396" s="3">
        <v>47369</v>
      </c>
      <c r="B1396" s="4">
        <v>1</v>
      </c>
    </row>
    <row r="1397" s="1" customFormat="1" ht="22.5" customHeight="1" spans="1:2">
      <c r="A1397" s="3">
        <v>55517</v>
      </c>
      <c r="B1397" s="4">
        <v>1</v>
      </c>
    </row>
    <row r="1398" s="1" customFormat="1" ht="22.5" customHeight="1" spans="1:2">
      <c r="A1398" s="3">
        <v>56899</v>
      </c>
      <c r="B1398" s="4">
        <v>1</v>
      </c>
    </row>
    <row r="1399" s="1" customFormat="1" ht="22.5" customHeight="1" spans="1:2">
      <c r="A1399" s="3">
        <v>64335</v>
      </c>
      <c r="B1399" s="4">
        <v>1</v>
      </c>
    </row>
    <row r="1400" s="1" customFormat="1" ht="22.5" customHeight="1" spans="1:2">
      <c r="A1400" s="3">
        <v>78221</v>
      </c>
      <c r="B1400" s="4">
        <v>1</v>
      </c>
    </row>
    <row r="1401" s="1" customFormat="1" ht="22.5" customHeight="1" spans="1:2">
      <c r="A1401" s="3">
        <v>82008</v>
      </c>
      <c r="B1401" s="4">
        <v>1</v>
      </c>
    </row>
    <row r="1402" s="1" customFormat="1" ht="22.5" customHeight="1" spans="1:2">
      <c r="A1402" s="3">
        <v>87145</v>
      </c>
      <c r="B1402" s="4">
        <v>1</v>
      </c>
    </row>
    <row r="1403" s="1" customFormat="1" ht="22.5" customHeight="1" spans="1:2">
      <c r="A1403" s="3">
        <v>108916</v>
      </c>
      <c r="B1403" s="4">
        <v>1</v>
      </c>
    </row>
    <row r="1404" s="1" customFormat="1" ht="22.5" customHeight="1" spans="1:2">
      <c r="A1404" s="3" t="s">
        <v>3</v>
      </c>
      <c r="B1404" s="4">
        <v>516712</v>
      </c>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14</vt:i4>
      </vt:variant>
    </vt:vector>
  </HeadingPairs>
  <TitlesOfParts>
    <vt:vector size="14" baseType="lpstr">
      <vt:lpstr>Sheet1</vt:lpstr>
      <vt:lpstr>Sheet2</vt:lpstr>
      <vt:lpstr>Sheet3</vt:lpstr>
      <vt:lpstr>Sheet4</vt:lpstr>
      <vt:lpstr>Sheet5</vt:lpstr>
      <vt:lpstr>Sheet6</vt:lpstr>
      <vt:lpstr>Sheet7</vt:lpstr>
      <vt:lpstr>Sheet8</vt:lpstr>
      <vt:lpstr>Sheet9</vt:lpstr>
      <vt:lpstr>Sheet10</vt:lpstr>
      <vt:lpstr>Sheet11</vt:lpstr>
      <vt:lpstr>Sheet12</vt:lpstr>
      <vt:lpstr>Sheet13</vt:lpstr>
      <vt:lpstr>Sheet14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拿 破伦</dc:creator>
  <cp:lastModifiedBy>Kono</cp:lastModifiedBy>
  <dcterms:created xsi:type="dcterms:W3CDTF">2024-02-03T02:16:00Z</dcterms:created>
  <dcterms:modified xsi:type="dcterms:W3CDTF">2024-02-04T13:45:15Z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1364D05C15D0402996EED968563AF8CB_13</vt:lpwstr>
  </property>
  <property fmtid="{D5CDD505-2E9C-101B-9397-08002B2CF9AE}" pid="3" name="KSOProductBuildVer">
    <vt:lpwstr>2052-12.1.0.16250</vt:lpwstr>
  </property>
</Properties>
</file>