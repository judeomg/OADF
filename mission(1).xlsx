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11.xml" ContentType="application/vnd.openxmlformats-officedocument.themeOverride+xml"/>
  <Override PartName="/xl/theme/themeOverride12.xml" ContentType="application/vnd.openxmlformats-officedocument.themeOverride+xml"/>
  <Override PartName="/xl/theme/themeOverride13.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360" windowHeight="10960" firstSheet="8" activeTab="14"/>
  </bookViews>
  <sheets>
    <sheet name="Sheet1" sheetId="1" r:id="rId1"/>
    <sheet name="Sheet2" sheetId="2" r:id="rId2"/>
    <sheet name="Sheet3" sheetId="3" r:id="rId3"/>
    <sheet name="Sheet4" sheetId="13" r:id="rId4"/>
    <sheet name="Sheet5" sheetId="14" r:id="rId5"/>
    <sheet name="Sheet6" sheetId="15" r:id="rId6"/>
    <sheet name="Sheet7" sheetId="7" r:id="rId7"/>
    <sheet name="Sheet7.2" sheetId="20" r:id="rId8"/>
    <sheet name="Sheet8" sheetId="8" r:id="rId9"/>
    <sheet name="Sheet9" sheetId="16" r:id="rId10"/>
    <sheet name="Sheet10" sheetId="19" r:id="rId11"/>
    <sheet name="Sheet11" sheetId="9" r:id="rId12"/>
    <sheet name="Sheet12" sheetId="10" r:id="rId13"/>
    <sheet name="Sheet13" sheetId="11" r:id="rId14"/>
    <sheet name="Sheet14" sheetId="12" r:id="rId15"/>
  </sheets>
  <externalReferences>
    <externalReference r:id="rId1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<sst xmlns="http://schemas.openxmlformats.org/spreadsheetml/2006/main" count="223" uniqueCount="101">
  <si>
    <t>创始日期</t>
  </si>
  <si>
    <t>帖子数量/个</t>
  </si>
  <si>
    <t>总帖子数量/个</t>
  </si>
  <si>
    <t>总计数</t>
  </si>
  <si>
    <t>年月份</t>
  </si>
  <si>
    <t>每月增加的数量/个</t>
  </si>
  <si>
    <t>每月总数量/个</t>
  </si>
  <si>
    <t>Category</t>
  </si>
  <si>
    <t>数量/个</t>
  </si>
  <si>
    <t>百分比</t>
  </si>
  <si>
    <t>API</t>
  </si>
  <si>
    <t>GPT builders</t>
  </si>
  <si>
    <t>Prompting</t>
  </si>
  <si>
    <t>ChatGPT</t>
  </si>
  <si>
    <t>Announcements</t>
  </si>
  <si>
    <t>Community</t>
  </si>
  <si>
    <t>Documentation</t>
  </si>
  <si>
    <t>Forum feedback</t>
  </si>
  <si>
    <t>总</t>
  </si>
  <si>
    <t xml:space="preserve"> </t>
  </si>
  <si>
    <t>编号</t>
  </si>
  <si>
    <t>数量</t>
  </si>
  <si>
    <t>占比</t>
  </si>
  <si>
    <t>A.1.1</t>
  </si>
  <si>
    <t>A</t>
  </si>
  <si>
    <t>A.1.2</t>
  </si>
  <si>
    <t>B</t>
  </si>
  <si>
    <t>A.1.3</t>
  </si>
  <si>
    <t>A.1</t>
  </si>
  <si>
    <t>A.1.4</t>
  </si>
  <si>
    <t>A.2</t>
  </si>
  <si>
    <t>A.2.1</t>
  </si>
  <si>
    <t>A.3</t>
  </si>
  <si>
    <t>A.2.2</t>
  </si>
  <si>
    <t>A.4</t>
  </si>
  <si>
    <t>A.2.3</t>
  </si>
  <si>
    <t>A.5</t>
  </si>
  <si>
    <t>A.2.4</t>
  </si>
  <si>
    <t>A.6</t>
  </si>
  <si>
    <t>A.3.1</t>
  </si>
  <si>
    <t>A.7</t>
  </si>
  <si>
    <t>A.3.2</t>
  </si>
  <si>
    <t>B.1</t>
  </si>
  <si>
    <t>A.4.1</t>
  </si>
  <si>
    <t>B.2</t>
  </si>
  <si>
    <t>A.4.2</t>
  </si>
  <si>
    <t>B.3</t>
  </si>
  <si>
    <t>A.4.3</t>
  </si>
  <si>
    <t>B.4</t>
  </si>
  <si>
    <t>A.4.4</t>
  </si>
  <si>
    <t>B.5</t>
  </si>
  <si>
    <t>A.4.5</t>
  </si>
  <si>
    <t>B.6</t>
  </si>
  <si>
    <t>A.5.1</t>
  </si>
  <si>
    <t>B.7</t>
  </si>
  <si>
    <t>A.5.2</t>
  </si>
  <si>
    <t>A.5.3</t>
  </si>
  <si>
    <t>A.5.4</t>
  </si>
  <si>
    <t>A.5.5</t>
  </si>
  <si>
    <t>A.5.6</t>
  </si>
  <si>
    <t>A.5.7</t>
  </si>
  <si>
    <t>A.5.8</t>
  </si>
  <si>
    <t>A.6.1</t>
  </si>
  <si>
    <t>A.6.2</t>
  </si>
  <si>
    <t>A.6.3</t>
  </si>
  <si>
    <t>A.6.4</t>
  </si>
  <si>
    <t>A.6.5</t>
  </si>
  <si>
    <t>A.6.6</t>
  </si>
  <si>
    <t>A.6.7</t>
  </si>
  <si>
    <t>B.1.1</t>
  </si>
  <si>
    <t>B.1.2</t>
  </si>
  <si>
    <t>B.4.1</t>
  </si>
  <si>
    <t>B.4.2</t>
  </si>
  <si>
    <t>B.4.3</t>
  </si>
  <si>
    <t>B.5.1</t>
  </si>
  <si>
    <t>B.5.2</t>
  </si>
  <si>
    <t>B.5.3</t>
  </si>
  <si>
    <t>B.5.4</t>
  </si>
  <si>
    <t>三级类别编码</t>
  </si>
  <si>
    <t>比例</t>
  </si>
  <si>
    <r>
      <rPr>
        <sz val="12"/>
        <color theme="1"/>
        <rFont val="宋体"/>
        <charset val="134"/>
      </rPr>
      <t>不同</t>
    </r>
    <r>
      <rPr>
        <sz val="12"/>
        <color theme="1"/>
        <rFont val="Calibri"/>
        <charset val="134"/>
      </rPr>
      <t>categories</t>
    </r>
    <r>
      <rPr>
        <sz val="12"/>
        <color theme="1"/>
        <rFont val="宋体"/>
        <charset val="134"/>
      </rPr>
      <t>每月总的帖子数量</t>
    </r>
  </si>
  <si>
    <t xml:space="preserve">Number of questions with Comments </t>
  </si>
  <si>
    <t xml:space="preserve">Number of questions without Comments </t>
  </si>
  <si>
    <t>总帖子数</t>
  </si>
  <si>
    <t>Average time(s)</t>
  </si>
  <si>
    <t>Average View</t>
  </si>
  <si>
    <t>Average Reply</t>
  </si>
  <si>
    <t>回复数</t>
  </si>
  <si>
    <t>11~15</t>
  </si>
  <si>
    <t>16~30</t>
  </si>
  <si>
    <t>31~100</t>
  </si>
  <si>
    <t>&gt;100</t>
  </si>
  <si>
    <t>6~10</t>
  </si>
  <si>
    <t>11~30</t>
  </si>
  <si>
    <t>posts read</t>
  </si>
  <si>
    <t>11~12</t>
  </si>
  <si>
    <t>13~15</t>
  </si>
  <si>
    <t>16~20</t>
  </si>
  <si>
    <t>21~30</t>
  </si>
  <si>
    <t>31~50</t>
  </si>
  <si>
    <t>51~100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</si>
</sst>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yyyy&quot;/&quot;m"/>
    <numFmt numFmtId="178" formatCode="yyyy&quot;-&quot;m"/>
  </numFmts>
  <fonts count="29">
    <font>
      <sz val="11"/>
      <color theme="1"/>
      <name val="等线"/>
      <charset val="134"/>
      <scheme val="minor"/>
    </font>
    <font>
      <b/>
      <sz val="11"/>
      <color theme="1"/>
      <name val="Microsoft YaHei"/>
      <charset val="134"/>
    </font>
    <font>
      <b/>
      <sz val="10"/>
      <color theme="1"/>
      <name val="Microsoft YaHei"/>
      <charset val="134"/>
    </font>
    <font>
      <sz val="10"/>
      <color theme="1"/>
      <name val="Microsoft YaHei"/>
      <charset val="134"/>
    </font>
    <font>
      <b/>
      <sz val="11"/>
      <color rgb="FF000000"/>
      <name val="Microsoft YaHei"/>
      <charset val="134"/>
    </font>
    <font>
      <b/>
      <sz val="10"/>
      <color theme="1"/>
      <name val="华文仿宋"/>
      <charset val="134"/>
    </font>
    <font>
      <sz val="12"/>
      <name val="宋体"/>
      <charset val="134"/>
    </font>
    <font>
      <b/>
      <sz val="8"/>
      <color theme="1"/>
      <name val="Microsoft YaHei"/>
      <charset val="134"/>
    </font>
    <font>
      <sz val="12"/>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Calibri"/>
      <charset val="134"/>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medium">
        <color rgb="FF595959"/>
      </left>
      <right style="medium">
        <color theme="0"/>
      </right>
      <top style="medium">
        <color rgb="FF595959"/>
      </top>
      <bottom/>
      <diagonal/>
    </border>
    <border>
      <left style="medium">
        <color theme="0"/>
      </left>
      <right style="medium">
        <color rgb="FF595959"/>
      </right>
      <top style="medium">
        <color rgb="FF595959"/>
      </top>
      <bottom/>
      <diagonal/>
    </border>
    <border>
      <left style="medium">
        <color rgb="FF5A5A5A"/>
      </left>
      <right style="thin">
        <color rgb="FFEBEBEB"/>
      </right>
      <top/>
      <bottom style="thin">
        <color rgb="FFEBEBEB"/>
      </bottom>
      <diagonal/>
    </border>
    <border>
      <left style="thin">
        <color rgb="FFEBEBEB"/>
      </left>
      <right style="medium">
        <color rgb="FF5A5A5A"/>
      </right>
      <top/>
      <bottom style="thin">
        <color rgb="FFEBEBEB"/>
      </bottom>
      <diagonal/>
    </border>
    <border>
      <left style="medium">
        <color rgb="FF5A5A5A"/>
      </left>
      <right style="thin">
        <color rgb="FFEBEBEB"/>
      </right>
      <top style="thin">
        <color rgb="FFEBEBEB"/>
      </top>
      <bottom style="thin">
        <color rgb="FFEBEBEB"/>
      </bottom>
      <diagonal/>
    </border>
    <border>
      <left style="thin">
        <color rgb="FFEBEBEB"/>
      </left>
      <right style="medium">
        <color rgb="FF5A5A5A"/>
      </right>
      <top style="thin">
        <color rgb="FFEBEBEB"/>
      </top>
      <bottom style="thin">
        <color rgb="FFEBEBEB"/>
      </bottom>
      <diagonal/>
    </border>
    <border>
      <left style="medium">
        <color rgb="FF5A5A5A"/>
      </left>
      <right style="thin">
        <color rgb="FFEBEBEB"/>
      </right>
      <top style="thin">
        <color rgb="FFEBEBEB"/>
      </top>
      <bottom style="medium">
        <color rgb="FF5A5A5A"/>
      </bottom>
      <diagonal/>
    </border>
    <border>
      <left style="thin">
        <color rgb="FFEBEBEB"/>
      </left>
      <right style="medium">
        <color rgb="FF5A5A5A"/>
      </right>
      <top style="thin">
        <color rgb="FFEBEBEB"/>
      </top>
      <bottom style="medium">
        <color rgb="FF5A5A5A"/>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style="medium">
        <color theme="0"/>
      </right>
      <top style="medium">
        <color rgb="FF595959"/>
      </top>
      <bottom/>
      <diagonal/>
    </border>
    <border>
      <left style="thin">
        <color rgb="FFEBEBEB"/>
      </left>
      <right style="thin">
        <color rgb="FFEBEBEB"/>
      </right>
      <top/>
      <bottom style="thin">
        <color rgb="FFEBEBEB"/>
      </bottom>
      <diagonal/>
    </border>
    <border>
      <left/>
      <right style="thin">
        <color auto="1"/>
      </right>
      <top/>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EBEBEB"/>
      </top>
      <bottom style="medium">
        <color rgb="FF5A5A5A"/>
      </bottom>
      <diagonal/>
    </border>
    <border>
      <left/>
      <right style="thin">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2" applyNumberFormat="0" applyFill="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6" fillId="0" borderId="0" applyNumberFormat="0" applyFill="0" applyBorder="0" applyAlignment="0" applyProtection="0">
      <alignment vertical="center"/>
    </xf>
    <xf numFmtId="0" fontId="17" fillId="4" borderId="24" applyNumberFormat="0" applyAlignment="0" applyProtection="0">
      <alignment vertical="center"/>
    </xf>
    <xf numFmtId="0" fontId="18" fillId="5" borderId="25" applyNumberFormat="0" applyAlignment="0" applyProtection="0">
      <alignment vertical="center"/>
    </xf>
    <xf numFmtId="0" fontId="19" fillId="5" borderId="24" applyNumberFormat="0" applyAlignment="0" applyProtection="0">
      <alignment vertical="center"/>
    </xf>
    <xf numFmtId="0" fontId="20" fillId="6" borderId="26" applyNumberFormat="0" applyAlignment="0" applyProtection="0">
      <alignment vertical="center"/>
    </xf>
    <xf numFmtId="0" fontId="21" fillId="0" borderId="27" applyNumberFormat="0" applyFill="0" applyAlignment="0" applyProtection="0">
      <alignment vertical="center"/>
    </xf>
    <xf numFmtId="0" fontId="22" fillId="0" borderId="2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59">
    <xf numFmtId="0" fontId="0" fillId="0" borderId="0" xfId="0">
      <alignment vertical="center"/>
    </xf>
    <xf numFmtId="0" fontId="0" fillId="0" borderId="0" xfId="0" applyFill="1" applyAlignment="1">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0" fillId="0" borderId="0" xfId="0" applyNumberFormat="1">
      <alignment vertical="center"/>
    </xf>
    <xf numFmtId="0" fontId="4" fillId="2" borderId="1"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3" fillId="0" borderId="7"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176" fontId="0" fillId="0" borderId="0" xfId="0" applyNumberFormat="1">
      <alignment vertical="center"/>
    </xf>
    <xf numFmtId="0" fontId="6" fillId="0" borderId="0" xfId="0" applyFont="1" applyFill="1" applyBorder="1" applyAlignment="1">
      <alignment vertical="center"/>
    </xf>
    <xf numFmtId="0" fontId="7" fillId="0" borderId="0" xfId="0" applyFont="1" applyFill="1" applyBorder="1" applyAlignment="1">
      <alignment horizontal="center" vertical="center" wrapText="1"/>
    </xf>
    <xf numFmtId="0" fontId="8" fillId="0" borderId="0" xfId="0" applyFont="1" applyAlignment="1">
      <alignment horizontal="justify" vertical="center"/>
    </xf>
    <xf numFmtId="0" fontId="3" fillId="0" borderId="0" xfId="0" applyNumberFormat="1" applyFont="1" applyFill="1" applyAlignment="1">
      <alignment horizontal="center" vertical="center" wrapText="1"/>
    </xf>
    <xf numFmtId="177" fontId="3" fillId="0" borderId="0" xfId="0" applyNumberFormat="1" applyFont="1" applyFill="1" applyAlignment="1">
      <alignment horizontal="center" vertical="center" wrapText="1"/>
    </xf>
    <xf numFmtId="177" fontId="0" fillId="0" borderId="0" xfId="0" applyNumberFormat="1" applyFill="1" applyAlignment="1">
      <alignment vertical="center"/>
    </xf>
    <xf numFmtId="177"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9" xfId="0" applyBorder="1">
      <alignment vertical="center"/>
    </xf>
    <xf numFmtId="0" fontId="0" fillId="0" borderId="10" xfId="0" applyBorder="1">
      <alignment vertical="center"/>
    </xf>
    <xf numFmtId="0" fontId="0" fillId="0" borderId="11" xfId="0" applyFill="1" applyBorder="1" applyAlignment="1"/>
    <xf numFmtId="0" fontId="0" fillId="0" borderId="0" xfId="0" applyFill="1" applyAlignment="1"/>
    <xf numFmtId="0" fontId="0" fillId="0" borderId="12" xfId="0" applyFill="1" applyBorder="1" applyAlignment="1"/>
    <xf numFmtId="0" fontId="0" fillId="0" borderId="13" xfId="0" applyFill="1" applyBorder="1" applyAlignment="1"/>
    <xf numFmtId="0" fontId="4" fillId="2" borderId="14" xfId="0" applyFont="1" applyFill="1" applyBorder="1" applyAlignment="1">
      <alignment horizontal="center" vertical="center" wrapText="1"/>
    </xf>
    <xf numFmtId="0" fontId="3" fillId="0" borderId="15" xfId="0" applyFont="1" applyFill="1" applyBorder="1" applyAlignment="1">
      <alignment horizontal="center" vertical="center" wrapText="1"/>
    </xf>
    <xf numFmtId="10" fontId="0" fillId="0" borderId="16" xfId="0" applyNumberFormat="1" applyFill="1" applyBorder="1" applyAlignment="1"/>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10" fontId="0" fillId="0" borderId="19" xfId="0" applyNumberFormat="1" applyFill="1" applyBorder="1" applyAlignment="1"/>
    <xf numFmtId="10" fontId="0" fillId="0" borderId="0" xfId="0" applyNumberFormat="1">
      <alignment vertical="center"/>
    </xf>
    <xf numFmtId="10" fontId="0" fillId="0" borderId="20" xfId="0" applyNumberFormat="1" applyBorder="1">
      <alignment vertical="center"/>
    </xf>
    <xf numFmtId="0" fontId="0" fillId="0" borderId="20" xfId="0" applyBorder="1">
      <alignment vertical="center"/>
    </xf>
    <xf numFmtId="0" fontId="0" fillId="0" borderId="16" xfId="0" applyFill="1" applyBorder="1" applyAlignment="1"/>
    <xf numFmtId="0" fontId="0" fillId="0" borderId="19" xfId="0" applyFill="1" applyBorder="1" applyAlignment="1"/>
    <xf numFmtId="10" fontId="4" fillId="2" borderId="2" xfId="0" applyNumberFormat="1" applyFont="1" applyFill="1" applyBorder="1" applyAlignment="1">
      <alignment horizontal="center" vertical="center" wrapText="1"/>
    </xf>
    <xf numFmtId="10" fontId="3" fillId="0" borderId="4" xfId="0" applyNumberFormat="1" applyFont="1" applyFill="1" applyBorder="1" applyAlignment="1">
      <alignment horizontal="center" vertical="center" wrapText="1"/>
    </xf>
    <xf numFmtId="10" fontId="3" fillId="0" borderId="6" xfId="0" applyNumberFormat="1" applyFont="1" applyFill="1" applyBorder="1" applyAlignment="1">
      <alignment horizontal="center" vertical="center" wrapText="1"/>
    </xf>
    <xf numFmtId="10" fontId="3" fillId="0" borderId="8" xfId="0" applyNumberFormat="1" applyFont="1" applyFill="1" applyBorder="1" applyAlignment="1">
      <alignment horizontal="center" vertical="center" wrapText="1"/>
    </xf>
    <xf numFmtId="0" fontId="1" fillId="0" borderId="0" xfId="0" applyFont="1" applyAlignment="1">
      <alignment horizontal="center" vertical="center" wrapText="1"/>
    </xf>
    <xf numFmtId="178" fontId="1" fillId="0" borderId="0" xfId="0" applyNumberFormat="1" applyFont="1" applyAlignment="1">
      <alignment horizontal="center" vertical="center" wrapText="1"/>
    </xf>
    <xf numFmtId="17" fontId="2" fillId="0" borderId="0" xfId="0" applyNumberFormat="1" applyFont="1" applyAlignment="1">
      <alignment horizontal="center" vertical="center" wrapText="1"/>
    </xf>
    <xf numFmtId="0" fontId="3" fillId="0" borderId="0" xfId="0" applyFont="1" applyAlignment="1">
      <alignment horizontal="center" vertical="center" wrapText="1"/>
    </xf>
    <xf numFmtId="177" fontId="4" fillId="2" borderId="1" xfId="0" applyNumberFormat="1" applyFont="1" applyFill="1" applyBorder="1" applyAlignment="1">
      <alignment horizontal="center" vertical="center" wrapText="1"/>
    </xf>
    <xf numFmtId="177" fontId="3" fillId="0" borderId="3"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ont>
        <b val="1"/>
        <i val="0"/>
        <u val="none"/>
        <sz val="11"/>
        <color rgb="FF000000"/>
      </font>
      <fill>
        <patternFill patternType="solid">
          <bgColor rgb="FFD9D9D9"/>
        </patternFill>
      </fill>
      <border>
        <left style="medium">
          <color rgb="FF595959"/>
        </left>
        <right style="medium">
          <color rgb="FF595959"/>
        </right>
        <top style="medium">
          <color rgb="FF595959"/>
        </top>
        <bottom/>
        <vertical style="medium">
          <color theme="0"/>
        </vertical>
        <horizontal/>
      </border>
    </dxf>
    <dxf>
      <fill>
        <patternFill patternType="none"/>
      </fill>
      <border>
        <left style="medium">
          <color rgb="FF5A5A5A"/>
        </left>
        <right style="medium">
          <color rgb="FF5A5A5A"/>
        </right>
        <top style="medium">
          <color rgb="FF5A5A5A"/>
        </top>
        <bottom style="medium">
          <color rgb="FF5A5A5A"/>
        </bottom>
        <vertical style="thin">
          <color rgb="FFEBEBEB"/>
        </vertical>
        <horizontal style="thin">
          <color rgb="FFEBEBEB"/>
        </horizontal>
      </border>
    </dxf>
  </dxfs>
  <tableStyles count="2" defaultTableStyle="TableStyleMedium2" defaultPivotStyle="PivotStyleLight16">
    <tableStyle name="橙色中色系标题行表格样式" count="2" xr9:uid="{0F757EFB-49F3-4FC9-A54B-48BFCC3B7FF4}">
      <tableStyleElement type="wholeTable" dxfId="1"/>
      <tableStyleElement type="headerRow" dxfId="0"/>
    </tableStyle>
    <tableStyle name="黑色浅色系标题行表格样式" count="2" xr9:uid="{B0A886F7-2E8E-4CFE-B0E3-8BA26081FB26}">
      <tableStyleElement type="wholeTable" dxfId="3"/>
      <tableStyleElement type="headerRow" dxfId="2"/>
    </tableStyle>
  </tableStyles>
  <colors>
    <mruColors>
      <color rgb="0083BD8C"/>
      <color rgb="004F80BD"/>
      <color rgb="000070C0"/>
      <color rgb="00EF6DF7"/>
      <color rgb="00CB6DF7"/>
      <color rgb="00F45AA6"/>
      <color rgb="00F3EDF8"/>
      <color rgb="00FEE7EA"/>
      <color rgb="00FFE5FF"/>
      <color rgb="00F73A0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8.xml"/></Relationships>
</file>

<file path=xl/charts/_rels/chart10.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themeOverride" Target="../theme/themeOverride9.xml"/></Relationships>
</file>

<file path=xl/charts/_rels/chart11.xml.rels><?xml version="1.0" encoding="UTF-8" standalone="yes"?>
<Relationships xmlns="http://schemas.openxmlformats.org/package/2006/relationships"><Relationship Id="rId3" Type="http://schemas.microsoft.com/office/2011/relationships/chartColorStyle" Target="colors11.xml"/><Relationship Id="rId2" Type="http://schemas.microsoft.com/office/2011/relationships/chartStyle" Target="style11.xml"/><Relationship Id="rId1" Type="http://schemas.openxmlformats.org/officeDocument/2006/relationships/themeOverride" Target="../theme/themeOverride10.xml"/></Relationships>
</file>

<file path=xl/charts/_rels/chart12.xml.rels><?xml version="1.0" encoding="UTF-8" standalone="yes"?>
<Relationships xmlns="http://schemas.openxmlformats.org/package/2006/relationships"><Relationship Id="rId3" Type="http://schemas.microsoft.com/office/2011/relationships/chartColorStyle" Target="colors12.xml"/><Relationship Id="rId2" Type="http://schemas.microsoft.com/office/2011/relationships/chartStyle" Target="style12.xml"/><Relationship Id="rId1" Type="http://schemas.openxmlformats.org/officeDocument/2006/relationships/themeOverride" Target="../theme/themeOverride11.xml"/></Relationships>
</file>

<file path=xl/charts/_rels/chart13.xml.rels><?xml version="1.0" encoding="UTF-8" standalone="yes"?>
<Relationships xmlns="http://schemas.openxmlformats.org/package/2006/relationships"><Relationship Id="rId3" Type="http://schemas.microsoft.com/office/2011/relationships/chartColorStyle" Target="colors13.xml"/><Relationship Id="rId2" Type="http://schemas.microsoft.com/office/2011/relationships/chartStyle" Target="style13.xml"/><Relationship Id="rId1" Type="http://schemas.openxmlformats.org/officeDocument/2006/relationships/themeOverride" Target="../theme/themeOverride12.xml"/></Relationships>
</file>

<file path=xl/charts/_rels/chart14.xml.rels><?xml version="1.0" encoding="UTF-8" standalone="yes"?>
<Relationships xmlns="http://schemas.openxmlformats.org/package/2006/relationships"><Relationship Id="rId3" Type="http://schemas.microsoft.com/office/2011/relationships/chartColorStyle" Target="colors14.xml"/><Relationship Id="rId2" Type="http://schemas.microsoft.com/office/2011/relationships/chartStyle" Target="style14.xml"/><Relationship Id="rId1" Type="http://schemas.openxmlformats.org/officeDocument/2006/relationships/themeOverride" Target="../theme/themeOverrid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200" b="0" i="0" u="none" strike="noStrike" kern="1200" cap="none" spc="50" baseline="0">
                <a:solidFill>
                  <a:schemeClr val="tx1"/>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sz="1400" b="0">
                <a:latin typeface="华文楷体" panose="02010600040101010101" charset="-122"/>
                <a:ea typeface="华文楷体" panose="02010600040101010101" charset="-122"/>
                <a:cs typeface="华文楷体" panose="02010600040101010101" charset="-122"/>
                <a:sym typeface="华文楷体" panose="02010600040101010101" charset="-122"/>
              </a:rPr>
              <a:t>每月增加的帖子数量 </a:t>
            </a:r>
            <a:endParaRPr sz="1400" b="0">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barChart>
        <c:barDir val="col"/>
        <c:grouping val="clustered"/>
        <c:varyColors val="0"/>
        <c:ser>
          <c:idx val="0"/>
          <c:order val="0"/>
          <c:tx>
            <c:strRef>
              <c:f>Sheet1!$B$1:$B$37</c:f>
              <c:strCache>
                <c:ptCount val="1"/>
                <c:pt idx="0">
                  <c:v>帖子数量/个 1 5 80 141 146 163 211 205 136 113 114 100 70 69 128 128 137 140 148 135 164 139 428 738 811 1814 1584 1740 1179 1089 964 1029 1140 3131 1776 979</c:v>
                </c:pt>
              </c:strCache>
            </c:strRef>
          </c:tx>
          <c:spPr>
            <a:noFill/>
            <a:ln w="25400" cap="flat" cmpd="sng" algn="ctr">
              <a:solidFill>
                <a:schemeClr val="accent1"/>
              </a:solidFill>
              <a:miter lim="800000"/>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Sheet1!$A$2:$A$38</c:f>
              <c:strCache>
                <c:ptCount val="37"/>
                <c:pt idx="0" c:formatCode="yyyy&quot;/&quot;m">
                  <c:v>2021/2</c:v>
                </c:pt>
                <c:pt idx="1" c:formatCode="yyyy&quot;/&quot;m">
                  <c:v>2021/3</c:v>
                </c:pt>
                <c:pt idx="2" c:formatCode="yyyy&quot;/&quot;m">
                  <c:v>2021/4</c:v>
                </c:pt>
                <c:pt idx="3" c:formatCode="yyyy&quot;/&quot;m">
                  <c:v>2021/5</c:v>
                </c:pt>
                <c:pt idx="4" c:formatCode="yyyy&quot;/&quot;m">
                  <c:v>2021/6</c:v>
                </c:pt>
                <c:pt idx="5" c:formatCode="yyyy&quot;/&quot;m">
                  <c:v>2021/7</c:v>
                </c:pt>
                <c:pt idx="6" c:formatCode="yyyy&quot;/&quot;m">
                  <c:v>2021/8</c:v>
                </c:pt>
                <c:pt idx="7" c:formatCode="yyyy&quot;/&quot;m">
                  <c:v>2021/9</c:v>
                </c:pt>
                <c:pt idx="8" c:formatCode="yyyy&quot;/&quot;m">
                  <c:v>2021/10</c:v>
                </c:pt>
                <c:pt idx="9" c:formatCode="yyyy&quot;/&quot;m">
                  <c:v>2021/11</c:v>
                </c:pt>
                <c:pt idx="10" c:formatCode="yyyy&quot;/&quot;m">
                  <c:v>2021/12</c:v>
                </c:pt>
                <c:pt idx="11" c:formatCode="yyyy&quot;/&quot;m">
                  <c:v>2022/1</c:v>
                </c:pt>
                <c:pt idx="12" c:formatCode="yyyy&quot;/&quot;m">
                  <c:v>2022/2</c:v>
                </c:pt>
                <c:pt idx="13" c:formatCode="yyyy&quot;/&quot;m">
                  <c:v>2022/3</c:v>
                </c:pt>
                <c:pt idx="14" c:formatCode="yyyy&quot;/&quot;m">
                  <c:v>2022/4</c:v>
                </c:pt>
                <c:pt idx="15" c:formatCode="yyyy&quot;/&quot;m">
                  <c:v>2022/5</c:v>
                </c:pt>
                <c:pt idx="16" c:formatCode="yyyy&quot;/&quot;m">
                  <c:v>2022/6</c:v>
                </c:pt>
                <c:pt idx="17" c:formatCode="yyyy&quot;/&quot;m">
                  <c:v>2022/7</c:v>
                </c:pt>
                <c:pt idx="18" c:formatCode="yyyy&quot;/&quot;m">
                  <c:v>2022/8</c:v>
                </c:pt>
                <c:pt idx="19" c:formatCode="yyyy&quot;/&quot;m">
                  <c:v>2022/9</c:v>
                </c:pt>
                <c:pt idx="20" c:formatCode="yyyy&quot;/&quot;m">
                  <c:v>2022/10</c:v>
                </c:pt>
                <c:pt idx="21" c:formatCode="yyyy&quot;/&quot;m">
                  <c:v>2022/11</c:v>
                </c:pt>
                <c:pt idx="22" c:formatCode="yyyy&quot;/&quot;m">
                  <c:v>2022/12</c:v>
                </c:pt>
                <c:pt idx="23" c:formatCode="yyyy&quot;/&quot;m">
                  <c:v>2023/1</c:v>
                </c:pt>
                <c:pt idx="24" c:formatCode="yyyy&quot;/&quot;m">
                  <c:v>2023/2</c:v>
                </c:pt>
                <c:pt idx="25" c:formatCode="yyyy&quot;/&quot;m">
                  <c:v>2023/3</c:v>
                </c:pt>
                <c:pt idx="26" c:formatCode="yyyy&quot;/&quot;m">
                  <c:v>2023/4</c:v>
                </c:pt>
                <c:pt idx="27" c:formatCode="yyyy&quot;/&quot;m">
                  <c:v>2023/5</c:v>
                </c:pt>
                <c:pt idx="28" c:formatCode="yyyy&quot;/&quot;m">
                  <c:v>2023/6</c:v>
                </c:pt>
                <c:pt idx="29" c:formatCode="yyyy&quot;/&quot;m">
                  <c:v>2023/7</c:v>
                </c:pt>
                <c:pt idx="30" c:formatCode="yyyy&quot;/&quot;m">
                  <c:v>2023/8</c:v>
                </c:pt>
                <c:pt idx="31" c:formatCode="yyyy&quot;/&quot;m">
                  <c:v>2023/9</c:v>
                </c:pt>
                <c:pt idx="32" c:formatCode="yyyy&quot;/&quot;m">
                  <c:v>2023/10</c:v>
                </c:pt>
                <c:pt idx="33" c:formatCode="yyyy&quot;/&quot;m">
                  <c:v>2023/11</c:v>
                </c:pt>
                <c:pt idx="34" c:formatCode="yyyy&quot;/&quot;m">
                  <c:v>2023/12</c:v>
                </c:pt>
                <c:pt idx="35" c:formatCode="yyyy&quot;/&quot;m">
                  <c:v>2024/1</c:v>
                </c:pt>
                <c:pt idx="36" c:formatCode="yyyy&quot;/&quot;m">
                  <c:v>总计数</c:v>
                </c:pt>
              </c:strCache>
            </c:strRef>
          </c:cat>
          <c:val>
            <c:numRef>
              <c:f>Sheet1!$B$2:$B$37</c:f>
              <c:numCache>
                <c:formatCode>General</c:formatCode>
                <c:ptCount val="36"/>
                <c:pt idx="0">
                  <c:v>1</c:v>
                </c:pt>
                <c:pt idx="1">
                  <c:v>5</c:v>
                </c:pt>
                <c:pt idx="2">
                  <c:v>80</c:v>
                </c:pt>
                <c:pt idx="3">
                  <c:v>141</c:v>
                </c:pt>
                <c:pt idx="4">
                  <c:v>146</c:v>
                </c:pt>
                <c:pt idx="5">
                  <c:v>163</c:v>
                </c:pt>
                <c:pt idx="6">
                  <c:v>211</c:v>
                </c:pt>
                <c:pt idx="7">
                  <c:v>205</c:v>
                </c:pt>
                <c:pt idx="8">
                  <c:v>136</c:v>
                </c:pt>
                <c:pt idx="9">
                  <c:v>113</c:v>
                </c:pt>
                <c:pt idx="10">
                  <c:v>114</c:v>
                </c:pt>
                <c:pt idx="11">
                  <c:v>100</c:v>
                </c:pt>
                <c:pt idx="12">
                  <c:v>70</c:v>
                </c:pt>
                <c:pt idx="13">
                  <c:v>69</c:v>
                </c:pt>
                <c:pt idx="14">
                  <c:v>128</c:v>
                </c:pt>
                <c:pt idx="15">
                  <c:v>128</c:v>
                </c:pt>
                <c:pt idx="16">
                  <c:v>137</c:v>
                </c:pt>
                <c:pt idx="17">
                  <c:v>140</c:v>
                </c:pt>
                <c:pt idx="18">
                  <c:v>148</c:v>
                </c:pt>
                <c:pt idx="19">
                  <c:v>135</c:v>
                </c:pt>
                <c:pt idx="20">
                  <c:v>164</c:v>
                </c:pt>
                <c:pt idx="21">
                  <c:v>139</c:v>
                </c:pt>
                <c:pt idx="22">
                  <c:v>428</c:v>
                </c:pt>
                <c:pt idx="23">
                  <c:v>738</c:v>
                </c:pt>
                <c:pt idx="24">
                  <c:v>811</c:v>
                </c:pt>
                <c:pt idx="25">
                  <c:v>1814</c:v>
                </c:pt>
                <c:pt idx="26">
                  <c:v>1584</c:v>
                </c:pt>
                <c:pt idx="27">
                  <c:v>1740</c:v>
                </c:pt>
                <c:pt idx="28">
                  <c:v>1179</c:v>
                </c:pt>
                <c:pt idx="29">
                  <c:v>1089</c:v>
                </c:pt>
                <c:pt idx="30">
                  <c:v>964</c:v>
                </c:pt>
                <c:pt idx="31">
                  <c:v>1029</c:v>
                </c:pt>
                <c:pt idx="32">
                  <c:v>1140</c:v>
                </c:pt>
                <c:pt idx="33">
                  <c:v>3131</c:v>
                </c:pt>
                <c:pt idx="34">
                  <c:v>1776</c:v>
                </c:pt>
                <c:pt idx="35">
                  <c:v>979</c:v>
                </c:pt>
              </c:numCache>
            </c:numRef>
          </c:val>
        </c:ser>
        <c:dLbls>
          <c:showLegendKey val="0"/>
          <c:showVal val="1"/>
          <c:showCatName val="0"/>
          <c:showSerName val="0"/>
          <c:showPercent val="0"/>
          <c:showBubbleSize val="0"/>
        </c:dLbls>
        <c:gapWidth val="164"/>
        <c:overlap val="-35"/>
        <c:axId val="796209183"/>
        <c:axId val="796208767"/>
      </c:barChart>
      <c:catAx>
        <c:axId val="796209183"/>
        <c:scaling>
          <c:orientation val="minMax"/>
        </c:scaling>
        <c:delete val="0"/>
        <c:axPos val="b"/>
        <c:numFmt formatCode="General" sourceLinked="1"/>
        <c:majorTickMark val="none"/>
        <c:minorTickMark val="none"/>
        <c:tickLblPos val="nextTo"/>
        <c:spPr>
          <a:noFill/>
          <a:ln w="25400">
            <a:solidFill>
              <a:schemeClr val="bg1"/>
            </a:solid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796208767"/>
        <c:crosses val="autoZero"/>
        <c:auto val="1"/>
        <c:lblAlgn val="ctr"/>
        <c:lblOffset val="100"/>
        <c:noMultiLvlLbl val="0"/>
      </c:catAx>
      <c:valAx>
        <c:axId val="79620876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79620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sz="1000" b="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cap="none" spc="50" baseline="0">
                <a:solidFill>
                  <a:schemeClr val="tx1"/>
                </a:solidFill>
                <a:latin typeface="+mn-lt"/>
                <a:ea typeface="+mn-ea"/>
                <a:cs typeface="+mn-cs"/>
              </a:defRPr>
            </a:pPr>
            <a:r>
              <a:rPr b="1">
                <a:latin typeface="仿宋" panose="02010609060101010101" charset="-122"/>
                <a:ea typeface="仿宋" panose="02010609060101010101" charset="-122"/>
              </a:rPr>
              <a:t>每月的总帖子数量</a:t>
            </a:r>
            <a:endParaRPr b="1">
              <a:latin typeface="仿宋" panose="02010609060101010101" charset="-122"/>
              <a:ea typeface="仿宋" panose="02010609060101010101" charset="-122"/>
            </a:endParaRPr>
          </a:p>
        </c:rich>
      </c:tx>
      <c:layout/>
      <c:overlay val="0"/>
      <c:spPr>
        <a:noFill/>
        <a:ln>
          <a:noFill/>
        </a:ln>
        <a:effectLst/>
      </c:spPr>
    </c:title>
    <c:autoTitleDeleted val="0"/>
    <c:plotArea>
      <c:layout/>
      <c:barChart>
        <c:barDir val="col"/>
        <c:grouping val="clustered"/>
        <c:varyColors val="0"/>
        <c:ser>
          <c:idx val="0"/>
          <c:order val="0"/>
          <c:tx>
            <c:strRef>
              <c:f>Sheet1!$C$1</c:f>
              <c:strCache>
                <c:ptCount val="1"/>
                <c:pt idx="0">
                  <c:v>总帖子数量/个</c:v>
                </c:pt>
              </c:strCache>
            </c:strRef>
          </c:tx>
          <c:spPr>
            <a:noFill/>
            <a:ln w="25400" cap="flat" cmpd="sng" algn="ctr">
              <a:solidFill>
                <a:srgbClr val="4F80BD"/>
              </a:solidFill>
              <a:miter lim="800000"/>
            </a:ln>
            <a:effectLst/>
          </c:spPr>
          <c:invertIfNegative val="0"/>
          <c:dLbls>
            <c:delete val="1"/>
          </c:dLbls>
          <c:cat>
            <c:numRef>
              <c:f>Sheet1!$A$2:$A$37</c:f>
              <c:numCache>
                <c:formatCode>yyyy"/"m</c:formatCode>
                <c:ptCount val="36"/>
                <c:pt idx="0" c:formatCode="yyyy&quot;/&quot;m">
                  <c:v>44228</c:v>
                </c:pt>
                <c:pt idx="1" c:formatCode="yyyy&quot;/&quot;m">
                  <c:v>44256</c:v>
                </c:pt>
                <c:pt idx="2" c:formatCode="yyyy&quot;/&quot;m">
                  <c:v>44287</c:v>
                </c:pt>
                <c:pt idx="3" c:formatCode="yyyy&quot;/&quot;m">
                  <c:v>44317</c:v>
                </c:pt>
                <c:pt idx="4" c:formatCode="yyyy&quot;/&quot;m">
                  <c:v>44348</c:v>
                </c:pt>
                <c:pt idx="5" c:formatCode="yyyy&quot;/&quot;m">
                  <c:v>44378</c:v>
                </c:pt>
                <c:pt idx="6" c:formatCode="yyyy&quot;/&quot;m">
                  <c:v>44409</c:v>
                </c:pt>
                <c:pt idx="7" c:formatCode="yyyy&quot;/&quot;m">
                  <c:v>44440</c:v>
                </c:pt>
                <c:pt idx="8" c:formatCode="yyyy&quot;/&quot;m">
                  <c:v>44470</c:v>
                </c:pt>
                <c:pt idx="9" c:formatCode="yyyy&quot;/&quot;m">
                  <c:v>44501</c:v>
                </c:pt>
                <c:pt idx="10" c:formatCode="yyyy&quot;/&quot;m">
                  <c:v>44531</c:v>
                </c:pt>
                <c:pt idx="11" c:formatCode="yyyy&quot;/&quot;m">
                  <c:v>44562</c:v>
                </c:pt>
                <c:pt idx="12" c:formatCode="yyyy&quot;/&quot;m">
                  <c:v>44593</c:v>
                </c:pt>
                <c:pt idx="13" c:formatCode="yyyy&quot;/&quot;m">
                  <c:v>44621</c:v>
                </c:pt>
                <c:pt idx="14" c:formatCode="yyyy&quot;/&quot;m">
                  <c:v>44652</c:v>
                </c:pt>
                <c:pt idx="15" c:formatCode="yyyy&quot;/&quot;m">
                  <c:v>44682</c:v>
                </c:pt>
                <c:pt idx="16" c:formatCode="yyyy&quot;/&quot;m">
                  <c:v>44713</c:v>
                </c:pt>
                <c:pt idx="17" c:formatCode="yyyy&quot;/&quot;m">
                  <c:v>44743</c:v>
                </c:pt>
                <c:pt idx="18" c:formatCode="yyyy&quot;/&quot;m">
                  <c:v>44774</c:v>
                </c:pt>
                <c:pt idx="19" c:formatCode="yyyy&quot;/&quot;m">
                  <c:v>44805</c:v>
                </c:pt>
                <c:pt idx="20" c:formatCode="yyyy&quot;/&quot;m">
                  <c:v>44835</c:v>
                </c:pt>
                <c:pt idx="21" c:formatCode="yyyy&quot;/&quot;m">
                  <c:v>44866</c:v>
                </c:pt>
                <c:pt idx="22" c:formatCode="yyyy&quot;/&quot;m">
                  <c:v>44896</c:v>
                </c:pt>
                <c:pt idx="23" c:formatCode="yyyy&quot;/&quot;m">
                  <c:v>44927</c:v>
                </c:pt>
                <c:pt idx="24" c:formatCode="yyyy&quot;/&quot;m">
                  <c:v>44958</c:v>
                </c:pt>
                <c:pt idx="25" c:formatCode="yyyy&quot;/&quot;m">
                  <c:v>44986</c:v>
                </c:pt>
                <c:pt idx="26" c:formatCode="yyyy&quot;/&quot;m">
                  <c:v>45017</c:v>
                </c:pt>
                <c:pt idx="27" c:formatCode="yyyy&quot;/&quot;m">
                  <c:v>45047</c:v>
                </c:pt>
                <c:pt idx="28" c:formatCode="yyyy&quot;/&quot;m">
                  <c:v>45078</c:v>
                </c:pt>
                <c:pt idx="29" c:formatCode="yyyy&quot;/&quot;m">
                  <c:v>45108</c:v>
                </c:pt>
                <c:pt idx="30" c:formatCode="yyyy&quot;/&quot;m">
                  <c:v>45139</c:v>
                </c:pt>
                <c:pt idx="31" c:formatCode="yyyy&quot;/&quot;m">
                  <c:v>45170</c:v>
                </c:pt>
                <c:pt idx="32" c:formatCode="yyyy&quot;/&quot;m">
                  <c:v>45200</c:v>
                </c:pt>
                <c:pt idx="33" c:formatCode="yyyy&quot;/&quot;m">
                  <c:v>45231</c:v>
                </c:pt>
                <c:pt idx="34" c:formatCode="yyyy&quot;/&quot;m">
                  <c:v>45261</c:v>
                </c:pt>
                <c:pt idx="35" c:formatCode="yyyy&quot;/&quot;m">
                  <c:v>45292</c:v>
                </c:pt>
              </c:numCache>
            </c:numRef>
          </c:cat>
          <c:val>
            <c:numRef>
              <c:f>Sheet1!$C$2:$C$37</c:f>
              <c:numCache>
                <c:formatCode>General</c:formatCode>
                <c:ptCount val="36"/>
                <c:pt idx="0">
                  <c:v>1</c:v>
                </c:pt>
                <c:pt idx="1">
                  <c:v>6</c:v>
                </c:pt>
                <c:pt idx="2">
                  <c:v>86</c:v>
                </c:pt>
                <c:pt idx="3">
                  <c:v>227</c:v>
                </c:pt>
                <c:pt idx="4">
                  <c:v>373</c:v>
                </c:pt>
                <c:pt idx="5">
                  <c:v>536</c:v>
                </c:pt>
                <c:pt idx="6">
                  <c:v>747</c:v>
                </c:pt>
                <c:pt idx="7">
                  <c:v>952</c:v>
                </c:pt>
                <c:pt idx="8">
                  <c:v>1088</c:v>
                </c:pt>
                <c:pt idx="9">
                  <c:v>1201</c:v>
                </c:pt>
                <c:pt idx="10">
                  <c:v>1315</c:v>
                </c:pt>
                <c:pt idx="11">
                  <c:v>1415</c:v>
                </c:pt>
                <c:pt idx="12">
                  <c:v>1485</c:v>
                </c:pt>
                <c:pt idx="13">
                  <c:v>1554</c:v>
                </c:pt>
                <c:pt idx="14">
                  <c:v>1682</c:v>
                </c:pt>
                <c:pt idx="15">
                  <c:v>1810</c:v>
                </c:pt>
                <c:pt idx="16">
                  <c:v>1947</c:v>
                </c:pt>
                <c:pt idx="17">
                  <c:v>2087</c:v>
                </c:pt>
                <c:pt idx="18">
                  <c:v>2235</c:v>
                </c:pt>
                <c:pt idx="19">
                  <c:v>2370</c:v>
                </c:pt>
                <c:pt idx="20">
                  <c:v>2534</c:v>
                </c:pt>
                <c:pt idx="21">
                  <c:v>2673</c:v>
                </c:pt>
                <c:pt idx="22">
                  <c:v>3101</c:v>
                </c:pt>
                <c:pt idx="23">
                  <c:v>3839</c:v>
                </c:pt>
                <c:pt idx="24">
                  <c:v>4650</c:v>
                </c:pt>
                <c:pt idx="25">
                  <c:v>6464</c:v>
                </c:pt>
                <c:pt idx="26">
                  <c:v>8048</c:v>
                </c:pt>
                <c:pt idx="27">
                  <c:v>9788</c:v>
                </c:pt>
                <c:pt idx="28">
                  <c:v>10967</c:v>
                </c:pt>
                <c:pt idx="29">
                  <c:v>12056</c:v>
                </c:pt>
                <c:pt idx="30">
                  <c:v>13020</c:v>
                </c:pt>
                <c:pt idx="31">
                  <c:v>14049</c:v>
                </c:pt>
                <c:pt idx="32">
                  <c:v>15189</c:v>
                </c:pt>
                <c:pt idx="33">
                  <c:v>18320</c:v>
                </c:pt>
                <c:pt idx="34">
                  <c:v>20096</c:v>
                </c:pt>
                <c:pt idx="35">
                  <c:v>21075</c:v>
                </c:pt>
              </c:numCache>
            </c:numRef>
          </c:val>
        </c:ser>
        <c:dLbls>
          <c:showLegendKey val="0"/>
          <c:showVal val="1"/>
          <c:showCatName val="0"/>
          <c:showSerName val="0"/>
          <c:showPercent val="0"/>
          <c:showBubbleSize val="0"/>
        </c:dLbls>
        <c:gapWidth val="164"/>
        <c:overlap val="-35"/>
        <c:axId val="715781550"/>
        <c:axId val="45199383"/>
      </c:barChart>
      <c:dateAx>
        <c:axId val="715781550"/>
        <c:scaling>
          <c:orientation val="minMax"/>
        </c:scaling>
        <c:delete val="0"/>
        <c:axPos val="b"/>
        <c:numFmt formatCode="General" sourceLinked="1"/>
        <c:majorTickMark val="none"/>
        <c:minorTickMark val="none"/>
        <c:tickLblPos val="nextTo"/>
        <c:spPr>
          <a:noFill/>
          <a:ln w="25400">
            <a:solidFill>
              <a:schemeClr val="bg1"/>
            </a:solidFill>
          </a:ln>
          <a:effectLst/>
        </c:spPr>
        <c:txPr>
          <a:bodyPr rot="-60000000" spcFirstLastPara="0" vertOverflow="ellipsis" vert="horz" wrap="square"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45199383"/>
        <c:crosses val="autoZero"/>
        <c:auto val="1"/>
        <c:lblOffset val="100"/>
        <c:baseTimeUnit val="months"/>
      </c:dateAx>
      <c:valAx>
        <c:axId val="45199383"/>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1578155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cap="none" spc="50" baseline="0">
                <a:solidFill>
                  <a:schemeClr val="tx1"/>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a:latin typeface="华文楷体" panose="02010600040101010101" charset="-122"/>
                <a:ea typeface="华文楷体" panose="02010600040101010101" charset="-122"/>
                <a:cs typeface="华文楷体" panose="02010600040101010101" charset="-122"/>
                <a:sym typeface="华文楷体" panose="02010600040101010101" charset="-122"/>
              </a:rPr>
              <a:t>每月份新注册的用户数量</a:t>
            </a:r>
            <a:endParaRPr>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barChart>
        <c:barDir val="col"/>
        <c:grouping val="clustered"/>
        <c:varyColors val="0"/>
        <c:ser>
          <c:idx val="0"/>
          <c:order val="0"/>
          <c:tx>
            <c:strRef>
              <c:f>Sheet2!$B$1</c:f>
              <c:strCache>
                <c:ptCount val="1"/>
                <c:pt idx="0">
                  <c:v>每月增加的数量/个</c:v>
                </c:pt>
              </c:strCache>
            </c:strRef>
          </c:tx>
          <c:spPr>
            <a:noFill/>
            <a:ln w="25400" cap="flat" cmpd="sng" algn="ctr">
              <a:solidFill>
                <a:srgbClr val="0070C0"/>
              </a:solidFill>
              <a:miter lim="800000"/>
            </a:ln>
            <a:effectLst/>
          </c:spPr>
          <c:invertIfNegative val="0"/>
          <c:dLbls>
            <c:delete val="1"/>
          </c:dLbls>
          <c:cat>
            <c:numRef>
              <c:f>Sheet2!$A$2:$A$37</c:f>
              <c:numCache>
                <c:formatCode>mmm/yy</c:formatCode>
                <c:ptCount val="36"/>
                <c:pt idx="0" c:formatCode="mmm/yy">
                  <c:v>44228</c:v>
                </c:pt>
                <c:pt idx="1" c:formatCode="mmm/yy">
                  <c:v>44256</c:v>
                </c:pt>
                <c:pt idx="2" c:formatCode="mmm/yy">
                  <c:v>44287</c:v>
                </c:pt>
                <c:pt idx="3" c:formatCode="mmm/yy">
                  <c:v>44317</c:v>
                </c:pt>
                <c:pt idx="4" c:formatCode="mmm/yy">
                  <c:v>44348</c:v>
                </c:pt>
                <c:pt idx="5" c:formatCode="mmm/yy">
                  <c:v>44378</c:v>
                </c:pt>
                <c:pt idx="6" c:formatCode="mmm/yy">
                  <c:v>44409</c:v>
                </c:pt>
                <c:pt idx="7" c:formatCode="mmm/yy">
                  <c:v>44440</c:v>
                </c:pt>
                <c:pt idx="8" c:formatCode="mmm/yy">
                  <c:v>44470</c:v>
                </c:pt>
                <c:pt idx="9" c:formatCode="mmm/yy">
                  <c:v>44501</c:v>
                </c:pt>
                <c:pt idx="10" c:formatCode="mmm/yy">
                  <c:v>44531</c:v>
                </c:pt>
                <c:pt idx="11" c:formatCode="mmm/yy">
                  <c:v>44562</c:v>
                </c:pt>
                <c:pt idx="12" c:formatCode="mmm/yy">
                  <c:v>44593</c:v>
                </c:pt>
                <c:pt idx="13" c:formatCode="mmm/yy">
                  <c:v>44621</c:v>
                </c:pt>
                <c:pt idx="14" c:formatCode="mmm/yy">
                  <c:v>44652</c:v>
                </c:pt>
                <c:pt idx="15" c:formatCode="mmm/yy">
                  <c:v>44682</c:v>
                </c:pt>
                <c:pt idx="16" c:formatCode="mmm/yy">
                  <c:v>44713</c:v>
                </c:pt>
                <c:pt idx="17" c:formatCode="mmm/yy">
                  <c:v>44743</c:v>
                </c:pt>
                <c:pt idx="18" c:formatCode="mmm/yy">
                  <c:v>44774</c:v>
                </c:pt>
                <c:pt idx="19" c:formatCode="mmm/yy">
                  <c:v>44805</c:v>
                </c:pt>
                <c:pt idx="20" c:formatCode="mmm/yy">
                  <c:v>44835</c:v>
                </c:pt>
                <c:pt idx="21" c:formatCode="mmm/yy">
                  <c:v>44866</c:v>
                </c:pt>
                <c:pt idx="22" c:formatCode="mmm/yy">
                  <c:v>44896</c:v>
                </c:pt>
                <c:pt idx="23" c:formatCode="mmm/yy">
                  <c:v>44927</c:v>
                </c:pt>
                <c:pt idx="24" c:formatCode="mmm/yy">
                  <c:v>44958</c:v>
                </c:pt>
                <c:pt idx="25" c:formatCode="mmm/yy">
                  <c:v>44986</c:v>
                </c:pt>
                <c:pt idx="26" c:formatCode="mmm/yy">
                  <c:v>45017</c:v>
                </c:pt>
                <c:pt idx="27" c:formatCode="mmm/yy">
                  <c:v>45047</c:v>
                </c:pt>
                <c:pt idx="28" c:formatCode="mmm/yy">
                  <c:v>45078</c:v>
                </c:pt>
                <c:pt idx="29" c:formatCode="mmm/yy">
                  <c:v>45108</c:v>
                </c:pt>
                <c:pt idx="30" c:formatCode="mmm/yy">
                  <c:v>45139</c:v>
                </c:pt>
                <c:pt idx="31" c:formatCode="mmm/yy">
                  <c:v>45170</c:v>
                </c:pt>
                <c:pt idx="32" c:formatCode="mmm/yy">
                  <c:v>45200</c:v>
                </c:pt>
                <c:pt idx="33" c:formatCode="mmm/yy">
                  <c:v>45231</c:v>
                </c:pt>
                <c:pt idx="34" c:formatCode="mmm/yy">
                  <c:v>45261</c:v>
                </c:pt>
                <c:pt idx="35" c:formatCode="mmm/yy">
                  <c:v>45292</c:v>
                </c:pt>
              </c:numCache>
            </c:numRef>
          </c:cat>
          <c:val>
            <c:numRef>
              <c:f>Sheet2!$B$2:$B$37</c:f>
              <c:numCache>
                <c:formatCode>General</c:formatCode>
                <c:ptCount val="36"/>
                <c:pt idx="0">
                  <c:v>4</c:v>
                </c:pt>
                <c:pt idx="1">
                  <c:v>25</c:v>
                </c:pt>
                <c:pt idx="2">
                  <c:v>623</c:v>
                </c:pt>
                <c:pt idx="3">
                  <c:v>570</c:v>
                </c:pt>
                <c:pt idx="4">
                  <c:v>433</c:v>
                </c:pt>
                <c:pt idx="5">
                  <c:v>454</c:v>
                </c:pt>
                <c:pt idx="6">
                  <c:v>491</c:v>
                </c:pt>
                <c:pt idx="7">
                  <c:v>509</c:v>
                </c:pt>
                <c:pt idx="8">
                  <c:v>266</c:v>
                </c:pt>
                <c:pt idx="9">
                  <c:v>228</c:v>
                </c:pt>
                <c:pt idx="10">
                  <c:v>265</c:v>
                </c:pt>
                <c:pt idx="11">
                  <c:v>309</c:v>
                </c:pt>
                <c:pt idx="12">
                  <c:v>437</c:v>
                </c:pt>
                <c:pt idx="13">
                  <c:v>467</c:v>
                </c:pt>
                <c:pt idx="14">
                  <c:v>784</c:v>
                </c:pt>
                <c:pt idx="15">
                  <c:v>509</c:v>
                </c:pt>
                <c:pt idx="16">
                  <c:v>282</c:v>
                </c:pt>
                <c:pt idx="17">
                  <c:v>450</c:v>
                </c:pt>
                <c:pt idx="18">
                  <c:v>523</c:v>
                </c:pt>
                <c:pt idx="19">
                  <c:v>429</c:v>
                </c:pt>
                <c:pt idx="20">
                  <c:v>550</c:v>
                </c:pt>
                <c:pt idx="21">
                  <c:v>614</c:v>
                </c:pt>
                <c:pt idx="22">
                  <c:v>4008</c:v>
                </c:pt>
                <c:pt idx="23">
                  <c:v>14933</c:v>
                </c:pt>
                <c:pt idx="24">
                  <c:v>28685</c:v>
                </c:pt>
                <c:pt idx="25">
                  <c:v>47123</c:v>
                </c:pt>
                <c:pt idx="26">
                  <c:v>47067</c:v>
                </c:pt>
                <c:pt idx="27">
                  <c:v>51609</c:v>
                </c:pt>
                <c:pt idx="28">
                  <c:v>35068</c:v>
                </c:pt>
                <c:pt idx="29">
                  <c:v>25223</c:v>
                </c:pt>
                <c:pt idx="30">
                  <c:v>28288</c:v>
                </c:pt>
                <c:pt idx="31">
                  <c:v>57179</c:v>
                </c:pt>
                <c:pt idx="32">
                  <c:v>52760</c:v>
                </c:pt>
                <c:pt idx="33">
                  <c:v>61750</c:v>
                </c:pt>
                <c:pt idx="34">
                  <c:v>33094</c:v>
                </c:pt>
                <c:pt idx="35">
                  <c:v>20703</c:v>
                </c:pt>
              </c:numCache>
            </c:numRef>
          </c:val>
        </c:ser>
        <c:dLbls>
          <c:showLegendKey val="0"/>
          <c:showVal val="1"/>
          <c:showCatName val="0"/>
          <c:showSerName val="0"/>
          <c:showPercent val="0"/>
          <c:showBubbleSize val="0"/>
        </c:dLbls>
        <c:gapWidth val="164"/>
        <c:overlap val="-35"/>
        <c:axId val="1582998175"/>
        <c:axId val="1582998591"/>
      </c:barChart>
      <c:dateAx>
        <c:axId val="1582998175"/>
        <c:scaling>
          <c:orientation val="minMax"/>
        </c:scaling>
        <c:delete val="0"/>
        <c:axPos val="b"/>
        <c:numFmt formatCode="General" sourceLinked="1"/>
        <c:majorTickMark val="none"/>
        <c:minorTickMark val="none"/>
        <c:tickLblPos val="nextTo"/>
        <c:spPr>
          <a:noFill/>
          <a:ln w="25400">
            <a:solidFill>
              <a:schemeClr val="bg1"/>
            </a:solidFill>
          </a:ln>
          <a:effectLst/>
        </c:spPr>
        <c:txPr>
          <a:bodyPr rot="-60000000" spcFirstLastPara="0" vertOverflow="ellipsis" vert="horz" wrap="square" anchor="ctr" anchorCtr="1" forceAA="0"/>
          <a:lstStyle/>
          <a:p>
            <a:pPr>
              <a:defRPr lang="zh-CN" sz="1000" b="1"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82998591"/>
        <c:crosses val="autoZero"/>
        <c:auto val="1"/>
        <c:lblOffset val="100"/>
        <c:baseTimeUnit val="months"/>
      </c:dateAx>
      <c:valAx>
        <c:axId val="1582998591"/>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8299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cap="none" spc="50" baseline="0">
                <a:solidFill>
                  <a:schemeClr val="tx1"/>
                </a:solidFill>
                <a:latin typeface="+mn-lt"/>
                <a:ea typeface="+mn-ea"/>
                <a:cs typeface="+mn-cs"/>
              </a:defRPr>
            </a:pPr>
            <a:r>
              <a:rPr>
                <a:latin typeface="华文楷体" panose="02010600040101010101" charset="-122"/>
                <a:ea typeface="华文楷体" panose="02010600040101010101" charset="-122"/>
              </a:rPr>
              <a:t>每月用户总数量</a:t>
            </a:r>
            <a:endParaRPr>
              <a:latin typeface="华文楷体" panose="02010600040101010101" charset="-122"/>
              <a:ea typeface="华文楷体" panose="02010600040101010101" charset="-122"/>
            </a:endParaRPr>
          </a:p>
        </c:rich>
      </c:tx>
      <c:layout/>
      <c:overlay val="0"/>
      <c:spPr>
        <a:noFill/>
        <a:ln>
          <a:noFill/>
        </a:ln>
        <a:effectLst/>
      </c:spPr>
    </c:title>
    <c:autoTitleDeleted val="0"/>
    <c:plotArea>
      <c:layout/>
      <c:barChart>
        <c:barDir val="col"/>
        <c:grouping val="clustered"/>
        <c:varyColors val="0"/>
        <c:ser>
          <c:idx val="0"/>
          <c:order val="0"/>
          <c:tx>
            <c:strRef>
              <c:f>Sheet2!$C$1</c:f>
              <c:strCache>
                <c:ptCount val="1"/>
                <c:pt idx="0">
                  <c:v>每月总数量/个</c:v>
                </c:pt>
              </c:strCache>
            </c:strRef>
          </c:tx>
          <c:spPr>
            <a:noFill/>
            <a:ln w="25400" cap="flat" cmpd="sng" algn="ctr">
              <a:solidFill>
                <a:srgbClr val="0070C0"/>
              </a:solidFill>
              <a:miter lim="800000"/>
            </a:ln>
            <a:effectLst/>
          </c:spPr>
          <c:invertIfNegative val="0"/>
          <c:dLbls>
            <c:delete val="1"/>
          </c:dLbls>
          <c:cat>
            <c:numRef>
              <c:f>Sheet2!$A$2:$A$37</c:f>
              <c:numCache>
                <c:formatCode>mmm/yy</c:formatCode>
                <c:ptCount val="36"/>
                <c:pt idx="0" c:formatCode="mmm/yy">
                  <c:v>44228</c:v>
                </c:pt>
                <c:pt idx="1" c:formatCode="mmm/yy">
                  <c:v>44256</c:v>
                </c:pt>
                <c:pt idx="2" c:formatCode="mmm/yy">
                  <c:v>44287</c:v>
                </c:pt>
                <c:pt idx="3" c:formatCode="mmm/yy">
                  <c:v>44317</c:v>
                </c:pt>
                <c:pt idx="4" c:formatCode="mmm/yy">
                  <c:v>44348</c:v>
                </c:pt>
                <c:pt idx="5" c:formatCode="mmm/yy">
                  <c:v>44378</c:v>
                </c:pt>
                <c:pt idx="6" c:formatCode="mmm/yy">
                  <c:v>44409</c:v>
                </c:pt>
                <c:pt idx="7" c:formatCode="mmm/yy">
                  <c:v>44440</c:v>
                </c:pt>
                <c:pt idx="8" c:formatCode="mmm/yy">
                  <c:v>44470</c:v>
                </c:pt>
                <c:pt idx="9" c:formatCode="mmm/yy">
                  <c:v>44501</c:v>
                </c:pt>
                <c:pt idx="10" c:formatCode="mmm/yy">
                  <c:v>44531</c:v>
                </c:pt>
                <c:pt idx="11" c:formatCode="mmm/yy">
                  <c:v>44562</c:v>
                </c:pt>
                <c:pt idx="12" c:formatCode="mmm/yy">
                  <c:v>44593</c:v>
                </c:pt>
                <c:pt idx="13" c:formatCode="mmm/yy">
                  <c:v>44621</c:v>
                </c:pt>
                <c:pt idx="14" c:formatCode="mmm/yy">
                  <c:v>44652</c:v>
                </c:pt>
                <c:pt idx="15" c:formatCode="mmm/yy">
                  <c:v>44682</c:v>
                </c:pt>
                <c:pt idx="16" c:formatCode="mmm/yy">
                  <c:v>44713</c:v>
                </c:pt>
                <c:pt idx="17" c:formatCode="mmm/yy">
                  <c:v>44743</c:v>
                </c:pt>
                <c:pt idx="18" c:formatCode="mmm/yy">
                  <c:v>44774</c:v>
                </c:pt>
                <c:pt idx="19" c:formatCode="mmm/yy">
                  <c:v>44805</c:v>
                </c:pt>
                <c:pt idx="20" c:formatCode="mmm/yy">
                  <c:v>44835</c:v>
                </c:pt>
                <c:pt idx="21" c:formatCode="mmm/yy">
                  <c:v>44866</c:v>
                </c:pt>
                <c:pt idx="22" c:formatCode="mmm/yy">
                  <c:v>44896</c:v>
                </c:pt>
                <c:pt idx="23" c:formatCode="mmm/yy">
                  <c:v>44927</c:v>
                </c:pt>
                <c:pt idx="24" c:formatCode="mmm/yy">
                  <c:v>44958</c:v>
                </c:pt>
                <c:pt idx="25" c:formatCode="mmm/yy">
                  <c:v>44986</c:v>
                </c:pt>
                <c:pt idx="26" c:formatCode="mmm/yy">
                  <c:v>45017</c:v>
                </c:pt>
                <c:pt idx="27" c:formatCode="mmm/yy">
                  <c:v>45047</c:v>
                </c:pt>
                <c:pt idx="28" c:formatCode="mmm/yy">
                  <c:v>45078</c:v>
                </c:pt>
                <c:pt idx="29" c:formatCode="mmm/yy">
                  <c:v>45108</c:v>
                </c:pt>
                <c:pt idx="30" c:formatCode="mmm/yy">
                  <c:v>45139</c:v>
                </c:pt>
                <c:pt idx="31" c:formatCode="mmm/yy">
                  <c:v>45170</c:v>
                </c:pt>
                <c:pt idx="32" c:formatCode="mmm/yy">
                  <c:v>45200</c:v>
                </c:pt>
                <c:pt idx="33" c:formatCode="mmm/yy">
                  <c:v>45231</c:v>
                </c:pt>
                <c:pt idx="34" c:formatCode="mmm/yy">
                  <c:v>45261</c:v>
                </c:pt>
                <c:pt idx="35" c:formatCode="mmm/yy">
                  <c:v>45292</c:v>
                </c:pt>
              </c:numCache>
            </c:numRef>
          </c:cat>
          <c:val>
            <c:numRef>
              <c:f>Sheet2!$C$2:$C$37</c:f>
              <c:numCache>
                <c:formatCode>General</c:formatCode>
                <c:ptCount val="36"/>
                <c:pt idx="0">
                  <c:v>4</c:v>
                </c:pt>
                <c:pt idx="1">
                  <c:v>29</c:v>
                </c:pt>
                <c:pt idx="2">
                  <c:v>652</c:v>
                </c:pt>
                <c:pt idx="3">
                  <c:v>1222</c:v>
                </c:pt>
                <c:pt idx="4">
                  <c:v>1655</c:v>
                </c:pt>
                <c:pt idx="5">
                  <c:v>2109</c:v>
                </c:pt>
                <c:pt idx="6">
                  <c:v>2600</c:v>
                </c:pt>
                <c:pt idx="7">
                  <c:v>3109</c:v>
                </c:pt>
                <c:pt idx="8">
                  <c:v>3375</c:v>
                </c:pt>
                <c:pt idx="9">
                  <c:v>3603</c:v>
                </c:pt>
                <c:pt idx="10">
                  <c:v>3868</c:v>
                </c:pt>
                <c:pt idx="11">
                  <c:v>4177</c:v>
                </c:pt>
                <c:pt idx="12">
                  <c:v>4614</c:v>
                </c:pt>
                <c:pt idx="13">
                  <c:v>5081</c:v>
                </c:pt>
                <c:pt idx="14">
                  <c:v>5865</c:v>
                </c:pt>
                <c:pt idx="15">
                  <c:v>6374</c:v>
                </c:pt>
                <c:pt idx="16">
                  <c:v>6656</c:v>
                </c:pt>
                <c:pt idx="17">
                  <c:v>7106</c:v>
                </c:pt>
                <c:pt idx="18">
                  <c:v>7629</c:v>
                </c:pt>
                <c:pt idx="19">
                  <c:v>8058</c:v>
                </c:pt>
                <c:pt idx="20">
                  <c:v>8608</c:v>
                </c:pt>
                <c:pt idx="21">
                  <c:v>9222</c:v>
                </c:pt>
                <c:pt idx="22">
                  <c:v>13230</c:v>
                </c:pt>
                <c:pt idx="23">
                  <c:v>28163</c:v>
                </c:pt>
                <c:pt idx="24">
                  <c:v>56848</c:v>
                </c:pt>
                <c:pt idx="25">
                  <c:v>103971</c:v>
                </c:pt>
                <c:pt idx="26">
                  <c:v>151038</c:v>
                </c:pt>
                <c:pt idx="27">
                  <c:v>202647</c:v>
                </c:pt>
                <c:pt idx="28">
                  <c:v>237715</c:v>
                </c:pt>
                <c:pt idx="29">
                  <c:v>262938</c:v>
                </c:pt>
                <c:pt idx="30">
                  <c:v>291226</c:v>
                </c:pt>
                <c:pt idx="31">
                  <c:v>348405</c:v>
                </c:pt>
                <c:pt idx="32">
                  <c:v>401165</c:v>
                </c:pt>
                <c:pt idx="33">
                  <c:v>462915</c:v>
                </c:pt>
                <c:pt idx="34">
                  <c:v>496009</c:v>
                </c:pt>
                <c:pt idx="35">
                  <c:v>516712</c:v>
                </c:pt>
              </c:numCache>
            </c:numRef>
          </c:val>
        </c:ser>
        <c:dLbls>
          <c:showLegendKey val="0"/>
          <c:showVal val="1"/>
          <c:showCatName val="0"/>
          <c:showSerName val="0"/>
          <c:showPercent val="0"/>
          <c:showBubbleSize val="0"/>
        </c:dLbls>
        <c:gapWidth val="164"/>
        <c:overlap val="-35"/>
        <c:axId val="161687804"/>
        <c:axId val="929150877"/>
      </c:barChart>
      <c:dateAx>
        <c:axId val="161687804"/>
        <c:scaling>
          <c:orientation val="minMax"/>
        </c:scaling>
        <c:delete val="0"/>
        <c:axPos val="b"/>
        <c:numFmt formatCode="General" sourceLinked="1"/>
        <c:majorTickMark val="none"/>
        <c:minorTickMark val="none"/>
        <c:tickLblPos val="nextTo"/>
        <c:spPr>
          <a:noFill/>
          <a:ln w="25400">
            <a:solidFill>
              <a:schemeClr val="bg1"/>
            </a:solid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929150877"/>
        <c:crosses val="autoZero"/>
        <c:auto val="1"/>
        <c:lblOffset val="100"/>
        <c:baseTimeUnit val="months"/>
      </c:dateAx>
      <c:valAx>
        <c:axId val="92915087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50000"/>
                    <a:lumOff val="50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616878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pieChart>
        <c:varyColors val="1"/>
        <c:ser>
          <c:idx val="0"/>
          <c:order val="0"/>
          <c:spPr>
            <a:solidFill>
              <a:schemeClr val="accent1"/>
            </a:solidFill>
            <a:ln w="12700">
              <a:noFill/>
            </a:ln>
            <a:effectLst/>
            <a:sp3d contourW="12700"/>
          </c:spPr>
          <c:explosion val="3"/>
          <c:dPt>
            <c:idx val="0"/>
            <c:bubble3D val="0"/>
            <c:spPr>
              <a:solidFill>
                <a:srgbClr val="14C69E"/>
              </a:solidFill>
              <a:ln w="12700">
                <a:noFill/>
              </a:ln>
              <a:effectLst/>
              <a:sp3d contourW="12700"/>
            </c:spPr>
          </c:dPt>
          <c:dPt>
            <c:idx val="1"/>
            <c:bubble3D val="0"/>
            <c:spPr>
              <a:solidFill>
                <a:srgbClr val="F2BA65"/>
              </a:solidFill>
              <a:ln w="12700">
                <a:noFill/>
              </a:ln>
              <a:effectLst/>
              <a:sp3d contourW="12700"/>
            </c:spPr>
          </c:dPt>
          <c:dPt>
            <c:idx val="2"/>
            <c:bubble3D val="0"/>
            <c:spPr>
              <a:solidFill>
                <a:srgbClr val="9CA9EF"/>
              </a:solidFill>
              <a:ln w="12700">
                <a:noFill/>
              </a:ln>
              <a:effectLst/>
              <a:sp3d contourW="12700"/>
            </c:spPr>
          </c:dPt>
          <c:dPt>
            <c:idx val="3"/>
            <c:bubble3D val="0"/>
            <c:spPr>
              <a:solidFill>
                <a:srgbClr val="F3B1B2"/>
              </a:solidFill>
              <a:ln w="12700">
                <a:noFill/>
              </a:ln>
              <a:effectLst/>
              <a:sp3d contourW="12700"/>
            </c:spPr>
          </c:dPt>
          <c:dPt>
            <c:idx val="4"/>
            <c:bubble3D val="0"/>
            <c:spPr>
              <a:solidFill>
                <a:srgbClr val="C65857"/>
              </a:solidFill>
              <a:ln w="12700">
                <a:noFill/>
              </a:ln>
              <a:effectLst/>
              <a:sp3d contourW="12700"/>
            </c:spPr>
          </c:dPt>
          <c:dPt>
            <c:idx val="5"/>
            <c:bubble3D val="0"/>
            <c:spPr>
              <a:solidFill>
                <a:srgbClr val="C3DDF6"/>
              </a:solidFill>
              <a:ln w="12700">
                <a:noFill/>
              </a:ln>
              <a:effectLst/>
              <a:sp3d contourW="12700"/>
            </c:spPr>
          </c:dPt>
          <c:dPt>
            <c:idx val="6"/>
            <c:bubble3D val="0"/>
            <c:spPr>
              <a:solidFill>
                <a:schemeClr val="accent1"/>
              </a:solidFill>
              <a:ln w="12700">
                <a:noFill/>
              </a:ln>
              <a:effectLst/>
              <a:sp3d contourW="12700"/>
            </c:spPr>
          </c:dPt>
          <c:dPt>
            <c:idx val="7"/>
            <c:bubble3D val="0"/>
            <c:spPr>
              <a:solidFill>
                <a:srgbClr val="B96AD5"/>
              </a:solidFill>
              <a:ln w="12700">
                <a:noFill/>
              </a:ln>
              <a:effectLst/>
              <a:sp3d contourW="12700"/>
            </c:spPr>
          </c:dPt>
          <c:dLbls>
            <c:dLbl>
              <c:idx val="0"/>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50</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.03</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9</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.24</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lang="en-US" altLang="zh-CN" sz="900" b="1">
                        <a:latin typeface="仿宋" panose="02010609060101010101" charset="-122"/>
                        <a:ea typeface="仿宋" panose="02010609060101010101" charset="-122"/>
                        <a:cs typeface="仿宋" panose="02010609060101010101" charset="-122"/>
                        <a:sym typeface="仿宋" panose="02010609060101010101" charset="-122"/>
                      </a:rPr>
                      <a:t>8.67</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1</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8.35</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4"/>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0</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.16</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5"/>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12</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.11</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6"/>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1</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.22</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7"/>
              <c:layout>
                <c:manualLayout>
                  <c:x val="0.0297573189522342"/>
                  <c:y val="0.0284653465346535"/>
                </c:manualLayout>
              </c:layout>
              <c:tx>
                <c:rich>
                  <a:bodyPr rot="0" spcFirstLastPara="0" vertOverflow="ellipsis" vert="horz" wrap="square" lIns="38100" tIns="19050" rIns="38100" bIns="19050" anchor="ctr" anchorCtr="1" forceAA="0"/>
                  <a:lstStyle/>
                  <a:p>
                    <a:pPr defTabSz="914400">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r>
                      <a:rPr sz="900" b="1">
                        <a:latin typeface="仿宋" panose="02010609060101010101" charset="-122"/>
                        <a:ea typeface="仿宋" panose="02010609060101010101" charset="-122"/>
                        <a:cs typeface="仿宋" panose="02010609060101010101" charset="-122"/>
                        <a:sym typeface="仿宋" panose="02010609060101010101" charset="-122"/>
                      </a:rPr>
                      <a:t>0</a:t>
                    </a:r>
                    <a:r>
                      <a:rPr lang="en-US" altLang="zh-CN" sz="900" b="1">
                        <a:latin typeface="仿宋" panose="02010609060101010101" charset="-122"/>
                        <a:ea typeface="仿宋" panose="02010609060101010101" charset="-122"/>
                        <a:cs typeface="仿宋" panose="02010609060101010101" charset="-122"/>
                        <a:sym typeface="仿宋" panose="02010609060101010101" charset="-122"/>
                      </a:rPr>
                      <a:t>.22</a:t>
                    </a:r>
                    <a:r>
                      <a:rPr sz="900" b="1">
                        <a:latin typeface="仿宋" panose="02010609060101010101" charset="-122"/>
                        <a:ea typeface="仿宋" panose="02010609060101010101" charset="-122"/>
                        <a:cs typeface="仿宋" panose="02010609060101010101" charset="-122"/>
                        <a:sym typeface="仿宋" panose="02010609060101010101" charset="-122"/>
                      </a:rPr>
                      <a:t>%</a:t>
                    </a:r>
                    <a:endParaRPr sz="900" b="1">
                      <a:latin typeface="仿宋" panose="02010609060101010101" charset="-122"/>
                      <a:ea typeface="仿宋" panose="02010609060101010101" charset="-122"/>
                      <a:cs typeface="仿宋" panose="02010609060101010101" charset="-122"/>
                      <a:sym typeface="仿宋" panose="02010609060101010101" charset="-122"/>
                    </a:endParaRPr>
                  </a:p>
                </c:rich>
              </c:tx>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bestFit"/>
              <c:showLegendKey val="1"/>
              <c:showVal val="0"/>
              <c:showCatName val="0"/>
              <c:showSerName val="0"/>
              <c:showPercent val="1"/>
              <c:showBubbleSize val="0"/>
              <c:separator> </c:separator>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1"/>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Sheet3!$A$2:$A$9</c:f>
              <c:strCache>
                <c:ptCount val="8"/>
                <c:pt idx="0">
                  <c:v>API</c:v>
                </c:pt>
                <c:pt idx="1">
                  <c:v>GPT builders</c:v>
                </c:pt>
                <c:pt idx="2">
                  <c:v>Prompting</c:v>
                </c:pt>
                <c:pt idx="3">
                  <c:v>ChatGPT</c:v>
                </c:pt>
                <c:pt idx="4">
                  <c:v>Announcements</c:v>
                </c:pt>
                <c:pt idx="5">
                  <c:v>Community</c:v>
                </c:pt>
                <c:pt idx="6">
                  <c:v>Documentation</c:v>
                </c:pt>
                <c:pt idx="7">
                  <c:v>Forum feedback</c:v>
                </c:pt>
              </c:strCache>
            </c:strRef>
          </c:cat>
          <c:val>
            <c:numRef>
              <c:f>Sheet3!$B$2:$B$9</c:f>
              <c:numCache>
                <c:formatCode>General</c:formatCode>
                <c:ptCount val="8"/>
                <c:pt idx="0">
                  <c:v>10543</c:v>
                </c:pt>
                <c:pt idx="1">
                  <c:v>1947</c:v>
                </c:pt>
                <c:pt idx="2">
                  <c:v>1827</c:v>
                </c:pt>
                <c:pt idx="3">
                  <c:v>3868</c:v>
                </c:pt>
                <c:pt idx="4">
                  <c:v>33</c:v>
                </c:pt>
                <c:pt idx="5">
                  <c:v>2553</c:v>
                </c:pt>
                <c:pt idx="6">
                  <c:v>258</c:v>
                </c:pt>
                <c:pt idx="7">
                  <c:v>46</c:v>
                </c:pt>
              </c:numCache>
            </c:numRef>
          </c:val>
        </c:ser>
        <c:ser>
          <c:idx val="1"/>
          <c:order val="1"/>
          <c:spPr>
            <a:solidFill>
              <a:schemeClr val="accent1"/>
            </a:solidFill>
            <a:ln w="12700">
              <a:noFill/>
            </a:ln>
            <a:effectLst/>
            <a:sp3d contourW="12700"/>
          </c:spPr>
          <c:explosion val="3"/>
          <c:dPt>
            <c:idx val="0"/>
            <c:bubble3D val="0"/>
            <c:spPr>
              <a:solidFill>
                <a:schemeClr val="accent1"/>
              </a:solidFill>
              <a:ln w="12700">
                <a:noFill/>
              </a:ln>
              <a:effectLst/>
              <a:sp3d contourW="12700"/>
            </c:spPr>
          </c:dPt>
          <c:dPt>
            <c:idx val="1"/>
            <c:bubble3D val="0"/>
            <c:spPr>
              <a:solidFill>
                <a:schemeClr val="accent2"/>
              </a:solidFill>
              <a:ln w="12700">
                <a:noFill/>
              </a:ln>
              <a:effectLst/>
              <a:sp3d contourW="12700"/>
            </c:spPr>
          </c:dPt>
          <c:dPt>
            <c:idx val="2"/>
            <c:bubble3D val="0"/>
            <c:spPr>
              <a:solidFill>
                <a:schemeClr val="accent3"/>
              </a:solidFill>
              <a:ln w="12700">
                <a:noFill/>
              </a:ln>
              <a:effectLst/>
              <a:sp3d contourW="12700"/>
            </c:spPr>
          </c:dPt>
          <c:dPt>
            <c:idx val="3"/>
            <c:bubble3D val="0"/>
            <c:spPr>
              <a:solidFill>
                <a:schemeClr val="accent4"/>
              </a:solidFill>
              <a:ln w="12700">
                <a:noFill/>
              </a:ln>
              <a:effectLst/>
              <a:sp3d contourW="12700"/>
            </c:spPr>
          </c:dPt>
          <c:dPt>
            <c:idx val="4"/>
            <c:bubble3D val="0"/>
            <c:spPr>
              <a:solidFill>
                <a:schemeClr val="accent5"/>
              </a:solidFill>
              <a:ln w="12700">
                <a:noFill/>
              </a:ln>
              <a:effectLst/>
              <a:sp3d contourW="12700"/>
            </c:spPr>
          </c:dPt>
          <c:dPt>
            <c:idx val="5"/>
            <c:bubble3D val="0"/>
            <c:spPr>
              <a:solidFill>
                <a:schemeClr val="accent6"/>
              </a:solidFill>
              <a:ln w="12700">
                <a:noFill/>
              </a:ln>
              <a:effectLst/>
              <a:sp3d contourW="12700"/>
            </c:spPr>
          </c:dPt>
          <c:dPt>
            <c:idx val="6"/>
            <c:bubble3D val="0"/>
            <c:spPr>
              <a:solidFill>
                <a:schemeClr val="accent1"/>
              </a:solidFill>
              <a:ln w="12700">
                <a:noFill/>
              </a:ln>
              <a:effectLst/>
              <a:sp3d contourW="12700"/>
            </c:spPr>
          </c:dPt>
          <c:dPt>
            <c:idx val="7"/>
            <c:bubble3D val="0"/>
            <c:spPr>
              <a:solidFill>
                <a:schemeClr val="accent1"/>
              </a:solidFill>
              <a:ln w="12700">
                <a:noFill/>
              </a:ln>
              <a:effectLst/>
              <a:sp3d contourW="12700"/>
            </c:spPr>
          </c:dPt>
          <c:dLbls>
            <c:dLbl>
              <c:idx val="0"/>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1"/>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2"/>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3"/>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4"/>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5"/>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6"/>
              <c:layout/>
              <c:dLblPos val="outEnd"/>
              <c:showLegendKey val="1"/>
              <c:showVal val="0"/>
              <c:showCatName val="0"/>
              <c:showSerName val="0"/>
              <c:showPercent val="1"/>
              <c:showBubbleSize val="0"/>
              <c:separator> </c:separator>
              <c:extLst>
                <c:ext xmlns:c15="http://schemas.microsoft.com/office/drawing/2012/chart" uri="{CE6537A1-D6FC-4f65-9D91-7224C49458BB}"/>
              </c:extLst>
            </c:dLbl>
            <c:dLbl>
              <c:idx val="7"/>
              <c:layout/>
              <c:dLblPos val="outEnd"/>
              <c:showLegendKey val="1"/>
              <c:showVal val="0"/>
              <c:showCatName val="0"/>
              <c:showSerName val="0"/>
              <c:showPercent val="1"/>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1"/>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Sheet3!$A$2:$A$9</c:f>
              <c:strCache>
                <c:ptCount val="8"/>
                <c:pt idx="0">
                  <c:v>API</c:v>
                </c:pt>
                <c:pt idx="1">
                  <c:v>GPT builders</c:v>
                </c:pt>
                <c:pt idx="2">
                  <c:v>Prompting</c:v>
                </c:pt>
                <c:pt idx="3">
                  <c:v>ChatGPT</c:v>
                </c:pt>
                <c:pt idx="4">
                  <c:v>Announcements</c:v>
                </c:pt>
                <c:pt idx="5">
                  <c:v>Community</c:v>
                </c:pt>
                <c:pt idx="6">
                  <c:v>Documentation</c:v>
                </c:pt>
                <c:pt idx="7">
                  <c:v>Forum feedback</c:v>
                </c:pt>
              </c:strCache>
            </c:strRef>
          </c:cat>
          <c:val>
            <c:numRef>
              <c:f>Sheet3!$C$2:$C$9</c:f>
              <c:numCache>
                <c:formatCode>0.00%</c:formatCode>
                <c:ptCount val="8"/>
                <c:pt idx="0">
                  <c:v>0.500260972716489</c:v>
                </c:pt>
                <c:pt idx="1">
                  <c:v>0.0923843416370107</c:v>
                </c:pt>
                <c:pt idx="2">
                  <c:v>0.0866903914590747</c:v>
                </c:pt>
                <c:pt idx="3">
                  <c:v>0.183534994068802</c:v>
                </c:pt>
                <c:pt idx="4">
                  <c:v>0.00156583629893238</c:v>
                </c:pt>
                <c:pt idx="5">
                  <c:v>0.121138790035587</c:v>
                </c:pt>
                <c:pt idx="6">
                  <c:v>0.0122419928825623</c:v>
                </c:pt>
                <c:pt idx="7">
                  <c:v>0.00218268090154211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2"/>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3"/>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4"/>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5"/>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6"/>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7"/>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0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pieChart>
        <c:varyColors val="1"/>
        <c:ser>
          <c:idx val="0"/>
          <c:order val="0"/>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dLbl>
              <c:idx val="8"/>
              <c:layout>
                <c:manualLayout>
                  <c:x val="0.0379631614127942"/>
                  <c:y val="0.123327248918199"/>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9"/>
              <c:layout>
                <c:manualLayout>
                  <c:x val="0.0168489606948091"/>
                  <c:y val="0.0241166603021016"/>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solidFill>
                <a:sysClr val="window" lastClr="FFFFFF"/>
              </a:solidFill>
              <a:ln>
                <a:noFill/>
              </a:ln>
              <a:effectLst/>
            </c:spPr>
            <c:txPr>
              <a:bodyPr rot="0" spcFirstLastPara="0" vertOverflow="ellipsis" vert="horz" wrap="square" lIns="38100" tIns="19050" rIns="38100" bIns="19050" anchor="ctr" anchorCtr="1" forceAA="0"/>
              <a:lstStyle/>
              <a:p>
                <a:pPr>
                  <a:defRPr lang="zh-CN" sz="800" b="1" i="0" u="none" strike="noStrike" kern="1200" baseline="0">
                    <a:solidFill>
                      <a:schemeClr val="tx1"/>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Sheet5!$A$2:$A$15</c:f>
              <c:strCache>
                <c:ptCount val="14"/>
                <c:pt idx="0">
                  <c:v>A.1</c:v>
                </c:pt>
                <c:pt idx="1">
                  <c:v>A.2</c:v>
                </c:pt>
                <c:pt idx="2">
                  <c:v>A.3</c:v>
                </c:pt>
                <c:pt idx="3">
                  <c:v>A.4</c:v>
                </c:pt>
                <c:pt idx="4">
                  <c:v>A.5</c:v>
                </c:pt>
                <c:pt idx="5">
                  <c:v>A.6</c:v>
                </c:pt>
                <c:pt idx="6">
                  <c:v>A.7</c:v>
                </c:pt>
                <c:pt idx="7">
                  <c:v>B.1</c:v>
                </c:pt>
                <c:pt idx="8">
                  <c:v>B.2</c:v>
                </c:pt>
                <c:pt idx="9">
                  <c:v>B.3</c:v>
                </c:pt>
                <c:pt idx="10">
                  <c:v>B.4</c:v>
                </c:pt>
                <c:pt idx="11">
                  <c:v>B.5</c:v>
                </c:pt>
                <c:pt idx="12">
                  <c:v>B.6</c:v>
                </c:pt>
                <c:pt idx="13">
                  <c:v>B.7</c:v>
                </c:pt>
              </c:strCache>
            </c:strRef>
          </c:cat>
          <c:val>
            <c:numRef>
              <c:f>Sheet5!$B$2:$B$15</c:f>
              <c:numCache>
                <c:formatCode>0.00%</c:formatCode>
                <c:ptCount val="14"/>
                <c:pt idx="0">
                  <c:v>0.2326</c:v>
                </c:pt>
                <c:pt idx="1">
                  <c:v>0.1461</c:v>
                </c:pt>
                <c:pt idx="2">
                  <c:v>0.0874</c:v>
                </c:pt>
                <c:pt idx="3">
                  <c:v>0.0087</c:v>
                </c:pt>
                <c:pt idx="4">
                  <c:v>0.25</c:v>
                </c:pt>
                <c:pt idx="5">
                  <c:v>0.1261</c:v>
                </c:pt>
                <c:pt idx="6">
                  <c:v>0.0217</c:v>
                </c:pt>
                <c:pt idx="7">
                  <c:v>0.0504</c:v>
                </c:pt>
                <c:pt idx="8">
                  <c:v>0.0065</c:v>
                </c:pt>
                <c:pt idx="9">
                  <c:v>0.0013</c:v>
                </c:pt>
                <c:pt idx="10">
                  <c:v>0.0265</c:v>
                </c:pt>
                <c:pt idx="11">
                  <c:v>0.0148</c:v>
                </c:pt>
                <c:pt idx="12">
                  <c:v>0.0209</c:v>
                </c:pt>
                <c:pt idx="13">
                  <c:v>0.007</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2"/>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3"/>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4"/>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5"/>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6"/>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7"/>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8"/>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9"/>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10"/>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11"/>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12"/>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egendEntry>
        <c:idx val="13"/>
        <c:txPr>
          <a:bodyPr rot="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legendEntry>
      <c:layout/>
      <c:overlay val="0"/>
      <c:spPr>
        <a:noFill/>
        <a:ln>
          <a:noFill/>
        </a:ln>
        <a:effectLst/>
      </c:spPr>
      <c:txPr>
        <a:bodyPr rot="0" spcFirstLastPara="0" vertOverflow="ellipsis" vert="horz" wrap="square" anchor="ctr" anchorCtr="1" forceAA="0"/>
        <a:lstStyle/>
        <a:p>
          <a:pPr>
            <a:defRPr lang="zh-CN" sz="8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sz="800">
          <a:solidFill>
            <a:schemeClr val="tx1"/>
          </a:solidFill>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gradFill>
              <a:gsLst>
                <a:gs pos="50000">
                  <a:srgbClr val="29B6F4"/>
                </a:gs>
                <a:gs pos="0">
                  <a:srgbClr val="82D1F6"/>
                </a:gs>
                <a:gs pos="99000">
                  <a:srgbClr val="0089CD"/>
                </a:gs>
              </a:gsLst>
              <a:lin ang="16200000" scaled="0"/>
            </a:gra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Sheet6!$A$2:$A$45</c:f>
              <c:strCache>
                <c:ptCount val="44"/>
                <c:pt idx="0">
                  <c:v>A.1.1</c:v>
                </c:pt>
                <c:pt idx="1">
                  <c:v>A.1.2</c:v>
                </c:pt>
                <c:pt idx="2">
                  <c:v>A.1.3</c:v>
                </c:pt>
                <c:pt idx="3">
                  <c:v>A.1.4</c:v>
                </c:pt>
                <c:pt idx="4">
                  <c:v>A.2.1</c:v>
                </c:pt>
                <c:pt idx="5">
                  <c:v>A.2.2</c:v>
                </c:pt>
                <c:pt idx="6">
                  <c:v>A.2.3</c:v>
                </c:pt>
                <c:pt idx="7">
                  <c:v>A.2.4</c:v>
                </c:pt>
                <c:pt idx="8">
                  <c:v>A.3.1</c:v>
                </c:pt>
                <c:pt idx="9">
                  <c:v>A.3.2</c:v>
                </c:pt>
                <c:pt idx="10">
                  <c:v>A.4.1</c:v>
                </c:pt>
                <c:pt idx="11">
                  <c:v>A.4.2</c:v>
                </c:pt>
                <c:pt idx="12">
                  <c:v>A.4.3</c:v>
                </c:pt>
                <c:pt idx="13">
                  <c:v>A.4.4</c:v>
                </c:pt>
                <c:pt idx="14">
                  <c:v>A.4.5</c:v>
                </c:pt>
                <c:pt idx="15">
                  <c:v>A.5.1</c:v>
                </c:pt>
                <c:pt idx="16">
                  <c:v>A.5.2</c:v>
                </c:pt>
                <c:pt idx="17">
                  <c:v>A.5.3</c:v>
                </c:pt>
                <c:pt idx="18">
                  <c:v>A.5.4</c:v>
                </c:pt>
                <c:pt idx="19">
                  <c:v>A.5.5</c:v>
                </c:pt>
                <c:pt idx="20">
                  <c:v>A.5.6</c:v>
                </c:pt>
                <c:pt idx="21">
                  <c:v>A.5.7</c:v>
                </c:pt>
                <c:pt idx="22">
                  <c:v>A.5.8</c:v>
                </c:pt>
                <c:pt idx="23">
                  <c:v>A.6.1</c:v>
                </c:pt>
                <c:pt idx="24">
                  <c:v>A.6.2</c:v>
                </c:pt>
                <c:pt idx="25">
                  <c:v>A.6.3</c:v>
                </c:pt>
                <c:pt idx="26">
                  <c:v>A.6.4</c:v>
                </c:pt>
                <c:pt idx="27">
                  <c:v>A.6.5</c:v>
                </c:pt>
                <c:pt idx="28">
                  <c:v>A.6.6</c:v>
                </c:pt>
                <c:pt idx="29">
                  <c:v>A.6.7</c:v>
                </c:pt>
                <c:pt idx="30">
                  <c:v>A.7</c:v>
                </c:pt>
                <c:pt idx="31">
                  <c:v>B.1.1</c:v>
                </c:pt>
                <c:pt idx="32">
                  <c:v>B.1.2</c:v>
                </c:pt>
                <c:pt idx="33">
                  <c:v>B.2</c:v>
                </c:pt>
                <c:pt idx="34">
                  <c:v>B.3</c:v>
                </c:pt>
                <c:pt idx="35">
                  <c:v>B.4.1</c:v>
                </c:pt>
                <c:pt idx="36">
                  <c:v>B.4.2</c:v>
                </c:pt>
                <c:pt idx="37">
                  <c:v>B.4.3</c:v>
                </c:pt>
                <c:pt idx="38">
                  <c:v>B.5.1</c:v>
                </c:pt>
                <c:pt idx="39">
                  <c:v>B.5.2</c:v>
                </c:pt>
                <c:pt idx="40">
                  <c:v>B.5.3</c:v>
                </c:pt>
                <c:pt idx="41">
                  <c:v>B.5.4</c:v>
                </c:pt>
                <c:pt idx="42">
                  <c:v>B.6</c:v>
                </c:pt>
                <c:pt idx="43">
                  <c:v>B.7</c:v>
                </c:pt>
              </c:strCache>
            </c:strRef>
          </c:cat>
          <c:val>
            <c:numRef>
              <c:f>Sheet6!$B$2:$B$45</c:f>
              <c:numCache>
                <c:formatCode>General</c:formatCode>
                <c:ptCount val="44"/>
                <c:pt idx="0">
                  <c:v>19</c:v>
                </c:pt>
                <c:pt idx="1">
                  <c:v>11</c:v>
                </c:pt>
                <c:pt idx="2">
                  <c:v>112</c:v>
                </c:pt>
                <c:pt idx="3">
                  <c:v>393</c:v>
                </c:pt>
                <c:pt idx="4">
                  <c:v>24</c:v>
                </c:pt>
                <c:pt idx="5">
                  <c:v>86</c:v>
                </c:pt>
                <c:pt idx="6">
                  <c:v>173</c:v>
                </c:pt>
                <c:pt idx="7">
                  <c:v>53</c:v>
                </c:pt>
                <c:pt idx="8">
                  <c:v>38</c:v>
                </c:pt>
                <c:pt idx="9">
                  <c:v>163</c:v>
                </c:pt>
                <c:pt idx="10">
                  <c:v>4</c:v>
                </c:pt>
                <c:pt idx="11">
                  <c:v>5</c:v>
                </c:pt>
                <c:pt idx="12">
                  <c:v>9</c:v>
                </c:pt>
                <c:pt idx="13">
                  <c:v>0</c:v>
                </c:pt>
                <c:pt idx="14">
                  <c:v>2</c:v>
                </c:pt>
                <c:pt idx="15">
                  <c:v>157</c:v>
                </c:pt>
                <c:pt idx="16">
                  <c:v>58</c:v>
                </c:pt>
                <c:pt idx="17">
                  <c:v>33</c:v>
                </c:pt>
                <c:pt idx="18">
                  <c:v>82</c:v>
                </c:pt>
                <c:pt idx="19">
                  <c:v>42</c:v>
                </c:pt>
                <c:pt idx="20">
                  <c:v>153</c:v>
                </c:pt>
                <c:pt idx="21">
                  <c:v>16</c:v>
                </c:pt>
                <c:pt idx="22">
                  <c:v>34</c:v>
                </c:pt>
                <c:pt idx="23">
                  <c:v>76</c:v>
                </c:pt>
                <c:pt idx="24">
                  <c:v>74</c:v>
                </c:pt>
                <c:pt idx="25">
                  <c:v>46</c:v>
                </c:pt>
                <c:pt idx="26">
                  <c:v>13</c:v>
                </c:pt>
                <c:pt idx="27">
                  <c:v>17</c:v>
                </c:pt>
                <c:pt idx="28">
                  <c:v>51</c:v>
                </c:pt>
                <c:pt idx="29">
                  <c:v>13</c:v>
                </c:pt>
                <c:pt idx="30">
                  <c:v>50</c:v>
                </c:pt>
                <c:pt idx="31">
                  <c:v>69</c:v>
                </c:pt>
                <c:pt idx="32">
                  <c:v>47</c:v>
                </c:pt>
                <c:pt idx="33">
                  <c:v>15</c:v>
                </c:pt>
                <c:pt idx="34">
                  <c:v>3</c:v>
                </c:pt>
                <c:pt idx="35">
                  <c:v>52</c:v>
                </c:pt>
                <c:pt idx="36">
                  <c:v>8</c:v>
                </c:pt>
                <c:pt idx="37">
                  <c:v>1</c:v>
                </c:pt>
                <c:pt idx="38">
                  <c:v>7</c:v>
                </c:pt>
                <c:pt idx="39">
                  <c:v>5</c:v>
                </c:pt>
                <c:pt idx="40">
                  <c:v>5</c:v>
                </c:pt>
                <c:pt idx="41">
                  <c:v>17</c:v>
                </c:pt>
                <c:pt idx="42">
                  <c:v>48</c:v>
                </c:pt>
                <c:pt idx="43">
                  <c:v>16</c:v>
                </c:pt>
              </c:numCache>
            </c:numRef>
          </c:val>
        </c:ser>
        <c:dLbls>
          <c:showLegendKey val="0"/>
          <c:showVal val="1"/>
          <c:showCatName val="0"/>
          <c:showSerName val="0"/>
          <c:showPercent val="0"/>
          <c:showBubbleSize val="0"/>
        </c:dLbls>
        <c:gapWidth val="163"/>
        <c:overlap val="-10"/>
        <c:axId val="788086285"/>
        <c:axId val="819342128"/>
      </c:barChart>
      <c:catAx>
        <c:axId val="78808628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crossAx val="819342128"/>
        <c:crosses val="autoZero"/>
        <c:auto val="1"/>
        <c:lblAlgn val="ctr"/>
        <c:lblOffset val="100"/>
        <c:noMultiLvlLbl val="0"/>
      </c:catAx>
      <c:valAx>
        <c:axId val="81934212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crossAx val="78808628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sz="1000" b="1">
          <a:latin typeface="仿宋" panose="02010609060101010101" charset="-122"/>
          <a:ea typeface="仿宋" panose="02010609060101010101" charset="-122"/>
          <a:cs typeface="仿宋" panose="02010609060101010101" charset="-122"/>
          <a:sym typeface="仿宋" panose="02010609060101010101"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solidFill>
                  <a:schemeClr val="tx1">
                    <a:lumMod val="75000"/>
                    <a:lumOff val="2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r>
              <a:rPr sz="1440" b="1">
                <a:latin typeface="华文仿宋" panose="02010600040101010101" charset="-122"/>
                <a:ea typeface="华文仿宋" panose="02010600040101010101" charset="-122"/>
                <a:cs typeface="华文仿宋" panose="02010600040101010101" charset="-122"/>
                <a:sym typeface="华文仿宋" panose="02010600040101010101" charset="-122"/>
              </a:rPr>
              <a:t>每月新增加各categories的帖子数量</a:t>
            </a:r>
            <a:endParaRPr sz="1440" b="1">
              <a:latin typeface="华文仿宋" panose="02010600040101010101" charset="-122"/>
              <a:ea typeface="华文仿宋" panose="02010600040101010101" charset="-122"/>
              <a:cs typeface="华文仿宋" panose="02010600040101010101" charset="-122"/>
              <a:sym typeface="华文仿宋" panose="02010600040101010101" charset="-122"/>
            </a:endParaRPr>
          </a:p>
        </c:rich>
      </c:tx>
      <c:layout/>
      <c:overlay val="0"/>
      <c:spPr>
        <a:noFill/>
        <a:ln>
          <a:noFill/>
        </a:ln>
        <a:effectLst/>
      </c:spPr>
    </c:title>
    <c:autoTitleDeleted val="0"/>
    <c:plotArea>
      <c:layout/>
      <c:lineChart>
        <c:grouping val="standard"/>
        <c:varyColors val="0"/>
        <c:ser>
          <c:idx val="0"/>
          <c:order val="0"/>
          <c:tx>
            <c:strRef>
              <c:f>Sheet7!$B$1</c:f>
              <c:strCache>
                <c:ptCount val="1"/>
                <c:pt idx="0">
                  <c:v>Announcements</c:v>
                </c:pt>
              </c:strCache>
            </c:strRef>
          </c:tx>
          <c:spPr>
            <a:ln w="28575" cap="rnd">
              <a:solidFill>
                <a:schemeClr val="accent1"/>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Sheet7!$B$2:$B$16</c:f>
              <c:numCache>
                <c:formatCode>General</c:formatCode>
                <c:ptCount val="15"/>
                <c:pt idx="0">
                  <c:v>8</c:v>
                </c:pt>
                <c:pt idx="1">
                  <c:v>11</c:v>
                </c:pt>
                <c:pt idx="2">
                  <c:v>1</c:v>
                </c:pt>
                <c:pt idx="3">
                  <c:v>4</c:v>
                </c:pt>
                <c:pt idx="4">
                  <c:v>4</c:v>
                </c:pt>
                <c:pt idx="8">
                  <c:v>1</c:v>
                </c:pt>
                <c:pt idx="9">
                  <c:v>1</c:v>
                </c:pt>
                <c:pt idx="12">
                  <c:v>3</c:v>
                </c:pt>
              </c:numCache>
            </c:numRef>
          </c:val>
          <c:smooth val="0"/>
        </c:ser>
        <c:ser>
          <c:idx val="1"/>
          <c:order val="1"/>
          <c:tx>
            <c:strRef>
              <c:f>Sheet7!$C$1</c:f>
              <c:strCache>
                <c:ptCount val="1"/>
                <c:pt idx="0">
                  <c:v>API</c:v>
                </c:pt>
              </c:strCache>
            </c:strRef>
          </c:tx>
          <c:spPr>
            <a:ln w="28575" cap="rnd">
              <a:solidFill>
                <a:srgbClr val="92D050"/>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Sheet7!$C$2:$C$16</c:f>
              <c:numCache>
                <c:formatCode>General</c:formatCode>
                <c:ptCount val="15"/>
                <c:pt idx="0">
                  <c:v>639</c:v>
                </c:pt>
                <c:pt idx="1">
                  <c:v>1062</c:v>
                </c:pt>
                <c:pt idx="2">
                  <c:v>456</c:v>
                </c:pt>
                <c:pt idx="3">
                  <c:v>379</c:v>
                </c:pt>
                <c:pt idx="4">
                  <c:v>899</c:v>
                </c:pt>
                <c:pt idx="5">
                  <c:v>639</c:v>
                </c:pt>
                <c:pt idx="6">
                  <c:v>585</c:v>
                </c:pt>
                <c:pt idx="7">
                  <c:v>555</c:v>
                </c:pt>
                <c:pt idx="8">
                  <c:v>501</c:v>
                </c:pt>
                <c:pt idx="9">
                  <c:v>500</c:v>
                </c:pt>
                <c:pt idx="10">
                  <c:v>602</c:v>
                </c:pt>
                <c:pt idx="11">
                  <c:v>600</c:v>
                </c:pt>
                <c:pt idx="12">
                  <c:v>1663</c:v>
                </c:pt>
                <c:pt idx="13">
                  <c:v>989</c:v>
                </c:pt>
                <c:pt idx="14">
                  <c:v>474</c:v>
                </c:pt>
              </c:numCache>
            </c:numRef>
          </c:val>
          <c:smooth val="0"/>
        </c:ser>
        <c:ser>
          <c:idx val="2"/>
          <c:order val="2"/>
          <c:tx>
            <c:strRef>
              <c:f>Sheet7!$D$1</c:f>
              <c:strCache>
                <c:ptCount val="1"/>
                <c:pt idx="0">
                  <c:v>ChatGPT</c:v>
                </c:pt>
              </c:strCache>
            </c:strRef>
          </c:tx>
          <c:spPr>
            <a:ln w="28575" cap="rnd">
              <a:solidFill>
                <a:srgbClr val="7030A0"/>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Sheet7!$D$2:$D$16</c:f>
              <c:numCache>
                <c:formatCode>General</c:formatCode>
                <c:ptCount val="15"/>
                <c:pt idx="0">
                  <c:v>1</c:v>
                </c:pt>
                <c:pt idx="1">
                  <c:v>11</c:v>
                </c:pt>
                <c:pt idx="2">
                  <c:v>100</c:v>
                </c:pt>
                <c:pt idx="3">
                  <c:v>251</c:v>
                </c:pt>
                <c:pt idx="4">
                  <c:v>591</c:v>
                </c:pt>
                <c:pt idx="5">
                  <c:v>434</c:v>
                </c:pt>
                <c:pt idx="6">
                  <c:v>469</c:v>
                </c:pt>
                <c:pt idx="7">
                  <c:v>173</c:v>
                </c:pt>
                <c:pt idx="8">
                  <c:v>233</c:v>
                </c:pt>
                <c:pt idx="9">
                  <c:v>173</c:v>
                </c:pt>
                <c:pt idx="10">
                  <c:v>185</c:v>
                </c:pt>
                <c:pt idx="11">
                  <c:v>257</c:v>
                </c:pt>
                <c:pt idx="12">
                  <c:v>612</c:v>
                </c:pt>
                <c:pt idx="13">
                  <c:v>232</c:v>
                </c:pt>
                <c:pt idx="14">
                  <c:v>146</c:v>
                </c:pt>
              </c:numCache>
            </c:numRef>
          </c:val>
          <c:smooth val="0"/>
        </c:ser>
        <c:ser>
          <c:idx val="3"/>
          <c:order val="3"/>
          <c:tx>
            <c:strRef>
              <c:f>Sheet7!$E$1</c:f>
              <c:strCache>
                <c:ptCount val="1"/>
                <c:pt idx="0">
                  <c:v>Community</c:v>
                </c:pt>
              </c:strCache>
            </c:strRef>
          </c:tx>
          <c:spPr>
            <a:ln w="28575" cap="rnd">
              <a:solidFill>
                <a:schemeClr val="accent4"/>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Sheet7!$E$2:$E$16</c:f>
              <c:numCache>
                <c:formatCode>General</c:formatCode>
                <c:ptCount val="15"/>
                <c:pt idx="0">
                  <c:v>354</c:v>
                </c:pt>
                <c:pt idx="1">
                  <c:v>320</c:v>
                </c:pt>
                <c:pt idx="2">
                  <c:v>81</c:v>
                </c:pt>
                <c:pt idx="3">
                  <c:v>110</c:v>
                </c:pt>
                <c:pt idx="4">
                  <c:v>199</c:v>
                </c:pt>
                <c:pt idx="5">
                  <c:v>192</c:v>
                </c:pt>
                <c:pt idx="6">
                  <c:v>180</c:v>
                </c:pt>
                <c:pt idx="7">
                  <c:v>147</c:v>
                </c:pt>
                <c:pt idx="8">
                  <c:v>130</c:v>
                </c:pt>
                <c:pt idx="9">
                  <c:v>101</c:v>
                </c:pt>
                <c:pt idx="10">
                  <c:v>116</c:v>
                </c:pt>
                <c:pt idx="11">
                  <c:v>101</c:v>
                </c:pt>
                <c:pt idx="12">
                  <c:v>276</c:v>
                </c:pt>
                <c:pt idx="13">
                  <c:v>165</c:v>
                </c:pt>
                <c:pt idx="14">
                  <c:v>81</c:v>
                </c:pt>
              </c:numCache>
            </c:numRef>
          </c:val>
          <c:smooth val="0"/>
        </c:ser>
        <c:ser>
          <c:idx val="4"/>
          <c:order val="4"/>
          <c:tx>
            <c:strRef>
              <c:f>Sheet7!$F$1</c:f>
              <c:strCache>
                <c:ptCount val="1"/>
                <c:pt idx="0">
                  <c:v>Documentation</c:v>
                </c:pt>
              </c:strCache>
            </c:strRef>
          </c:tx>
          <c:spPr>
            <a:ln w="28575" cap="rnd">
              <a:solidFill>
                <a:srgbClr val="00B0F0"/>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Sheet7!$F$2:$F$16</c:f>
              <c:numCache>
                <c:formatCode>General</c:formatCode>
                <c:ptCount val="15"/>
                <c:pt idx="0">
                  <c:v>17</c:v>
                </c:pt>
                <c:pt idx="1">
                  <c:v>49</c:v>
                </c:pt>
                <c:pt idx="2">
                  <c:v>8</c:v>
                </c:pt>
                <c:pt idx="3">
                  <c:v>11</c:v>
                </c:pt>
                <c:pt idx="4">
                  <c:v>13</c:v>
                </c:pt>
                <c:pt idx="5">
                  <c:v>5</c:v>
                </c:pt>
                <c:pt idx="6">
                  <c:v>14</c:v>
                </c:pt>
                <c:pt idx="7">
                  <c:v>11</c:v>
                </c:pt>
                <c:pt idx="8">
                  <c:v>6</c:v>
                </c:pt>
                <c:pt idx="9">
                  <c:v>12</c:v>
                </c:pt>
                <c:pt idx="10">
                  <c:v>6</c:v>
                </c:pt>
                <c:pt idx="11">
                  <c:v>12</c:v>
                </c:pt>
                <c:pt idx="12">
                  <c:v>68</c:v>
                </c:pt>
                <c:pt idx="13">
                  <c:v>22</c:v>
                </c:pt>
                <c:pt idx="14">
                  <c:v>4</c:v>
                </c:pt>
              </c:numCache>
            </c:numRef>
          </c:val>
          <c:smooth val="0"/>
        </c:ser>
        <c:ser>
          <c:idx val="5"/>
          <c:order val="5"/>
          <c:tx>
            <c:strRef>
              <c:f>Sheet7!$G$1</c:f>
              <c:strCache>
                <c:ptCount val="1"/>
                <c:pt idx="0">
                  <c:v>Forum feedback</c:v>
                </c:pt>
              </c:strCache>
            </c:strRef>
          </c:tx>
          <c:spPr>
            <a:ln w="28575" cap="rnd">
              <a:solidFill>
                <a:schemeClr val="accent6"/>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Sheet7!$G$2:$G$16</c:f>
              <c:numCache>
                <c:formatCode>General</c:formatCode>
                <c:ptCount val="15"/>
                <c:pt idx="6">
                  <c:v>2</c:v>
                </c:pt>
                <c:pt idx="7">
                  <c:v>2</c:v>
                </c:pt>
                <c:pt idx="8">
                  <c:v>3</c:v>
                </c:pt>
                <c:pt idx="9">
                  <c:v>1</c:v>
                </c:pt>
                <c:pt idx="10">
                  <c:v>6</c:v>
                </c:pt>
                <c:pt idx="11">
                  <c:v>3</c:v>
                </c:pt>
                <c:pt idx="12">
                  <c:v>12</c:v>
                </c:pt>
                <c:pt idx="13">
                  <c:v>11</c:v>
                </c:pt>
                <c:pt idx="14">
                  <c:v>6</c:v>
                </c:pt>
              </c:numCache>
            </c:numRef>
          </c:val>
          <c:smooth val="0"/>
        </c:ser>
        <c:ser>
          <c:idx val="6"/>
          <c:order val="6"/>
          <c:tx>
            <c:strRef>
              <c:f>Sheet7!$H$1</c:f>
              <c:strCache>
                <c:ptCount val="1"/>
                <c:pt idx="0">
                  <c:v>GPT builders</c:v>
                </c:pt>
              </c:strCache>
            </c:strRef>
          </c:tx>
          <c:spPr>
            <a:ln w="28575" cap="rnd">
              <a:solidFill>
                <a:srgbClr val="FF0000"/>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Sheet7!$H$2:$H$16</c:f>
              <c:numCache>
                <c:formatCode>General</c:formatCode>
                <c:ptCount val="15"/>
                <c:pt idx="4">
                  <c:v>3</c:v>
                </c:pt>
                <c:pt idx="5">
                  <c:v>228</c:v>
                </c:pt>
                <c:pt idx="6">
                  <c:v>381</c:v>
                </c:pt>
                <c:pt idx="7">
                  <c:v>203</c:v>
                </c:pt>
                <c:pt idx="8">
                  <c:v>134</c:v>
                </c:pt>
                <c:pt idx="9">
                  <c:v>89</c:v>
                </c:pt>
                <c:pt idx="10">
                  <c:v>48</c:v>
                </c:pt>
                <c:pt idx="11">
                  <c:v>55</c:v>
                </c:pt>
                <c:pt idx="12">
                  <c:v>348</c:v>
                </c:pt>
                <c:pt idx="13">
                  <c:v>244</c:v>
                </c:pt>
                <c:pt idx="14">
                  <c:v>214</c:v>
                </c:pt>
              </c:numCache>
            </c:numRef>
          </c:val>
          <c:smooth val="0"/>
        </c:ser>
        <c:ser>
          <c:idx val="7"/>
          <c:order val="7"/>
          <c:tx>
            <c:strRef>
              <c:f>Sheet7!$I$1</c:f>
              <c:strCache>
                <c:ptCount val="1"/>
                <c:pt idx="0">
                  <c:v>Prompting</c:v>
                </c:pt>
              </c:strCache>
            </c:strRef>
          </c:tx>
          <c:spPr>
            <a:ln w="28575" cap="rnd">
              <a:solidFill>
                <a:schemeClr val="accent2">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Sheet7!$I$2:$I$16</c:f>
              <c:numCache>
                <c:formatCode>General</c:formatCode>
                <c:ptCount val="15"/>
                <c:pt idx="0">
                  <c:v>296</c:v>
                </c:pt>
                <c:pt idx="1">
                  <c:v>333</c:v>
                </c:pt>
                <c:pt idx="2">
                  <c:v>92</c:v>
                </c:pt>
                <c:pt idx="3">
                  <c:v>56</c:v>
                </c:pt>
                <c:pt idx="4">
                  <c:v>105</c:v>
                </c:pt>
                <c:pt idx="5">
                  <c:v>86</c:v>
                </c:pt>
                <c:pt idx="6">
                  <c:v>109</c:v>
                </c:pt>
                <c:pt idx="7">
                  <c:v>88</c:v>
                </c:pt>
                <c:pt idx="8">
                  <c:v>81</c:v>
                </c:pt>
                <c:pt idx="9">
                  <c:v>87</c:v>
                </c:pt>
                <c:pt idx="10">
                  <c:v>66</c:v>
                </c:pt>
                <c:pt idx="11">
                  <c:v>112</c:v>
                </c:pt>
                <c:pt idx="12">
                  <c:v>149</c:v>
                </c:pt>
                <c:pt idx="13">
                  <c:v>113</c:v>
                </c:pt>
                <c:pt idx="14">
                  <c:v>54</c:v>
                </c:pt>
              </c:numCache>
            </c:numRef>
          </c:val>
          <c:smooth val="0"/>
        </c:ser>
        <c:dLbls>
          <c:showLegendKey val="0"/>
          <c:showVal val="0"/>
          <c:showCatName val="0"/>
          <c:showSerName val="0"/>
          <c:showPercent val="0"/>
          <c:showBubbleSize val="0"/>
        </c:dLbls>
        <c:marker val="0"/>
        <c:smooth val="0"/>
        <c:axId val="906083265"/>
        <c:axId val="836457599"/>
      </c:lineChart>
      <c:catAx>
        <c:axId val="90608326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836457599"/>
        <c:crosses val="autoZero"/>
        <c:auto val="1"/>
        <c:lblAlgn val="ctr"/>
        <c:lblOffset val="100"/>
        <c:noMultiLvlLbl val="0"/>
      </c:catAx>
      <c:valAx>
        <c:axId val="8364575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906083265"/>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egendEntry>
        <c:idx val="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sz="1200" b="1">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1" i="0" u="none" strike="noStrike" kern="1200" spc="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b="1">
                <a:latin typeface="华文楷体" panose="02010600040101010101" charset="-122"/>
                <a:ea typeface="华文楷体" panose="02010600040101010101" charset="-122"/>
                <a:cs typeface="华文楷体" panose="02010600040101010101" charset="-122"/>
                <a:sym typeface="华文楷体" panose="02010600040101010101" charset="-122"/>
              </a:rPr>
              <a:t>不同categor</a:t>
            </a:r>
            <a:r>
              <a:rPr lang="en-US" altLang="zh-CN" b="1">
                <a:latin typeface="华文楷体" panose="02010600040101010101" charset="-122"/>
                <a:ea typeface="华文楷体" panose="02010600040101010101" charset="-122"/>
                <a:cs typeface="华文楷体" panose="02010600040101010101" charset="-122"/>
                <a:sym typeface="华文楷体" panose="02010600040101010101" charset="-122"/>
              </a:rPr>
              <a:t>y</a:t>
            </a:r>
            <a:r>
              <a:rPr b="1">
                <a:latin typeface="华文楷体" panose="02010600040101010101" charset="-122"/>
                <a:ea typeface="华文楷体" panose="02010600040101010101" charset="-122"/>
                <a:cs typeface="华文楷体" panose="02010600040101010101" charset="-122"/>
                <a:sym typeface="华文楷体" panose="02010600040101010101" charset="-122"/>
              </a:rPr>
              <a:t>每月总的帖子数量</a:t>
            </a:r>
            <a:endParaRPr b="1">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manualLayout>
          <c:layoutTarget val="inner"/>
          <c:xMode val="edge"/>
          <c:yMode val="edge"/>
          <c:x val="0.0852645502645503"/>
          <c:y val="0.249944873208379"/>
          <c:w val="0.869100529100529"/>
          <c:h val="0.614310915104741"/>
        </c:manualLayout>
      </c:layout>
      <c:lineChart>
        <c:grouping val="standard"/>
        <c:varyColors val="0"/>
        <c:ser>
          <c:idx val="0"/>
          <c:order val="0"/>
          <c:tx>
            <c:strRef>
              <c:f>Sheet7.2!$B$1</c:f>
              <c:strCache>
                <c:ptCount val="1"/>
                <c:pt idx="0">
                  <c:v>Announcements</c:v>
                </c:pt>
              </c:strCache>
            </c:strRef>
          </c:tx>
          <c:spPr>
            <a:ln w="28575" cap="rnd">
              <a:solidFill>
                <a:srgbClr val="E27D5F"/>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Sheet7.2!$B$2:$B$16</c:f>
              <c:numCache>
                <c:formatCode>General</c:formatCode>
                <c:ptCount val="15"/>
                <c:pt idx="0">
                  <c:v>8</c:v>
                </c:pt>
                <c:pt idx="1">
                  <c:v>19</c:v>
                </c:pt>
                <c:pt idx="2">
                  <c:v>20</c:v>
                </c:pt>
                <c:pt idx="3">
                  <c:v>24</c:v>
                </c:pt>
                <c:pt idx="4">
                  <c:v>28</c:v>
                </c:pt>
                <c:pt idx="5">
                  <c:v>28</c:v>
                </c:pt>
                <c:pt idx="6">
                  <c:v>28</c:v>
                </c:pt>
                <c:pt idx="7">
                  <c:v>28</c:v>
                </c:pt>
                <c:pt idx="8">
                  <c:v>29</c:v>
                </c:pt>
                <c:pt idx="9">
                  <c:v>30</c:v>
                </c:pt>
                <c:pt idx="10">
                  <c:v>30</c:v>
                </c:pt>
                <c:pt idx="11">
                  <c:v>30</c:v>
                </c:pt>
                <c:pt idx="12">
                  <c:v>33</c:v>
                </c:pt>
                <c:pt idx="13">
                  <c:v>33</c:v>
                </c:pt>
                <c:pt idx="14">
                  <c:v>33</c:v>
                </c:pt>
              </c:numCache>
            </c:numRef>
          </c:val>
          <c:smooth val="0"/>
        </c:ser>
        <c:ser>
          <c:idx val="1"/>
          <c:order val="1"/>
          <c:tx>
            <c:strRef>
              <c:f>Sheet7.2!$C$1</c:f>
              <c:strCache>
                <c:ptCount val="1"/>
                <c:pt idx="0">
                  <c:v>API</c:v>
                </c:pt>
              </c:strCache>
            </c:strRef>
          </c:tx>
          <c:spPr>
            <a:ln w="28575" cap="rnd">
              <a:solidFill>
                <a:srgbClr val="85CDCA"/>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Sheet7.2!$C$2:$C$16</c:f>
              <c:numCache>
                <c:formatCode>General</c:formatCode>
                <c:ptCount val="15"/>
                <c:pt idx="0">
                  <c:v>639</c:v>
                </c:pt>
                <c:pt idx="1">
                  <c:v>1701</c:v>
                </c:pt>
                <c:pt idx="2">
                  <c:v>2157</c:v>
                </c:pt>
                <c:pt idx="3">
                  <c:v>2536</c:v>
                </c:pt>
                <c:pt idx="4">
                  <c:v>3435</c:v>
                </c:pt>
                <c:pt idx="5">
                  <c:v>4074</c:v>
                </c:pt>
                <c:pt idx="6">
                  <c:v>4659</c:v>
                </c:pt>
                <c:pt idx="7">
                  <c:v>5214</c:v>
                </c:pt>
                <c:pt idx="8">
                  <c:v>5715</c:v>
                </c:pt>
                <c:pt idx="9">
                  <c:v>6215</c:v>
                </c:pt>
                <c:pt idx="10">
                  <c:v>6817</c:v>
                </c:pt>
                <c:pt idx="11">
                  <c:v>7417</c:v>
                </c:pt>
                <c:pt idx="12">
                  <c:v>9080</c:v>
                </c:pt>
                <c:pt idx="13">
                  <c:v>10069</c:v>
                </c:pt>
                <c:pt idx="14">
                  <c:v>10543</c:v>
                </c:pt>
              </c:numCache>
            </c:numRef>
          </c:val>
          <c:smooth val="0"/>
        </c:ser>
        <c:ser>
          <c:idx val="2"/>
          <c:order val="2"/>
          <c:tx>
            <c:strRef>
              <c:f>Sheet7.2!$D$1</c:f>
              <c:strCache>
                <c:ptCount val="1"/>
                <c:pt idx="0">
                  <c:v>ChatGPT</c:v>
                </c:pt>
              </c:strCache>
            </c:strRef>
          </c:tx>
          <c:spPr>
            <a:ln w="28575" cap="rnd">
              <a:solidFill>
                <a:srgbClr val="FFC000"/>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Sheet7.2!$D$2:$D$16</c:f>
              <c:numCache>
                <c:formatCode>General</c:formatCode>
                <c:ptCount val="15"/>
                <c:pt idx="0">
                  <c:v>1</c:v>
                </c:pt>
                <c:pt idx="1">
                  <c:v>12</c:v>
                </c:pt>
                <c:pt idx="2">
                  <c:v>112</c:v>
                </c:pt>
                <c:pt idx="3">
                  <c:v>363</c:v>
                </c:pt>
                <c:pt idx="4">
                  <c:v>954</c:v>
                </c:pt>
                <c:pt idx="5">
                  <c:v>1388</c:v>
                </c:pt>
                <c:pt idx="6">
                  <c:v>1857</c:v>
                </c:pt>
                <c:pt idx="7">
                  <c:v>2030</c:v>
                </c:pt>
                <c:pt idx="8">
                  <c:v>2263</c:v>
                </c:pt>
                <c:pt idx="9">
                  <c:v>2436</c:v>
                </c:pt>
                <c:pt idx="10">
                  <c:v>2621</c:v>
                </c:pt>
                <c:pt idx="11">
                  <c:v>2878</c:v>
                </c:pt>
                <c:pt idx="12">
                  <c:v>3490</c:v>
                </c:pt>
                <c:pt idx="13">
                  <c:v>3722</c:v>
                </c:pt>
                <c:pt idx="14">
                  <c:v>3868</c:v>
                </c:pt>
              </c:numCache>
            </c:numRef>
          </c:val>
          <c:smooth val="0"/>
        </c:ser>
        <c:ser>
          <c:idx val="3"/>
          <c:order val="3"/>
          <c:tx>
            <c:strRef>
              <c:f>Sheet7.2!$E$1</c:f>
              <c:strCache>
                <c:ptCount val="1"/>
                <c:pt idx="0">
                  <c:v>Community</c:v>
                </c:pt>
              </c:strCache>
            </c:strRef>
          </c:tx>
          <c:spPr>
            <a:ln w="28575" cap="rnd">
              <a:solidFill>
                <a:srgbClr val="F45AA6"/>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Sheet7.2!$E$2:$E$16</c:f>
              <c:numCache>
                <c:formatCode>General</c:formatCode>
                <c:ptCount val="15"/>
                <c:pt idx="0">
                  <c:v>354</c:v>
                </c:pt>
                <c:pt idx="1">
                  <c:v>674</c:v>
                </c:pt>
                <c:pt idx="2">
                  <c:v>755</c:v>
                </c:pt>
                <c:pt idx="3">
                  <c:v>865</c:v>
                </c:pt>
                <c:pt idx="4">
                  <c:v>1064</c:v>
                </c:pt>
                <c:pt idx="5">
                  <c:v>1256</c:v>
                </c:pt>
                <c:pt idx="6">
                  <c:v>1436</c:v>
                </c:pt>
                <c:pt idx="7">
                  <c:v>1583</c:v>
                </c:pt>
                <c:pt idx="8">
                  <c:v>1713</c:v>
                </c:pt>
                <c:pt idx="9">
                  <c:v>1814</c:v>
                </c:pt>
                <c:pt idx="10">
                  <c:v>1930</c:v>
                </c:pt>
                <c:pt idx="11">
                  <c:v>2031</c:v>
                </c:pt>
                <c:pt idx="12">
                  <c:v>2307</c:v>
                </c:pt>
                <c:pt idx="13">
                  <c:v>2472</c:v>
                </c:pt>
                <c:pt idx="14">
                  <c:v>2553</c:v>
                </c:pt>
              </c:numCache>
            </c:numRef>
          </c:val>
          <c:smooth val="0"/>
        </c:ser>
        <c:ser>
          <c:idx val="4"/>
          <c:order val="4"/>
          <c:tx>
            <c:strRef>
              <c:f>Sheet7.2!$F$1</c:f>
              <c:strCache>
                <c:ptCount val="1"/>
                <c:pt idx="0">
                  <c:v>Documentation</c:v>
                </c:pt>
              </c:strCache>
            </c:strRef>
          </c:tx>
          <c:spPr>
            <a:ln w="28575" cap="rnd">
              <a:solidFill>
                <a:srgbClr val="00B0F0"/>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Sheet7.2!$F$2:$F$16</c:f>
              <c:numCache>
                <c:formatCode>General</c:formatCode>
                <c:ptCount val="15"/>
                <c:pt idx="0">
                  <c:v>17</c:v>
                </c:pt>
                <c:pt idx="1">
                  <c:v>66</c:v>
                </c:pt>
                <c:pt idx="2">
                  <c:v>74</c:v>
                </c:pt>
                <c:pt idx="3">
                  <c:v>85</c:v>
                </c:pt>
                <c:pt idx="4">
                  <c:v>98</c:v>
                </c:pt>
                <c:pt idx="5">
                  <c:v>103</c:v>
                </c:pt>
                <c:pt idx="6">
                  <c:v>117</c:v>
                </c:pt>
                <c:pt idx="7">
                  <c:v>128</c:v>
                </c:pt>
                <c:pt idx="8">
                  <c:v>134</c:v>
                </c:pt>
                <c:pt idx="9">
                  <c:v>146</c:v>
                </c:pt>
                <c:pt idx="10">
                  <c:v>152</c:v>
                </c:pt>
                <c:pt idx="11">
                  <c:v>164</c:v>
                </c:pt>
                <c:pt idx="12">
                  <c:v>232</c:v>
                </c:pt>
                <c:pt idx="13">
                  <c:v>254</c:v>
                </c:pt>
                <c:pt idx="14">
                  <c:v>258</c:v>
                </c:pt>
              </c:numCache>
            </c:numRef>
          </c:val>
          <c:smooth val="0"/>
        </c:ser>
        <c:ser>
          <c:idx val="5"/>
          <c:order val="5"/>
          <c:tx>
            <c:strRef>
              <c:f>Sheet7.2!$G$1</c:f>
              <c:strCache>
                <c:ptCount val="1"/>
                <c:pt idx="0">
                  <c:v>Forum feedback</c:v>
                </c:pt>
              </c:strCache>
            </c:strRef>
          </c:tx>
          <c:spPr>
            <a:ln w="28575" cap="rnd">
              <a:solidFill>
                <a:srgbClr val="E27D5F"/>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Sheet7.2!$G$2:$G$16</c:f>
              <c:numCache>
                <c:formatCode>General</c:formatCode>
                <c:ptCount val="15"/>
                <c:pt idx="6">
                  <c:v>2</c:v>
                </c:pt>
                <c:pt idx="7">
                  <c:v>4</c:v>
                </c:pt>
                <c:pt idx="8">
                  <c:v>7</c:v>
                </c:pt>
                <c:pt idx="9">
                  <c:v>8</c:v>
                </c:pt>
                <c:pt idx="10">
                  <c:v>14</c:v>
                </c:pt>
                <c:pt idx="11">
                  <c:v>17</c:v>
                </c:pt>
                <c:pt idx="12">
                  <c:v>29</c:v>
                </c:pt>
                <c:pt idx="13">
                  <c:v>40</c:v>
                </c:pt>
                <c:pt idx="14">
                  <c:v>46</c:v>
                </c:pt>
              </c:numCache>
            </c:numRef>
          </c:val>
          <c:smooth val="0"/>
        </c:ser>
        <c:ser>
          <c:idx val="6"/>
          <c:order val="6"/>
          <c:tx>
            <c:strRef>
              <c:f>Sheet7.2!$H$1</c:f>
              <c:strCache>
                <c:ptCount val="1"/>
                <c:pt idx="0">
                  <c:v>GPT builders</c:v>
                </c:pt>
              </c:strCache>
            </c:strRef>
          </c:tx>
          <c:spPr>
            <a:ln w="28575" cap="rnd">
              <a:solidFill>
                <a:srgbClr val="0070C0"/>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Sheet7.2!$H$2:$H$16</c:f>
              <c:numCache>
                <c:formatCode>General</c:formatCode>
                <c:ptCount val="15"/>
                <c:pt idx="4">
                  <c:v>3</c:v>
                </c:pt>
                <c:pt idx="5">
                  <c:v>231</c:v>
                </c:pt>
                <c:pt idx="6">
                  <c:v>612</c:v>
                </c:pt>
                <c:pt idx="7">
                  <c:v>815</c:v>
                </c:pt>
                <c:pt idx="8">
                  <c:v>949</c:v>
                </c:pt>
                <c:pt idx="9">
                  <c:v>1038</c:v>
                </c:pt>
                <c:pt idx="10">
                  <c:v>1086</c:v>
                </c:pt>
                <c:pt idx="11">
                  <c:v>1141</c:v>
                </c:pt>
                <c:pt idx="12">
                  <c:v>1489</c:v>
                </c:pt>
                <c:pt idx="13">
                  <c:v>1733</c:v>
                </c:pt>
                <c:pt idx="14">
                  <c:v>1947</c:v>
                </c:pt>
              </c:numCache>
            </c:numRef>
          </c:val>
          <c:smooth val="0"/>
        </c:ser>
        <c:ser>
          <c:idx val="7"/>
          <c:order val="7"/>
          <c:tx>
            <c:strRef>
              <c:f>Sheet7.2!$I$1</c:f>
              <c:strCache>
                <c:ptCount val="1"/>
                <c:pt idx="0">
                  <c:v>Prompting</c:v>
                </c:pt>
              </c:strCache>
            </c:strRef>
          </c:tx>
          <c:spPr>
            <a:ln w="28575" cap="rnd">
              <a:solidFill>
                <a:srgbClr val="CB6DF7"/>
              </a:solidFill>
              <a:round/>
            </a:ln>
            <a:effectLst/>
          </c:spPr>
          <c:marker>
            <c:symbol val="none"/>
          </c:marker>
          <c:dLbls>
            <c:delete val="1"/>
          </c:dLbls>
          <c:cat>
            <c:numRef>
              <c:f>Sheet7.2!$A$2:$A$16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Sheet7.2!$I$2:$I$16</c:f>
              <c:numCache>
                <c:formatCode>General</c:formatCode>
                <c:ptCount val="15"/>
                <c:pt idx="0">
                  <c:v>296</c:v>
                </c:pt>
                <c:pt idx="1">
                  <c:v>629</c:v>
                </c:pt>
                <c:pt idx="2">
                  <c:v>721</c:v>
                </c:pt>
                <c:pt idx="3">
                  <c:v>777</c:v>
                </c:pt>
                <c:pt idx="4">
                  <c:v>882</c:v>
                </c:pt>
                <c:pt idx="5">
                  <c:v>968</c:v>
                </c:pt>
                <c:pt idx="6">
                  <c:v>1077</c:v>
                </c:pt>
                <c:pt idx="7">
                  <c:v>1165</c:v>
                </c:pt>
                <c:pt idx="8">
                  <c:v>1246</c:v>
                </c:pt>
                <c:pt idx="9">
                  <c:v>1333</c:v>
                </c:pt>
                <c:pt idx="10">
                  <c:v>1399</c:v>
                </c:pt>
                <c:pt idx="11">
                  <c:v>1511</c:v>
                </c:pt>
                <c:pt idx="12">
                  <c:v>1660</c:v>
                </c:pt>
                <c:pt idx="13">
                  <c:v>1773</c:v>
                </c:pt>
                <c:pt idx="14">
                  <c:v>1827</c:v>
                </c:pt>
              </c:numCache>
            </c:numRef>
          </c:val>
          <c:smooth val="0"/>
        </c:ser>
        <c:dLbls>
          <c:showLegendKey val="0"/>
          <c:showVal val="0"/>
          <c:showCatName val="0"/>
          <c:showSerName val="0"/>
          <c:showPercent val="0"/>
          <c:showBubbleSize val="0"/>
        </c:dLbls>
        <c:marker val="0"/>
        <c:smooth val="0"/>
        <c:axId val="361389595"/>
        <c:axId val="90692135"/>
      </c:lineChart>
      <c:catAx>
        <c:axId val="3613895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90692135"/>
        <c:crosses val="autoZero"/>
        <c:auto val="1"/>
        <c:lblAlgn val="ctr"/>
        <c:lblOffset val="100"/>
        <c:noMultiLvlLbl val="0"/>
      </c:catAx>
      <c:valAx>
        <c:axId val="90692135"/>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361389595"/>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2"/>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3"/>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4"/>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5"/>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6"/>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7"/>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9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zero"/>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b="1">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0579955388047073"/>
          <c:y val="0.0856619890176937"/>
          <c:w val="0.925082685947235"/>
          <c:h val="0.78901769371568"/>
        </c:manualLayout>
      </c:layout>
      <c:barChart>
        <c:barDir val="col"/>
        <c:grouping val="stacked"/>
        <c:varyColors val="0"/>
        <c:ser>
          <c:idx val="0"/>
          <c:order val="0"/>
          <c:tx>
            <c:strRef>
              <c:f>Sheet8!$A$2</c:f>
              <c:strCache>
                <c:ptCount val="1"/>
                <c:pt idx="0">
                  <c:v>Number of questions with Comments </c:v>
                </c:pt>
              </c:strCache>
            </c:strRef>
          </c:tx>
          <c:spPr>
            <a:solidFill>
              <a:srgbClr val="5B9BD5">
                <a:lumMod val="60000"/>
                <a:lumOff val="40000"/>
              </a:srgbClr>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ysClr val="windowText" lastClr="000000"/>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Sheet8!$B$1:$I$1</c:f>
              <c:strCache>
                <c:ptCount val="8"/>
                <c:pt idx="0">
                  <c:v>Announcements</c:v>
                </c:pt>
                <c:pt idx="1">
                  <c:v>API</c:v>
                </c:pt>
                <c:pt idx="2">
                  <c:v>ChatGPT</c:v>
                </c:pt>
                <c:pt idx="3">
                  <c:v>Community</c:v>
                </c:pt>
                <c:pt idx="4">
                  <c:v>Documentation</c:v>
                </c:pt>
                <c:pt idx="5">
                  <c:v>Forum feedback</c:v>
                </c:pt>
                <c:pt idx="6">
                  <c:v>GPT builders</c:v>
                </c:pt>
                <c:pt idx="7">
                  <c:v>Prompting</c:v>
                </c:pt>
              </c:strCache>
            </c:strRef>
          </c:cat>
          <c:val>
            <c:numRef>
              <c:f>Sheet8!$B$2:$I$2</c:f>
              <c:numCache>
                <c:formatCode>General</c:formatCode>
                <c:ptCount val="8"/>
                <c:pt idx="0">
                  <c:v>33</c:v>
                </c:pt>
                <c:pt idx="1">
                  <c:v>8702</c:v>
                </c:pt>
                <c:pt idx="2">
                  <c:v>2431</c:v>
                </c:pt>
                <c:pt idx="3">
                  <c:v>1884</c:v>
                </c:pt>
                <c:pt idx="4">
                  <c:v>198</c:v>
                </c:pt>
                <c:pt idx="5">
                  <c:v>40</c:v>
                </c:pt>
                <c:pt idx="6">
                  <c:v>1577</c:v>
                </c:pt>
                <c:pt idx="7">
                  <c:v>1576</c:v>
                </c:pt>
              </c:numCache>
            </c:numRef>
          </c:val>
        </c:ser>
        <c:ser>
          <c:idx val="1"/>
          <c:order val="1"/>
          <c:tx>
            <c:strRef>
              <c:f>Sheet8!$A$3</c:f>
              <c:strCache>
                <c:ptCount val="1"/>
                <c:pt idx="0">
                  <c:v>Number of questions without Comments </c:v>
                </c:pt>
              </c:strCache>
            </c:strRef>
          </c:tx>
          <c:spPr>
            <a:gradFill>
              <a:gsLst>
                <a:gs pos="96000">
                  <a:srgbClr val="FDBE29"/>
                </a:gs>
                <a:gs pos="0">
                  <a:srgbClr val="FFDC90"/>
                </a:gs>
              </a:gsLst>
              <a:path path="circle">
                <a:fillToRect t="100000" r="100000"/>
              </a:path>
              <a:tileRect l="-100000" b="-100000"/>
            </a:gradFill>
            <a:ln>
              <a:noFill/>
            </a:ln>
            <a:effectLst/>
          </c:spPr>
          <c:invertIfNegative val="0"/>
          <c:dLbls>
            <c:dLbl>
              <c:idx val="0"/>
              <c:layout>
                <c:manualLayout>
                  <c:x val="0.000999923082839781"/>
                  <c:y val="-0.0229408175716901"/>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0284593492808246"/>
                  <c:y val="-0.0229408175716901"/>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0999923082839781"/>
                  <c:y val="-0.0198901769371568"/>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ysClr val="windowText" lastClr="000000"/>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Sheet8!$B$1:$I$1</c:f>
              <c:strCache>
                <c:ptCount val="8"/>
                <c:pt idx="0">
                  <c:v>Announcements</c:v>
                </c:pt>
                <c:pt idx="1">
                  <c:v>API</c:v>
                </c:pt>
                <c:pt idx="2">
                  <c:v>ChatGPT</c:v>
                </c:pt>
                <c:pt idx="3">
                  <c:v>Community</c:v>
                </c:pt>
                <c:pt idx="4">
                  <c:v>Documentation</c:v>
                </c:pt>
                <c:pt idx="5">
                  <c:v>Forum feedback</c:v>
                </c:pt>
                <c:pt idx="6">
                  <c:v>GPT builders</c:v>
                </c:pt>
                <c:pt idx="7">
                  <c:v>Prompting</c:v>
                </c:pt>
              </c:strCache>
            </c:strRef>
          </c:cat>
          <c:val>
            <c:numRef>
              <c:f>Sheet8!$B$3:$I$3</c:f>
              <c:numCache>
                <c:formatCode>General</c:formatCode>
                <c:ptCount val="8"/>
                <c:pt idx="0">
                  <c:v>0</c:v>
                </c:pt>
                <c:pt idx="1">
                  <c:v>1841</c:v>
                </c:pt>
                <c:pt idx="2">
                  <c:v>1437</c:v>
                </c:pt>
                <c:pt idx="3">
                  <c:v>669</c:v>
                </c:pt>
                <c:pt idx="4">
                  <c:v>60</c:v>
                </c:pt>
                <c:pt idx="5">
                  <c:v>6</c:v>
                </c:pt>
                <c:pt idx="6">
                  <c:v>370</c:v>
                </c:pt>
                <c:pt idx="7">
                  <c:v>251</c:v>
                </c:pt>
              </c:numCache>
            </c:numRef>
          </c:val>
        </c:ser>
        <c:dLbls>
          <c:showLegendKey val="0"/>
          <c:showVal val="1"/>
          <c:showCatName val="0"/>
          <c:showSerName val="0"/>
          <c:showPercent val="0"/>
          <c:showBubbleSize val="0"/>
        </c:dLbls>
        <c:gapWidth val="82"/>
        <c:overlap val="100"/>
        <c:axId val="529151973"/>
        <c:axId val="456662760"/>
      </c:barChart>
      <c:catAx>
        <c:axId val="52915197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456662760"/>
        <c:crosses val="autoZero"/>
        <c:auto val="1"/>
        <c:lblAlgn val="ctr"/>
        <c:lblOffset val="100"/>
        <c:noMultiLvlLbl val="0"/>
      </c:catAx>
      <c:valAx>
        <c:axId val="456662760"/>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9151973"/>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14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4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manualLayout>
          <c:xMode val="edge"/>
          <c:yMode val="edge"/>
          <c:x val="0.334099937277859"/>
          <c:y val="0.0463550433769261"/>
        </c:manualLayout>
      </c:layout>
      <c:overlay val="0"/>
      <c:spPr>
        <a:noFill/>
        <a:ln>
          <a:noFill/>
        </a:ln>
        <a:effectLst/>
      </c:spPr>
      <c:txPr>
        <a:bodyPr rot="0" spcFirstLastPara="0" vertOverflow="ellipsis" vert="horz" wrap="square" anchor="ctr" anchorCtr="1" forceAA="0"/>
        <a:lstStyle/>
        <a:p>
          <a:pPr>
            <a:defRPr lang="zh-CN" sz="14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sz="1000" b="1">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Sheet9!$A$2</c:f>
              <c:strCache>
                <c:ptCount val="1"/>
                <c:pt idx="0">
                  <c:v>Average time(s)</c:v>
                </c:pt>
              </c:strCache>
            </c:strRef>
          </c:tx>
          <c:spPr>
            <a:noFill/>
            <a:ln w="25400" cap="flat" cmpd="sng" algn="ctr">
              <a:solidFill>
                <a:srgbClr val="00B0F0"/>
              </a:solidFill>
              <a:miter lim="800000"/>
            </a:ln>
            <a:effectLst/>
          </c:spPr>
          <c:invertIfNegative val="0"/>
          <c:dLbls>
            <c:dLbl>
              <c:idx val="0"/>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dLblPos val="outEnd"/>
              <c:showLegendKey val="0"/>
              <c:showVal val="1"/>
              <c:showCatName val="0"/>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dLblPos val="outEnd"/>
              <c:showLegendKey val="0"/>
              <c:showVal val="1"/>
              <c:showCatName val="0"/>
              <c:showSerName val="0"/>
              <c:showPercent val="0"/>
              <c:showBubbleSize val="0"/>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dLblPos val="outEnd"/>
              <c:showLegendKey val="0"/>
              <c:showVal val="1"/>
              <c:showCatName val="0"/>
              <c:showSerName val="0"/>
              <c:showPercent val="0"/>
              <c:showBubbleSize val="0"/>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dLblPos val="outEnd"/>
              <c:showLegendKey val="0"/>
              <c:showVal val="1"/>
              <c:showCatName val="0"/>
              <c:showSerName val="0"/>
              <c:showPercent val="0"/>
              <c:showBubbleSize val="0"/>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10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Sheet9!$B$1:$I$1</c:f>
              <c:strCache>
                <c:ptCount val="8"/>
                <c:pt idx="0">
                  <c:v>Announcements</c:v>
                </c:pt>
                <c:pt idx="1">
                  <c:v>API</c:v>
                </c:pt>
                <c:pt idx="2">
                  <c:v>ChatGPT</c:v>
                </c:pt>
                <c:pt idx="3">
                  <c:v>Community</c:v>
                </c:pt>
                <c:pt idx="4">
                  <c:v>Documentation</c:v>
                </c:pt>
                <c:pt idx="5">
                  <c:v>Forum feedback</c:v>
                </c:pt>
                <c:pt idx="6">
                  <c:v>GPT builders</c:v>
                </c:pt>
                <c:pt idx="7">
                  <c:v>Prompting</c:v>
                </c:pt>
              </c:strCache>
            </c:strRef>
          </c:cat>
          <c:val>
            <c:numRef>
              <c:f>Sheet9!$B$2:$I$2</c:f>
              <c:numCache>
                <c:formatCode>0.0_ </c:formatCode>
                <c:ptCount val="8"/>
                <c:pt idx="0">
                  <c:v>3411498.28</c:v>
                </c:pt>
                <c:pt idx="1" c:formatCode="General">
                  <c:v>583877.9</c:v>
                </c:pt>
                <c:pt idx="2" c:formatCode="General">
                  <c:v>1200843.31</c:v>
                </c:pt>
                <c:pt idx="3" c:formatCode="General">
                  <c:v>1407303.67</c:v>
                </c:pt>
                <c:pt idx="4" c:formatCode="General">
                  <c:v>1083346.6</c:v>
                </c:pt>
                <c:pt idx="5" c:formatCode="General">
                  <c:v>160334.26</c:v>
                </c:pt>
                <c:pt idx="6" c:formatCode="General">
                  <c:v>239555.1194</c:v>
                </c:pt>
                <c:pt idx="7" c:formatCode="General">
                  <c:v>557454.9941</c:v>
                </c:pt>
              </c:numCache>
            </c:numRef>
          </c:val>
        </c:ser>
        <c:dLbls>
          <c:showLegendKey val="0"/>
          <c:showVal val="1"/>
          <c:showCatName val="0"/>
          <c:showSerName val="0"/>
          <c:showPercent val="0"/>
          <c:showBubbleSize val="0"/>
        </c:dLbls>
        <c:gapWidth val="164"/>
        <c:overlap val="-35"/>
        <c:axId val="488347535"/>
        <c:axId val="509400055"/>
      </c:barChart>
      <c:catAx>
        <c:axId val="488347535"/>
        <c:scaling>
          <c:orientation val="minMax"/>
        </c:scaling>
        <c:delete val="0"/>
        <c:axPos val="b"/>
        <c:numFmt formatCode="General" sourceLinked="1"/>
        <c:majorTickMark val="none"/>
        <c:minorTickMark val="none"/>
        <c:tickLblPos val="nextTo"/>
        <c:spPr>
          <a:noFill/>
          <a:ln w="25400">
            <a:solidFill>
              <a:schemeClr val="bg1"/>
            </a:solidFill>
          </a:ln>
          <a:effectLst/>
        </c:spPr>
        <c:txPr>
          <a:bodyPr rot="-60000000" spcFirstLastPara="0" vertOverflow="ellipsis" vert="horz" wrap="square" anchor="ctr" anchorCtr="1" forceAA="0"/>
          <a:lstStyle/>
          <a:p>
            <a:pPr>
              <a:defRPr lang="zh-CN" sz="1000" b="1" i="0" u="none" strike="noStrike" kern="1200" baseline="0">
                <a:solidFill>
                  <a:schemeClr val="tx1">
                    <a:lumMod val="50000"/>
                    <a:lumOff val="50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crossAx val="509400055"/>
        <c:crosses val="autoZero"/>
        <c:auto val="1"/>
        <c:lblAlgn val="ctr"/>
        <c:lblOffset val="100"/>
        <c:noMultiLvlLbl val="0"/>
      </c:catAx>
      <c:valAx>
        <c:axId val="509400055"/>
        <c:scaling>
          <c:orientation val="minMax"/>
        </c:scaling>
        <c:delete val="0"/>
        <c:axPos val="l"/>
        <c:numFmt formatCode="0.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2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crossAx val="488347535"/>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9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900" b="1" i="0" u="none" strike="noStrike" kern="1200" baseline="0">
              <a:solidFill>
                <a:schemeClr val="tx1">
                  <a:lumMod val="50000"/>
                  <a:lumOff val="50000"/>
                </a:schemeClr>
              </a:solidFill>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b="1">
          <a:latin typeface="华文仿宋" panose="02010600040101010101" charset="-122"/>
          <a:ea typeface="华文仿宋" panose="02010600040101010101" charset="-122"/>
          <a:cs typeface="华文仿宋" panose="02010600040101010101" charset="-122"/>
          <a:sym typeface="华文仿宋" panose="02010600040101010101" charset="-122"/>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pieChart>
        <c:varyColors val="1"/>
        <c:ser>
          <c:idx val="0"/>
          <c:order val="0"/>
          <c:tx>
            <c:strRef>
              <c:f>Sheet12!$B$1</c:f>
              <c:strCache>
                <c:ptCount val="1"/>
                <c:pt idx="0">
                  <c:v>数量/个</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dLbl>
              <c:idx val="8"/>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仿宋" panose="02010609060101010101" charset="-122"/>
                      <a:ea typeface="仿宋" panose="02010609060101010101" charset="-122"/>
                      <a:cs typeface="仿宋" panose="02010609060101010101" charset="-122"/>
                      <a:sym typeface="仿宋" panose="02010609060101010101" charset="-122"/>
                    </a:defRPr>
                  </a:pPr>
                </a:p>
              </c:txPr>
              <c:dLblPos val="inEnd"/>
              <c:showLegendKey val="0"/>
              <c:showVal val="0"/>
              <c:showCatName val="0"/>
              <c:showSerName val="0"/>
              <c:showPercent val="1"/>
              <c:showBubbleSize val="0"/>
              <c:extLst>
                <c:ext xmlns:c15="http://schemas.microsoft.com/office/drawing/2012/chart" uri="{CE6537A1-D6FC-4f65-9D91-7224C49458BB}"/>
              </c:extLst>
            </c:dLbl>
            <c:dLbl>
              <c:idx val="9"/>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仿宋" panose="02010609060101010101" charset="-122"/>
                      <a:ea typeface="仿宋" panose="02010609060101010101" charset="-122"/>
                      <a:cs typeface="仿宋" panose="02010609060101010101" charset="-122"/>
                      <a:sym typeface="仿宋" panose="02010609060101010101" charset="-122"/>
                    </a:defRPr>
                  </a:pPr>
                </a:p>
              </c:txPr>
              <c:dLblPos val="inEnd"/>
              <c:showLegendKey val="0"/>
              <c:showVal val="0"/>
              <c:showCatName val="0"/>
              <c:showSerName val="0"/>
              <c:showPercent val="1"/>
              <c:showBubbleSize val="0"/>
              <c:extLst>
                <c:ext xmlns:c15="http://schemas.microsoft.com/office/drawing/2012/chart" uri="{CE6537A1-D6FC-4f65-9D91-7224C49458BB}"/>
              </c:extLst>
            </c:dLbl>
            <c:dLbl>
              <c:idx val="10"/>
              <c:layout/>
              <c:numFmt formatCode="General" sourceLinked="1"/>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仿宋" panose="02010609060101010101" charset="-122"/>
                      <a:ea typeface="仿宋" panose="02010609060101010101" charset="-122"/>
                      <a:cs typeface="仿宋" panose="02010609060101010101" charset="-122"/>
                      <a:sym typeface="仿宋" panose="02010609060101010101" charset="-122"/>
                    </a:defRPr>
                  </a:pPr>
                </a:p>
              </c:txPr>
              <c:dLblPos val="inEnd"/>
              <c:showLegendKey val="0"/>
              <c:showVal val="0"/>
              <c:showCatName val="0"/>
              <c:showSerName val="0"/>
              <c:showPercent val="1"/>
              <c:showBubbleSize val="0"/>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仿宋" panose="02010609060101010101" charset="-122"/>
                    <a:ea typeface="仿宋" panose="02010609060101010101" charset="-122"/>
                    <a:cs typeface="仿宋" panose="02010609060101010101" charset="-122"/>
                    <a:sym typeface="仿宋" panose="02010609060101010101" charset="-122"/>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Sheet12!$A$2:$A$16</c:f>
              <c:strCache>
                <c:ptCount val="15"/>
                <c:pt idx="0">
                  <c:v>0</c:v>
                </c:pt>
                <c:pt idx="1">
                  <c:v>1</c:v>
                </c:pt>
                <c:pt idx="2">
                  <c:v>2</c:v>
                </c:pt>
                <c:pt idx="3">
                  <c:v>3</c:v>
                </c:pt>
                <c:pt idx="4">
                  <c:v>4</c:v>
                </c:pt>
                <c:pt idx="5">
                  <c:v>5</c:v>
                </c:pt>
                <c:pt idx="6">
                  <c:v>6</c:v>
                </c:pt>
                <c:pt idx="7">
                  <c:v>7</c:v>
                </c:pt>
                <c:pt idx="8">
                  <c:v>8</c:v>
                </c:pt>
                <c:pt idx="9">
                  <c:v>9</c:v>
                </c:pt>
                <c:pt idx="10">
                  <c:v>10</c:v>
                </c:pt>
                <c:pt idx="11" c:formatCode="@">
                  <c:v>11~15</c:v>
                </c:pt>
                <c:pt idx="12">
                  <c:v>16~30</c:v>
                </c:pt>
                <c:pt idx="13">
                  <c:v>31~100</c:v>
                </c:pt>
                <c:pt idx="14">
                  <c:v>&gt;100</c:v>
                </c:pt>
              </c:strCache>
            </c:strRef>
          </c:cat>
          <c:val>
            <c:numRef>
              <c:f>Sheet12!$B$2:$B$16</c:f>
              <c:numCache>
                <c:formatCode>General</c:formatCode>
                <c:ptCount val="15"/>
                <c:pt idx="0">
                  <c:v>4635</c:v>
                </c:pt>
                <c:pt idx="1">
                  <c:v>3781</c:v>
                </c:pt>
                <c:pt idx="2">
                  <c:v>2923</c:v>
                </c:pt>
                <c:pt idx="3">
                  <c:v>2174</c:v>
                </c:pt>
                <c:pt idx="4">
                  <c:v>1543</c:v>
                </c:pt>
                <c:pt idx="5">
                  <c:v>1176</c:v>
                </c:pt>
                <c:pt idx="6">
                  <c:v>884</c:v>
                </c:pt>
                <c:pt idx="7">
                  <c:v>612</c:v>
                </c:pt>
                <c:pt idx="8">
                  <c:v>529</c:v>
                </c:pt>
                <c:pt idx="9">
                  <c:v>402</c:v>
                </c:pt>
                <c:pt idx="10">
                  <c:v>323</c:v>
                </c:pt>
                <c:pt idx="11">
                  <c:v>933</c:v>
                </c:pt>
                <c:pt idx="12">
                  <c:v>765</c:v>
                </c:pt>
                <c:pt idx="13">
                  <c:v>351</c:v>
                </c:pt>
                <c:pt idx="14">
                  <c:v>44</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ayout>
        <c:manualLayout>
          <c:xMode val="edge"/>
          <c:yMode val="edge"/>
          <c:x val="0.107364233509113"/>
          <c:y val="0.942370385950152"/>
        </c:manualLayout>
      </c:layout>
      <c:overlay val="0"/>
      <c:spPr>
        <a:noFill/>
        <a:ln>
          <a:noFill/>
        </a:ln>
        <a:effectLst/>
      </c:spPr>
      <c:txPr>
        <a:bodyPr rot="0" spcFirstLastPara="0" vertOverflow="ellipsis" vert="horz" wrap="square" anchor="ctr" anchorCtr="1" forceAA="0"/>
        <a:lstStyle/>
        <a:p>
          <a:pPr>
            <a:defRPr lang="zh-CN" sz="12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pieChart>
        <c:varyColors val="1"/>
        <c:ser>
          <c:idx val="0"/>
          <c:order val="0"/>
          <c:tx>
            <c:strRef>
              <c:f>[1]Sheet1!$F$1</c:f>
              <c:strCache>
                <c:ptCount val="1"/>
                <c:pt idx="0">
                  <c:v>数量/个</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dLbl>
              <c:idx val="8"/>
              <c:layout>
                <c:manualLayout>
                  <c:x val="-0.00116586590299756"/>
                  <c:y val="0.0582447792348193"/>
                </c:manualLayout>
              </c:layout>
              <c:dLblPos val="bestFit"/>
              <c:showLegendKey val="0"/>
              <c:showVal val="0"/>
              <c:showCatName val="0"/>
              <c:showSerName val="0"/>
              <c:showPercent val="1"/>
              <c:showBubbleSize val="0"/>
              <c:separator>
</c:separator>
              <c:extLst>
                <c:ext xmlns:c15="http://schemas.microsoft.com/office/drawing/2012/chart" uri="{CE6537A1-D6FC-4f65-9D91-7224C49458BB}">
                  <c15:layout/>
                </c:ext>
              </c:extLst>
            </c:dLbl>
            <c:dLbl>
              <c:idx val="9"/>
              <c:layout>
                <c:manualLayout>
                  <c:x val="0.00261440538375159"/>
                  <c:y val="0.112046686506688"/>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numFmt formatCode="0.00%" sourceLinked="0"/>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[1]Sheet1!$E$2:$E$11</c:f>
              <c:strCache>
                <c:ptCount val="10"/>
                <c:pt idx="0">
                  <c:v>0</c:v>
                </c:pt>
                <c:pt idx="1">
                  <c:v>1</c:v>
                </c:pt>
                <c:pt idx="2">
                  <c:v>2</c:v>
                </c:pt>
                <c:pt idx="3">
                  <c:v>3</c:v>
                </c:pt>
                <c:pt idx="4">
                  <c:v>4</c:v>
                </c:pt>
                <c:pt idx="5">
                  <c:v>5</c:v>
                </c:pt>
                <c:pt idx="6">
                  <c:v>6~10</c:v>
                </c:pt>
                <c:pt idx="7">
                  <c:v>11~30</c:v>
                </c:pt>
                <c:pt idx="8">
                  <c:v>31~100</c:v>
                </c:pt>
                <c:pt idx="9">
                  <c:v>&gt;100</c:v>
                </c:pt>
              </c:strCache>
            </c:strRef>
          </c:cat>
          <c:val>
            <c:numRef>
              <c:f>[1]Sheet1!$F$2:$F$11</c:f>
              <c:numCache>
                <c:formatCode>General</c:formatCode>
                <c:ptCount val="10"/>
                <c:pt idx="0">
                  <c:v>119632</c:v>
                </c:pt>
                <c:pt idx="1">
                  <c:v>244664</c:v>
                </c:pt>
                <c:pt idx="2">
                  <c:v>70129</c:v>
                </c:pt>
                <c:pt idx="3">
                  <c:v>23775</c:v>
                </c:pt>
                <c:pt idx="4">
                  <c:v>12471</c:v>
                </c:pt>
                <c:pt idx="5">
                  <c:v>7873</c:v>
                </c:pt>
                <c:pt idx="6">
                  <c:v>17684</c:v>
                </c:pt>
                <c:pt idx="7">
                  <c:v>14645</c:v>
                </c:pt>
                <c:pt idx="8">
                  <c:v>4836</c:v>
                </c:pt>
                <c:pt idx="9">
                  <c:v>1003</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2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sz="1200" b="1">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pieChart>
        <c:varyColors val="1"/>
        <c:ser>
          <c:idx val="0"/>
          <c:order val="0"/>
          <c:tx>
            <c:strRef>
              <c:f>[1]Sheet2!$E$1</c:f>
              <c:strCache>
                <c:ptCount val="1"/>
                <c:pt idx="0">
                  <c:v>数量/个</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Lbls>
            <c:numFmt formatCode="0.00%" sourceLinked="0"/>
            <c:spPr>
              <a:noFill/>
              <a:ln>
                <a:noFill/>
              </a:ln>
              <a:effectLst/>
            </c:spPr>
            <c:txPr>
              <a:bodyPr rot="0" spcFirstLastPara="0" vertOverflow="ellipsis" vert="horz" wrap="square" lIns="38100" tIns="19050" rIns="38100" bIns="19050" anchor="ctr" anchorCtr="1" forceAA="0"/>
              <a:lstStyle/>
              <a:p>
                <a:pPr>
                  <a:defRPr lang="zh-CN" sz="1200" b="1" i="0" u="none" strike="noStrike" kern="1200" baseline="0">
                    <a:solidFill>
                      <a:schemeClr val="bg1"/>
                    </a:solidFill>
                    <a:latin typeface="仿宋" panose="02010609060101010101" charset="-122"/>
                    <a:ea typeface="仿宋" panose="02010609060101010101" charset="-122"/>
                    <a:cs typeface="仿宋" panose="02010609060101010101" charset="-122"/>
                    <a:sym typeface="仿宋" panose="02010609060101010101" charset="-122"/>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[1]Sheet2!$D$2:$D$19</c:f>
              <c:strCache>
                <c:ptCount val="18"/>
                <c:pt idx="0">
                  <c:v>0</c:v>
                </c:pt>
                <c:pt idx="1">
                  <c:v>1</c:v>
                </c:pt>
                <c:pt idx="2">
                  <c:v>2</c:v>
                </c:pt>
                <c:pt idx="3">
                  <c:v>3</c:v>
                </c:pt>
                <c:pt idx="4">
                  <c:v>4</c:v>
                </c:pt>
                <c:pt idx="5">
                  <c:v>5</c:v>
                </c:pt>
                <c:pt idx="6">
                  <c:v>6</c:v>
                </c:pt>
                <c:pt idx="7">
                  <c:v>7</c:v>
                </c:pt>
                <c:pt idx="8">
                  <c:v>8</c:v>
                </c:pt>
                <c:pt idx="9">
                  <c:v>9</c:v>
                </c:pt>
                <c:pt idx="10">
                  <c:v>10</c:v>
                </c:pt>
                <c:pt idx="11">
                  <c:v>11~12</c:v>
                </c:pt>
                <c:pt idx="12">
                  <c:v>13~15</c:v>
                </c:pt>
                <c:pt idx="13">
                  <c:v>16~20</c:v>
                </c:pt>
                <c:pt idx="14">
                  <c:v>21~30</c:v>
                </c:pt>
                <c:pt idx="15">
                  <c:v>31~50</c:v>
                </c:pt>
                <c:pt idx="16">
                  <c:v>51~100</c:v>
                </c:pt>
                <c:pt idx="17">
                  <c:v>&gt;100</c:v>
                </c:pt>
              </c:strCache>
            </c:strRef>
          </c:cat>
          <c:val>
            <c:numRef>
              <c:f>[1]Sheet2!$E$2:$E$19</c:f>
              <c:numCache>
                <c:formatCode>General</c:formatCode>
                <c:ptCount val="18"/>
                <c:pt idx="0">
                  <c:v>146963</c:v>
                </c:pt>
                <c:pt idx="1">
                  <c:v>57625</c:v>
                </c:pt>
                <c:pt idx="2">
                  <c:v>47310</c:v>
                </c:pt>
                <c:pt idx="3">
                  <c:v>38863</c:v>
                </c:pt>
                <c:pt idx="4">
                  <c:v>22654</c:v>
                </c:pt>
                <c:pt idx="5">
                  <c:v>21184</c:v>
                </c:pt>
                <c:pt idx="6">
                  <c:v>17691</c:v>
                </c:pt>
                <c:pt idx="7">
                  <c:v>13506</c:v>
                </c:pt>
                <c:pt idx="8">
                  <c:v>11354</c:v>
                </c:pt>
                <c:pt idx="9">
                  <c:v>10006</c:v>
                </c:pt>
                <c:pt idx="10">
                  <c:v>9156</c:v>
                </c:pt>
                <c:pt idx="11">
                  <c:v>14857</c:v>
                </c:pt>
                <c:pt idx="12">
                  <c:v>17230</c:v>
                </c:pt>
                <c:pt idx="13">
                  <c:v>19389</c:v>
                </c:pt>
                <c:pt idx="14">
                  <c:v>20466</c:v>
                </c:pt>
                <c:pt idx="15">
                  <c:v>18156</c:v>
                </c:pt>
                <c:pt idx="16">
                  <c:v>15302</c:v>
                </c:pt>
                <c:pt idx="17">
                  <c:v>15000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2"/>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3"/>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4"/>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5"/>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6"/>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7"/>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8"/>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9"/>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0"/>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1"/>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2"/>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3"/>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4"/>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5"/>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6"/>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egendEntry>
        <c:idx val="17"/>
        <c:txPr>
          <a:bodyPr rot="0" spcFirstLastPara="0" vertOverflow="ellipsis" vert="horz" wrap="square" anchor="ctr" anchorCtr="1"/>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Entry>
      <c:layout/>
      <c:overlay val="0"/>
      <c:spPr>
        <a:noFill/>
        <a:ln>
          <a:noFill/>
        </a:ln>
        <a:effectLst/>
      </c:spPr>
      <c:txPr>
        <a:bodyPr rot="0" spcFirstLastPara="0" vertOverflow="ellipsis" vert="horz" wrap="square" anchor="ctr" anchorCtr="1" forceAA="0"/>
        <a:lstStyle/>
        <a:p>
          <a:pPr>
            <a:defRPr lang="zh-CN" sz="1000" b="1" i="0" u="none" strike="noStrike" kern="1200" baseline="0">
              <a:solidFill>
                <a:schemeClr val="tx1">
                  <a:lumMod val="65000"/>
                  <a:lumOff val="3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495300</xdr:colOff>
      <xdr:row>3</xdr:row>
      <xdr:rowOff>41274</xdr:rowOff>
    </xdr:from>
    <xdr:to>
      <xdr:col>15</xdr:col>
      <xdr:colOff>107950</xdr:colOff>
      <xdr:row>26</xdr:row>
      <xdr:rowOff>101600</xdr:rowOff>
    </xdr:to>
    <xdr:graphicFrame>
      <xdr:nvGraphicFramePr>
        <xdr:cNvPr id="2" name="图表 1" descr="7b0a202020202263686172745265734964223a20223230343736303832220a7d0a"/>
        <xdr:cNvGraphicFramePr/>
      </xdr:nvGraphicFramePr>
      <xdr:xfrm>
        <a:off x="9772650" y="745490"/>
        <a:ext cx="7842250" cy="5464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252730</xdr:colOff>
      <xdr:row>3</xdr:row>
      <xdr:rowOff>51435</xdr:rowOff>
    </xdr:from>
    <xdr:to>
      <xdr:col>27</xdr:col>
      <xdr:colOff>277495</xdr:colOff>
      <xdr:row>26</xdr:row>
      <xdr:rowOff>138430</xdr:rowOff>
    </xdr:to>
    <xdr:graphicFrame>
      <xdr:nvGraphicFramePr>
        <xdr:cNvPr id="3" name="图表 2" descr="7b0a202020202263686172745265734964223a20223230343736303832220a7d0a"/>
        <xdr:cNvGraphicFramePr/>
      </xdr:nvGraphicFramePr>
      <xdr:xfrm>
        <a:off x="17759680" y="756285"/>
        <a:ext cx="8254365" cy="54908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114300</xdr:colOff>
      <xdr:row>2</xdr:row>
      <xdr:rowOff>21590</xdr:rowOff>
    </xdr:from>
    <xdr:to>
      <xdr:col>14</xdr:col>
      <xdr:colOff>666750</xdr:colOff>
      <xdr:row>25</xdr:row>
      <xdr:rowOff>18416</xdr:rowOff>
    </xdr:to>
    <xdr:graphicFrame>
      <xdr:nvGraphicFramePr>
        <xdr:cNvPr id="2" name="图表 1" descr="7b0a202020202263686172745265734964223a20223230343736303832220a7d0a"/>
        <xdr:cNvGraphicFramePr/>
      </xdr:nvGraphicFramePr>
      <xdr:xfrm>
        <a:off x="9793605" y="491490"/>
        <a:ext cx="7410450" cy="54006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70485</xdr:colOff>
      <xdr:row>2</xdr:row>
      <xdr:rowOff>38100</xdr:rowOff>
    </xdr:from>
    <xdr:to>
      <xdr:col>27</xdr:col>
      <xdr:colOff>164465</xdr:colOff>
      <xdr:row>24</xdr:row>
      <xdr:rowOff>180340</xdr:rowOff>
    </xdr:to>
    <xdr:graphicFrame>
      <xdr:nvGraphicFramePr>
        <xdr:cNvPr id="3" name="图表 2" descr="7b0a202020202263686172745265734964223a20223230343736303832220a7d0a"/>
        <xdr:cNvGraphicFramePr/>
      </xdr:nvGraphicFramePr>
      <xdr:xfrm>
        <a:off x="17293590" y="508000"/>
        <a:ext cx="8323580" cy="53111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194945</xdr:colOff>
      <xdr:row>16</xdr:row>
      <xdr:rowOff>67310</xdr:rowOff>
    </xdr:from>
    <xdr:to>
      <xdr:col>9</xdr:col>
      <xdr:colOff>365125</xdr:colOff>
      <xdr:row>38</xdr:row>
      <xdr:rowOff>133985</xdr:rowOff>
    </xdr:to>
    <xdr:graphicFrame>
      <xdr:nvGraphicFramePr>
        <xdr:cNvPr id="2" name="图表 1" descr="7b0a202020202263686172745265734964223a20223230343639393934220a7d0a"/>
        <xdr:cNvGraphicFramePr/>
      </xdr:nvGraphicFramePr>
      <xdr:xfrm>
        <a:off x="3287395" y="3512185"/>
        <a:ext cx="6590030" cy="40735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276225</xdr:colOff>
      <xdr:row>3</xdr:row>
      <xdr:rowOff>77470</xdr:rowOff>
    </xdr:from>
    <xdr:to>
      <xdr:col>15</xdr:col>
      <xdr:colOff>507365</xdr:colOff>
      <xdr:row>30</xdr:row>
      <xdr:rowOff>57785</xdr:rowOff>
    </xdr:to>
    <xdr:graphicFrame>
      <xdr:nvGraphicFramePr>
        <xdr:cNvPr id="4" name="图表 3" descr="7b0a202020202263686172745265734964223a20223230343736313232220a7d0a"/>
        <xdr:cNvGraphicFramePr/>
      </xdr:nvGraphicFramePr>
      <xdr:xfrm>
        <a:off x="2817495" y="782320"/>
        <a:ext cx="7495540" cy="54667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658495</xdr:colOff>
      <xdr:row>4</xdr:row>
      <xdr:rowOff>88900</xdr:rowOff>
    </xdr:from>
    <xdr:to>
      <xdr:col>18</xdr:col>
      <xdr:colOff>367030</xdr:colOff>
      <xdr:row>23</xdr:row>
      <xdr:rowOff>186055</xdr:rowOff>
    </xdr:to>
    <xdr:graphicFrame>
      <xdr:nvGraphicFramePr>
        <xdr:cNvPr id="2" name="图表 1" descr="7b0a202020202263686172745265734964223a20223230343736303831220a7d0a"/>
        <xdr:cNvGraphicFramePr/>
      </xdr:nvGraphicFramePr>
      <xdr:xfrm>
        <a:off x="3669665" y="1028700"/>
        <a:ext cx="8954135" cy="45612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379095</xdr:colOff>
      <xdr:row>19</xdr:row>
      <xdr:rowOff>133985</xdr:rowOff>
    </xdr:from>
    <xdr:to>
      <xdr:col>13</xdr:col>
      <xdr:colOff>556895</xdr:colOff>
      <xdr:row>44</xdr:row>
      <xdr:rowOff>36830</xdr:rowOff>
    </xdr:to>
    <xdr:graphicFrame>
      <xdr:nvGraphicFramePr>
        <xdr:cNvPr id="5" name="图表 4"/>
        <xdr:cNvGraphicFramePr/>
      </xdr:nvGraphicFramePr>
      <xdr:xfrm>
        <a:off x="3187700" y="4636135"/>
        <a:ext cx="9363710" cy="4347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349250</xdr:colOff>
      <xdr:row>25</xdr:row>
      <xdr:rowOff>12700</xdr:rowOff>
    </xdr:from>
    <xdr:to>
      <xdr:col>15</xdr:col>
      <xdr:colOff>107315</xdr:colOff>
      <xdr:row>47</xdr:row>
      <xdr:rowOff>170815</xdr:rowOff>
    </xdr:to>
    <xdr:graphicFrame>
      <xdr:nvGraphicFramePr>
        <xdr:cNvPr id="2" name="图表 1" descr="7b0a202020202263686172745265734964223a20223230343730363533220a7d0a"/>
        <xdr:cNvGraphicFramePr/>
      </xdr:nvGraphicFramePr>
      <xdr:xfrm>
        <a:off x="1670050" y="5340350"/>
        <a:ext cx="8343265" cy="40697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7</xdr:col>
      <xdr:colOff>604520</xdr:colOff>
      <xdr:row>7</xdr:row>
      <xdr:rowOff>202565</xdr:rowOff>
    </xdr:from>
    <xdr:to>
      <xdr:col>21</xdr:col>
      <xdr:colOff>159385</xdr:colOff>
      <xdr:row>28</xdr:row>
      <xdr:rowOff>106045</xdr:rowOff>
    </xdr:to>
    <xdr:graphicFrame>
      <xdr:nvGraphicFramePr>
        <xdr:cNvPr id="3" name="图表 2" descr="7b0a202020202263686172745265734964223a20223230343736303437220a7d0a"/>
        <xdr:cNvGraphicFramePr/>
      </xdr:nvGraphicFramePr>
      <xdr:xfrm>
        <a:off x="5405120" y="2012315"/>
        <a:ext cx="9156065" cy="48374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848360</xdr:colOff>
      <xdr:row>10</xdr:row>
      <xdr:rowOff>122555</xdr:rowOff>
    </xdr:from>
    <xdr:to>
      <xdr:col>8</xdr:col>
      <xdr:colOff>270510</xdr:colOff>
      <xdr:row>33</xdr:row>
      <xdr:rowOff>46355</xdr:rowOff>
    </xdr:to>
    <xdr:graphicFrame>
      <xdr:nvGraphicFramePr>
        <xdr:cNvPr id="2" name="图表 1" descr="7b0a202020202263686172745265734964223a20223230343736303832220a7d0a"/>
        <xdr:cNvGraphicFramePr/>
      </xdr:nvGraphicFramePr>
      <xdr:xfrm>
        <a:off x="848360" y="2027555"/>
        <a:ext cx="8535670" cy="401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4</xdr:col>
      <xdr:colOff>285750</xdr:colOff>
      <xdr:row>0</xdr:row>
      <xdr:rowOff>635</xdr:rowOff>
    </xdr:from>
    <xdr:to>
      <xdr:col>14</xdr:col>
      <xdr:colOff>545465</xdr:colOff>
      <xdr:row>23</xdr:row>
      <xdr:rowOff>114935</xdr:rowOff>
    </xdr:to>
    <xdr:graphicFrame>
      <xdr:nvGraphicFramePr>
        <xdr:cNvPr id="3" name="图表 2" descr="7b0a202020202263686172745265734964223a20223230343736313232220a7d0a"/>
        <xdr:cNvGraphicFramePr/>
      </xdr:nvGraphicFramePr>
      <xdr:xfrm>
        <a:off x="3322320" y="635"/>
        <a:ext cx="6863715" cy="603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6</xdr:col>
      <xdr:colOff>209550</xdr:colOff>
      <xdr:row>1</xdr:row>
      <xdr:rowOff>38100</xdr:rowOff>
    </xdr:from>
    <xdr:to>
      <xdr:col>17</xdr:col>
      <xdr:colOff>69215</xdr:colOff>
      <xdr:row>24</xdr:row>
      <xdr:rowOff>82550</xdr:rowOff>
    </xdr:to>
    <xdr:graphicFrame>
      <xdr:nvGraphicFramePr>
        <xdr:cNvPr id="7" name="图表 6" descr="7b0a202020202263686172745265734964223a20223230343736313232220a7d0a"/>
        <xdr:cNvGraphicFramePr/>
      </xdr:nvGraphicFramePr>
      <xdr:xfrm>
        <a:off x="4809490" y="323850"/>
        <a:ext cx="6565265" cy="6616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6</xdr:col>
      <xdr:colOff>36830</xdr:colOff>
      <xdr:row>1</xdr:row>
      <xdr:rowOff>144145</xdr:rowOff>
    </xdr:from>
    <xdr:to>
      <xdr:col>18</xdr:col>
      <xdr:colOff>55245</xdr:colOff>
      <xdr:row>23</xdr:row>
      <xdr:rowOff>10795</xdr:rowOff>
    </xdr:to>
    <xdr:graphicFrame>
      <xdr:nvGraphicFramePr>
        <xdr:cNvPr id="5" name="图表 4" descr="7b0a202020202263686172745265734964223a20223230343736313232220a7d0a"/>
        <xdr:cNvGraphicFramePr/>
      </xdr:nvGraphicFramePr>
      <xdr:xfrm>
        <a:off x="5119370" y="429895"/>
        <a:ext cx="7333615" cy="61531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31807;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F1" t="str">
            <v>数量/个</v>
          </cell>
        </row>
        <row r="2">
          <cell r="E2">
            <v>0</v>
          </cell>
          <cell r="F2">
            <v>119632</v>
          </cell>
        </row>
        <row r="3">
          <cell r="E3">
            <v>1</v>
          </cell>
          <cell r="F3">
            <v>244664</v>
          </cell>
        </row>
        <row r="4">
          <cell r="E4">
            <v>2</v>
          </cell>
          <cell r="F4">
            <v>70129</v>
          </cell>
        </row>
        <row r="5">
          <cell r="E5">
            <v>3</v>
          </cell>
          <cell r="F5">
            <v>23775</v>
          </cell>
        </row>
        <row r="6">
          <cell r="E6">
            <v>4</v>
          </cell>
          <cell r="F6">
            <v>12471</v>
          </cell>
        </row>
        <row r="7">
          <cell r="E7">
            <v>5</v>
          </cell>
          <cell r="F7">
            <v>7873</v>
          </cell>
        </row>
        <row r="8">
          <cell r="E8" t="str">
            <v>6~10</v>
          </cell>
          <cell r="F8">
            <v>17684</v>
          </cell>
        </row>
        <row r="9">
          <cell r="E9" t="str">
            <v>11~30</v>
          </cell>
          <cell r="F9">
            <v>14645</v>
          </cell>
        </row>
        <row r="10">
          <cell r="E10" t="str">
            <v>31~100</v>
          </cell>
          <cell r="F10">
            <v>4836</v>
          </cell>
        </row>
        <row r="11">
          <cell r="E11" t="str">
            <v>&gt;100</v>
          </cell>
          <cell r="F11">
            <v>1003</v>
          </cell>
        </row>
      </sheetData>
      <sheetData sheetId="1">
        <row r="1">
          <cell r="E1" t="str">
            <v>数量/个</v>
          </cell>
        </row>
        <row r="2">
          <cell r="D2">
            <v>0</v>
          </cell>
          <cell r="E2">
            <v>146963</v>
          </cell>
        </row>
        <row r="3">
          <cell r="D3">
            <v>1</v>
          </cell>
          <cell r="E3">
            <v>57625</v>
          </cell>
        </row>
        <row r="4">
          <cell r="D4">
            <v>2</v>
          </cell>
          <cell r="E4">
            <v>47310</v>
          </cell>
        </row>
        <row r="5">
          <cell r="D5">
            <v>3</v>
          </cell>
          <cell r="E5">
            <v>38863</v>
          </cell>
        </row>
        <row r="6">
          <cell r="D6">
            <v>4</v>
          </cell>
          <cell r="E6">
            <v>22654</v>
          </cell>
        </row>
        <row r="7">
          <cell r="D7">
            <v>5</v>
          </cell>
          <cell r="E7">
            <v>21184</v>
          </cell>
        </row>
        <row r="8">
          <cell r="D8">
            <v>6</v>
          </cell>
          <cell r="E8">
            <v>17691</v>
          </cell>
        </row>
        <row r="9">
          <cell r="D9">
            <v>7</v>
          </cell>
          <cell r="E9">
            <v>13506</v>
          </cell>
        </row>
        <row r="10">
          <cell r="D10">
            <v>8</v>
          </cell>
          <cell r="E10">
            <v>11354</v>
          </cell>
        </row>
        <row r="11">
          <cell r="D11">
            <v>9</v>
          </cell>
          <cell r="E11">
            <v>10006</v>
          </cell>
        </row>
        <row r="12">
          <cell r="D12">
            <v>10</v>
          </cell>
          <cell r="E12">
            <v>9156</v>
          </cell>
        </row>
        <row r="13">
          <cell r="D13" t="str">
            <v>11~12</v>
          </cell>
          <cell r="E13">
            <v>14857</v>
          </cell>
        </row>
        <row r="14">
          <cell r="D14" t="str">
            <v>13~15</v>
          </cell>
          <cell r="E14">
            <v>17230</v>
          </cell>
        </row>
        <row r="15">
          <cell r="D15" t="str">
            <v>16~20</v>
          </cell>
          <cell r="E15">
            <v>19389</v>
          </cell>
        </row>
        <row r="16">
          <cell r="D16" t="str">
            <v>21~30</v>
          </cell>
          <cell r="E16">
            <v>20466</v>
          </cell>
        </row>
        <row r="17">
          <cell r="D17" t="str">
            <v>31~50</v>
          </cell>
          <cell r="E17">
            <v>18156</v>
          </cell>
        </row>
        <row r="18">
          <cell r="D18" t="str">
            <v>51~100</v>
          </cell>
          <cell r="E18">
            <v>15302</v>
          </cell>
        </row>
        <row r="19">
          <cell r="D19" t="str">
            <v>&gt;100</v>
          </cell>
          <cell r="E19">
            <v>15000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3】">
    <a:dk1>
      <a:srgbClr val="000000"/>
    </a:dk1>
    <a:lt1>
      <a:srgbClr val="FFFFFF"/>
    </a:lt1>
    <a:dk2>
      <a:srgbClr val="0C0E1F"/>
    </a:dk2>
    <a:lt2>
      <a:srgbClr val="FEFFFF"/>
    </a:lt2>
    <a:accent1>
      <a:srgbClr val="FF8D41"/>
    </a:accent1>
    <a:accent2>
      <a:srgbClr val="F08BB4"/>
    </a:accent2>
    <a:accent3>
      <a:srgbClr val="4EC9F6"/>
    </a:accent3>
    <a:accent4>
      <a:srgbClr val="5B8FF9"/>
    </a:accent4>
    <a:accent5>
      <a:srgbClr val="7262FD"/>
    </a:accent5>
    <a:accent6>
      <a:srgbClr val="FCC400"/>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3】">
    <a:dk1>
      <a:srgbClr val="000000"/>
    </a:dk1>
    <a:lt1>
      <a:srgbClr val="FFFFFF"/>
    </a:lt1>
    <a:dk2>
      <a:srgbClr val="0C0E1F"/>
    </a:dk2>
    <a:lt2>
      <a:srgbClr val="FEFFFF"/>
    </a:lt2>
    <a:accent1>
      <a:srgbClr val="FF8D41"/>
    </a:accent1>
    <a:accent2>
      <a:srgbClr val="F08BB4"/>
    </a:accent2>
    <a:accent3>
      <a:srgbClr val="4EC9F6"/>
    </a:accent3>
    <a:accent4>
      <a:srgbClr val="5B8FF9"/>
    </a:accent4>
    <a:accent5>
      <a:srgbClr val="7262FD"/>
    </a:accent5>
    <a:accent6>
      <a:srgbClr val="FCC400"/>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3】">
    <a:dk1>
      <a:srgbClr val="000000"/>
    </a:dk1>
    <a:lt1>
      <a:srgbClr val="FFFFFF"/>
    </a:lt1>
    <a:dk2>
      <a:srgbClr val="0C0E1F"/>
    </a:dk2>
    <a:lt2>
      <a:srgbClr val="FEFFFF"/>
    </a:lt2>
    <a:accent1>
      <a:srgbClr val="FF8D41"/>
    </a:accent1>
    <a:accent2>
      <a:srgbClr val="F08BB4"/>
    </a:accent2>
    <a:accent3>
      <a:srgbClr val="4EC9F6"/>
    </a:accent3>
    <a:accent4>
      <a:srgbClr val="5B8FF9"/>
    </a:accent4>
    <a:accent5>
      <a:srgbClr val="7262FD"/>
    </a:accent5>
    <a:accent6>
      <a:srgbClr val="FCC400"/>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自定义 94">
    <a:dk1>
      <a:srgbClr val="000000"/>
    </a:dk1>
    <a:lt1>
      <a:srgbClr val="FFFFFF"/>
    </a:lt1>
    <a:dk2>
      <a:srgbClr val="0C0E1F"/>
    </a:dk2>
    <a:lt2>
      <a:srgbClr val="FEFFFF"/>
    </a:lt2>
    <a:accent1>
      <a:srgbClr val="00B2CC"/>
    </a:accent1>
    <a:accent2>
      <a:srgbClr val="FCB040"/>
    </a:accent2>
    <a:accent3>
      <a:srgbClr val="BFD546"/>
    </a:accent3>
    <a:accent4>
      <a:srgbClr val="2E6480"/>
    </a:accent4>
    <a:accent5>
      <a:srgbClr val="FF7B00"/>
    </a:accent5>
    <a:accent6>
      <a:srgbClr val="BE1D2C"/>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1】">
    <a:dk1>
      <a:srgbClr val="000000"/>
    </a:dk1>
    <a:lt1>
      <a:srgbClr val="FFFFFF"/>
    </a:lt1>
    <a:dk2>
      <a:srgbClr val="0C0E1F"/>
    </a:dk2>
    <a:lt2>
      <a:srgbClr val="FEFFFF"/>
    </a:lt2>
    <a:accent1>
      <a:srgbClr val="4F81FF"/>
    </a:accent1>
    <a:accent2>
      <a:srgbClr val="16CC8A"/>
    </a:accent2>
    <a:accent3>
      <a:srgbClr val="FFC619"/>
    </a:accent3>
    <a:accent4>
      <a:srgbClr val="FF8041"/>
    </a:accent4>
    <a:accent5>
      <a:srgbClr val="F95F5F"/>
    </a:accent5>
    <a:accent6>
      <a:srgbClr val="A15CFF"/>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2】">
    <a:dk1>
      <a:srgbClr val="000000"/>
    </a:dk1>
    <a:lt1>
      <a:srgbClr val="FFFFFF"/>
    </a:lt1>
    <a:dk2>
      <a:srgbClr val="0C0E1F"/>
    </a:dk2>
    <a:lt2>
      <a:srgbClr val="FEFFFF"/>
    </a:lt2>
    <a:accent1>
      <a:srgbClr val="F86696"/>
    </a:accent1>
    <a:accent2>
      <a:srgbClr val="FDAB0D"/>
    </a:accent2>
    <a:accent3>
      <a:srgbClr val="4DC4C2"/>
    </a:accent3>
    <a:accent4>
      <a:srgbClr val="FE7352"/>
    </a:accent4>
    <a:accent5>
      <a:srgbClr val="D2CD32"/>
    </a:accent5>
    <a:accent6>
      <a:srgbClr val="78CFB1"/>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3】">
    <a:dk1>
      <a:srgbClr val="000000"/>
    </a:dk1>
    <a:lt1>
      <a:srgbClr val="FFFFFF"/>
    </a:lt1>
    <a:dk2>
      <a:srgbClr val="0C0E1F"/>
    </a:dk2>
    <a:lt2>
      <a:srgbClr val="FEFFFF"/>
    </a:lt2>
    <a:accent1>
      <a:srgbClr val="FF8D41"/>
    </a:accent1>
    <a:accent2>
      <a:srgbClr val="F08BB4"/>
    </a:accent2>
    <a:accent3>
      <a:srgbClr val="4EC9F6"/>
    </a:accent3>
    <a:accent4>
      <a:srgbClr val="5B8FF9"/>
    </a:accent4>
    <a:accent5>
      <a:srgbClr val="7262FD"/>
    </a:accent5>
    <a:accent6>
      <a:srgbClr val="FCC400"/>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3】">
    <a:dk1>
      <a:srgbClr val="000000"/>
    </a:dk1>
    <a:lt1>
      <a:srgbClr val="FFFFFF"/>
    </a:lt1>
    <a:dk2>
      <a:srgbClr val="0C0E1F"/>
    </a:dk2>
    <a:lt2>
      <a:srgbClr val="FEFFFF"/>
    </a:lt2>
    <a:accent1>
      <a:srgbClr val="FF8D41"/>
    </a:accent1>
    <a:accent2>
      <a:srgbClr val="F08BB4"/>
    </a:accent2>
    <a:accent3>
      <a:srgbClr val="4EC9F6"/>
    </a:accent3>
    <a:accent4>
      <a:srgbClr val="5B8FF9"/>
    </a:accent4>
    <a:accent5>
      <a:srgbClr val="7262FD"/>
    </a:accent5>
    <a:accent6>
      <a:srgbClr val="FCC400"/>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1】">
    <a:dk1>
      <a:srgbClr val="000000"/>
    </a:dk1>
    <a:lt1>
      <a:srgbClr val="FFFFFF"/>
    </a:lt1>
    <a:dk2>
      <a:srgbClr val="0C0E1F"/>
    </a:dk2>
    <a:lt2>
      <a:srgbClr val="FEFFFF"/>
    </a:lt2>
    <a:accent1>
      <a:srgbClr val="4F81FF"/>
    </a:accent1>
    <a:accent2>
      <a:srgbClr val="16CC8A"/>
    </a:accent2>
    <a:accent3>
      <a:srgbClr val="FFC619"/>
    </a:accent3>
    <a:accent4>
      <a:srgbClr val="FF8041"/>
    </a:accent4>
    <a:accent5>
      <a:srgbClr val="F95F5F"/>
    </a:accent5>
    <a:accent6>
      <a:srgbClr val="A15CFF"/>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1】">
    <a:dk1>
      <a:srgbClr val="000000"/>
    </a:dk1>
    <a:lt1>
      <a:srgbClr val="FFFFFF"/>
    </a:lt1>
    <a:dk2>
      <a:srgbClr val="0C0E1F"/>
    </a:dk2>
    <a:lt2>
      <a:srgbClr val="FEFFFF"/>
    </a:lt2>
    <a:accent1>
      <a:srgbClr val="4F81FF"/>
    </a:accent1>
    <a:accent2>
      <a:srgbClr val="16CC8A"/>
    </a:accent2>
    <a:accent3>
      <a:srgbClr val="FFC619"/>
    </a:accent3>
    <a:accent4>
      <a:srgbClr val="FF8041"/>
    </a:accent4>
    <a:accent5>
      <a:srgbClr val="F95F5F"/>
    </a:accent5>
    <a:accent6>
      <a:srgbClr val="A15CFF"/>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1】">
    <a:dk1>
      <a:srgbClr val="000000"/>
    </a:dk1>
    <a:lt1>
      <a:srgbClr val="FFFFFF"/>
    </a:lt1>
    <a:dk2>
      <a:srgbClr val="0C0E1F"/>
    </a:dk2>
    <a:lt2>
      <a:srgbClr val="FEFFFF"/>
    </a:lt2>
    <a:accent1>
      <a:srgbClr val="4F81FF"/>
    </a:accent1>
    <a:accent2>
      <a:srgbClr val="16CC8A"/>
    </a:accent2>
    <a:accent3>
      <a:srgbClr val="FFC619"/>
    </a:accent3>
    <a:accent4>
      <a:srgbClr val="FF8041"/>
    </a:accent4>
    <a:accent5>
      <a:srgbClr val="F95F5F"/>
    </a:accent5>
    <a:accent6>
      <a:srgbClr val="A15CFF"/>
    </a:accent6>
    <a:hlink>
      <a:srgbClr val="304FFE"/>
    </a:hlink>
    <a:folHlink>
      <a:srgbClr val="492067"/>
    </a:folHlink>
  </a:clrScheme>
  <a:fontScheme name="自定义 2">
    <a:majorFont>
      <a:latin typeface="微软雅黑"/>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zoomScale="85" zoomScaleNormal="85" topLeftCell="D1" workbookViewId="0">
      <selection activeCell="AA33" sqref="AA33"/>
    </sheetView>
  </sheetViews>
  <sheetFormatPr defaultColWidth="9" defaultRowHeight="14" outlineLevelCol="2"/>
  <cols>
    <col min="1" max="3" width="40.5833333333333" customWidth="1"/>
  </cols>
  <sheetData>
    <row r="1" ht="18.5" customHeight="1" spans="1:3">
      <c r="A1" s="54" t="s">
        <v>0</v>
      </c>
      <c r="B1" s="35" t="s">
        <v>1</v>
      </c>
      <c r="C1" s="6" t="s">
        <v>2</v>
      </c>
    </row>
    <row r="2" ht="18.5" customHeight="1" spans="1:3">
      <c r="A2" s="55">
        <v>44228</v>
      </c>
      <c r="B2" s="36">
        <v>1</v>
      </c>
      <c r="C2" s="8">
        <f>B2</f>
        <v>1</v>
      </c>
    </row>
    <row r="3" ht="18.5" customHeight="1" spans="1:3">
      <c r="A3" s="56">
        <v>44256</v>
      </c>
      <c r="B3" s="38">
        <v>5</v>
      </c>
      <c r="C3" s="10">
        <f>B3+C2</f>
        <v>6</v>
      </c>
    </row>
    <row r="4" ht="18.5" customHeight="1" spans="1:3">
      <c r="A4" s="56">
        <v>44287</v>
      </c>
      <c r="B4" s="38">
        <v>80</v>
      </c>
      <c r="C4" s="10">
        <f>B4+C3</f>
        <v>86</v>
      </c>
    </row>
    <row r="5" ht="18.5" customHeight="1" spans="1:3">
      <c r="A5" s="56">
        <v>44317</v>
      </c>
      <c r="B5" s="38">
        <v>141</v>
      </c>
      <c r="C5" s="10">
        <f t="shared" ref="C5:C38" si="0">B5+C4</f>
        <v>227</v>
      </c>
    </row>
    <row r="6" ht="18.5" customHeight="1" spans="1:3">
      <c r="A6" s="56">
        <v>44348</v>
      </c>
      <c r="B6" s="38">
        <v>146</v>
      </c>
      <c r="C6" s="10">
        <f t="shared" si="0"/>
        <v>373</v>
      </c>
    </row>
    <row r="7" ht="18.5" customHeight="1" spans="1:3">
      <c r="A7" s="56">
        <v>44378</v>
      </c>
      <c r="B7" s="38">
        <v>163</v>
      </c>
      <c r="C7" s="10">
        <f t="shared" si="0"/>
        <v>536</v>
      </c>
    </row>
    <row r="8" ht="18.5" customHeight="1" spans="1:3">
      <c r="A8" s="56">
        <v>44409</v>
      </c>
      <c r="B8" s="38">
        <v>211</v>
      </c>
      <c r="C8" s="10">
        <f t="shared" si="0"/>
        <v>747</v>
      </c>
    </row>
    <row r="9" ht="18.5" customHeight="1" spans="1:3">
      <c r="A9" s="56">
        <v>44440</v>
      </c>
      <c r="B9" s="38">
        <v>205</v>
      </c>
      <c r="C9" s="10">
        <f t="shared" si="0"/>
        <v>952</v>
      </c>
    </row>
    <row r="10" ht="18.5" customHeight="1" spans="1:3">
      <c r="A10" s="56">
        <v>44470</v>
      </c>
      <c r="B10" s="38">
        <v>136</v>
      </c>
      <c r="C10" s="10">
        <f t="shared" si="0"/>
        <v>1088</v>
      </c>
    </row>
    <row r="11" ht="18.5" customHeight="1" spans="1:3">
      <c r="A11" s="56">
        <v>44501</v>
      </c>
      <c r="B11" s="38">
        <v>113</v>
      </c>
      <c r="C11" s="10">
        <f t="shared" si="0"/>
        <v>1201</v>
      </c>
    </row>
    <row r="12" ht="18.5" customHeight="1" spans="1:3">
      <c r="A12" s="56">
        <v>44531</v>
      </c>
      <c r="B12" s="38">
        <v>114</v>
      </c>
      <c r="C12" s="10">
        <f t="shared" si="0"/>
        <v>1315</v>
      </c>
    </row>
    <row r="13" ht="18.5" customHeight="1" spans="1:3">
      <c r="A13" s="56">
        <v>44562</v>
      </c>
      <c r="B13" s="38">
        <v>100</v>
      </c>
      <c r="C13" s="10">
        <f t="shared" si="0"/>
        <v>1415</v>
      </c>
    </row>
    <row r="14" ht="18.5" customHeight="1" spans="1:3">
      <c r="A14" s="56">
        <v>44593</v>
      </c>
      <c r="B14" s="38">
        <v>70</v>
      </c>
      <c r="C14" s="10">
        <f t="shared" si="0"/>
        <v>1485</v>
      </c>
    </row>
    <row r="15" ht="18.5" customHeight="1" spans="1:3">
      <c r="A15" s="56">
        <v>44621</v>
      </c>
      <c r="B15" s="38">
        <v>69</v>
      </c>
      <c r="C15" s="10">
        <f t="shared" si="0"/>
        <v>1554</v>
      </c>
    </row>
    <row r="16" ht="18.5" customHeight="1" spans="1:3">
      <c r="A16" s="56">
        <v>44652</v>
      </c>
      <c r="B16" s="38">
        <v>128</v>
      </c>
      <c r="C16" s="10">
        <f t="shared" si="0"/>
        <v>1682</v>
      </c>
    </row>
    <row r="17" ht="18.5" customHeight="1" spans="1:3">
      <c r="A17" s="56">
        <v>44682</v>
      </c>
      <c r="B17" s="38">
        <v>128</v>
      </c>
      <c r="C17" s="10">
        <f t="shared" si="0"/>
        <v>1810</v>
      </c>
    </row>
    <row r="18" ht="18.5" customHeight="1" spans="1:3">
      <c r="A18" s="56">
        <v>44713</v>
      </c>
      <c r="B18" s="38">
        <v>137</v>
      </c>
      <c r="C18" s="10">
        <f t="shared" si="0"/>
        <v>1947</v>
      </c>
    </row>
    <row r="19" ht="18.5" customHeight="1" spans="1:3">
      <c r="A19" s="56">
        <v>44743</v>
      </c>
      <c r="B19" s="38">
        <v>140</v>
      </c>
      <c r="C19" s="10">
        <f t="shared" si="0"/>
        <v>2087</v>
      </c>
    </row>
    <row r="20" ht="18.5" customHeight="1" spans="1:3">
      <c r="A20" s="56">
        <v>44774</v>
      </c>
      <c r="B20" s="38">
        <v>148</v>
      </c>
      <c r="C20" s="10">
        <f t="shared" si="0"/>
        <v>2235</v>
      </c>
    </row>
    <row r="21" ht="18.5" customHeight="1" spans="1:3">
      <c r="A21" s="56">
        <v>44805</v>
      </c>
      <c r="B21" s="38">
        <v>135</v>
      </c>
      <c r="C21" s="10">
        <f t="shared" si="0"/>
        <v>2370</v>
      </c>
    </row>
    <row r="22" ht="18.5" customHeight="1" spans="1:3">
      <c r="A22" s="56">
        <v>44835</v>
      </c>
      <c r="B22" s="38">
        <v>164</v>
      </c>
      <c r="C22" s="10">
        <f t="shared" si="0"/>
        <v>2534</v>
      </c>
    </row>
    <row r="23" ht="18.5" customHeight="1" spans="1:3">
      <c r="A23" s="56">
        <v>44866</v>
      </c>
      <c r="B23" s="38">
        <v>139</v>
      </c>
      <c r="C23" s="10">
        <f t="shared" si="0"/>
        <v>2673</v>
      </c>
    </row>
    <row r="24" ht="18.5" customHeight="1" spans="1:3">
      <c r="A24" s="56">
        <v>44896</v>
      </c>
      <c r="B24" s="38">
        <v>428</v>
      </c>
      <c r="C24" s="10">
        <f t="shared" si="0"/>
        <v>3101</v>
      </c>
    </row>
    <row r="25" ht="18.5" customHeight="1" spans="1:3">
      <c r="A25" s="56">
        <v>44927</v>
      </c>
      <c r="B25" s="38">
        <v>738</v>
      </c>
      <c r="C25" s="10">
        <f t="shared" si="0"/>
        <v>3839</v>
      </c>
    </row>
    <row r="26" ht="18.5" customHeight="1" spans="1:3">
      <c r="A26" s="56">
        <v>44958</v>
      </c>
      <c r="B26" s="38">
        <v>811</v>
      </c>
      <c r="C26" s="10">
        <f t="shared" si="0"/>
        <v>4650</v>
      </c>
    </row>
    <row r="27" ht="18.5" customHeight="1" spans="1:3">
      <c r="A27" s="56">
        <v>44986</v>
      </c>
      <c r="B27" s="38">
        <v>1814</v>
      </c>
      <c r="C27" s="10">
        <f t="shared" si="0"/>
        <v>6464</v>
      </c>
    </row>
    <row r="28" ht="18.5" customHeight="1" spans="1:3">
      <c r="A28" s="56">
        <v>45017</v>
      </c>
      <c r="B28" s="38">
        <v>1584</v>
      </c>
      <c r="C28" s="10">
        <f t="shared" si="0"/>
        <v>8048</v>
      </c>
    </row>
    <row r="29" ht="18.5" customHeight="1" spans="1:3">
      <c r="A29" s="56">
        <v>45047</v>
      </c>
      <c r="B29" s="38">
        <v>1740</v>
      </c>
      <c r="C29" s="10">
        <f t="shared" si="0"/>
        <v>9788</v>
      </c>
    </row>
    <row r="30" ht="18.5" customHeight="1" spans="1:3">
      <c r="A30" s="56">
        <v>45078</v>
      </c>
      <c r="B30" s="38">
        <v>1179</v>
      </c>
      <c r="C30" s="10">
        <f t="shared" si="0"/>
        <v>10967</v>
      </c>
    </row>
    <row r="31" ht="18.5" customHeight="1" spans="1:3">
      <c r="A31" s="56">
        <v>45108</v>
      </c>
      <c r="B31" s="38">
        <v>1089</v>
      </c>
      <c r="C31" s="10">
        <f t="shared" si="0"/>
        <v>12056</v>
      </c>
    </row>
    <row r="32" ht="18.5" customHeight="1" spans="1:3">
      <c r="A32" s="56">
        <v>45139</v>
      </c>
      <c r="B32" s="38">
        <v>964</v>
      </c>
      <c r="C32" s="10">
        <f t="shared" si="0"/>
        <v>13020</v>
      </c>
    </row>
    <row r="33" ht="18.5" customHeight="1" spans="1:3">
      <c r="A33" s="56">
        <v>45170</v>
      </c>
      <c r="B33" s="38">
        <v>1029</v>
      </c>
      <c r="C33" s="10">
        <f t="shared" si="0"/>
        <v>14049</v>
      </c>
    </row>
    <row r="34" ht="18.5" customHeight="1" spans="1:3">
      <c r="A34" s="56">
        <v>45200</v>
      </c>
      <c r="B34" s="38">
        <v>1140</v>
      </c>
      <c r="C34" s="10">
        <f t="shared" si="0"/>
        <v>15189</v>
      </c>
    </row>
    <row r="35" ht="18.5" customHeight="1" spans="1:3">
      <c r="A35" s="56">
        <v>45231</v>
      </c>
      <c r="B35" s="38">
        <v>3131</v>
      </c>
      <c r="C35" s="10">
        <f t="shared" si="0"/>
        <v>18320</v>
      </c>
    </row>
    <row r="36" ht="18.5" customHeight="1" spans="1:3">
      <c r="A36" s="56">
        <v>45261</v>
      </c>
      <c r="B36" s="38">
        <v>1776</v>
      </c>
      <c r="C36" s="10">
        <f t="shared" si="0"/>
        <v>20096</v>
      </c>
    </row>
    <row r="37" ht="18.5" customHeight="1" spans="1:3">
      <c r="A37" s="56">
        <v>45292</v>
      </c>
      <c r="B37" s="38">
        <v>979</v>
      </c>
      <c r="C37" s="10">
        <f t="shared" si="0"/>
        <v>21075</v>
      </c>
    </row>
    <row r="38" ht="18.5" customHeight="1" spans="1:3">
      <c r="A38" s="57" t="s">
        <v>3</v>
      </c>
      <c r="B38" s="39">
        <v>21075</v>
      </c>
      <c r="C38" s="12"/>
    </row>
    <row r="50" spans="3:3">
      <c r="C50" s="58"/>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70" zoomScaleNormal="70" topLeftCell="C1" workbookViewId="0">
      <selection activeCell="Z29" sqref="Z29"/>
    </sheetView>
  </sheetViews>
  <sheetFormatPr defaultColWidth="9" defaultRowHeight="14" outlineLevelCol="2"/>
  <cols>
    <col min="1" max="1" width="36.8583333333333" customWidth="1"/>
    <col min="2" max="3" width="40.5833333333333" customWidth="1"/>
  </cols>
  <sheetData>
    <row r="1" ht="18.5" customHeight="1" spans="1:3">
      <c r="A1" s="50" t="s">
        <v>4</v>
      </c>
      <c r="B1" s="51" t="s">
        <v>5</v>
      </c>
      <c r="C1" s="50" t="s">
        <v>6</v>
      </c>
    </row>
    <row r="2" ht="18.5" customHeight="1" spans="1:3">
      <c r="A2" s="52">
        <v>44228</v>
      </c>
      <c r="B2" s="53">
        <v>4</v>
      </c>
      <c r="C2" s="53">
        <f>B2</f>
        <v>4</v>
      </c>
    </row>
    <row r="3" ht="18.5" customHeight="1" spans="1:3">
      <c r="A3" s="52">
        <v>44256</v>
      </c>
      <c r="B3" s="53">
        <v>25</v>
      </c>
      <c r="C3" s="53">
        <f>B3+C2</f>
        <v>29</v>
      </c>
    </row>
    <row r="4" ht="18.5" customHeight="1" spans="1:3">
      <c r="A4" s="52">
        <v>44287</v>
      </c>
      <c r="B4" s="53">
        <v>623</v>
      </c>
      <c r="C4" s="53">
        <f>B4+C3</f>
        <v>652</v>
      </c>
    </row>
    <row r="5" ht="18.5" customHeight="1" spans="1:3">
      <c r="A5" s="52">
        <v>44317</v>
      </c>
      <c r="B5" s="53">
        <v>570</v>
      </c>
      <c r="C5" s="53">
        <f t="shared" ref="C5:C37" si="0">B5+C4</f>
        <v>1222</v>
      </c>
    </row>
    <row r="6" ht="18.5" customHeight="1" spans="1:3">
      <c r="A6" s="52">
        <v>44348</v>
      </c>
      <c r="B6" s="53">
        <v>433</v>
      </c>
      <c r="C6" s="53">
        <f t="shared" si="0"/>
        <v>1655</v>
      </c>
    </row>
    <row r="7" ht="18.5" customHeight="1" spans="1:3">
      <c r="A7" s="52">
        <v>44378</v>
      </c>
      <c r="B7" s="53">
        <v>454</v>
      </c>
      <c r="C7" s="53">
        <f t="shared" si="0"/>
        <v>2109</v>
      </c>
    </row>
    <row r="8" ht="18.5" customHeight="1" spans="1:3">
      <c r="A8" s="52">
        <v>44409</v>
      </c>
      <c r="B8" s="53">
        <v>491</v>
      </c>
      <c r="C8" s="53">
        <f t="shared" si="0"/>
        <v>2600</v>
      </c>
    </row>
    <row r="9" ht="18.5" customHeight="1" spans="1:3">
      <c r="A9" s="52">
        <v>44440</v>
      </c>
      <c r="B9" s="53">
        <v>509</v>
      </c>
      <c r="C9" s="53">
        <f t="shared" si="0"/>
        <v>3109</v>
      </c>
    </row>
    <row r="10" ht="18.5" customHeight="1" spans="1:3">
      <c r="A10" s="52">
        <v>44470</v>
      </c>
      <c r="B10" s="53">
        <v>266</v>
      </c>
      <c r="C10" s="53">
        <f t="shared" si="0"/>
        <v>3375</v>
      </c>
    </row>
    <row r="11" ht="18.5" customHeight="1" spans="1:3">
      <c r="A11" s="52">
        <v>44501</v>
      </c>
      <c r="B11" s="53">
        <v>228</v>
      </c>
      <c r="C11" s="53">
        <f t="shared" si="0"/>
        <v>3603</v>
      </c>
    </row>
    <row r="12" ht="18.5" customHeight="1" spans="1:3">
      <c r="A12" s="52">
        <v>44531</v>
      </c>
      <c r="B12" s="53">
        <v>265</v>
      </c>
      <c r="C12" s="53">
        <f t="shared" si="0"/>
        <v>3868</v>
      </c>
    </row>
    <row r="13" ht="18.5" customHeight="1" spans="1:3">
      <c r="A13" s="52">
        <v>44562</v>
      </c>
      <c r="B13" s="53">
        <v>309</v>
      </c>
      <c r="C13" s="53">
        <f t="shared" si="0"/>
        <v>4177</v>
      </c>
    </row>
    <row r="14" ht="18.5" customHeight="1" spans="1:3">
      <c r="A14" s="52">
        <v>44593</v>
      </c>
      <c r="B14" s="53">
        <v>437</v>
      </c>
      <c r="C14" s="53">
        <f t="shared" si="0"/>
        <v>4614</v>
      </c>
    </row>
    <row r="15" ht="18.5" customHeight="1" spans="1:3">
      <c r="A15" s="52">
        <v>44621</v>
      </c>
      <c r="B15" s="53">
        <v>467</v>
      </c>
      <c r="C15" s="53">
        <f t="shared" si="0"/>
        <v>5081</v>
      </c>
    </row>
    <row r="16" ht="18.5" customHeight="1" spans="1:3">
      <c r="A16" s="52">
        <v>44652</v>
      </c>
      <c r="B16" s="53">
        <v>784</v>
      </c>
      <c r="C16" s="53">
        <f t="shared" si="0"/>
        <v>5865</v>
      </c>
    </row>
    <row r="17" ht="18.5" customHeight="1" spans="1:3">
      <c r="A17" s="52">
        <v>44682</v>
      </c>
      <c r="B17" s="53">
        <v>509</v>
      </c>
      <c r="C17" s="53">
        <f t="shared" si="0"/>
        <v>6374</v>
      </c>
    </row>
    <row r="18" ht="18.5" customHeight="1" spans="1:3">
      <c r="A18" s="52">
        <v>44713</v>
      </c>
      <c r="B18" s="53">
        <v>282</v>
      </c>
      <c r="C18" s="53">
        <f t="shared" si="0"/>
        <v>6656</v>
      </c>
    </row>
    <row r="19" ht="18.5" customHeight="1" spans="1:3">
      <c r="A19" s="52">
        <v>44743</v>
      </c>
      <c r="B19" s="53">
        <v>450</v>
      </c>
      <c r="C19" s="53">
        <f t="shared" si="0"/>
        <v>7106</v>
      </c>
    </row>
    <row r="20" ht="18.5" customHeight="1" spans="1:3">
      <c r="A20" s="52">
        <v>44774</v>
      </c>
      <c r="B20" s="53">
        <v>523</v>
      </c>
      <c r="C20" s="53">
        <f t="shared" si="0"/>
        <v>7629</v>
      </c>
    </row>
    <row r="21" ht="18.5" customHeight="1" spans="1:3">
      <c r="A21" s="52">
        <v>44805</v>
      </c>
      <c r="B21" s="53">
        <v>429</v>
      </c>
      <c r="C21" s="53">
        <f t="shared" si="0"/>
        <v>8058</v>
      </c>
    </row>
    <row r="22" ht="18.5" customHeight="1" spans="1:3">
      <c r="A22" s="52">
        <v>44835</v>
      </c>
      <c r="B22" s="53">
        <v>550</v>
      </c>
      <c r="C22" s="53">
        <f t="shared" si="0"/>
        <v>8608</v>
      </c>
    </row>
    <row r="23" ht="18.5" customHeight="1" spans="1:3">
      <c r="A23" s="52">
        <v>44866</v>
      </c>
      <c r="B23" s="53">
        <v>614</v>
      </c>
      <c r="C23" s="53">
        <f t="shared" si="0"/>
        <v>9222</v>
      </c>
    </row>
    <row r="24" ht="18.5" customHeight="1" spans="1:3">
      <c r="A24" s="52">
        <v>44896</v>
      </c>
      <c r="B24" s="53">
        <v>4008</v>
      </c>
      <c r="C24" s="53">
        <f t="shared" si="0"/>
        <v>13230</v>
      </c>
    </row>
    <row r="25" ht="18.5" customHeight="1" spans="1:3">
      <c r="A25" s="52">
        <v>44927</v>
      </c>
      <c r="B25" s="53">
        <v>14933</v>
      </c>
      <c r="C25" s="53">
        <f t="shared" si="0"/>
        <v>28163</v>
      </c>
    </row>
    <row r="26" ht="18.5" customHeight="1" spans="1:3">
      <c r="A26" s="52">
        <v>44958</v>
      </c>
      <c r="B26" s="53">
        <v>28685</v>
      </c>
      <c r="C26" s="53">
        <f t="shared" si="0"/>
        <v>56848</v>
      </c>
    </row>
    <row r="27" ht="18.5" customHeight="1" spans="1:3">
      <c r="A27" s="52">
        <v>44986</v>
      </c>
      <c r="B27" s="53">
        <v>47123</v>
      </c>
      <c r="C27" s="53">
        <f t="shared" si="0"/>
        <v>103971</v>
      </c>
    </row>
    <row r="28" ht="18.5" customHeight="1" spans="1:3">
      <c r="A28" s="52">
        <v>45017</v>
      </c>
      <c r="B28" s="53">
        <v>47067</v>
      </c>
      <c r="C28" s="53">
        <f t="shared" si="0"/>
        <v>151038</v>
      </c>
    </row>
    <row r="29" ht="18.5" customHeight="1" spans="1:3">
      <c r="A29" s="52">
        <v>45047</v>
      </c>
      <c r="B29" s="53">
        <v>51609</v>
      </c>
      <c r="C29" s="53">
        <f t="shared" si="0"/>
        <v>202647</v>
      </c>
    </row>
    <row r="30" ht="18.5" customHeight="1" spans="1:3">
      <c r="A30" s="52">
        <v>45078</v>
      </c>
      <c r="B30" s="53">
        <v>35068</v>
      </c>
      <c r="C30" s="53">
        <f t="shared" si="0"/>
        <v>237715</v>
      </c>
    </row>
    <row r="31" ht="18.5" customHeight="1" spans="1:3">
      <c r="A31" s="52">
        <v>45108</v>
      </c>
      <c r="B31" s="53">
        <v>25223</v>
      </c>
      <c r="C31" s="53">
        <f t="shared" si="0"/>
        <v>262938</v>
      </c>
    </row>
    <row r="32" ht="18.5" customHeight="1" spans="1:3">
      <c r="A32" s="52">
        <v>45139</v>
      </c>
      <c r="B32" s="53">
        <v>28288</v>
      </c>
      <c r="C32" s="53">
        <f t="shared" si="0"/>
        <v>291226</v>
      </c>
    </row>
    <row r="33" ht="18.5" customHeight="1" spans="1:3">
      <c r="A33" s="52">
        <v>45170</v>
      </c>
      <c r="B33" s="53">
        <v>57179</v>
      </c>
      <c r="C33" s="53">
        <f t="shared" si="0"/>
        <v>348405</v>
      </c>
    </row>
    <row r="34" ht="18.5" customHeight="1" spans="1:3">
      <c r="A34" s="52">
        <v>45200</v>
      </c>
      <c r="B34" s="53">
        <v>52760</v>
      </c>
      <c r="C34" s="53">
        <f t="shared" si="0"/>
        <v>401165</v>
      </c>
    </row>
    <row r="35" ht="18.5" customHeight="1" spans="1:3">
      <c r="A35" s="52">
        <v>45231</v>
      </c>
      <c r="B35" s="53">
        <v>61750</v>
      </c>
      <c r="C35" s="53">
        <f t="shared" si="0"/>
        <v>462915</v>
      </c>
    </row>
    <row r="36" ht="18.5" customHeight="1" spans="1:3">
      <c r="A36" s="52">
        <v>45261</v>
      </c>
      <c r="B36" s="53">
        <v>33094</v>
      </c>
      <c r="C36" s="53">
        <f t="shared" si="0"/>
        <v>496009</v>
      </c>
    </row>
    <row r="37" ht="18.5" customHeight="1" spans="1:3">
      <c r="A37" s="52">
        <v>45292</v>
      </c>
      <c r="B37" s="53">
        <v>20703</v>
      </c>
      <c r="C37" s="53">
        <f t="shared" si="0"/>
        <v>516712</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opLeftCell="B13" workbookViewId="0">
      <selection activeCell="G15" sqref="G15"/>
    </sheetView>
  </sheetViews>
  <sheetFormatPr defaultColWidth="8.66666666666667" defaultRowHeight="14"/>
  <cols>
    <col min="1" max="1" width="40.5833333333333" customWidth="1"/>
    <col min="2" max="2" width="14.1833333333333" customWidth="1"/>
    <col min="3" max="3" width="18.0666666666667" style="41" customWidth="1"/>
  </cols>
  <sheetData>
    <row r="1" ht="17.15" customHeight="1" spans="1:3">
      <c r="A1" s="5" t="s">
        <v>7</v>
      </c>
      <c r="B1" s="35" t="s">
        <v>8</v>
      </c>
      <c r="C1" s="46" t="s">
        <v>9</v>
      </c>
    </row>
    <row r="2" ht="17.15" customHeight="1" spans="1:3">
      <c r="A2" s="9" t="s">
        <v>10</v>
      </c>
      <c r="B2" s="38">
        <v>10543</v>
      </c>
      <c r="C2" s="47">
        <f>B2/21075</f>
        <v>0.500260972716489</v>
      </c>
    </row>
    <row r="3" ht="17.15" customHeight="1" spans="1:3">
      <c r="A3" s="9" t="s">
        <v>11</v>
      </c>
      <c r="B3" s="38">
        <v>1947</v>
      </c>
      <c r="C3" s="47">
        <f t="shared" ref="C3:C9" si="0">B3/21075</f>
        <v>0.0923843416370107</v>
      </c>
    </row>
    <row r="4" ht="17.15" customHeight="1" spans="1:3">
      <c r="A4" s="9" t="s">
        <v>12</v>
      </c>
      <c r="B4" s="38">
        <v>1827</v>
      </c>
      <c r="C4" s="47">
        <f t="shared" si="0"/>
        <v>0.0866903914590747</v>
      </c>
    </row>
    <row r="5" ht="17.15" customHeight="1" spans="1:3">
      <c r="A5" s="9" t="s">
        <v>13</v>
      </c>
      <c r="B5" s="38">
        <v>3868</v>
      </c>
      <c r="C5" s="47">
        <f t="shared" si="0"/>
        <v>0.183534994068802</v>
      </c>
    </row>
    <row r="6" ht="17.15" customHeight="1" spans="1:3">
      <c r="A6" s="9" t="s">
        <v>14</v>
      </c>
      <c r="B6" s="38">
        <v>33</v>
      </c>
      <c r="C6" s="47">
        <f t="shared" si="0"/>
        <v>0.00156583629893238</v>
      </c>
    </row>
    <row r="7" ht="17.15" customHeight="1" spans="1:3">
      <c r="A7" s="9" t="s">
        <v>15</v>
      </c>
      <c r="B7" s="38">
        <v>2553</v>
      </c>
      <c r="C7" s="47">
        <f t="shared" si="0"/>
        <v>0.121138790035587</v>
      </c>
    </row>
    <row r="8" ht="17.15" customHeight="1" spans="1:3">
      <c r="A8" s="9" t="s">
        <v>16</v>
      </c>
      <c r="B8" s="38">
        <v>258</v>
      </c>
      <c r="C8" s="47">
        <f t="shared" si="0"/>
        <v>0.0122419928825623</v>
      </c>
    </row>
    <row r="9" ht="17.15" customHeight="1" spans="1:3">
      <c r="A9" s="9" t="s">
        <v>17</v>
      </c>
      <c r="B9" s="38">
        <v>46</v>
      </c>
      <c r="C9" s="47">
        <f t="shared" si="0"/>
        <v>0.00218268090154211</v>
      </c>
    </row>
    <row r="10" ht="17.15" customHeight="1" spans="1:3">
      <c r="A10" s="9" t="s">
        <v>18</v>
      </c>
      <c r="B10" s="38">
        <v>21075</v>
      </c>
      <c r="C10" s="48">
        <f>SUM(C2:C9)</f>
        <v>1</v>
      </c>
    </row>
    <row r="11" ht="17.15" customHeight="1" spans="1:3">
      <c r="A11" s="9"/>
      <c r="B11" s="38"/>
      <c r="C11" s="48"/>
    </row>
    <row r="12" ht="17.15" customHeight="1" spans="1:3">
      <c r="A12" s="9"/>
      <c r="B12" s="38"/>
      <c r="C12" s="48"/>
    </row>
    <row r="13" ht="17.15" customHeight="1" spans="1:3">
      <c r="A13" s="9"/>
      <c r="B13" s="38"/>
      <c r="C13" s="48"/>
    </row>
    <row r="14" ht="17.15" customHeight="1" spans="1:3">
      <c r="A14" s="9"/>
      <c r="B14" s="38"/>
      <c r="C14" s="48"/>
    </row>
    <row r="15" ht="17.15" customHeight="1" spans="1:3">
      <c r="A15" s="11"/>
      <c r="B15" s="39"/>
      <c r="C15" s="49"/>
    </row>
    <row r="17" ht="14.5" spans="1:3">
      <c r="A17" s="9"/>
      <c r="B17" s="38"/>
      <c r="C17" s="9"/>
    </row>
    <row r="18" ht="14.5" spans="1:3">
      <c r="A18" s="9"/>
      <c r="B18" s="38"/>
      <c r="C18" s="9"/>
    </row>
    <row r="19" ht="14.5" spans="1:3">
      <c r="A19" s="9"/>
      <c r="B19" s="38"/>
      <c r="C19" s="9"/>
    </row>
    <row r="20" ht="14.5" spans="1:4">
      <c r="A20" s="9"/>
      <c r="B20" s="38"/>
      <c r="C20" s="9"/>
      <c r="D20" s="38"/>
    </row>
    <row r="21" ht="14.5" spans="1:4">
      <c r="A21" s="9"/>
      <c r="B21" s="38"/>
      <c r="C21" s="9"/>
      <c r="D21" s="38"/>
    </row>
    <row r="22" ht="14.5" spans="1:4">
      <c r="A22" s="9"/>
      <c r="B22" s="38"/>
      <c r="C22" s="9"/>
      <c r="D22" s="38"/>
    </row>
    <row r="23" ht="14.5" spans="1:3">
      <c r="A23" s="9"/>
      <c r="B23" s="38"/>
      <c r="C23" s="9"/>
    </row>
    <row r="24" ht="14.5" spans="1:3">
      <c r="A24" s="9"/>
      <c r="B24" s="38"/>
      <c r="C24" s="9"/>
    </row>
    <row r="25" ht="14.5" spans="1:3">
      <c r="A25" s="9"/>
      <c r="B25" s="38"/>
      <c r="C25" s="9"/>
    </row>
    <row r="26" ht="14.5" spans="1:3">
      <c r="A26" s="9"/>
      <c r="B26" s="38"/>
      <c r="C26" s="9"/>
    </row>
    <row r="27" ht="14.5" spans="1:10">
      <c r="A27" s="9"/>
      <c r="B27" s="38"/>
      <c r="C27" s="9"/>
      <c r="J27" t="s">
        <v>19</v>
      </c>
    </row>
    <row r="28" ht="14.5" spans="1:3">
      <c r="A28" s="9"/>
      <c r="B28" s="38"/>
      <c r="C28" s="9"/>
    </row>
    <row r="29" ht="14.5" spans="2:3">
      <c r="B29" s="9"/>
      <c r="C29" s="38"/>
    </row>
    <row r="30" ht="14.5" spans="2:3">
      <c r="B30" s="9"/>
      <c r="C30" s="38"/>
    </row>
    <row r="31" ht="14.5" spans="2:3">
      <c r="B31" s="9"/>
      <c r="C31" s="38"/>
    </row>
  </sheetData>
  <sortState ref="A2:B15">
    <sortCondition ref="B2"/>
  </sortState>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topLeftCell="A4" workbookViewId="0">
      <selection activeCell="A1" sqref="A$1:B$1048576"/>
    </sheetView>
  </sheetViews>
  <sheetFormatPr defaultColWidth="8.66666666666667" defaultRowHeight="14" outlineLevelCol="7"/>
  <cols>
    <col min="1" max="1" width="12.8416666666667" customWidth="1"/>
    <col min="2" max="2" width="9.34166666666667" customWidth="1"/>
    <col min="3" max="3" width="9.84166666666667" style="41" customWidth="1"/>
    <col min="6" max="6" width="28.675" customWidth="1"/>
    <col min="7" max="7" width="6.84166666666667" customWidth="1"/>
    <col min="8" max="8" width="9.34166666666667" style="13" customWidth="1"/>
    <col min="9" max="9" width="8.84166666666667" style="41" customWidth="1"/>
    <col min="12" max="12" width="13.175" customWidth="1"/>
    <col min="13" max="13" width="6.675" customWidth="1"/>
    <col min="14" max="14" width="9.34166666666667" customWidth="1"/>
    <col min="17" max="17" width="25.8416666666667" customWidth="1"/>
    <col min="18" max="18" width="6.675" customWidth="1"/>
    <col min="19" max="19" width="9.34166666666667" customWidth="1"/>
  </cols>
  <sheetData>
    <row r="1" spans="1:7">
      <c r="A1" s="29" t="s">
        <v>20</v>
      </c>
      <c r="B1" s="30" t="s">
        <v>21</v>
      </c>
      <c r="C1" s="42" t="s">
        <v>22</v>
      </c>
      <c r="F1" s="29" t="s">
        <v>20</v>
      </c>
      <c r="G1" s="43" t="s">
        <v>22</v>
      </c>
    </row>
    <row r="2" spans="1:7">
      <c r="A2" s="31" t="s">
        <v>23</v>
      </c>
      <c r="B2" s="32">
        <v>19</v>
      </c>
      <c r="C2" s="44">
        <f>B2/2300</f>
        <v>0.00826086956521739</v>
      </c>
      <c r="F2" s="31" t="s">
        <v>24</v>
      </c>
      <c r="G2" s="37">
        <v>0.8726</v>
      </c>
    </row>
    <row r="3" spans="1:8">
      <c r="A3" s="31" t="s">
        <v>25</v>
      </c>
      <c r="B3" s="32">
        <v>11</v>
      </c>
      <c r="C3" s="44">
        <f t="shared" ref="C2:C45" si="0">B3/2300</f>
        <v>0.00478260869565217</v>
      </c>
      <c r="F3" s="31" t="s">
        <v>26</v>
      </c>
      <c r="G3" s="37">
        <v>0.1274</v>
      </c>
      <c r="H3" s="32"/>
    </row>
    <row r="4" spans="1:8">
      <c r="A4" s="31" t="s">
        <v>27</v>
      </c>
      <c r="B4" s="32">
        <v>112</v>
      </c>
      <c r="C4" s="44">
        <f t="shared" si="0"/>
        <v>0.048695652173913</v>
      </c>
      <c r="F4" s="31" t="s">
        <v>28</v>
      </c>
      <c r="G4" s="37">
        <v>0.2326</v>
      </c>
      <c r="H4" s="32"/>
    </row>
    <row r="5" spans="1:8">
      <c r="A5" s="31" t="s">
        <v>29</v>
      </c>
      <c r="B5" s="32">
        <v>393</v>
      </c>
      <c r="C5" s="44">
        <f t="shared" si="0"/>
        <v>0.170869565217391</v>
      </c>
      <c r="F5" s="31" t="s">
        <v>30</v>
      </c>
      <c r="G5" s="37">
        <v>0.1461</v>
      </c>
      <c r="H5" s="32"/>
    </row>
    <row r="6" spans="1:8">
      <c r="A6" s="31" t="s">
        <v>31</v>
      </c>
      <c r="B6" s="32">
        <v>24</v>
      </c>
      <c r="C6" s="44">
        <f t="shared" si="0"/>
        <v>0.0104347826086957</v>
      </c>
      <c r="F6" s="31" t="s">
        <v>32</v>
      </c>
      <c r="G6" s="37">
        <v>0.0874</v>
      </c>
      <c r="H6" s="32"/>
    </row>
    <row r="7" spans="1:8">
      <c r="A7" s="31" t="s">
        <v>33</v>
      </c>
      <c r="B7" s="32">
        <v>86</v>
      </c>
      <c r="C7" s="44">
        <f t="shared" si="0"/>
        <v>0.0373913043478261</v>
      </c>
      <c r="F7" s="31" t="s">
        <v>34</v>
      </c>
      <c r="G7" s="37">
        <v>0.0087</v>
      </c>
      <c r="H7" s="32"/>
    </row>
    <row r="8" spans="1:8">
      <c r="A8" s="31" t="s">
        <v>35</v>
      </c>
      <c r="B8" s="32">
        <v>173</v>
      </c>
      <c r="C8" s="44">
        <f t="shared" si="0"/>
        <v>0.0752173913043478</v>
      </c>
      <c r="F8" s="31" t="s">
        <v>36</v>
      </c>
      <c r="G8" s="37">
        <v>0.25</v>
      </c>
      <c r="H8" s="32"/>
    </row>
    <row r="9" spans="1:8">
      <c r="A9" s="31" t="s">
        <v>37</v>
      </c>
      <c r="B9" s="32">
        <v>53</v>
      </c>
      <c r="C9" s="44">
        <f t="shared" si="0"/>
        <v>0.0230434782608696</v>
      </c>
      <c r="F9" s="31" t="s">
        <v>38</v>
      </c>
      <c r="G9" s="37">
        <v>0.1261</v>
      </c>
      <c r="H9" s="32"/>
    </row>
    <row r="10" spans="1:8">
      <c r="A10" s="31" t="s">
        <v>39</v>
      </c>
      <c r="B10" s="32">
        <v>38</v>
      </c>
      <c r="C10" s="44">
        <f t="shared" si="0"/>
        <v>0.0165217391304348</v>
      </c>
      <c r="F10" s="31" t="s">
        <v>40</v>
      </c>
      <c r="G10" s="37">
        <v>0.0217</v>
      </c>
      <c r="H10" s="32"/>
    </row>
    <row r="11" spans="1:8">
      <c r="A11" s="31" t="s">
        <v>41</v>
      </c>
      <c r="B11" s="32">
        <v>163</v>
      </c>
      <c r="C11" s="44">
        <f t="shared" si="0"/>
        <v>0.0708695652173913</v>
      </c>
      <c r="F11" s="31" t="s">
        <v>42</v>
      </c>
      <c r="G11" s="37">
        <v>0.0504</v>
      </c>
      <c r="H11" s="32"/>
    </row>
    <row r="12" spans="1:8">
      <c r="A12" s="31" t="s">
        <v>43</v>
      </c>
      <c r="B12" s="32">
        <v>4</v>
      </c>
      <c r="C12" s="44">
        <f t="shared" si="0"/>
        <v>0.00173913043478261</v>
      </c>
      <c r="F12" s="31" t="s">
        <v>44</v>
      </c>
      <c r="G12" s="37">
        <v>0.0065</v>
      </c>
      <c r="H12" s="32"/>
    </row>
    <row r="13" spans="1:8">
      <c r="A13" s="31" t="s">
        <v>45</v>
      </c>
      <c r="B13" s="32">
        <v>5</v>
      </c>
      <c r="C13" s="44">
        <f t="shared" si="0"/>
        <v>0.00217391304347826</v>
      </c>
      <c r="F13" s="31" t="s">
        <v>46</v>
      </c>
      <c r="G13" s="37">
        <v>0.0013</v>
      </c>
      <c r="H13" s="32"/>
    </row>
    <row r="14" spans="1:8">
      <c r="A14" s="31" t="s">
        <v>47</v>
      </c>
      <c r="B14" s="32">
        <v>9</v>
      </c>
      <c r="C14" s="44">
        <f t="shared" si="0"/>
        <v>0.00391304347826087</v>
      </c>
      <c r="F14" s="31" t="s">
        <v>48</v>
      </c>
      <c r="G14" s="37">
        <v>0.0265</v>
      </c>
      <c r="H14" s="32"/>
    </row>
    <row r="15" spans="1:8">
      <c r="A15" s="31" t="s">
        <v>49</v>
      </c>
      <c r="B15" s="32">
        <v>0</v>
      </c>
      <c r="C15" s="44">
        <f t="shared" si="0"/>
        <v>0</v>
      </c>
      <c r="F15" s="31" t="s">
        <v>50</v>
      </c>
      <c r="G15" s="37">
        <v>0.0148</v>
      </c>
      <c r="H15" s="32"/>
    </row>
    <row r="16" spans="1:8">
      <c r="A16" s="31" t="s">
        <v>51</v>
      </c>
      <c r="B16" s="32">
        <v>2</v>
      </c>
      <c r="C16" s="44">
        <f t="shared" si="0"/>
        <v>0.000869565217391304</v>
      </c>
      <c r="F16" s="31" t="s">
        <v>52</v>
      </c>
      <c r="G16" s="37">
        <v>0.0209</v>
      </c>
      <c r="H16" s="32"/>
    </row>
    <row r="17" spans="1:7">
      <c r="A17" s="31" t="s">
        <v>53</v>
      </c>
      <c r="B17" s="32">
        <v>157</v>
      </c>
      <c r="C17" s="44">
        <f t="shared" si="0"/>
        <v>0.0682608695652174</v>
      </c>
      <c r="F17" s="33" t="s">
        <v>54</v>
      </c>
      <c r="G17" s="40">
        <v>0.007</v>
      </c>
    </row>
    <row r="18" spans="1:3">
      <c r="A18" s="31" t="s">
        <v>55</v>
      </c>
      <c r="B18" s="32">
        <v>58</v>
      </c>
      <c r="C18" s="44">
        <f t="shared" si="0"/>
        <v>0.0252173913043478</v>
      </c>
    </row>
    <row r="19" spans="1:3">
      <c r="A19" s="31" t="s">
        <v>56</v>
      </c>
      <c r="B19" s="32">
        <v>33</v>
      </c>
      <c r="C19" s="44">
        <f t="shared" si="0"/>
        <v>0.0143478260869565</v>
      </c>
    </row>
    <row r="20" spans="1:3">
      <c r="A20" s="31" t="s">
        <v>57</v>
      </c>
      <c r="B20" s="32">
        <v>82</v>
      </c>
      <c r="C20" s="44">
        <f t="shared" si="0"/>
        <v>0.0356521739130435</v>
      </c>
    </row>
    <row r="21" spans="1:3">
      <c r="A21" s="31" t="s">
        <v>58</v>
      </c>
      <c r="B21" s="32">
        <v>42</v>
      </c>
      <c r="C21" s="44">
        <f t="shared" si="0"/>
        <v>0.0182608695652174</v>
      </c>
    </row>
    <row r="22" spans="1:3">
      <c r="A22" s="31" t="s">
        <v>59</v>
      </c>
      <c r="B22" s="32">
        <v>153</v>
      </c>
      <c r="C22" s="44">
        <f t="shared" si="0"/>
        <v>0.0665217391304348</v>
      </c>
    </row>
    <row r="23" spans="1:3">
      <c r="A23" s="31" t="s">
        <v>60</v>
      </c>
      <c r="B23" s="32">
        <v>16</v>
      </c>
      <c r="C23" s="44">
        <f t="shared" si="0"/>
        <v>0.00695652173913044</v>
      </c>
    </row>
    <row r="24" spans="1:3">
      <c r="A24" s="31" t="s">
        <v>61</v>
      </c>
      <c r="B24" s="32">
        <v>34</v>
      </c>
      <c r="C24" s="44">
        <f t="shared" si="0"/>
        <v>0.0147826086956522</v>
      </c>
    </row>
    <row r="25" spans="1:3">
      <c r="A25" s="31" t="s">
        <v>62</v>
      </c>
      <c r="B25" s="32">
        <v>76</v>
      </c>
      <c r="C25" s="44">
        <f t="shared" si="0"/>
        <v>0.0330434782608696</v>
      </c>
    </row>
    <row r="26" spans="1:3">
      <c r="A26" s="31" t="s">
        <v>63</v>
      </c>
      <c r="B26" s="32">
        <v>74</v>
      </c>
      <c r="C26" s="44">
        <f t="shared" si="0"/>
        <v>0.0321739130434783</v>
      </c>
    </row>
    <row r="27" spans="1:3">
      <c r="A27" s="31" t="s">
        <v>64</v>
      </c>
      <c r="B27" s="32">
        <v>46</v>
      </c>
      <c r="C27" s="44">
        <f t="shared" si="0"/>
        <v>0.02</v>
      </c>
    </row>
    <row r="28" spans="1:3">
      <c r="A28" s="31" t="s">
        <v>65</v>
      </c>
      <c r="B28" s="32">
        <v>13</v>
      </c>
      <c r="C28" s="44">
        <f t="shared" si="0"/>
        <v>0.00565217391304348</v>
      </c>
    </row>
    <row r="29" spans="1:3">
      <c r="A29" s="31" t="s">
        <v>66</v>
      </c>
      <c r="B29" s="32">
        <v>17</v>
      </c>
      <c r="C29" s="44">
        <f t="shared" si="0"/>
        <v>0.00739130434782609</v>
      </c>
    </row>
    <row r="30" spans="1:3">
      <c r="A30" s="31" t="s">
        <v>67</v>
      </c>
      <c r="B30" s="32">
        <v>51</v>
      </c>
      <c r="C30" s="44">
        <f t="shared" si="0"/>
        <v>0.0221739130434783</v>
      </c>
    </row>
    <row r="31" spans="1:3">
      <c r="A31" s="31" t="s">
        <v>68</v>
      </c>
      <c r="B31" s="32">
        <v>13</v>
      </c>
      <c r="C31" s="44">
        <f t="shared" si="0"/>
        <v>0.00565217391304348</v>
      </c>
    </row>
    <row r="32" spans="1:3">
      <c r="A32" s="31" t="s">
        <v>40</v>
      </c>
      <c r="B32" s="32">
        <v>50</v>
      </c>
      <c r="C32" s="44">
        <f t="shared" si="0"/>
        <v>0.0217391304347826</v>
      </c>
    </row>
    <row r="33" spans="1:3">
      <c r="A33" s="31" t="s">
        <v>69</v>
      </c>
      <c r="B33" s="32">
        <v>69</v>
      </c>
      <c r="C33" s="44">
        <f t="shared" si="0"/>
        <v>0.03</v>
      </c>
    </row>
    <row r="34" spans="1:3">
      <c r="A34" s="31" t="s">
        <v>70</v>
      </c>
      <c r="B34" s="32">
        <v>47</v>
      </c>
      <c r="C34" s="44">
        <f t="shared" si="0"/>
        <v>0.0204347826086957</v>
      </c>
    </row>
    <row r="35" spans="1:3">
      <c r="A35" s="31" t="s">
        <v>44</v>
      </c>
      <c r="B35" s="32">
        <v>15</v>
      </c>
      <c r="C35" s="44">
        <f t="shared" si="0"/>
        <v>0.00652173913043478</v>
      </c>
    </row>
    <row r="36" spans="1:3">
      <c r="A36" s="31" t="s">
        <v>46</v>
      </c>
      <c r="B36" s="32">
        <v>3</v>
      </c>
      <c r="C36" s="44">
        <f t="shared" si="0"/>
        <v>0.00130434782608696</v>
      </c>
    </row>
    <row r="37" spans="1:3">
      <c r="A37" s="31" t="s">
        <v>71</v>
      </c>
      <c r="B37" s="32">
        <v>52</v>
      </c>
      <c r="C37" s="44">
        <f t="shared" si="0"/>
        <v>0.0226086956521739</v>
      </c>
    </row>
    <row r="38" spans="1:3">
      <c r="A38" s="31" t="s">
        <v>72</v>
      </c>
      <c r="B38" s="32">
        <v>8</v>
      </c>
      <c r="C38" s="44">
        <f t="shared" si="0"/>
        <v>0.00347826086956522</v>
      </c>
    </row>
    <row r="39" spans="1:3">
      <c r="A39" s="31" t="s">
        <v>73</v>
      </c>
      <c r="B39" s="32">
        <v>1</v>
      </c>
      <c r="C39" s="44">
        <f t="shared" si="0"/>
        <v>0.000434782608695652</v>
      </c>
    </row>
    <row r="40" spans="1:3">
      <c r="A40" s="31" t="s">
        <v>74</v>
      </c>
      <c r="B40" s="32">
        <v>7</v>
      </c>
      <c r="C40" s="44">
        <f t="shared" si="0"/>
        <v>0.00304347826086957</v>
      </c>
    </row>
    <row r="41" spans="1:3">
      <c r="A41" s="31" t="s">
        <v>75</v>
      </c>
      <c r="B41" s="32">
        <v>5</v>
      </c>
      <c r="C41" s="44">
        <f t="shared" si="0"/>
        <v>0.00217391304347826</v>
      </c>
    </row>
    <row r="42" spans="1:3">
      <c r="A42" s="31" t="s">
        <v>76</v>
      </c>
      <c r="B42" s="32">
        <v>5</v>
      </c>
      <c r="C42" s="44">
        <f t="shared" si="0"/>
        <v>0.00217391304347826</v>
      </c>
    </row>
    <row r="43" spans="1:3">
      <c r="A43" s="31" t="s">
        <v>77</v>
      </c>
      <c r="B43" s="32">
        <v>17</v>
      </c>
      <c r="C43" s="44">
        <f t="shared" si="0"/>
        <v>0.00739130434782609</v>
      </c>
    </row>
    <row r="44" spans="1:3">
      <c r="A44" s="31" t="s">
        <v>52</v>
      </c>
      <c r="B44" s="32">
        <v>48</v>
      </c>
      <c r="C44" s="44">
        <f t="shared" si="0"/>
        <v>0.0208695652173913</v>
      </c>
    </row>
    <row r="45" spans="1:3">
      <c r="A45" s="33" t="s">
        <v>54</v>
      </c>
      <c r="B45" s="34">
        <v>16</v>
      </c>
      <c r="C45" s="45">
        <f t="shared" si="0"/>
        <v>0.00695652173913044</v>
      </c>
    </row>
    <row r="46" spans="1:3">
      <c r="A46" s="32"/>
      <c r="B46" s="32">
        <f>SUM(B2:B45)</f>
        <v>2300</v>
      </c>
      <c r="C46" s="3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zoomScale="90" zoomScaleNormal="90" topLeftCell="A3" workbookViewId="0">
      <selection activeCell="D23" sqref="D23"/>
    </sheetView>
  </sheetViews>
  <sheetFormatPr defaultColWidth="8.66666666666667" defaultRowHeight="14" outlineLevelCol="1"/>
  <cols>
    <col min="1" max="1" width="6.675" customWidth="1"/>
    <col min="2" max="2" width="9.34166666666667" customWidth="1"/>
  </cols>
  <sheetData>
    <row r="1" ht="18.5" customHeight="1" spans="1:2">
      <c r="A1" s="35" t="s">
        <v>78</v>
      </c>
      <c r="B1" s="6" t="s">
        <v>79</v>
      </c>
    </row>
    <row r="2" ht="18.5" customHeight="1" spans="1:2">
      <c r="A2" s="36" t="s">
        <v>28</v>
      </c>
      <c r="B2" s="37">
        <v>0.2326</v>
      </c>
    </row>
    <row r="3" ht="18.5" customHeight="1" spans="1:2">
      <c r="A3" s="38" t="s">
        <v>30</v>
      </c>
      <c r="B3" s="37">
        <v>0.1461</v>
      </c>
    </row>
    <row r="4" ht="18.5" customHeight="1" spans="1:2">
      <c r="A4" s="38" t="s">
        <v>32</v>
      </c>
      <c r="B4" s="37">
        <v>0.0874</v>
      </c>
    </row>
    <row r="5" ht="18.5" customHeight="1" spans="1:2">
      <c r="A5" s="38" t="s">
        <v>34</v>
      </c>
      <c r="B5" s="37">
        <v>0.0087</v>
      </c>
    </row>
    <row r="6" ht="18.5" customHeight="1" spans="1:2">
      <c r="A6" s="38" t="s">
        <v>36</v>
      </c>
      <c r="B6" s="37">
        <v>0.25</v>
      </c>
    </row>
    <row r="7" ht="18.5" customHeight="1" spans="1:2">
      <c r="A7" s="38" t="s">
        <v>38</v>
      </c>
      <c r="B7" s="37">
        <v>0.1261</v>
      </c>
    </row>
    <row r="8" ht="18.5" customHeight="1" spans="1:2">
      <c r="A8" s="38" t="s">
        <v>40</v>
      </c>
      <c r="B8" s="37">
        <v>0.0217</v>
      </c>
    </row>
    <row r="9" ht="18.5" customHeight="1" spans="1:2">
      <c r="A9" s="38" t="s">
        <v>42</v>
      </c>
      <c r="B9" s="37">
        <v>0.0504</v>
      </c>
    </row>
    <row r="10" ht="18.5" customHeight="1" spans="1:2">
      <c r="A10" s="38" t="s">
        <v>44</v>
      </c>
      <c r="B10" s="37">
        <v>0.0065</v>
      </c>
    </row>
    <row r="11" ht="18.5" customHeight="1" spans="1:2">
      <c r="A11" s="38" t="s">
        <v>46</v>
      </c>
      <c r="B11" s="37">
        <v>0.0013</v>
      </c>
    </row>
    <row r="12" ht="18.5" customHeight="1" spans="1:2">
      <c r="A12" s="38" t="s">
        <v>48</v>
      </c>
      <c r="B12" s="37">
        <v>0.0265</v>
      </c>
    </row>
    <row r="13" ht="18.5" customHeight="1" spans="1:2">
      <c r="A13" s="38" t="s">
        <v>50</v>
      </c>
      <c r="B13" s="37">
        <v>0.0148</v>
      </c>
    </row>
    <row r="14" ht="18.5" customHeight="1" spans="1:2">
      <c r="A14" s="38" t="s">
        <v>52</v>
      </c>
      <c r="B14" s="37">
        <v>0.0209</v>
      </c>
    </row>
    <row r="15" ht="18.5" customHeight="1" spans="1:2">
      <c r="A15" s="39" t="s">
        <v>54</v>
      </c>
      <c r="B15" s="40">
        <v>0.007</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zoomScale="80" zoomScaleNormal="80" workbookViewId="0">
      <selection activeCell="Q37" sqref="Q37"/>
    </sheetView>
  </sheetViews>
  <sheetFormatPr defaultColWidth="8.66666666666667" defaultRowHeight="14" outlineLevelCol="1"/>
  <cols>
    <col min="1" max="1" width="12.8416666666667" customWidth="1"/>
    <col min="2" max="2" width="9.34166666666667" customWidth="1"/>
  </cols>
  <sheetData>
    <row r="1" ht="18.5" customHeight="1" spans="1:2">
      <c r="A1" s="29" t="s">
        <v>20</v>
      </c>
      <c r="B1" s="30" t="s">
        <v>21</v>
      </c>
    </row>
    <row r="2" ht="18.5" customHeight="1" spans="1:2">
      <c r="A2" s="31" t="s">
        <v>23</v>
      </c>
      <c r="B2" s="32">
        <v>19</v>
      </c>
    </row>
    <row r="3" ht="18.5" customHeight="1" spans="1:2">
      <c r="A3" s="31" t="s">
        <v>25</v>
      </c>
      <c r="B3" s="32">
        <v>11</v>
      </c>
    </row>
    <row r="4" ht="18.5" customHeight="1" spans="1:2">
      <c r="A4" s="31" t="s">
        <v>27</v>
      </c>
      <c r="B4" s="32">
        <v>112</v>
      </c>
    </row>
    <row r="5" ht="18.5" customHeight="1" spans="1:2">
      <c r="A5" s="31" t="s">
        <v>29</v>
      </c>
      <c r="B5" s="32">
        <v>393</v>
      </c>
    </row>
    <row r="6" ht="18.5" customHeight="1" spans="1:2">
      <c r="A6" s="31" t="s">
        <v>31</v>
      </c>
      <c r="B6" s="32">
        <v>24</v>
      </c>
    </row>
    <row r="7" ht="18.5" customHeight="1" spans="1:2">
      <c r="A7" s="31" t="s">
        <v>33</v>
      </c>
      <c r="B7" s="32">
        <v>86</v>
      </c>
    </row>
    <row r="8" ht="18.5" customHeight="1" spans="1:2">
      <c r="A8" s="31" t="s">
        <v>35</v>
      </c>
      <c r="B8" s="32">
        <v>173</v>
      </c>
    </row>
    <row r="9" ht="18.5" customHeight="1" spans="1:2">
      <c r="A9" s="31" t="s">
        <v>37</v>
      </c>
      <c r="B9" s="32">
        <v>53</v>
      </c>
    </row>
    <row r="10" ht="18.5" customHeight="1" spans="1:2">
      <c r="A10" s="31" t="s">
        <v>39</v>
      </c>
      <c r="B10" s="32">
        <v>38</v>
      </c>
    </row>
    <row r="11" ht="18.5" customHeight="1" spans="1:2">
      <c r="A11" s="31" t="s">
        <v>41</v>
      </c>
      <c r="B11" s="32">
        <v>163</v>
      </c>
    </row>
    <row r="12" ht="18.5" customHeight="1" spans="1:2">
      <c r="A12" s="31" t="s">
        <v>43</v>
      </c>
      <c r="B12" s="32">
        <v>4</v>
      </c>
    </row>
    <row r="13" ht="18.5" customHeight="1" spans="1:2">
      <c r="A13" s="31" t="s">
        <v>45</v>
      </c>
      <c r="B13" s="32">
        <v>5</v>
      </c>
    </row>
    <row r="14" ht="18.5" customHeight="1" spans="1:2">
      <c r="A14" s="31" t="s">
        <v>47</v>
      </c>
      <c r="B14" s="32">
        <v>9</v>
      </c>
    </row>
    <row r="15" ht="18.5" customHeight="1" spans="1:2">
      <c r="A15" s="31" t="s">
        <v>49</v>
      </c>
      <c r="B15" s="32">
        <v>0</v>
      </c>
    </row>
    <row r="16" ht="18.5" customHeight="1" spans="1:2">
      <c r="A16" s="31" t="s">
        <v>51</v>
      </c>
      <c r="B16" s="32">
        <v>2</v>
      </c>
    </row>
    <row r="17" ht="18.5" customHeight="1" spans="1:2">
      <c r="A17" s="31" t="s">
        <v>53</v>
      </c>
      <c r="B17" s="32">
        <v>157</v>
      </c>
    </row>
    <row r="18" ht="18.5" customHeight="1" spans="1:2">
      <c r="A18" s="31" t="s">
        <v>55</v>
      </c>
      <c r="B18" s="32">
        <v>58</v>
      </c>
    </row>
    <row r="19" ht="18.5" customHeight="1" spans="1:2">
      <c r="A19" s="31" t="s">
        <v>56</v>
      </c>
      <c r="B19" s="32">
        <v>33</v>
      </c>
    </row>
    <row r="20" ht="18.5" customHeight="1" spans="1:2">
      <c r="A20" s="31" t="s">
        <v>57</v>
      </c>
      <c r="B20" s="32">
        <v>82</v>
      </c>
    </row>
    <row r="21" ht="18.5" customHeight="1" spans="1:2">
      <c r="A21" s="31" t="s">
        <v>58</v>
      </c>
      <c r="B21" s="32">
        <v>42</v>
      </c>
    </row>
    <row r="22" ht="18.5" customHeight="1" spans="1:2">
      <c r="A22" s="31" t="s">
        <v>59</v>
      </c>
      <c r="B22" s="32">
        <v>153</v>
      </c>
    </row>
    <row r="23" ht="18.5" customHeight="1" spans="1:2">
      <c r="A23" s="31" t="s">
        <v>60</v>
      </c>
      <c r="B23" s="32">
        <v>16</v>
      </c>
    </row>
    <row r="24" ht="18.5" customHeight="1" spans="1:2">
      <c r="A24" s="31" t="s">
        <v>61</v>
      </c>
      <c r="B24" s="32">
        <v>34</v>
      </c>
    </row>
    <row r="25" ht="18.5" customHeight="1" spans="1:2">
      <c r="A25" s="31" t="s">
        <v>62</v>
      </c>
      <c r="B25" s="32">
        <v>76</v>
      </c>
    </row>
    <row r="26" ht="18.5" customHeight="1" spans="1:2">
      <c r="A26" s="31" t="s">
        <v>63</v>
      </c>
      <c r="B26" s="32">
        <v>74</v>
      </c>
    </row>
    <row r="27" ht="18.5" customHeight="1" spans="1:2">
      <c r="A27" s="31" t="s">
        <v>64</v>
      </c>
      <c r="B27" s="32">
        <v>46</v>
      </c>
    </row>
    <row r="28" ht="18.5" customHeight="1" spans="1:2">
      <c r="A28" s="31" t="s">
        <v>65</v>
      </c>
      <c r="B28" s="32">
        <v>13</v>
      </c>
    </row>
    <row r="29" ht="18.5" customHeight="1" spans="1:2">
      <c r="A29" s="31" t="s">
        <v>66</v>
      </c>
      <c r="B29" s="32">
        <v>17</v>
      </c>
    </row>
    <row r="30" ht="18.5" customHeight="1" spans="1:2">
      <c r="A30" s="31" t="s">
        <v>67</v>
      </c>
      <c r="B30" s="32">
        <v>51</v>
      </c>
    </row>
    <row r="31" ht="18.5" customHeight="1" spans="1:2">
      <c r="A31" s="31" t="s">
        <v>68</v>
      </c>
      <c r="B31" s="32">
        <v>13</v>
      </c>
    </row>
    <row r="32" ht="18.5" customHeight="1" spans="1:2">
      <c r="A32" s="31" t="s">
        <v>40</v>
      </c>
      <c r="B32" s="32">
        <v>50</v>
      </c>
    </row>
    <row r="33" ht="18.5" customHeight="1" spans="1:2">
      <c r="A33" s="31" t="s">
        <v>69</v>
      </c>
      <c r="B33" s="32">
        <v>69</v>
      </c>
    </row>
    <row r="34" ht="18.5" customHeight="1" spans="1:2">
      <c r="A34" s="31" t="s">
        <v>70</v>
      </c>
      <c r="B34" s="32">
        <v>47</v>
      </c>
    </row>
    <row r="35" ht="18.5" customHeight="1" spans="1:2">
      <c r="A35" s="31" t="s">
        <v>44</v>
      </c>
      <c r="B35" s="32">
        <v>15</v>
      </c>
    </row>
    <row r="36" ht="18.5" customHeight="1" spans="1:2">
      <c r="A36" s="31" t="s">
        <v>46</v>
      </c>
      <c r="B36" s="32">
        <v>3</v>
      </c>
    </row>
    <row r="37" ht="18.5" customHeight="1" spans="1:2">
      <c r="A37" s="31" t="s">
        <v>71</v>
      </c>
      <c r="B37" s="32">
        <v>52</v>
      </c>
    </row>
    <row r="38" ht="18.5" customHeight="1" spans="1:2">
      <c r="A38" s="31" t="s">
        <v>72</v>
      </c>
      <c r="B38" s="32">
        <v>8</v>
      </c>
    </row>
    <row r="39" ht="18.5" customHeight="1" spans="1:2">
      <c r="A39" s="31" t="s">
        <v>73</v>
      </c>
      <c r="B39" s="32">
        <v>1</v>
      </c>
    </row>
    <row r="40" ht="18.5" customHeight="1" spans="1:2">
      <c r="A40" s="31" t="s">
        <v>74</v>
      </c>
      <c r="B40" s="32">
        <v>7</v>
      </c>
    </row>
    <row r="41" ht="18.5" customHeight="1" spans="1:2">
      <c r="A41" s="31" t="s">
        <v>75</v>
      </c>
      <c r="B41" s="32">
        <v>5</v>
      </c>
    </row>
    <row r="42" spans="1:2">
      <c r="A42" s="31" t="s">
        <v>76</v>
      </c>
      <c r="B42" s="32">
        <v>5</v>
      </c>
    </row>
    <row r="43" spans="1:2">
      <c r="A43" s="31" t="s">
        <v>77</v>
      </c>
      <c r="B43" s="32">
        <v>17</v>
      </c>
    </row>
    <row r="44" spans="1:2">
      <c r="A44" s="31" t="s">
        <v>52</v>
      </c>
      <c r="B44" s="32">
        <v>48</v>
      </c>
    </row>
    <row r="45" spans="1:2">
      <c r="A45" s="33" t="s">
        <v>54</v>
      </c>
      <c r="B45" s="34">
        <v>16</v>
      </c>
    </row>
    <row r="46" spans="1:2">
      <c r="A46" s="32"/>
      <c r="B46" s="32">
        <f>SUM(B2:B45)</f>
        <v>2300</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zoomScale="80" zoomScaleNormal="80" topLeftCell="A9" workbookViewId="0">
      <selection activeCell="A1" sqref="A1:I1"/>
    </sheetView>
  </sheetViews>
  <sheetFormatPr defaultColWidth="8.66666666666667" defaultRowHeight="14"/>
  <cols>
    <col min="1" max="1" width="10.3416666666667" style="26" customWidth="1"/>
    <col min="2" max="2" width="18.5083333333333" style="1" customWidth="1"/>
    <col min="3" max="3" width="8.00833333333333" style="1" customWidth="1"/>
    <col min="4" max="4" width="10.5083333333333" style="1" customWidth="1"/>
    <col min="5" max="5" width="13.175" style="1" customWidth="1"/>
    <col min="6" max="6" width="17.675" style="1" customWidth="1"/>
    <col min="7" max="7" width="18.175" style="1" customWidth="1"/>
    <col min="8" max="8" width="14.0083333333333" style="1" customWidth="1"/>
    <col min="9" max="9" width="12.3416666666667" style="1" customWidth="1"/>
    <col min="10" max="16384" width="8.66666666666667" style="1"/>
  </cols>
  <sheetData>
    <row r="1" s="1" customFormat="1" ht="35" customHeight="1" spans="1:9">
      <c r="A1" s="27" t="s">
        <v>0</v>
      </c>
      <c r="B1" s="28" t="s">
        <v>14</v>
      </c>
      <c r="C1" s="28" t="s">
        <v>10</v>
      </c>
      <c r="D1" s="28" t="s">
        <v>13</v>
      </c>
      <c r="E1" s="28" t="s">
        <v>15</v>
      </c>
      <c r="F1" s="28" t="s">
        <v>16</v>
      </c>
      <c r="G1" s="28" t="s">
        <v>17</v>
      </c>
      <c r="H1" s="28" t="s">
        <v>11</v>
      </c>
      <c r="I1" s="28" t="s">
        <v>12</v>
      </c>
    </row>
    <row r="2" s="1" customFormat="1" ht="18.5" customHeight="1" spans="1:9">
      <c r="A2" s="24">
        <v>2021</v>
      </c>
      <c r="B2" s="4">
        <v>8</v>
      </c>
      <c r="C2" s="4">
        <v>639</v>
      </c>
      <c r="D2" s="4">
        <v>1</v>
      </c>
      <c r="E2" s="4">
        <v>354</v>
      </c>
      <c r="F2" s="4">
        <v>17</v>
      </c>
      <c r="G2" s="4"/>
      <c r="H2" s="4"/>
      <c r="I2" s="4">
        <v>296</v>
      </c>
    </row>
    <row r="3" s="1" customFormat="1" ht="18.5" customHeight="1" spans="1:9">
      <c r="A3" s="24">
        <v>2022</v>
      </c>
      <c r="B3" s="4">
        <v>11</v>
      </c>
      <c r="C3" s="4">
        <v>1062</v>
      </c>
      <c r="D3" s="4">
        <v>11</v>
      </c>
      <c r="E3" s="4">
        <v>320</v>
      </c>
      <c r="F3" s="4">
        <v>49</v>
      </c>
      <c r="G3" s="4"/>
      <c r="H3" s="4"/>
      <c r="I3" s="4">
        <v>333</v>
      </c>
    </row>
    <row r="4" s="1" customFormat="1" ht="18.5" customHeight="1" spans="1:9">
      <c r="A4" s="25">
        <v>44927</v>
      </c>
      <c r="B4" s="4">
        <v>1</v>
      </c>
      <c r="C4" s="4">
        <v>456</v>
      </c>
      <c r="D4" s="4">
        <v>100</v>
      </c>
      <c r="E4" s="4">
        <v>81</v>
      </c>
      <c r="F4" s="4">
        <v>8</v>
      </c>
      <c r="G4" s="4"/>
      <c r="H4" s="4"/>
      <c r="I4" s="4">
        <v>92</v>
      </c>
    </row>
    <row r="5" s="1" customFormat="1" ht="18.5" customHeight="1" spans="1:9">
      <c r="A5" s="25">
        <v>44958</v>
      </c>
      <c r="B5" s="4">
        <v>4</v>
      </c>
      <c r="C5" s="4">
        <v>379</v>
      </c>
      <c r="D5" s="4">
        <v>251</v>
      </c>
      <c r="E5" s="4">
        <v>110</v>
      </c>
      <c r="F5" s="4">
        <v>11</v>
      </c>
      <c r="G5" s="4"/>
      <c r="H5" s="4"/>
      <c r="I5" s="4">
        <v>56</v>
      </c>
    </row>
    <row r="6" s="1" customFormat="1" ht="18.5" customHeight="1" spans="1:9">
      <c r="A6" s="25">
        <v>44986</v>
      </c>
      <c r="B6" s="4">
        <v>4</v>
      </c>
      <c r="C6" s="4">
        <v>899</v>
      </c>
      <c r="D6" s="4">
        <v>591</v>
      </c>
      <c r="E6" s="4">
        <v>199</v>
      </c>
      <c r="F6" s="4">
        <v>13</v>
      </c>
      <c r="G6" s="4"/>
      <c r="H6" s="4">
        <v>3</v>
      </c>
      <c r="I6" s="4">
        <v>105</v>
      </c>
    </row>
    <row r="7" s="1" customFormat="1" ht="18.5" customHeight="1" spans="1:9">
      <c r="A7" s="25">
        <v>45017</v>
      </c>
      <c r="B7" s="4"/>
      <c r="C7" s="4">
        <v>639</v>
      </c>
      <c r="D7" s="4">
        <v>434</v>
      </c>
      <c r="E7" s="4">
        <v>192</v>
      </c>
      <c r="F7" s="4">
        <v>5</v>
      </c>
      <c r="G7" s="4"/>
      <c r="H7" s="4">
        <v>228</v>
      </c>
      <c r="I7" s="4">
        <v>86</v>
      </c>
    </row>
    <row r="8" s="1" customFormat="1" ht="18.5" customHeight="1" spans="1:9">
      <c r="A8" s="25">
        <v>45047</v>
      </c>
      <c r="B8" s="4"/>
      <c r="C8" s="4">
        <v>585</v>
      </c>
      <c r="D8" s="4">
        <v>469</v>
      </c>
      <c r="E8" s="4">
        <v>180</v>
      </c>
      <c r="F8" s="4">
        <v>14</v>
      </c>
      <c r="G8" s="4">
        <v>2</v>
      </c>
      <c r="H8" s="4">
        <v>381</v>
      </c>
      <c r="I8" s="4">
        <v>109</v>
      </c>
    </row>
    <row r="9" s="1" customFormat="1" ht="18.5" customHeight="1" spans="1:9">
      <c r="A9" s="25">
        <v>45078</v>
      </c>
      <c r="B9" s="4"/>
      <c r="C9" s="4">
        <v>555</v>
      </c>
      <c r="D9" s="4">
        <v>173</v>
      </c>
      <c r="E9" s="4">
        <v>147</v>
      </c>
      <c r="F9" s="4">
        <v>11</v>
      </c>
      <c r="G9" s="4">
        <v>2</v>
      </c>
      <c r="H9" s="4">
        <v>203</v>
      </c>
      <c r="I9" s="4">
        <v>88</v>
      </c>
    </row>
    <row r="10" s="1" customFormat="1" ht="18.5" customHeight="1" spans="1:9">
      <c r="A10" s="25">
        <v>45108</v>
      </c>
      <c r="B10" s="4">
        <v>1</v>
      </c>
      <c r="C10" s="4">
        <v>501</v>
      </c>
      <c r="D10" s="4">
        <v>233</v>
      </c>
      <c r="E10" s="4">
        <v>130</v>
      </c>
      <c r="F10" s="4">
        <v>6</v>
      </c>
      <c r="G10" s="4">
        <v>3</v>
      </c>
      <c r="H10" s="4">
        <v>134</v>
      </c>
      <c r="I10" s="4">
        <v>81</v>
      </c>
    </row>
    <row r="11" s="1" customFormat="1" ht="18.5" customHeight="1" spans="1:9">
      <c r="A11" s="25">
        <v>45139</v>
      </c>
      <c r="B11" s="4">
        <v>1</v>
      </c>
      <c r="C11" s="4">
        <v>500</v>
      </c>
      <c r="D11" s="4">
        <v>173</v>
      </c>
      <c r="E11" s="4">
        <v>101</v>
      </c>
      <c r="F11" s="4">
        <v>12</v>
      </c>
      <c r="G11" s="4">
        <v>1</v>
      </c>
      <c r="H11" s="4">
        <v>89</v>
      </c>
      <c r="I11" s="4">
        <v>87</v>
      </c>
    </row>
    <row r="12" s="1" customFormat="1" ht="18.5" customHeight="1" spans="1:9">
      <c r="A12" s="25">
        <v>45170</v>
      </c>
      <c r="B12" s="4"/>
      <c r="C12" s="4">
        <v>602</v>
      </c>
      <c r="D12" s="4">
        <v>185</v>
      </c>
      <c r="E12" s="4">
        <v>116</v>
      </c>
      <c r="F12" s="4">
        <v>6</v>
      </c>
      <c r="G12" s="4">
        <v>6</v>
      </c>
      <c r="H12" s="4">
        <v>48</v>
      </c>
      <c r="I12" s="4">
        <v>66</v>
      </c>
    </row>
    <row r="13" s="1" customFormat="1" ht="18.5" customHeight="1" spans="1:9">
      <c r="A13" s="25">
        <v>45200</v>
      </c>
      <c r="B13" s="4"/>
      <c r="C13" s="4">
        <v>600</v>
      </c>
      <c r="D13" s="4">
        <v>257</v>
      </c>
      <c r="E13" s="4">
        <v>101</v>
      </c>
      <c r="F13" s="4">
        <v>12</v>
      </c>
      <c r="G13" s="4">
        <v>3</v>
      </c>
      <c r="H13" s="4">
        <v>55</v>
      </c>
      <c r="I13" s="4">
        <v>112</v>
      </c>
    </row>
    <row r="14" s="1" customFormat="1" ht="18.5" customHeight="1" spans="1:9">
      <c r="A14" s="25">
        <v>45231</v>
      </c>
      <c r="B14" s="4">
        <v>3</v>
      </c>
      <c r="C14" s="4">
        <v>1663</v>
      </c>
      <c r="D14" s="4">
        <v>612</v>
      </c>
      <c r="E14" s="4">
        <v>276</v>
      </c>
      <c r="F14" s="4">
        <v>68</v>
      </c>
      <c r="G14" s="4">
        <v>12</v>
      </c>
      <c r="H14" s="4">
        <v>348</v>
      </c>
      <c r="I14" s="4">
        <v>149</v>
      </c>
    </row>
    <row r="15" s="1" customFormat="1" ht="18.5" customHeight="1" spans="1:9">
      <c r="A15" s="25">
        <v>45261</v>
      </c>
      <c r="B15" s="4"/>
      <c r="C15" s="4">
        <v>989</v>
      </c>
      <c r="D15" s="4">
        <v>232</v>
      </c>
      <c r="E15" s="4">
        <v>165</v>
      </c>
      <c r="F15" s="4">
        <v>22</v>
      </c>
      <c r="G15" s="4">
        <v>11</v>
      </c>
      <c r="H15" s="4">
        <v>244</v>
      </c>
      <c r="I15" s="4">
        <v>113</v>
      </c>
    </row>
    <row r="16" s="1" customFormat="1" ht="18.5" customHeight="1" spans="1:9">
      <c r="A16" s="25">
        <v>45292</v>
      </c>
      <c r="B16" s="4"/>
      <c r="C16" s="4">
        <v>474</v>
      </c>
      <c r="D16" s="4">
        <v>146</v>
      </c>
      <c r="E16" s="4">
        <v>81</v>
      </c>
      <c r="F16" s="4">
        <v>4</v>
      </c>
      <c r="G16" s="4">
        <v>6</v>
      </c>
      <c r="H16" s="4">
        <v>214</v>
      </c>
      <c r="I16" s="4">
        <v>54</v>
      </c>
    </row>
    <row r="17" s="1" customFormat="1" spans="1:1">
      <c r="A17" s="26"/>
    </row>
    <row r="18" s="1" customFormat="1" spans="1:1">
      <c r="A18" s="26"/>
    </row>
    <row r="19" s="1" customFormat="1" spans="1:1">
      <c r="A19" s="26"/>
    </row>
    <row r="20" s="1" customFormat="1" spans="1:1">
      <c r="A20" s="26"/>
    </row>
    <row r="21" s="1" customFormat="1" spans="1:1">
      <c r="A21" s="26"/>
    </row>
    <row r="22" s="1" customFormat="1" spans="1:1">
      <c r="A22" s="26"/>
    </row>
    <row r="23" s="1" customFormat="1" spans="1:1">
      <c r="A23" s="26"/>
    </row>
    <row r="24" s="1" customFormat="1" spans="1:1">
      <c r="A24" s="26"/>
    </row>
    <row r="25" s="1" customFormat="1" spans="1:1">
      <c r="A25" s="26"/>
    </row>
    <row r="26" s="1" customFormat="1" spans="1:1">
      <c r="A26" s="26"/>
    </row>
    <row r="27" s="1" customFormat="1" spans="1:1">
      <c r="A27" s="26"/>
    </row>
    <row r="28" s="1" customFormat="1" spans="1:1">
      <c r="A28" s="26"/>
    </row>
    <row r="29" s="1" customFormat="1" spans="1:1">
      <c r="A29" s="26"/>
    </row>
    <row r="30" s="1" customFormat="1" spans="1:1">
      <c r="A30" s="26"/>
    </row>
    <row r="31" s="1" customFormat="1" spans="1:1">
      <c r="A31" s="26"/>
    </row>
    <row r="32" s="1" customFormat="1" spans="1:1">
      <c r="A32" s="26"/>
    </row>
    <row r="33" s="1" customFormat="1" spans="1:1">
      <c r="A33" s="26"/>
    </row>
    <row r="34" s="1" customFormat="1" spans="1:1">
      <c r="A34" s="26"/>
    </row>
    <row r="35" s="1" customFormat="1" spans="1:1">
      <c r="A35" s="26"/>
    </row>
    <row r="36" s="1" customFormat="1" spans="1:1">
      <c r="A36" s="26"/>
    </row>
    <row r="37" s="1" customFormat="1" spans="1:1">
      <c r="A37" s="26"/>
    </row>
    <row r="38" s="1" customFormat="1" spans="1:1">
      <c r="A38" s="26"/>
    </row>
    <row r="39" s="1" customFormat="1" spans="1:1">
      <c r="A39" s="26"/>
    </row>
    <row r="40" s="1" customFormat="1" spans="1:1">
      <c r="A40" s="26"/>
    </row>
    <row r="41" s="1" customFormat="1" spans="1:1">
      <c r="A41" s="26"/>
    </row>
    <row r="42" s="1" customFormat="1" spans="1:1">
      <c r="A42" s="26"/>
    </row>
    <row r="43" s="1" customFormat="1" spans="1:1">
      <c r="A43" s="26"/>
    </row>
    <row r="44" s="1" customFormat="1" spans="1:1">
      <c r="A44" s="26"/>
    </row>
    <row r="45" s="1" customFormat="1" spans="1:1">
      <c r="A45" s="26"/>
    </row>
    <row r="46" s="1" customFormat="1" spans="1:1">
      <c r="A46" s="26"/>
    </row>
    <row r="47" s="1" customFormat="1" spans="1:1">
      <c r="A47" s="26"/>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opLeftCell="A14" workbookViewId="0">
      <selection activeCell="B16" sqref="B16:I16"/>
    </sheetView>
  </sheetViews>
  <sheetFormatPr defaultColWidth="8.66666666666667" defaultRowHeight="14"/>
  <sheetData>
    <row r="1" ht="76" spans="1:9">
      <c r="A1" s="23" t="s">
        <v>80</v>
      </c>
      <c r="B1" s="22" t="s">
        <v>14</v>
      </c>
      <c r="C1" s="22" t="s">
        <v>10</v>
      </c>
      <c r="D1" s="22" t="s">
        <v>13</v>
      </c>
      <c r="E1" s="22" t="s">
        <v>15</v>
      </c>
      <c r="F1" s="22" t="s">
        <v>16</v>
      </c>
      <c r="G1" s="22" t="s">
        <v>17</v>
      </c>
      <c r="H1" s="22" t="s">
        <v>11</v>
      </c>
      <c r="I1" s="22" t="s">
        <v>12</v>
      </c>
    </row>
    <row r="2" ht="14.5" spans="1:9">
      <c r="A2" s="24">
        <v>2021</v>
      </c>
      <c r="B2">
        <v>8</v>
      </c>
      <c r="C2">
        <v>639</v>
      </c>
      <c r="D2">
        <v>1</v>
      </c>
      <c r="E2">
        <v>354</v>
      </c>
      <c r="F2">
        <v>17</v>
      </c>
      <c r="I2">
        <v>296</v>
      </c>
    </row>
    <row r="3" ht="14.5" spans="1:9">
      <c r="A3" s="24">
        <v>2022</v>
      </c>
      <c r="B3">
        <v>19</v>
      </c>
      <c r="C3">
        <v>1701</v>
      </c>
      <c r="D3">
        <v>12</v>
      </c>
      <c r="E3">
        <v>674</v>
      </c>
      <c r="F3">
        <v>66</v>
      </c>
      <c r="I3">
        <v>629</v>
      </c>
    </row>
    <row r="4" ht="14.5" spans="1:9">
      <c r="A4" s="25">
        <v>44927</v>
      </c>
      <c r="B4">
        <v>20</v>
      </c>
      <c r="C4">
        <v>2157</v>
      </c>
      <c r="D4">
        <v>112</v>
      </c>
      <c r="E4">
        <v>755</v>
      </c>
      <c r="F4">
        <v>74</v>
      </c>
      <c r="I4">
        <v>721</v>
      </c>
    </row>
    <row r="5" ht="14.5" spans="1:9">
      <c r="A5" s="25">
        <v>44958</v>
      </c>
      <c r="B5">
        <v>24</v>
      </c>
      <c r="C5">
        <v>2536</v>
      </c>
      <c r="D5">
        <v>363</v>
      </c>
      <c r="E5">
        <v>865</v>
      </c>
      <c r="F5">
        <v>85</v>
      </c>
      <c r="I5">
        <v>777</v>
      </c>
    </row>
    <row r="6" ht="14.5" spans="1:9">
      <c r="A6" s="25">
        <v>44986</v>
      </c>
      <c r="B6">
        <v>28</v>
      </c>
      <c r="C6">
        <v>3435</v>
      </c>
      <c r="D6">
        <v>954</v>
      </c>
      <c r="E6">
        <v>1064</v>
      </c>
      <c r="F6">
        <v>98</v>
      </c>
      <c r="H6">
        <v>3</v>
      </c>
      <c r="I6">
        <v>882</v>
      </c>
    </row>
    <row r="7" ht="14.5" spans="1:9">
      <c r="A7" s="25">
        <v>45017</v>
      </c>
      <c r="B7">
        <v>28</v>
      </c>
      <c r="C7">
        <v>4074</v>
      </c>
      <c r="D7">
        <v>1388</v>
      </c>
      <c r="E7">
        <v>1256</v>
      </c>
      <c r="F7">
        <v>103</v>
      </c>
      <c r="H7">
        <v>231</v>
      </c>
      <c r="I7">
        <v>968</v>
      </c>
    </row>
    <row r="8" ht="14.5" spans="1:9">
      <c r="A8" s="25">
        <v>45047</v>
      </c>
      <c r="B8">
        <v>28</v>
      </c>
      <c r="C8">
        <v>4659</v>
      </c>
      <c r="D8">
        <v>1857</v>
      </c>
      <c r="E8">
        <v>1436</v>
      </c>
      <c r="F8">
        <v>117</v>
      </c>
      <c r="G8">
        <v>2</v>
      </c>
      <c r="H8">
        <v>612</v>
      </c>
      <c r="I8">
        <v>1077</v>
      </c>
    </row>
    <row r="9" ht="14.5" spans="1:9">
      <c r="A9" s="25">
        <v>45078</v>
      </c>
      <c r="B9">
        <v>28</v>
      </c>
      <c r="C9">
        <v>5214</v>
      </c>
      <c r="D9">
        <v>2030</v>
      </c>
      <c r="E9">
        <v>1583</v>
      </c>
      <c r="F9">
        <v>128</v>
      </c>
      <c r="G9">
        <v>4</v>
      </c>
      <c r="H9">
        <v>815</v>
      </c>
      <c r="I9">
        <v>1165</v>
      </c>
    </row>
    <row r="10" ht="14.5" spans="1:9">
      <c r="A10" s="25">
        <v>45108</v>
      </c>
      <c r="B10">
        <v>29</v>
      </c>
      <c r="C10">
        <v>5715</v>
      </c>
      <c r="D10">
        <v>2263</v>
      </c>
      <c r="E10">
        <v>1713</v>
      </c>
      <c r="F10">
        <v>134</v>
      </c>
      <c r="G10">
        <v>7</v>
      </c>
      <c r="H10">
        <v>949</v>
      </c>
      <c r="I10">
        <v>1246</v>
      </c>
    </row>
    <row r="11" ht="14.5" spans="1:9">
      <c r="A11" s="25">
        <v>45139</v>
      </c>
      <c r="B11">
        <v>30</v>
      </c>
      <c r="C11">
        <v>6215</v>
      </c>
      <c r="D11">
        <v>2436</v>
      </c>
      <c r="E11">
        <v>1814</v>
      </c>
      <c r="F11">
        <v>146</v>
      </c>
      <c r="G11">
        <v>8</v>
      </c>
      <c r="H11">
        <v>1038</v>
      </c>
      <c r="I11">
        <v>1333</v>
      </c>
    </row>
    <row r="12" ht="14.5" spans="1:9">
      <c r="A12" s="25">
        <v>45170</v>
      </c>
      <c r="B12">
        <v>30</v>
      </c>
      <c r="C12">
        <v>6817</v>
      </c>
      <c r="D12">
        <v>2621</v>
      </c>
      <c r="E12">
        <v>1930</v>
      </c>
      <c r="F12">
        <v>152</v>
      </c>
      <c r="G12">
        <v>14</v>
      </c>
      <c r="H12">
        <v>1086</v>
      </c>
      <c r="I12">
        <v>1399</v>
      </c>
    </row>
    <row r="13" ht="14.5" spans="1:9">
      <c r="A13" s="25">
        <v>45200</v>
      </c>
      <c r="B13">
        <v>30</v>
      </c>
      <c r="C13">
        <v>7417</v>
      </c>
      <c r="D13">
        <v>2878</v>
      </c>
      <c r="E13">
        <v>2031</v>
      </c>
      <c r="F13">
        <v>164</v>
      </c>
      <c r="G13">
        <v>17</v>
      </c>
      <c r="H13">
        <v>1141</v>
      </c>
      <c r="I13">
        <v>1511</v>
      </c>
    </row>
    <row r="14" ht="14.5" spans="1:9">
      <c r="A14" s="25">
        <v>45231</v>
      </c>
      <c r="B14">
        <v>33</v>
      </c>
      <c r="C14">
        <v>9080</v>
      </c>
      <c r="D14">
        <v>3490</v>
      </c>
      <c r="E14">
        <v>2307</v>
      </c>
      <c r="F14">
        <v>232</v>
      </c>
      <c r="G14">
        <v>29</v>
      </c>
      <c r="H14">
        <v>1489</v>
      </c>
      <c r="I14">
        <v>1660</v>
      </c>
    </row>
    <row r="15" ht="14.5" spans="1:9">
      <c r="A15" s="25">
        <v>45261</v>
      </c>
      <c r="B15">
        <v>33</v>
      </c>
      <c r="C15">
        <v>10069</v>
      </c>
      <c r="D15">
        <v>3722</v>
      </c>
      <c r="E15">
        <v>2472</v>
      </c>
      <c r="F15">
        <v>254</v>
      </c>
      <c r="G15">
        <v>40</v>
      </c>
      <c r="H15">
        <v>1733</v>
      </c>
      <c r="I15">
        <v>1773</v>
      </c>
    </row>
    <row r="16" ht="14.5" spans="1:9">
      <c r="A16" s="25">
        <v>45292</v>
      </c>
      <c r="B16">
        <v>33</v>
      </c>
      <c r="C16">
        <v>10543</v>
      </c>
      <c r="D16">
        <v>3868</v>
      </c>
      <c r="E16">
        <v>2553</v>
      </c>
      <c r="F16">
        <v>258</v>
      </c>
      <c r="G16">
        <v>46</v>
      </c>
      <c r="H16">
        <v>1947</v>
      </c>
      <c r="I16">
        <v>1827</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01"/>
  <sheetViews>
    <sheetView zoomScale="80" zoomScaleNormal="80" topLeftCell="D1" workbookViewId="0">
      <selection activeCell="A1" sqref="A1:I1"/>
    </sheetView>
  </sheetViews>
  <sheetFormatPr defaultColWidth="9" defaultRowHeight="15"/>
  <cols>
    <col min="1" max="16384" width="9" style="21"/>
  </cols>
  <sheetData>
    <row r="1" s="21" customFormat="1" ht="35" customHeight="1" spans="2:9">
      <c r="B1" s="22" t="s">
        <v>14</v>
      </c>
      <c r="C1" s="22" t="s">
        <v>10</v>
      </c>
      <c r="D1" s="22" t="s">
        <v>13</v>
      </c>
      <c r="E1" s="22" t="s">
        <v>15</v>
      </c>
      <c r="F1" s="22" t="s">
        <v>16</v>
      </c>
      <c r="G1" s="22" t="s">
        <v>17</v>
      </c>
      <c r="H1" s="22" t="s">
        <v>11</v>
      </c>
      <c r="I1" s="22" t="s">
        <v>12</v>
      </c>
    </row>
    <row r="2" s="21" customFormat="1" ht="18.5" customHeight="1" spans="1:9">
      <c r="A2" s="21" t="s">
        <v>81</v>
      </c>
      <c r="B2" s="21">
        <v>33</v>
      </c>
      <c r="C2" s="21">
        <v>8702</v>
      </c>
      <c r="D2" s="21">
        <v>2431</v>
      </c>
      <c r="E2" s="21">
        <v>1884</v>
      </c>
      <c r="F2" s="21">
        <v>198</v>
      </c>
      <c r="G2" s="21">
        <v>40</v>
      </c>
      <c r="H2" s="21">
        <v>1577</v>
      </c>
      <c r="I2" s="21">
        <v>1576</v>
      </c>
    </row>
    <row r="3" s="21" customFormat="1" ht="18.5" customHeight="1" spans="1:9">
      <c r="A3" s="21" t="s">
        <v>82</v>
      </c>
      <c r="B3" s="21">
        <v>0</v>
      </c>
      <c r="C3" s="21">
        <v>1841</v>
      </c>
      <c r="D3" s="21">
        <v>1437</v>
      </c>
      <c r="E3" s="21">
        <v>669</v>
      </c>
      <c r="F3" s="21">
        <v>60</v>
      </c>
      <c r="G3" s="21">
        <v>6</v>
      </c>
      <c r="H3" s="21">
        <v>370</v>
      </c>
      <c r="I3" s="21">
        <v>251</v>
      </c>
    </row>
    <row r="4" s="21" customFormat="1" ht="18.5" customHeight="1" spans="1:9">
      <c r="A4" s="21" t="s">
        <v>83</v>
      </c>
      <c r="B4">
        <v>33</v>
      </c>
      <c r="C4">
        <v>10543</v>
      </c>
      <c r="D4">
        <v>3868</v>
      </c>
      <c r="E4">
        <v>2553</v>
      </c>
      <c r="F4">
        <v>258</v>
      </c>
      <c r="G4">
        <v>46</v>
      </c>
      <c r="H4">
        <v>1947</v>
      </c>
      <c r="I4">
        <v>1827</v>
      </c>
    </row>
    <row r="5" s="21" customFormat="1" ht="18.5" customHeight="1"/>
    <row r="7" s="21" customFormat="1" ht="18.5" customHeight="1"/>
    <row r="8" s="21" customFormat="1" ht="18.5" customHeight="1"/>
    <row r="9" s="21" customFormat="1" ht="18.5" customHeight="1"/>
    <row r="10" s="21" customFormat="1" ht="18.5" customHeight="1"/>
    <row r="11" s="21" customFormat="1" ht="18.5" customHeight="1"/>
    <row r="12" s="21" customFormat="1" ht="18.5" customHeight="1"/>
    <row r="13" s="21" customFormat="1" ht="18.5" customHeight="1"/>
    <row r="14" s="21" customFormat="1" ht="18.5" customHeight="1"/>
    <row r="15" s="21" customFormat="1" ht="18.5" customHeight="1"/>
    <row r="16" s="21" customFormat="1" ht="18.5" customHeight="1"/>
    <row r="17" s="21" customFormat="1" ht="18.5" customHeight="1"/>
    <row r="18" s="21" customFormat="1" ht="18.5" customHeight="1"/>
    <row r="19" s="21" customFormat="1" ht="18.5" customHeight="1"/>
    <row r="20" s="21" customFormat="1" ht="18.5" customHeight="1"/>
    <row r="21" s="21" customFormat="1" ht="18.5" customHeight="1"/>
    <row r="22" s="21" customFormat="1" ht="18.5" customHeight="1"/>
    <row r="23" s="21" customFormat="1" ht="18.5" customHeight="1"/>
    <row r="24" s="21" customFormat="1" ht="18.5" customHeight="1"/>
    <row r="25" s="21" customFormat="1" ht="18.5" customHeight="1"/>
    <row r="26" s="21" customFormat="1" ht="18.5" customHeight="1"/>
    <row r="27" s="21" customFormat="1" ht="18.5" customHeight="1"/>
    <row r="28" s="21" customFormat="1" ht="18.5" customHeight="1"/>
    <row r="29" s="21" customFormat="1" ht="18.5" customHeight="1"/>
    <row r="30" s="21" customFormat="1" ht="18.5" customHeight="1"/>
    <row r="31" s="21" customFormat="1" ht="18.5" customHeight="1"/>
    <row r="32" s="21" customFormat="1" ht="18.5" customHeight="1"/>
    <row r="33" s="21" customFormat="1" ht="18.5" customHeight="1"/>
    <row r="34" s="21" customFormat="1" ht="18.5" customHeight="1"/>
    <row r="35" s="21" customFormat="1" ht="18.5" customHeight="1"/>
    <row r="36" s="21" customFormat="1" ht="18.5" customHeight="1"/>
    <row r="37" s="21" customFormat="1" ht="18.5" customHeight="1"/>
    <row r="38" s="21" customFormat="1" ht="18.5" customHeight="1"/>
    <row r="39" s="21" customFormat="1" ht="18.5" customHeight="1"/>
    <row r="40" s="21" customFormat="1" ht="18.5" customHeight="1"/>
    <row r="41" s="21" customFormat="1" ht="18.5" customHeight="1"/>
    <row r="42" s="21" customFormat="1" ht="18.5" customHeight="1"/>
    <row r="43" s="21" customFormat="1" ht="18.5" customHeight="1"/>
    <row r="44" s="21" customFormat="1" ht="18.5" customHeight="1"/>
    <row r="45" s="21" customFormat="1" ht="18.5" customHeight="1"/>
    <row r="46" s="21" customFormat="1" ht="18.5" customHeight="1"/>
    <row r="47" s="21" customFormat="1" ht="18.5" customHeight="1"/>
    <row r="48" s="21" customFormat="1" ht="18.5" customHeight="1"/>
    <row r="49" s="21" customFormat="1" ht="18.5" customHeight="1"/>
    <row r="50" s="21" customFormat="1" ht="18.5" customHeight="1"/>
    <row r="51" s="21" customFormat="1" ht="18.5" customHeight="1"/>
    <row r="52" s="21" customFormat="1" ht="18.5" customHeight="1"/>
    <row r="53" s="21" customFormat="1" ht="18.5" customHeight="1"/>
    <row r="54" s="21" customFormat="1" ht="18.5" customHeight="1"/>
    <row r="55" s="21" customFormat="1" ht="18.5" customHeight="1"/>
    <row r="56" s="21" customFormat="1" ht="18.5" customHeight="1"/>
    <row r="57" s="21" customFormat="1" ht="18.5" customHeight="1"/>
    <row r="58" s="21" customFormat="1" ht="18.5" customHeight="1"/>
    <row r="59" s="21" customFormat="1" ht="18.5" customHeight="1"/>
    <row r="60" s="21" customFormat="1" ht="18.5" customHeight="1"/>
    <row r="61" s="21" customFormat="1" ht="18.5" customHeight="1"/>
    <row r="62" s="21" customFormat="1" ht="18.5" customHeight="1"/>
    <row r="63" s="21" customFormat="1" ht="18.5" customHeight="1"/>
    <row r="64" s="21" customFormat="1" ht="18.5" customHeight="1"/>
    <row r="65" s="21" customFormat="1" ht="18.5" customHeight="1"/>
    <row r="66" s="21" customFormat="1" ht="18.5" customHeight="1"/>
    <row r="67" s="21" customFormat="1" ht="18.5" customHeight="1"/>
    <row r="68" s="21" customFormat="1" ht="18.5" customHeight="1"/>
    <row r="69" s="21" customFormat="1" ht="18.5" customHeight="1"/>
    <row r="70" s="21" customFormat="1" ht="18.5" customHeight="1"/>
    <row r="71" s="21" customFormat="1" ht="18.5" customHeight="1"/>
    <row r="72" s="21" customFormat="1" ht="18.5" customHeight="1"/>
    <row r="73" s="21" customFormat="1" ht="18.5" customHeight="1"/>
    <row r="74" s="21" customFormat="1" ht="18.5" customHeight="1"/>
    <row r="75" s="21" customFormat="1" ht="18.5" customHeight="1"/>
    <row r="76" s="21" customFormat="1" ht="18.5" customHeight="1"/>
    <row r="77" s="21" customFormat="1" ht="18.5" customHeight="1"/>
    <row r="78" s="21" customFormat="1" ht="18.5" customHeight="1"/>
    <row r="79" s="21" customFormat="1" ht="18.5" customHeight="1"/>
    <row r="80" s="21" customFormat="1" ht="18.5" customHeight="1"/>
    <row r="81" s="21" customFormat="1" ht="18.5" customHeight="1"/>
    <row r="82" s="21" customFormat="1" ht="18.5" customHeight="1"/>
    <row r="83" s="21" customFormat="1" ht="18.5" customHeight="1"/>
    <row r="84" s="21" customFormat="1" ht="18.5" customHeight="1"/>
    <row r="85" s="21" customFormat="1" ht="18.5" customHeight="1"/>
    <row r="86" s="21" customFormat="1" ht="18.5" customHeight="1"/>
    <row r="87" s="21" customFormat="1" ht="18.5" customHeight="1"/>
    <row r="88" s="21" customFormat="1" ht="18.5" customHeight="1"/>
    <row r="89" s="21" customFormat="1" ht="18.5" customHeight="1"/>
    <row r="90" s="21" customFormat="1" ht="18.5" customHeight="1"/>
    <row r="91" s="21" customFormat="1" ht="18.5" customHeight="1"/>
    <row r="92" s="21" customFormat="1" ht="18.5" customHeight="1"/>
    <row r="93" s="21" customFormat="1" ht="18.5" customHeight="1"/>
    <row r="94" s="21" customFormat="1" ht="18.5" customHeight="1"/>
    <row r="95" s="21" customFormat="1" ht="18.5" customHeight="1"/>
    <row r="96" s="21" customFormat="1" ht="18.5" customHeight="1"/>
    <row r="97" s="21" customFormat="1" ht="18.5" customHeight="1"/>
    <row r="98" s="21" customFormat="1" ht="18.5" customHeight="1"/>
    <row r="99" s="21" customFormat="1" ht="18.5" customHeight="1"/>
    <row r="100" s="21" customFormat="1" ht="18.5" customHeight="1"/>
    <row r="101" s="21" customFormat="1" ht="18.5" customHeight="1"/>
    <row r="102" s="21" customFormat="1" ht="18.5" customHeight="1"/>
    <row r="103" s="21" customFormat="1" ht="18.5" customHeight="1"/>
    <row r="104" s="21" customFormat="1" ht="18.5" customHeight="1"/>
    <row r="105" s="21" customFormat="1" ht="18.5" customHeight="1"/>
    <row r="106" s="21" customFormat="1" ht="18.5" customHeight="1"/>
    <row r="107" s="21" customFormat="1" ht="18.5" customHeight="1"/>
    <row r="108" s="21" customFormat="1" ht="18.5" customHeight="1"/>
    <row r="109" s="21" customFormat="1" ht="18.5" customHeight="1"/>
    <row r="110" s="21" customFormat="1" ht="18.5" customHeight="1"/>
    <row r="111" s="21" customFormat="1" ht="18.5" customHeight="1"/>
    <row r="112" s="21" customFormat="1" ht="18.5" customHeight="1"/>
    <row r="113" s="21" customFormat="1" ht="18.5" customHeight="1"/>
    <row r="114" s="21" customFormat="1" ht="18.5" customHeight="1"/>
    <row r="115" s="21" customFormat="1" ht="18.5" customHeight="1"/>
    <row r="116" s="21" customFormat="1" ht="18.5" customHeight="1"/>
    <row r="117" s="21" customFormat="1" ht="18.5" customHeight="1"/>
    <row r="118" s="21" customFormat="1" ht="18.5" customHeight="1"/>
    <row r="119" s="21" customFormat="1" ht="18.5" customHeight="1"/>
    <row r="120" s="21" customFormat="1" ht="18.5" customHeight="1"/>
    <row r="121" s="21" customFormat="1" ht="18.5" customHeight="1"/>
    <row r="122" s="21" customFormat="1" ht="18.5" customHeight="1"/>
    <row r="123" s="21" customFormat="1" ht="18.5" customHeight="1"/>
    <row r="124" s="21" customFormat="1" ht="18.5" customHeight="1"/>
    <row r="125" s="21" customFormat="1" ht="18.5" customHeight="1"/>
    <row r="126" s="21" customFormat="1" ht="18.5" customHeight="1"/>
    <row r="127" s="21" customFormat="1" ht="18.5" customHeight="1"/>
    <row r="128" s="21" customFormat="1" ht="18.5" customHeight="1"/>
    <row r="129" s="21" customFormat="1" ht="18.5" customHeight="1"/>
    <row r="130" s="21" customFormat="1" ht="18.5" customHeight="1"/>
    <row r="131" s="21" customFormat="1" ht="18.5" customHeight="1"/>
    <row r="132" s="21" customFormat="1" ht="18.5" customHeight="1"/>
    <row r="133" s="21" customFormat="1" ht="18.5" customHeight="1"/>
    <row r="134" s="21" customFormat="1" ht="18.5" customHeight="1"/>
    <row r="135" s="21" customFormat="1" ht="18.5" customHeight="1"/>
    <row r="136" s="21" customFormat="1" ht="18.5" customHeight="1"/>
    <row r="137" s="21" customFormat="1" ht="18.5" customHeight="1"/>
    <row r="138" s="21" customFormat="1" ht="18.5" customHeight="1"/>
    <row r="139" s="21" customFormat="1" ht="18.5" customHeight="1"/>
    <row r="140" s="21" customFormat="1" ht="18.5" customHeight="1"/>
    <row r="141" s="21" customFormat="1" ht="18.5" customHeight="1"/>
    <row r="142" s="21" customFormat="1" ht="18.5" customHeight="1"/>
    <row r="143" s="21" customFormat="1" ht="18.5" customHeight="1"/>
    <row r="144" s="21" customFormat="1" ht="18.5" customHeight="1"/>
    <row r="145" s="21" customFormat="1" ht="18.5" customHeight="1"/>
    <row r="146" s="21" customFormat="1" ht="18.5" customHeight="1"/>
    <row r="147" s="21" customFormat="1" ht="18.5" customHeight="1"/>
    <row r="148" s="21" customFormat="1" ht="18.5" customHeight="1"/>
    <row r="149" s="21" customFormat="1" ht="18.5" customHeight="1"/>
    <row r="150" s="21" customFormat="1" ht="18.5" customHeight="1"/>
    <row r="151" s="21" customFormat="1" ht="18.5" customHeight="1"/>
    <row r="152" s="21" customFormat="1" ht="18.5" customHeight="1"/>
    <row r="153" s="21" customFormat="1" ht="18.5" customHeight="1"/>
    <row r="154" s="21" customFormat="1" ht="18.5" customHeight="1"/>
    <row r="155" s="21" customFormat="1" ht="18.5" customHeight="1"/>
    <row r="156" s="21" customFormat="1" ht="18.5" customHeight="1"/>
    <row r="157" s="21" customFormat="1" ht="18.5" customHeight="1"/>
    <row r="158" s="21" customFormat="1" ht="18.5" customHeight="1"/>
    <row r="159" s="21" customFormat="1" ht="18.5" customHeight="1"/>
    <row r="160" s="21" customFormat="1" ht="18.5" customHeight="1"/>
    <row r="161" s="21" customFormat="1" ht="18.5" customHeight="1"/>
    <row r="162" s="21" customFormat="1" ht="18.5" customHeight="1"/>
    <row r="163" s="21" customFormat="1" ht="18.5" customHeight="1"/>
    <row r="164" s="21" customFormat="1" ht="18.5" customHeight="1"/>
    <row r="165" s="21" customFormat="1" ht="18.5" customHeight="1"/>
    <row r="166" s="21" customFormat="1" ht="18.5" customHeight="1"/>
    <row r="167" s="21" customFormat="1" ht="18.5" customHeight="1"/>
    <row r="168" s="21" customFormat="1" ht="18.5" customHeight="1"/>
    <row r="169" s="21" customFormat="1" ht="18.5" customHeight="1"/>
    <row r="170" s="21" customFormat="1" ht="18.5" customHeight="1"/>
    <row r="171" s="21" customFormat="1" ht="18.5" customHeight="1"/>
    <row r="172" s="21" customFormat="1" ht="18.5" customHeight="1"/>
    <row r="173" s="21" customFormat="1" ht="18.5" customHeight="1"/>
    <row r="174" s="21" customFormat="1" ht="18.5" customHeight="1"/>
    <row r="175" s="21" customFormat="1" ht="18.5" customHeight="1"/>
    <row r="176" s="21" customFormat="1" ht="18.5" customHeight="1"/>
    <row r="177" s="21" customFormat="1" ht="18.5" customHeight="1"/>
    <row r="178" s="21" customFormat="1" ht="18.5" customHeight="1"/>
    <row r="179" s="21" customFormat="1" ht="18.5" customHeight="1"/>
    <row r="180" s="21" customFormat="1" ht="18.5" customHeight="1"/>
    <row r="181" s="21" customFormat="1" ht="18.5" customHeight="1"/>
    <row r="182" s="21" customFormat="1" ht="18.5" customHeight="1"/>
    <row r="183" s="21" customFormat="1" ht="18.5" customHeight="1"/>
    <row r="184" s="21" customFormat="1" ht="18.5" customHeight="1"/>
    <row r="185" s="21" customFormat="1" ht="18.5" customHeight="1"/>
    <row r="186" s="21" customFormat="1" ht="18.5" customHeight="1"/>
    <row r="187" s="21" customFormat="1" ht="18.5" customHeight="1"/>
    <row r="188" s="21" customFormat="1" ht="18.5" customHeight="1"/>
    <row r="189" s="21" customFormat="1" ht="18.5" customHeight="1"/>
    <row r="190" s="21" customFormat="1" ht="18.5" customHeight="1"/>
    <row r="191" s="21" customFormat="1" ht="18.5" customHeight="1"/>
    <row r="192" s="21" customFormat="1" ht="18.5" customHeight="1"/>
    <row r="193" s="21" customFormat="1" ht="18.5" customHeight="1"/>
    <row r="194" s="21" customFormat="1" ht="18.5" customHeight="1"/>
    <row r="195" s="21" customFormat="1" ht="18.5" customHeight="1"/>
    <row r="196" s="21" customFormat="1" ht="18.5" customHeight="1"/>
    <row r="197" s="21" customFormat="1" ht="18.5" customHeight="1"/>
    <row r="198" s="21" customFormat="1" ht="18.5" customHeight="1"/>
    <row r="199" s="21" customFormat="1" ht="18.5" customHeight="1"/>
    <row r="200" s="21" customFormat="1" ht="18.5" customHeight="1"/>
    <row r="201" s="21" customFormat="1" ht="18.5" customHeight="1"/>
    <row r="202" s="21" customFormat="1" ht="18.5" customHeight="1"/>
    <row r="203" s="21" customFormat="1" ht="18.5" customHeight="1"/>
    <row r="204" s="21" customFormat="1" ht="18.5" customHeight="1"/>
    <row r="205" s="21" customFormat="1" ht="18.5" customHeight="1"/>
    <row r="206" s="21" customFormat="1" ht="18.5" customHeight="1"/>
    <row r="207" s="21" customFormat="1" ht="18.5" customHeight="1"/>
    <row r="208" s="21" customFormat="1" ht="18.5" customHeight="1"/>
    <row r="209" s="21" customFormat="1" ht="18.5" customHeight="1"/>
    <row r="210" s="21" customFormat="1" ht="18.5" customHeight="1"/>
    <row r="211" s="21" customFormat="1" ht="18.5" customHeight="1"/>
    <row r="212" s="21" customFormat="1" ht="18.5" customHeight="1"/>
    <row r="213" s="21" customFormat="1" ht="18.5" customHeight="1"/>
    <row r="214" s="21" customFormat="1" ht="18.5" customHeight="1"/>
    <row r="215" s="21" customFormat="1" ht="18.5" customHeight="1"/>
    <row r="216" s="21" customFormat="1" ht="18.5" customHeight="1"/>
    <row r="217" s="21" customFormat="1" ht="18.5" customHeight="1"/>
    <row r="218" s="21" customFormat="1" ht="18.5" customHeight="1"/>
    <row r="219" s="21" customFormat="1" ht="18.5" customHeight="1"/>
    <row r="220" s="21" customFormat="1" ht="18.5" customHeight="1"/>
    <row r="221" s="21" customFormat="1" ht="18.5" customHeight="1"/>
    <row r="222" s="21" customFormat="1" ht="18.5" customHeight="1"/>
    <row r="223" s="21" customFormat="1" ht="18.5" customHeight="1"/>
    <row r="224" s="21" customFormat="1" ht="18.5" customHeight="1"/>
    <row r="225" s="21" customFormat="1" ht="18.5" customHeight="1"/>
    <row r="226" s="21" customFormat="1" ht="18.5" customHeight="1"/>
    <row r="227" s="21" customFormat="1" ht="18.5" customHeight="1"/>
    <row r="228" s="21" customFormat="1" ht="18.5" customHeight="1"/>
    <row r="229" s="21" customFormat="1" ht="18.5" customHeight="1"/>
    <row r="230" s="21" customFormat="1" ht="18.5" customHeight="1"/>
    <row r="231" s="21" customFormat="1" ht="18.5" customHeight="1"/>
    <row r="232" s="21" customFormat="1" ht="18.5" customHeight="1"/>
    <row r="233" s="21" customFormat="1" ht="18.5" customHeight="1"/>
    <row r="234" s="21" customFormat="1" ht="18.5" customHeight="1"/>
    <row r="235" s="21" customFormat="1" ht="18.5" customHeight="1"/>
    <row r="236" s="21" customFormat="1" ht="18.5" customHeight="1"/>
    <row r="237" s="21" customFormat="1" ht="18.5" customHeight="1"/>
    <row r="238" s="21" customFormat="1" ht="18.5" customHeight="1"/>
    <row r="239" s="21" customFormat="1" ht="18.5" customHeight="1"/>
    <row r="240" s="21" customFormat="1" ht="18.5" customHeight="1"/>
    <row r="241" s="21" customFormat="1" ht="18.5" customHeight="1"/>
    <row r="242" s="21" customFormat="1" ht="18.5" customHeight="1"/>
    <row r="243" s="21" customFormat="1" ht="18.5" customHeight="1"/>
    <row r="244" s="21" customFormat="1" ht="18.5" customHeight="1"/>
    <row r="245" s="21" customFormat="1" ht="18.5" customHeight="1"/>
    <row r="246" s="21" customFormat="1" ht="18.5" customHeight="1"/>
    <row r="247" s="21" customFormat="1" ht="18.5" customHeight="1"/>
    <row r="248" s="21" customFormat="1" ht="18.5" customHeight="1"/>
    <row r="249" s="21" customFormat="1" ht="18.5" customHeight="1"/>
    <row r="250" s="21" customFormat="1" ht="18.5" customHeight="1"/>
    <row r="251" s="21" customFormat="1" ht="18.5" customHeight="1"/>
    <row r="252" s="21" customFormat="1" ht="18.5" customHeight="1"/>
    <row r="253" s="21" customFormat="1" ht="18.5" customHeight="1"/>
    <row r="254" s="21" customFormat="1" ht="18.5" customHeight="1"/>
    <row r="255" s="21" customFormat="1" ht="18.5" customHeight="1"/>
    <row r="256" s="21" customFormat="1" ht="18.5" customHeight="1"/>
    <row r="257" s="21" customFormat="1" ht="18.5" customHeight="1"/>
    <row r="258" s="21" customFormat="1" ht="18.5" customHeight="1"/>
    <row r="259" s="21" customFormat="1" ht="18.5" customHeight="1"/>
    <row r="260" s="21" customFormat="1" ht="18.5" customHeight="1"/>
    <row r="261" s="21" customFormat="1" ht="18.5" customHeight="1"/>
    <row r="262" s="21" customFormat="1" ht="18.5" customHeight="1"/>
    <row r="263" s="21" customFormat="1" ht="18.5" customHeight="1"/>
    <row r="264" s="21" customFormat="1" ht="18.5" customHeight="1"/>
    <row r="265" s="21" customFormat="1" ht="18.5" customHeight="1"/>
    <row r="266" s="21" customFormat="1" ht="18.5" customHeight="1"/>
    <row r="267" s="21" customFormat="1" ht="18.5" customHeight="1"/>
    <row r="268" s="21" customFormat="1" ht="18.5" customHeight="1"/>
    <row r="269" s="21" customFormat="1" ht="18.5" customHeight="1"/>
    <row r="270" s="21" customFormat="1" ht="18.5" customHeight="1"/>
    <row r="271" s="21" customFormat="1" ht="18.5" customHeight="1"/>
    <row r="272" s="21" customFormat="1" ht="18.5" customHeight="1"/>
    <row r="273" s="21" customFormat="1" ht="18.5" customHeight="1"/>
    <row r="274" s="21" customFormat="1" ht="18.5" customHeight="1"/>
    <row r="275" s="21" customFormat="1" ht="18.5" customHeight="1"/>
    <row r="276" s="21" customFormat="1" ht="18.5" customHeight="1"/>
    <row r="277" s="21" customFormat="1" ht="18.5" customHeight="1"/>
    <row r="278" s="21" customFormat="1" ht="18.5" customHeight="1"/>
    <row r="279" s="21" customFormat="1" ht="18.5" customHeight="1"/>
    <row r="280" s="21" customFormat="1" ht="18.5" customHeight="1"/>
    <row r="281" s="21" customFormat="1" ht="18.5" customHeight="1"/>
    <row r="282" s="21" customFormat="1" ht="18.5" customHeight="1"/>
    <row r="283" s="21" customFormat="1" ht="18.5" customHeight="1"/>
    <row r="284" s="21" customFormat="1" ht="18.5" customHeight="1"/>
    <row r="285" s="21" customFormat="1" ht="18.5" customHeight="1"/>
    <row r="286" s="21" customFormat="1" ht="18.5" customHeight="1"/>
    <row r="287" s="21" customFormat="1" ht="18.5" customHeight="1"/>
    <row r="288" s="21" customFormat="1" ht="18.5" customHeight="1"/>
    <row r="289" s="21" customFormat="1" ht="18.5" customHeight="1"/>
    <row r="290" s="21" customFormat="1" ht="18.5" customHeight="1"/>
    <row r="291" s="21" customFormat="1" ht="18.5" customHeight="1"/>
    <row r="292" s="21" customFormat="1" ht="18.5" customHeight="1"/>
    <row r="293" s="21" customFormat="1" ht="18.5" customHeight="1"/>
    <row r="294" s="21" customFormat="1" ht="18.5" customHeight="1"/>
    <row r="295" s="21" customFormat="1" ht="18.5" customHeight="1"/>
    <row r="296" s="21" customFormat="1" ht="18.5" customHeight="1"/>
    <row r="297" s="21" customFormat="1" ht="18.5" customHeight="1"/>
    <row r="298" s="21" customFormat="1" ht="18.5" customHeight="1"/>
    <row r="299" s="21" customFormat="1" ht="18.5" customHeight="1"/>
    <row r="300" s="21" customFormat="1" ht="18.5" customHeight="1"/>
    <row r="301" s="21" customFormat="1" ht="18.5" customHeight="1"/>
    <row r="302" s="21" customFormat="1" ht="18.5" customHeight="1"/>
    <row r="303" s="21" customFormat="1" ht="18.5" customHeight="1"/>
    <row r="304" s="21" customFormat="1" ht="18.5" customHeight="1"/>
    <row r="305" s="21" customFormat="1" ht="18.5" customHeight="1"/>
    <row r="306" s="21" customFormat="1" ht="18.5" customHeight="1"/>
    <row r="307" s="21" customFormat="1" ht="18.5" customHeight="1"/>
    <row r="308" s="21" customFormat="1" ht="18.5" customHeight="1"/>
    <row r="309" s="21" customFormat="1" ht="18.5" customHeight="1"/>
    <row r="310" s="21" customFormat="1" ht="18.5" customHeight="1"/>
    <row r="311" s="21" customFormat="1" ht="18.5" customHeight="1"/>
    <row r="312" s="21" customFormat="1" ht="18.5" customHeight="1"/>
    <row r="313" s="21" customFormat="1" ht="18.5" customHeight="1"/>
    <row r="314" s="21" customFormat="1" ht="18.5" customHeight="1"/>
    <row r="315" s="21" customFormat="1" ht="18.5" customHeight="1"/>
    <row r="316" s="21" customFormat="1" ht="18.5" customHeight="1"/>
    <row r="317" s="21" customFormat="1" ht="18.5" customHeight="1"/>
    <row r="318" s="21" customFormat="1" ht="18.5" customHeight="1"/>
    <row r="319" s="21" customFormat="1" ht="18.5" customHeight="1"/>
    <row r="320" s="21" customFormat="1" ht="18.5" customHeight="1"/>
    <row r="321" s="21" customFormat="1" ht="18.5" customHeight="1"/>
    <row r="322" s="21" customFormat="1" ht="18.5" customHeight="1"/>
    <row r="323" s="21" customFormat="1" ht="18.5" customHeight="1"/>
    <row r="324" s="21" customFormat="1" ht="18.5" customHeight="1"/>
    <row r="325" s="21" customFormat="1" ht="18.5" customHeight="1"/>
    <row r="326" s="21" customFormat="1" ht="18.5" customHeight="1"/>
    <row r="327" s="21" customFormat="1" ht="18.5" customHeight="1"/>
    <row r="328" s="21" customFormat="1" ht="18.5" customHeight="1"/>
    <row r="329" s="21" customFormat="1" ht="18.5" customHeight="1"/>
    <row r="330" s="21" customFormat="1" ht="18.5" customHeight="1"/>
    <row r="331" s="21" customFormat="1" ht="18.5" customHeight="1"/>
    <row r="332" s="21" customFormat="1" ht="18.5" customHeight="1"/>
    <row r="333" s="21" customFormat="1" ht="18.5" customHeight="1"/>
    <row r="334" s="21" customFormat="1" ht="18.5" customHeight="1"/>
    <row r="335" s="21" customFormat="1" ht="18.5" customHeight="1"/>
    <row r="336" s="21" customFormat="1" ht="18.5" customHeight="1"/>
    <row r="337" s="21" customFormat="1" ht="18.5" customHeight="1"/>
    <row r="338" s="21" customFormat="1" ht="18.5" customHeight="1"/>
    <row r="339" s="21" customFormat="1" ht="18.5" customHeight="1"/>
    <row r="340" s="21" customFormat="1" ht="18.5" customHeight="1"/>
    <row r="341" s="21" customFormat="1" ht="18.5" customHeight="1"/>
    <row r="342" s="21" customFormat="1" ht="18.5" customHeight="1"/>
    <row r="343" s="21" customFormat="1" ht="18.5" customHeight="1"/>
    <row r="344" s="21" customFormat="1" ht="18.5" customHeight="1"/>
    <row r="345" s="21" customFormat="1" ht="18.5" customHeight="1"/>
    <row r="346" s="21" customFormat="1" ht="18.5" customHeight="1"/>
    <row r="347" s="21" customFormat="1" ht="18.5" customHeight="1"/>
    <row r="348" s="21" customFormat="1" ht="18.5" customHeight="1"/>
    <row r="349" s="21" customFormat="1" ht="18.5" customHeight="1"/>
    <row r="350" s="21" customFormat="1" ht="18.5" customHeight="1"/>
    <row r="351" s="21" customFormat="1" ht="18.5" customHeight="1"/>
    <row r="352" s="21" customFormat="1" ht="18.5" customHeight="1"/>
    <row r="353" s="21" customFormat="1" ht="18.5" customHeight="1"/>
    <row r="354" s="21" customFormat="1" ht="18.5" customHeight="1"/>
    <row r="355" s="21" customFormat="1" ht="18.5" customHeight="1"/>
    <row r="356" s="21" customFormat="1" ht="18.5" customHeight="1"/>
    <row r="357" s="21" customFormat="1" ht="18.5" customHeight="1"/>
    <row r="358" s="21" customFormat="1" ht="18.5" customHeight="1"/>
    <row r="359" s="21" customFormat="1" ht="18.5" customHeight="1"/>
    <row r="360" s="21" customFormat="1" ht="18.5" customHeight="1"/>
    <row r="361" s="21" customFormat="1" ht="18.5" customHeight="1"/>
    <row r="362" s="21" customFormat="1" ht="18.5" customHeight="1"/>
    <row r="363" s="21" customFormat="1" ht="18.5" customHeight="1"/>
    <row r="364" s="21" customFormat="1" ht="18.5" customHeight="1"/>
    <row r="365" s="21" customFormat="1" ht="18.5" customHeight="1"/>
    <row r="366" s="21" customFormat="1" ht="18.5" customHeight="1"/>
    <row r="367" s="21" customFormat="1" ht="18.5" customHeight="1"/>
    <row r="368" s="21" customFormat="1" ht="18.5" customHeight="1"/>
    <row r="369" s="21" customFormat="1" ht="18.5" customHeight="1"/>
    <row r="370" s="21" customFormat="1" ht="18.5" customHeight="1"/>
    <row r="371" s="21" customFormat="1" ht="18.5" customHeight="1"/>
    <row r="372" s="21" customFormat="1" ht="18.5" customHeight="1"/>
    <row r="373" s="21" customFormat="1" ht="18.5" customHeight="1"/>
    <row r="374" s="21" customFormat="1" ht="18.5" customHeight="1"/>
    <row r="375" s="21" customFormat="1" ht="18.5" customHeight="1"/>
    <row r="376" s="21" customFormat="1" ht="18.5" customHeight="1"/>
    <row r="377" s="21" customFormat="1" ht="18.5" customHeight="1"/>
    <row r="378" s="21" customFormat="1" ht="18.5" customHeight="1"/>
    <row r="379" s="21" customFormat="1" ht="18.5" customHeight="1"/>
    <row r="380" s="21" customFormat="1" ht="18.5" customHeight="1"/>
    <row r="381" s="21" customFormat="1" ht="18.5" customHeight="1"/>
    <row r="382" s="21" customFormat="1" ht="18.5" customHeight="1"/>
    <row r="383" s="21" customFormat="1" ht="18.5" customHeight="1"/>
    <row r="384" s="21" customFormat="1" ht="18.5" customHeight="1"/>
    <row r="385" s="21" customFormat="1" ht="18.5" customHeight="1"/>
    <row r="386" s="21" customFormat="1" ht="18.5" customHeight="1"/>
    <row r="387" s="21" customFormat="1" ht="18.5" customHeight="1"/>
    <row r="388" s="21" customFormat="1" ht="18.5" customHeight="1"/>
    <row r="389" s="21" customFormat="1" ht="18.5" customHeight="1"/>
    <row r="390" s="21" customFormat="1" ht="18.5" customHeight="1"/>
    <row r="391" s="21" customFormat="1" ht="18.5" customHeight="1"/>
    <row r="392" s="21" customFormat="1" ht="18.5" customHeight="1"/>
    <row r="393" s="21" customFormat="1" ht="18.5" customHeight="1"/>
    <row r="394" s="21" customFormat="1" ht="18.5" customHeight="1"/>
    <row r="395" s="21" customFormat="1" ht="18.5" customHeight="1"/>
    <row r="396" s="21" customFormat="1" ht="18.5" customHeight="1"/>
    <row r="397" s="21" customFormat="1" ht="18.5" customHeight="1"/>
    <row r="398" s="21" customFormat="1" ht="18.5" customHeight="1"/>
    <row r="399" s="21" customFormat="1" ht="18.5" customHeight="1"/>
    <row r="400" s="21" customFormat="1" ht="18.5" customHeight="1"/>
    <row r="401" s="21" customFormat="1" ht="18.5" customHeight="1"/>
    <row r="402" s="21" customFormat="1" ht="18.5" customHeight="1"/>
    <row r="403" s="21" customFormat="1" ht="18.5" customHeight="1"/>
    <row r="404" s="21" customFormat="1" ht="18.5" customHeight="1"/>
    <row r="405" s="21" customFormat="1" ht="18.5" customHeight="1"/>
    <row r="406" s="21" customFormat="1" ht="18.5" customHeight="1"/>
    <row r="407" s="21" customFormat="1" ht="18.5" customHeight="1"/>
    <row r="408" s="21" customFormat="1" ht="18.5" customHeight="1"/>
    <row r="409" s="21" customFormat="1" ht="18.5" customHeight="1"/>
    <row r="410" s="21" customFormat="1" ht="18.5" customHeight="1"/>
    <row r="411" s="21" customFormat="1" ht="18.5" customHeight="1"/>
    <row r="412" s="21" customFormat="1" ht="18.5" customHeight="1"/>
    <row r="413" s="21" customFormat="1" ht="18.5" customHeight="1"/>
    <row r="414" s="21" customFormat="1" ht="18.5" customHeight="1"/>
    <row r="415" s="21" customFormat="1" ht="18.5" customHeight="1"/>
    <row r="416" s="21" customFormat="1" ht="18.5" customHeight="1"/>
    <row r="417" s="21" customFormat="1" ht="18.5" customHeight="1"/>
    <row r="418" s="21" customFormat="1" ht="18.5" customHeight="1"/>
    <row r="419" s="21" customFormat="1" ht="18.5" customHeight="1"/>
    <row r="420" s="21" customFormat="1" ht="18.5" customHeight="1"/>
    <row r="421" s="21" customFormat="1" ht="18.5" customHeight="1"/>
    <row r="422" s="21" customFormat="1" ht="18.5" customHeight="1"/>
    <row r="423" s="21" customFormat="1" ht="18.5" customHeight="1"/>
    <row r="424" s="21" customFormat="1" ht="18.5" customHeight="1"/>
    <row r="425" s="21" customFormat="1" ht="18.5" customHeight="1"/>
    <row r="426" s="21" customFormat="1" ht="18.5" customHeight="1"/>
    <row r="427" s="21" customFormat="1" ht="18.5" customHeight="1"/>
    <row r="428" s="21" customFormat="1" ht="18.5" customHeight="1"/>
    <row r="429" s="21" customFormat="1" ht="18.5" customHeight="1"/>
    <row r="430" s="21" customFormat="1" ht="18.5" customHeight="1"/>
    <row r="431" s="21" customFormat="1" ht="18.5" customHeight="1"/>
    <row r="432" s="21" customFormat="1" ht="18.5" customHeight="1"/>
    <row r="433" s="21" customFormat="1" ht="18.5" customHeight="1"/>
    <row r="434" s="21" customFormat="1" ht="18.5" customHeight="1"/>
    <row r="435" s="21" customFormat="1" ht="18.5" customHeight="1"/>
    <row r="436" s="21" customFormat="1" ht="18.5" customHeight="1"/>
    <row r="437" s="21" customFormat="1" ht="18.5" customHeight="1"/>
    <row r="438" s="21" customFormat="1" ht="18.5" customHeight="1"/>
    <row r="439" s="21" customFormat="1" ht="18.5" customHeight="1"/>
    <row r="440" s="21" customFormat="1" ht="18.5" customHeight="1"/>
    <row r="441" s="21" customFormat="1" ht="18.5" customHeight="1"/>
    <row r="442" s="21" customFormat="1" ht="18.5" customHeight="1"/>
    <row r="443" s="21" customFormat="1" ht="18.5" customHeight="1"/>
    <row r="444" s="21" customFormat="1" ht="18.5" customHeight="1"/>
    <row r="445" s="21" customFormat="1" ht="18.5" customHeight="1"/>
    <row r="446" s="21" customFormat="1" ht="18.5" customHeight="1"/>
    <row r="447" s="21" customFormat="1" ht="18.5" customHeight="1"/>
    <row r="448" s="21" customFormat="1" ht="18.5" customHeight="1"/>
    <row r="449" s="21" customFormat="1" ht="18.5" customHeight="1"/>
    <row r="450" s="21" customFormat="1" ht="18.5" customHeight="1"/>
    <row r="451" s="21" customFormat="1" ht="18.5" customHeight="1"/>
    <row r="452" s="21" customFormat="1" ht="18.5" customHeight="1"/>
    <row r="453" s="21" customFormat="1" ht="18.5" customHeight="1"/>
    <row r="454" s="21" customFormat="1" ht="18.5" customHeight="1"/>
    <row r="455" s="21" customFormat="1" ht="18.5" customHeight="1"/>
    <row r="456" s="21" customFormat="1" ht="18.5" customHeight="1"/>
    <row r="457" s="21" customFormat="1" ht="18.5" customHeight="1"/>
    <row r="458" s="21" customFormat="1" ht="18.5" customHeight="1"/>
    <row r="459" s="21" customFormat="1" ht="18.5" customHeight="1"/>
    <row r="460" s="21" customFormat="1" ht="18.5" customHeight="1"/>
    <row r="461" s="21" customFormat="1" ht="18.5" customHeight="1"/>
    <row r="462" s="21" customFormat="1" ht="18.5" customHeight="1"/>
    <row r="463" s="21" customFormat="1" ht="18.5" customHeight="1"/>
    <row r="464" s="21" customFormat="1" ht="18.5" customHeight="1"/>
    <row r="465" s="21" customFormat="1" ht="18.5" customHeight="1"/>
    <row r="466" s="21" customFormat="1" ht="18.5" customHeight="1"/>
    <row r="467" s="21" customFormat="1" ht="18.5" customHeight="1"/>
    <row r="468" s="21" customFormat="1" ht="18.5" customHeight="1"/>
    <row r="469" s="21" customFormat="1" ht="18.5" customHeight="1"/>
    <row r="470" s="21" customFormat="1" ht="18.5" customHeight="1"/>
    <row r="471" s="21" customFormat="1" ht="18.5" customHeight="1"/>
    <row r="472" s="21" customFormat="1" ht="18.5" customHeight="1"/>
    <row r="473" s="21" customFormat="1" ht="18.5" customHeight="1"/>
    <row r="474" s="21" customFormat="1" ht="18.5" customHeight="1"/>
    <row r="475" s="21" customFormat="1" ht="18.5" customHeight="1"/>
    <row r="476" s="21" customFormat="1" ht="18.5" customHeight="1"/>
    <row r="477" s="21" customFormat="1" ht="18.5" customHeight="1"/>
    <row r="478" s="21" customFormat="1" ht="18.5" customHeight="1"/>
    <row r="479" s="21" customFormat="1" ht="18.5" customHeight="1"/>
    <row r="480" s="21" customFormat="1" ht="18.5" customHeight="1"/>
    <row r="481" s="21" customFormat="1" ht="18.5" customHeight="1"/>
    <row r="482" s="21" customFormat="1" ht="18.5" customHeight="1"/>
    <row r="483" s="21" customFormat="1" ht="18.5" customHeight="1"/>
    <row r="484" s="21" customFormat="1" ht="18.5" customHeight="1"/>
    <row r="485" s="21" customFormat="1" ht="18.5" customHeight="1"/>
    <row r="486" s="21" customFormat="1" ht="18.5" customHeight="1"/>
    <row r="487" s="21" customFormat="1" ht="18.5" customHeight="1"/>
    <row r="488" s="21" customFormat="1" ht="18.5" customHeight="1"/>
    <row r="489" s="21" customFormat="1" ht="18.5" customHeight="1"/>
    <row r="490" s="21" customFormat="1" ht="18.5" customHeight="1"/>
    <row r="491" s="21" customFormat="1" ht="18.5" customHeight="1"/>
    <row r="492" s="21" customFormat="1" ht="18.5" customHeight="1"/>
    <row r="493" s="21" customFormat="1" ht="18.5" customHeight="1"/>
    <row r="494" s="21" customFormat="1" ht="18.5" customHeight="1"/>
    <row r="495" s="21" customFormat="1" ht="18.5" customHeight="1"/>
    <row r="496" s="21" customFormat="1" ht="18.5" customHeight="1"/>
    <row r="497" s="21" customFormat="1" ht="18.5" customHeight="1"/>
    <row r="498" s="21" customFormat="1" ht="18.5" customHeight="1"/>
    <row r="499" s="21" customFormat="1" ht="18.5" customHeight="1"/>
    <row r="500" s="21" customFormat="1" ht="18.5" customHeight="1"/>
    <row r="501" s="21" customFormat="1" ht="18.5" customHeight="1"/>
    <row r="502" s="21" customFormat="1" ht="18.5" customHeight="1"/>
    <row r="503" s="21" customFormat="1" ht="18.5" customHeight="1"/>
    <row r="504" s="21" customFormat="1" ht="18.5" customHeight="1"/>
    <row r="505" s="21" customFormat="1" ht="18.5" customHeight="1"/>
    <row r="506" s="21" customFormat="1" ht="18.5" customHeight="1"/>
    <row r="507" s="21" customFormat="1" ht="18.5" customHeight="1"/>
    <row r="508" s="21" customFormat="1" ht="18.5" customHeight="1"/>
    <row r="509" s="21" customFormat="1" ht="18.5" customHeight="1"/>
    <row r="510" s="21" customFormat="1" ht="18.5" customHeight="1"/>
    <row r="511" s="21" customFormat="1" ht="18.5" customHeight="1"/>
    <row r="512" s="21" customFormat="1" ht="18.5" customHeight="1"/>
    <row r="513" s="21" customFormat="1" ht="18.5" customHeight="1"/>
    <row r="514" s="21" customFormat="1" ht="18.5" customHeight="1"/>
    <row r="515" s="21" customFormat="1" ht="18.5" customHeight="1"/>
    <row r="516" s="21" customFormat="1" ht="18.5" customHeight="1"/>
    <row r="517" s="21" customFormat="1" ht="18.5" customHeight="1"/>
    <row r="518" s="21" customFormat="1" ht="18.5" customHeight="1"/>
    <row r="519" s="21" customFormat="1" ht="18.5" customHeight="1"/>
    <row r="520" s="21" customFormat="1" ht="18.5" customHeight="1"/>
    <row r="521" s="21" customFormat="1" ht="18.5" customHeight="1"/>
    <row r="522" s="21" customFormat="1" ht="18.5" customHeight="1"/>
    <row r="523" s="21" customFormat="1" ht="18.5" customHeight="1"/>
    <row r="524" s="21" customFormat="1" ht="18.5" customHeight="1"/>
    <row r="525" s="21" customFormat="1" ht="18.5" customHeight="1"/>
    <row r="526" s="21" customFormat="1" ht="18.5" customHeight="1"/>
    <row r="527" s="21" customFormat="1" ht="18.5" customHeight="1"/>
    <row r="528" s="21" customFormat="1" ht="18.5" customHeight="1"/>
    <row r="529" s="21" customFormat="1" ht="18.5" customHeight="1"/>
    <row r="530" s="21" customFormat="1" ht="18.5" customHeight="1"/>
    <row r="531" s="21" customFormat="1" ht="18.5" customHeight="1"/>
    <row r="532" s="21" customFormat="1" ht="18.5" customHeight="1"/>
    <row r="533" s="21" customFormat="1" ht="18.5" customHeight="1"/>
    <row r="534" s="21" customFormat="1" ht="18.5" customHeight="1"/>
    <row r="535" s="21" customFormat="1" ht="18.5" customHeight="1"/>
    <row r="536" s="21" customFormat="1" ht="18.5" customHeight="1"/>
    <row r="537" s="21" customFormat="1" ht="18.5" customHeight="1"/>
    <row r="538" s="21" customFormat="1" ht="18.5" customHeight="1"/>
    <row r="539" s="21" customFormat="1" ht="18.5" customHeight="1"/>
    <row r="540" s="21" customFormat="1" ht="18.5" customHeight="1"/>
    <row r="541" s="21" customFormat="1" ht="18.5" customHeight="1"/>
    <row r="542" s="21" customFormat="1" ht="18.5" customHeight="1"/>
    <row r="543" s="21" customFormat="1" ht="18.5" customHeight="1"/>
    <row r="544" s="21" customFormat="1" ht="18.5" customHeight="1"/>
    <row r="545" s="21" customFormat="1" ht="18.5" customHeight="1"/>
    <row r="546" s="21" customFormat="1" ht="18.5" customHeight="1"/>
    <row r="547" s="21" customFormat="1" ht="18.5" customHeight="1"/>
    <row r="548" s="21" customFormat="1" ht="18.5" customHeight="1"/>
    <row r="549" s="21" customFormat="1" ht="18.5" customHeight="1"/>
    <row r="550" s="21" customFormat="1" ht="18.5" customHeight="1"/>
    <row r="551" s="21" customFormat="1" ht="18.5" customHeight="1"/>
    <row r="552" s="21" customFormat="1" ht="18.5" customHeight="1"/>
    <row r="553" s="21" customFormat="1" ht="18.5" customHeight="1"/>
    <row r="554" s="21" customFormat="1" ht="18.5" customHeight="1"/>
    <row r="555" s="21" customFormat="1" ht="18.5" customHeight="1"/>
    <row r="556" s="21" customFormat="1" ht="18.5" customHeight="1"/>
    <row r="557" s="21" customFormat="1" ht="18.5" customHeight="1"/>
    <row r="558" s="21" customFormat="1" ht="18.5" customHeight="1"/>
    <row r="559" s="21" customFormat="1" ht="18.5" customHeight="1"/>
    <row r="560" s="21" customFormat="1" ht="18.5" customHeight="1"/>
    <row r="561" s="21" customFormat="1" ht="18.5" customHeight="1"/>
    <row r="562" s="21" customFormat="1" ht="18.5" customHeight="1"/>
    <row r="563" s="21" customFormat="1" ht="18.5" customHeight="1"/>
    <row r="564" s="21" customFormat="1" ht="18.5" customHeight="1"/>
    <row r="565" s="21" customFormat="1" ht="18.5" customHeight="1"/>
    <row r="566" s="21" customFormat="1" ht="18.5" customHeight="1"/>
    <row r="567" s="21" customFormat="1" ht="18.5" customHeight="1"/>
    <row r="568" s="21" customFormat="1" ht="18.5" customHeight="1"/>
    <row r="569" s="21" customFormat="1" ht="18.5" customHeight="1"/>
    <row r="570" s="21" customFormat="1" ht="18.5" customHeight="1"/>
    <row r="571" s="21" customFormat="1" ht="18.5" customHeight="1"/>
    <row r="572" s="21" customFormat="1" ht="18.5" customHeight="1"/>
    <row r="573" s="21" customFormat="1" ht="18.5" customHeight="1"/>
    <row r="574" s="21" customFormat="1" ht="18.5" customHeight="1"/>
    <row r="575" s="21" customFormat="1" ht="18.5" customHeight="1"/>
    <row r="576" s="21" customFormat="1" ht="18.5" customHeight="1"/>
    <row r="577" s="21" customFormat="1" ht="18.5" customHeight="1"/>
    <row r="578" s="21" customFormat="1" ht="18.5" customHeight="1"/>
    <row r="579" s="21" customFormat="1" ht="18.5" customHeight="1"/>
    <row r="580" s="21" customFormat="1" ht="18.5" customHeight="1"/>
    <row r="581" s="21" customFormat="1" ht="18.5" customHeight="1"/>
    <row r="582" s="21" customFormat="1" ht="18.5" customHeight="1"/>
    <row r="583" s="21" customFormat="1" ht="18.5" customHeight="1"/>
    <row r="584" s="21" customFormat="1" ht="18.5" customHeight="1"/>
    <row r="585" s="21" customFormat="1" ht="18.5" customHeight="1"/>
    <row r="586" s="21" customFormat="1" ht="18.5" customHeight="1"/>
    <row r="587" s="21" customFormat="1" ht="18.5" customHeight="1"/>
    <row r="588" s="21" customFormat="1" ht="18.5" customHeight="1"/>
    <row r="589" s="21" customFormat="1" ht="18.5" customHeight="1"/>
    <row r="590" s="21" customFormat="1" ht="18.5" customHeight="1"/>
    <row r="591" s="21" customFormat="1" ht="18.5" customHeight="1"/>
    <row r="592" s="21" customFormat="1" ht="18.5" customHeight="1"/>
    <row r="593" s="21" customFormat="1" ht="18.5" customHeight="1"/>
    <row r="594" s="21" customFormat="1" ht="18.5" customHeight="1"/>
    <row r="595" s="21" customFormat="1" ht="18.5" customHeight="1"/>
    <row r="596" s="21" customFormat="1" ht="18.5" customHeight="1"/>
    <row r="597" s="21" customFormat="1" ht="18.5" customHeight="1"/>
    <row r="598" s="21" customFormat="1" ht="18.5" customHeight="1"/>
    <row r="599" s="21" customFormat="1" ht="18.5" customHeight="1"/>
    <row r="600" s="21" customFormat="1" ht="18.5" customHeight="1"/>
    <row r="601" s="21" customFormat="1" ht="18.5" customHeight="1"/>
    <row r="602" s="21" customFormat="1" ht="18.5" customHeight="1"/>
    <row r="603" s="21" customFormat="1" ht="18.5" customHeight="1"/>
    <row r="604" s="21" customFormat="1" ht="18.5" customHeight="1"/>
    <row r="605" s="21" customFormat="1" ht="18.5" customHeight="1"/>
    <row r="606" s="21" customFormat="1" ht="18.5" customHeight="1"/>
    <row r="607" s="21" customFormat="1" ht="18.5" customHeight="1"/>
    <row r="608" s="21" customFormat="1" ht="18.5" customHeight="1"/>
    <row r="609" s="21" customFormat="1" ht="18.5" customHeight="1"/>
    <row r="610" s="21" customFormat="1" ht="18.5" customHeight="1"/>
    <row r="611" s="21" customFormat="1" ht="18.5" customHeight="1"/>
    <row r="612" s="21" customFormat="1" ht="18.5" customHeight="1"/>
    <row r="613" s="21" customFormat="1" ht="18.5" customHeight="1"/>
    <row r="614" s="21" customFormat="1" ht="18.5" customHeight="1"/>
    <row r="615" s="21" customFormat="1" ht="18.5" customHeight="1"/>
    <row r="616" s="21" customFormat="1" ht="18.5" customHeight="1"/>
    <row r="617" s="21" customFormat="1" ht="18.5" customHeight="1"/>
    <row r="618" s="21" customFormat="1" ht="18.5" customHeight="1"/>
    <row r="619" s="21" customFormat="1" ht="18.5" customHeight="1"/>
    <row r="620" s="21" customFormat="1" ht="18.5" customHeight="1"/>
    <row r="621" s="21" customFormat="1" ht="18.5" customHeight="1"/>
    <row r="622" s="21" customFormat="1" ht="18.5" customHeight="1"/>
    <row r="623" s="21" customFormat="1" ht="18.5" customHeight="1"/>
    <row r="624" s="21" customFormat="1" ht="18.5" customHeight="1"/>
    <row r="625" s="21" customFormat="1" ht="18.5" customHeight="1"/>
    <row r="626" s="21" customFormat="1" ht="18.5" customHeight="1"/>
    <row r="627" s="21" customFormat="1" ht="18.5" customHeight="1"/>
    <row r="628" s="21" customFormat="1" ht="18.5" customHeight="1"/>
    <row r="629" s="21" customFormat="1" ht="18.5" customHeight="1"/>
    <row r="630" s="21" customFormat="1" ht="18.5" customHeight="1"/>
    <row r="631" s="21" customFormat="1" ht="18.5" customHeight="1"/>
    <row r="632" s="21" customFormat="1" ht="18.5" customHeight="1"/>
    <row r="633" s="21" customFormat="1" ht="18.5" customHeight="1"/>
    <row r="634" s="21" customFormat="1" ht="18.5" customHeight="1"/>
    <row r="635" s="21" customFormat="1" ht="18.5" customHeight="1"/>
    <row r="636" s="21" customFormat="1" ht="18.5" customHeight="1"/>
    <row r="637" s="21" customFormat="1" ht="18.5" customHeight="1"/>
    <row r="638" s="21" customFormat="1" ht="18.5" customHeight="1"/>
    <row r="639" s="21" customFormat="1" ht="18.5" customHeight="1"/>
    <row r="640" s="21" customFormat="1" ht="18.5" customHeight="1"/>
    <row r="641" s="21" customFormat="1" ht="18.5" customHeight="1"/>
    <row r="642" s="21" customFormat="1" ht="18.5" customHeight="1"/>
    <row r="643" s="21" customFormat="1" ht="18.5" customHeight="1"/>
    <row r="644" s="21" customFormat="1" ht="18.5" customHeight="1"/>
    <row r="645" s="21" customFormat="1" ht="18.5" customHeight="1"/>
    <row r="646" s="21" customFormat="1" ht="18.5" customHeight="1"/>
    <row r="647" s="21" customFormat="1" ht="18.5" customHeight="1"/>
    <row r="648" s="21" customFormat="1" ht="18.5" customHeight="1"/>
    <row r="649" s="21" customFormat="1" ht="18.5" customHeight="1"/>
    <row r="650" s="21" customFormat="1" ht="18.5" customHeight="1"/>
    <row r="651" s="21" customFormat="1" ht="18.5" customHeight="1"/>
    <row r="652" s="21" customFormat="1" ht="18.5" customHeight="1"/>
    <row r="653" s="21" customFormat="1" ht="18.5" customHeight="1"/>
    <row r="654" s="21" customFormat="1" ht="18.5" customHeight="1"/>
    <row r="655" s="21" customFormat="1" ht="18.5" customHeight="1"/>
    <row r="656" s="21" customFormat="1" ht="18.5" customHeight="1"/>
    <row r="657" s="21" customFormat="1" ht="18.5" customHeight="1"/>
    <row r="658" s="21" customFormat="1" ht="18.5" customHeight="1"/>
    <row r="659" s="21" customFormat="1" ht="18.5" customHeight="1"/>
    <row r="660" s="21" customFormat="1" ht="18.5" customHeight="1"/>
    <row r="661" s="21" customFormat="1" ht="18.5" customHeight="1"/>
    <row r="662" s="21" customFormat="1" ht="18.5" customHeight="1"/>
    <row r="663" s="21" customFormat="1" ht="18.5" customHeight="1"/>
    <row r="664" s="21" customFormat="1" ht="18.5" customHeight="1"/>
    <row r="665" s="21" customFormat="1" ht="18.5" customHeight="1"/>
    <row r="666" s="21" customFormat="1" ht="18.5" customHeight="1"/>
    <row r="667" s="21" customFormat="1" ht="18.5" customHeight="1"/>
    <row r="668" s="21" customFormat="1" ht="18.5" customHeight="1"/>
    <row r="669" s="21" customFormat="1" ht="18.5" customHeight="1"/>
    <row r="670" s="21" customFormat="1" ht="18.5" customHeight="1"/>
    <row r="671" s="21" customFormat="1" ht="18.5" customHeight="1"/>
    <row r="672" s="21" customFormat="1" ht="18.5" customHeight="1"/>
    <row r="673" s="21" customFormat="1" ht="18.5" customHeight="1"/>
    <row r="674" s="21" customFormat="1" ht="18.5" customHeight="1"/>
    <row r="675" s="21" customFormat="1" ht="18.5" customHeight="1"/>
    <row r="676" s="21" customFormat="1" ht="18.5" customHeight="1"/>
    <row r="677" s="21" customFormat="1" ht="18.5" customHeight="1"/>
    <row r="678" s="21" customFormat="1" ht="18.5" customHeight="1"/>
    <row r="679" s="21" customFormat="1" ht="18.5" customHeight="1"/>
    <row r="680" s="21" customFormat="1" ht="18.5" customHeight="1"/>
    <row r="681" s="21" customFormat="1" ht="18.5" customHeight="1"/>
    <row r="682" s="21" customFormat="1" ht="18.5" customHeight="1"/>
    <row r="683" s="21" customFormat="1" ht="18.5" customHeight="1"/>
    <row r="684" s="21" customFormat="1" ht="18.5" customHeight="1"/>
    <row r="685" s="21" customFormat="1" ht="18.5" customHeight="1"/>
    <row r="686" s="21" customFormat="1" ht="18.5" customHeight="1"/>
    <row r="687" s="21" customFormat="1" ht="18.5" customHeight="1"/>
    <row r="688" s="21" customFormat="1" ht="18.5" customHeight="1"/>
    <row r="689" s="21" customFormat="1" ht="18.5" customHeight="1"/>
    <row r="690" s="21" customFormat="1" ht="18.5" customHeight="1"/>
    <row r="691" s="21" customFormat="1" ht="18.5" customHeight="1"/>
    <row r="692" s="21" customFormat="1" ht="18.5" customHeight="1"/>
    <row r="693" s="21" customFormat="1" ht="18.5" customHeight="1"/>
    <row r="694" s="21" customFormat="1" ht="18.5" customHeight="1"/>
    <row r="695" s="21" customFormat="1" ht="18.5" customHeight="1"/>
    <row r="696" s="21" customFormat="1" ht="18.5" customHeight="1"/>
    <row r="697" s="21" customFormat="1" ht="18.5" customHeight="1"/>
    <row r="698" s="21" customFormat="1" ht="18.5" customHeight="1"/>
    <row r="699" s="21" customFormat="1" ht="18.5" customHeight="1"/>
    <row r="700" s="21" customFormat="1" ht="18.5" customHeight="1"/>
    <row r="701" s="21" customFormat="1" ht="18.5" customHeight="1"/>
    <row r="702" s="21" customFormat="1" ht="18.5" customHeight="1"/>
    <row r="703" s="21" customFormat="1" ht="18.5" customHeight="1"/>
    <row r="704" s="21" customFormat="1" ht="18.5" customHeight="1"/>
    <row r="705" s="21" customFormat="1" ht="18.5" customHeight="1"/>
    <row r="706" s="21" customFormat="1" ht="18.5" customHeight="1"/>
    <row r="707" s="21" customFormat="1" ht="18.5" customHeight="1"/>
    <row r="708" s="21" customFormat="1" ht="18.5" customHeight="1"/>
    <row r="709" s="21" customFormat="1" ht="18.5" customHeight="1"/>
    <row r="710" s="21" customFormat="1" ht="18.5" customHeight="1"/>
    <row r="711" s="21" customFormat="1" ht="18.5" customHeight="1"/>
    <row r="712" s="21" customFormat="1" ht="18.5" customHeight="1"/>
    <row r="713" s="21" customFormat="1" ht="18.5" customHeight="1"/>
    <row r="714" s="21" customFormat="1" ht="18.5" customHeight="1"/>
    <row r="715" s="21" customFormat="1" ht="18.5" customHeight="1"/>
    <row r="716" s="21" customFormat="1" ht="18.5" customHeight="1"/>
    <row r="717" s="21" customFormat="1" ht="18.5" customHeight="1"/>
    <row r="718" s="21" customFormat="1" ht="18.5" customHeight="1"/>
    <row r="719" s="21" customFormat="1" ht="18.5" customHeight="1"/>
    <row r="720" s="21" customFormat="1" ht="18.5" customHeight="1"/>
    <row r="721" s="21" customFormat="1" ht="18.5" customHeight="1"/>
    <row r="722" s="21" customFormat="1" ht="18.5" customHeight="1"/>
    <row r="723" s="21" customFormat="1" ht="18.5" customHeight="1"/>
    <row r="724" s="21" customFormat="1" ht="18.5" customHeight="1"/>
    <row r="725" s="21" customFormat="1" ht="18.5" customHeight="1"/>
    <row r="726" s="21" customFormat="1" ht="18.5" customHeight="1"/>
    <row r="727" s="21" customFormat="1" ht="18.5" customHeight="1"/>
    <row r="728" s="21" customFormat="1" ht="18.5" customHeight="1"/>
    <row r="729" s="21" customFormat="1" ht="18.5" customHeight="1"/>
    <row r="730" s="21" customFormat="1" ht="18.5" customHeight="1"/>
    <row r="731" s="21" customFormat="1" ht="18.5" customHeight="1"/>
    <row r="732" s="21" customFormat="1" ht="18.5" customHeight="1"/>
    <row r="733" s="21" customFormat="1" ht="18.5" customHeight="1"/>
    <row r="734" s="21" customFormat="1" ht="18.5" customHeight="1"/>
    <row r="735" s="21" customFormat="1" ht="18.5" customHeight="1"/>
    <row r="736" s="21" customFormat="1" ht="18.5" customHeight="1"/>
    <row r="737" s="21" customFormat="1" ht="18.5" customHeight="1"/>
    <row r="738" s="21" customFormat="1" ht="18.5" customHeight="1"/>
    <row r="739" s="21" customFormat="1" ht="18.5" customHeight="1"/>
    <row r="740" s="21" customFormat="1" ht="18.5" customHeight="1"/>
    <row r="741" s="21" customFormat="1" ht="18.5" customHeight="1"/>
    <row r="742" s="21" customFormat="1" ht="18.5" customHeight="1"/>
    <row r="743" s="21" customFormat="1" ht="18.5" customHeight="1"/>
    <row r="744" s="21" customFormat="1" ht="18.5" customHeight="1"/>
    <row r="745" s="21" customFormat="1" ht="18.5" customHeight="1"/>
    <row r="746" s="21" customFormat="1" ht="18.5" customHeight="1"/>
    <row r="747" s="21" customFormat="1" ht="18.5" customHeight="1"/>
    <row r="748" s="21" customFormat="1" ht="18.5" customHeight="1"/>
    <row r="749" s="21" customFormat="1" ht="18.5" customHeight="1"/>
    <row r="750" s="21" customFormat="1" ht="18.5" customHeight="1"/>
    <row r="751" s="21" customFormat="1" ht="18.5" customHeight="1"/>
    <row r="752" s="21" customFormat="1" ht="18.5" customHeight="1"/>
    <row r="753" s="21" customFormat="1" ht="18.5" customHeight="1"/>
    <row r="754" s="21" customFormat="1" ht="18.5" customHeight="1"/>
    <row r="755" s="21" customFormat="1" ht="18.5" customHeight="1"/>
    <row r="756" s="21" customFormat="1" ht="18.5" customHeight="1"/>
    <row r="757" s="21" customFormat="1" ht="18.5" customHeight="1"/>
    <row r="758" s="21" customFormat="1" ht="18.5" customHeight="1"/>
    <row r="759" s="21" customFormat="1" ht="18.5" customHeight="1"/>
    <row r="760" s="21" customFormat="1" ht="18.5" customHeight="1"/>
    <row r="761" s="21" customFormat="1" ht="18.5" customHeight="1"/>
    <row r="762" s="21" customFormat="1" ht="18.5" customHeight="1"/>
    <row r="763" s="21" customFormat="1" ht="18.5" customHeight="1"/>
    <row r="764" s="21" customFormat="1" ht="18.5" customHeight="1"/>
    <row r="765" s="21" customFormat="1" ht="18.5" customHeight="1"/>
    <row r="766" s="21" customFormat="1" ht="18.5" customHeight="1"/>
    <row r="767" s="21" customFormat="1" ht="18.5" customHeight="1"/>
    <row r="768" s="21" customFormat="1" ht="18.5" customHeight="1"/>
    <row r="769" s="21" customFormat="1" ht="18.5" customHeight="1"/>
    <row r="770" s="21" customFormat="1" ht="18.5" customHeight="1"/>
    <row r="771" s="21" customFormat="1" ht="18.5" customHeight="1"/>
    <row r="772" s="21" customFormat="1" ht="18.5" customHeight="1"/>
    <row r="773" s="21" customFormat="1" ht="18.5" customHeight="1"/>
    <row r="774" s="21" customFormat="1" ht="18.5" customHeight="1"/>
    <row r="775" s="21" customFormat="1" ht="18.5" customHeight="1"/>
    <row r="776" s="21" customFormat="1" ht="18.5" customHeight="1"/>
    <row r="777" s="21" customFormat="1" ht="18.5" customHeight="1"/>
    <row r="778" s="21" customFormat="1" ht="18.5" customHeight="1"/>
    <row r="779" s="21" customFormat="1" ht="18.5" customHeight="1"/>
    <row r="780" s="21" customFormat="1" ht="18.5" customHeight="1"/>
    <row r="781" s="21" customFormat="1" ht="18.5" customHeight="1"/>
    <row r="782" s="21" customFormat="1" ht="18.5" customHeight="1"/>
    <row r="783" s="21" customFormat="1" ht="18.5" customHeight="1"/>
    <row r="784" s="21" customFormat="1" ht="18.5" customHeight="1"/>
    <row r="785" s="21" customFormat="1" ht="18.5" customHeight="1"/>
    <row r="786" s="21" customFormat="1" ht="18.5" customHeight="1"/>
    <row r="787" s="21" customFormat="1" ht="18.5" customHeight="1"/>
    <row r="788" s="21" customFormat="1" ht="18.5" customHeight="1"/>
    <row r="789" s="21" customFormat="1" ht="18.5" customHeight="1"/>
    <row r="790" s="21" customFormat="1" ht="18.5" customHeight="1"/>
    <row r="791" s="21" customFormat="1" ht="18.5" customHeight="1"/>
    <row r="792" s="21" customFormat="1" ht="18.5" customHeight="1"/>
    <row r="793" s="21" customFormat="1" ht="18.5" customHeight="1"/>
    <row r="794" s="21" customFormat="1" ht="18.5" customHeight="1"/>
    <row r="795" s="21" customFormat="1" ht="18.5" customHeight="1"/>
    <row r="796" s="21" customFormat="1" ht="18.5" customHeight="1"/>
    <row r="797" s="21" customFormat="1" ht="18.5" customHeight="1"/>
    <row r="798" s="21" customFormat="1" ht="18.5" customHeight="1"/>
    <row r="799" s="21" customFormat="1" ht="18.5" customHeight="1"/>
    <row r="800" s="21" customFormat="1" ht="18.5" customHeight="1"/>
    <row r="801" s="21" customFormat="1" ht="18.5" customHeight="1"/>
    <row r="802" s="21" customFormat="1" ht="18.5" customHeight="1"/>
    <row r="803" s="21" customFormat="1" ht="18.5" customHeight="1"/>
    <row r="804" s="21" customFormat="1" ht="18.5" customHeight="1"/>
    <row r="805" s="21" customFormat="1" ht="18.5" customHeight="1"/>
    <row r="806" s="21" customFormat="1" ht="18.5" customHeight="1"/>
    <row r="807" s="21" customFormat="1" ht="18.5" customHeight="1"/>
    <row r="808" s="21" customFormat="1" ht="18.5" customHeight="1"/>
    <row r="809" s="21" customFormat="1" ht="18.5" customHeight="1"/>
    <row r="810" s="21" customFormat="1" ht="18.5" customHeight="1"/>
    <row r="811" s="21" customFormat="1" ht="18.5" customHeight="1"/>
    <row r="812" s="21" customFormat="1" ht="18.5" customHeight="1"/>
    <row r="813" s="21" customFormat="1" ht="18.5" customHeight="1"/>
    <row r="814" s="21" customFormat="1" ht="18.5" customHeight="1"/>
    <row r="815" s="21" customFormat="1" ht="18.5" customHeight="1"/>
    <row r="816" s="21" customFormat="1" ht="18.5" customHeight="1"/>
    <row r="817" s="21" customFormat="1" ht="18.5" customHeight="1"/>
    <row r="818" s="21" customFormat="1" ht="18.5" customHeight="1"/>
    <row r="819" s="21" customFormat="1" ht="18.5" customHeight="1"/>
    <row r="820" s="21" customFormat="1" ht="18.5" customHeight="1"/>
    <row r="821" s="21" customFormat="1" ht="18.5" customHeight="1"/>
    <row r="822" s="21" customFormat="1" ht="18.5" customHeight="1"/>
    <row r="823" s="21" customFormat="1" ht="18.5" customHeight="1"/>
    <row r="824" s="21" customFormat="1" ht="18.5" customHeight="1"/>
    <row r="825" s="21" customFormat="1" ht="18.5" customHeight="1"/>
    <row r="826" s="21" customFormat="1" ht="18.5" customHeight="1"/>
    <row r="827" s="21" customFormat="1" ht="18.5" customHeight="1"/>
    <row r="828" s="21" customFormat="1" ht="18.5" customHeight="1"/>
    <row r="829" s="21" customFormat="1" ht="18.5" customHeight="1"/>
    <row r="830" s="21" customFormat="1" ht="18.5" customHeight="1"/>
    <row r="831" s="21" customFormat="1" ht="18.5" customHeight="1"/>
    <row r="832" s="21" customFormat="1" ht="18.5" customHeight="1"/>
    <row r="833" s="21" customFormat="1" ht="18.5" customHeight="1"/>
    <row r="834" s="21" customFormat="1" ht="18.5" customHeight="1"/>
    <row r="835" s="21" customFormat="1" ht="18.5" customHeight="1"/>
    <row r="836" s="21" customFormat="1" ht="18.5" customHeight="1"/>
    <row r="837" s="21" customFormat="1" ht="18.5" customHeight="1"/>
    <row r="838" s="21" customFormat="1" ht="18.5" customHeight="1"/>
    <row r="839" s="21" customFormat="1" ht="18.5" customHeight="1"/>
    <row r="840" s="21" customFormat="1" ht="18.5" customHeight="1"/>
    <row r="841" s="21" customFormat="1" ht="18.5" customHeight="1"/>
    <row r="842" s="21" customFormat="1" ht="18.5" customHeight="1"/>
    <row r="843" s="21" customFormat="1" ht="18.5" customHeight="1"/>
    <row r="844" s="21" customFormat="1" ht="18.5" customHeight="1"/>
    <row r="845" s="21" customFormat="1" ht="18.5" customHeight="1"/>
    <row r="846" s="21" customFormat="1" ht="18.5" customHeight="1"/>
    <row r="847" s="21" customFormat="1" ht="18.5" customHeight="1"/>
    <row r="848" s="21" customFormat="1" ht="18.5" customHeight="1"/>
    <row r="849" s="21" customFormat="1" ht="18.5" customHeight="1"/>
    <row r="850" s="21" customFormat="1" ht="18.5" customHeight="1"/>
    <row r="851" s="21" customFormat="1" ht="18.5" customHeight="1"/>
    <row r="852" s="21" customFormat="1" ht="18.5" customHeight="1"/>
    <row r="853" s="21" customFormat="1" ht="18.5" customHeight="1"/>
    <row r="854" s="21" customFormat="1" ht="18.5" customHeight="1"/>
    <row r="855" s="21" customFormat="1" ht="18.5" customHeight="1"/>
    <row r="856" s="21" customFormat="1" ht="18.5" customHeight="1"/>
    <row r="857" s="21" customFormat="1" ht="18.5" customHeight="1"/>
    <row r="858" s="21" customFormat="1" ht="18.5" customHeight="1"/>
    <row r="859" s="21" customFormat="1" ht="18.5" customHeight="1"/>
    <row r="860" s="21" customFormat="1" ht="18.5" customHeight="1"/>
    <row r="861" s="21" customFormat="1" ht="18.5" customHeight="1"/>
    <row r="862" s="21" customFormat="1" ht="18.5" customHeight="1"/>
    <row r="863" s="21" customFormat="1" ht="18.5" customHeight="1"/>
    <row r="864" s="21" customFormat="1" ht="18.5" customHeight="1"/>
    <row r="865" s="21" customFormat="1" ht="18.5" customHeight="1"/>
    <row r="866" s="21" customFormat="1" ht="18.5" customHeight="1"/>
    <row r="867" s="21" customFormat="1" ht="18.5" customHeight="1"/>
    <row r="868" s="21" customFormat="1" ht="18.5" customHeight="1"/>
    <row r="869" s="21" customFormat="1" ht="18.5" customHeight="1"/>
    <row r="870" s="21" customFormat="1" ht="18.5" customHeight="1"/>
    <row r="871" s="21" customFormat="1" ht="18.5" customHeight="1"/>
    <row r="872" s="21" customFormat="1" ht="18.5" customHeight="1"/>
    <row r="873" s="21" customFormat="1" ht="18.5" customHeight="1"/>
    <row r="874" s="21" customFormat="1" ht="18.5" customHeight="1"/>
    <row r="875" s="21" customFormat="1" ht="18.5" customHeight="1"/>
    <row r="876" s="21" customFormat="1" ht="18.5" customHeight="1"/>
    <row r="877" s="21" customFormat="1" ht="18.5" customHeight="1"/>
    <row r="878" s="21" customFormat="1" ht="18.5" customHeight="1"/>
    <row r="879" s="21" customFormat="1" ht="18.5" customHeight="1"/>
    <row r="880" s="21" customFormat="1" ht="18.5" customHeight="1"/>
    <row r="881" s="21" customFormat="1" ht="18.5" customHeight="1"/>
    <row r="882" s="21" customFormat="1" ht="18.5" customHeight="1"/>
    <row r="883" s="21" customFormat="1" ht="18.5" customHeight="1"/>
    <row r="884" s="21" customFormat="1" ht="18.5" customHeight="1"/>
    <row r="885" s="21" customFormat="1" ht="18.5" customHeight="1"/>
    <row r="886" s="21" customFormat="1" ht="18.5" customHeight="1"/>
    <row r="887" s="21" customFormat="1" ht="18.5" customHeight="1"/>
    <row r="888" s="21" customFormat="1" ht="18.5" customHeight="1"/>
    <row r="889" s="21" customFormat="1" ht="18.5" customHeight="1"/>
    <row r="890" s="21" customFormat="1" ht="18.5" customHeight="1"/>
    <row r="891" s="21" customFormat="1" ht="18.5" customHeight="1"/>
    <row r="892" s="21" customFormat="1" ht="18.5" customHeight="1"/>
    <row r="893" s="21" customFormat="1" ht="18.5" customHeight="1"/>
    <row r="894" s="21" customFormat="1" ht="18.5" customHeight="1"/>
    <row r="895" s="21" customFormat="1" ht="18.5" customHeight="1"/>
    <row r="896" s="21" customFormat="1" ht="18.5" customHeight="1"/>
    <row r="897" s="21" customFormat="1" ht="18.5" customHeight="1"/>
    <row r="898" s="21" customFormat="1" ht="18.5" customHeight="1"/>
    <row r="899" s="21" customFormat="1" ht="18.5" customHeight="1"/>
    <row r="900" s="21" customFormat="1" ht="18.5" customHeight="1"/>
    <row r="901" s="21" customFormat="1" ht="18.5" customHeight="1"/>
    <row r="902" s="21" customFormat="1" ht="18.5" customHeight="1"/>
    <row r="903" s="21" customFormat="1" ht="18.5" customHeight="1"/>
    <row r="904" s="21" customFormat="1" ht="18.5" customHeight="1"/>
    <row r="905" s="21" customFormat="1" ht="18.5" customHeight="1"/>
    <row r="906" s="21" customFormat="1" ht="18.5" customHeight="1"/>
    <row r="907" s="21" customFormat="1" ht="18.5" customHeight="1"/>
    <row r="908" s="21" customFormat="1" ht="18.5" customHeight="1"/>
    <row r="909" s="21" customFormat="1" ht="18.5" customHeight="1"/>
    <row r="910" s="21" customFormat="1" ht="18.5" customHeight="1"/>
    <row r="911" s="21" customFormat="1" ht="18.5" customHeight="1"/>
    <row r="912" s="21" customFormat="1" ht="18.5" customHeight="1"/>
    <row r="913" s="21" customFormat="1" ht="18.5" customHeight="1"/>
    <row r="914" s="21" customFormat="1" ht="18.5" customHeight="1"/>
    <row r="915" s="21" customFormat="1" ht="18.5" customHeight="1"/>
    <row r="916" s="21" customFormat="1" ht="18.5" customHeight="1"/>
    <row r="917" s="21" customFormat="1" ht="18.5" customHeight="1"/>
    <row r="918" s="21" customFormat="1" ht="18.5" customHeight="1"/>
    <row r="919" s="21" customFormat="1" ht="18.5" customHeight="1"/>
    <row r="920" s="21" customFormat="1" ht="18.5" customHeight="1"/>
    <row r="921" s="21" customFormat="1" ht="18.5" customHeight="1"/>
    <row r="922" s="21" customFormat="1" ht="18.5" customHeight="1"/>
    <row r="923" s="21" customFormat="1" ht="18.5" customHeight="1"/>
    <row r="924" s="21" customFormat="1" ht="18.5" customHeight="1"/>
    <row r="925" s="21" customFormat="1" ht="18.5" customHeight="1"/>
    <row r="926" s="21" customFormat="1" ht="18.5" customHeight="1"/>
    <row r="927" s="21" customFormat="1" ht="18.5" customHeight="1"/>
    <row r="928" s="21" customFormat="1" ht="18.5" customHeight="1"/>
    <row r="929" s="21" customFormat="1" ht="18.5" customHeight="1"/>
    <row r="930" s="21" customFormat="1" ht="18.5" customHeight="1"/>
    <row r="931" s="21" customFormat="1" ht="18.5" customHeight="1"/>
    <row r="932" s="21" customFormat="1" ht="18.5" customHeight="1"/>
    <row r="933" s="21" customFormat="1" ht="18.5" customHeight="1"/>
    <row r="934" s="21" customFormat="1" ht="18.5" customHeight="1"/>
    <row r="935" s="21" customFormat="1" ht="18.5" customHeight="1"/>
    <row r="936" s="21" customFormat="1" ht="18.5" customHeight="1"/>
    <row r="937" s="21" customFormat="1" ht="18.5" customHeight="1"/>
    <row r="938" s="21" customFormat="1" ht="18.5" customHeight="1"/>
    <row r="939" s="21" customFormat="1" ht="18.5" customHeight="1"/>
    <row r="940" s="21" customFormat="1" ht="18.5" customHeight="1"/>
    <row r="941" s="21" customFormat="1" ht="18.5" customHeight="1"/>
    <row r="942" s="21" customFormat="1" ht="18.5" customHeight="1"/>
    <row r="943" s="21" customFormat="1" ht="18.5" customHeight="1"/>
    <row r="944" s="21" customFormat="1" ht="18.5" customHeight="1"/>
    <row r="945" s="21" customFormat="1" ht="18.5" customHeight="1"/>
    <row r="946" s="21" customFormat="1" ht="18.5" customHeight="1"/>
    <row r="947" s="21" customFormat="1" ht="18.5" customHeight="1"/>
    <row r="948" s="21" customFormat="1" ht="18.5" customHeight="1"/>
    <row r="949" s="21" customFormat="1" ht="18.5" customHeight="1"/>
    <row r="950" s="21" customFormat="1" ht="18.5" customHeight="1"/>
    <row r="951" s="21" customFormat="1" ht="18.5" customHeight="1"/>
    <row r="952" s="21" customFormat="1" ht="18.5" customHeight="1"/>
    <row r="953" s="21" customFormat="1" ht="18.5" customHeight="1"/>
    <row r="954" s="21" customFormat="1" ht="18.5" customHeight="1"/>
    <row r="955" s="21" customFormat="1" ht="18.5" customHeight="1"/>
    <row r="956" s="21" customFormat="1" ht="18.5" customHeight="1"/>
    <row r="957" s="21" customFormat="1" ht="18.5" customHeight="1"/>
    <row r="958" s="21" customFormat="1" ht="18.5" customHeight="1"/>
    <row r="959" s="21" customFormat="1" ht="18.5" customHeight="1"/>
    <row r="960" s="21" customFormat="1" ht="18.5" customHeight="1"/>
    <row r="961" s="21" customFormat="1" ht="18.5" customHeight="1"/>
    <row r="962" s="21" customFormat="1" ht="18.5" customHeight="1"/>
    <row r="963" s="21" customFormat="1" ht="18.5" customHeight="1"/>
    <row r="964" s="21" customFormat="1" ht="18.5" customHeight="1"/>
    <row r="965" s="21" customFormat="1" ht="18.5" customHeight="1"/>
    <row r="966" s="21" customFormat="1" ht="18.5" customHeight="1"/>
    <row r="967" s="21" customFormat="1" ht="18.5" customHeight="1"/>
    <row r="968" s="21" customFormat="1" ht="18.5" customHeight="1"/>
    <row r="969" s="21" customFormat="1" ht="18.5" customHeight="1"/>
    <row r="970" s="21" customFormat="1" ht="18.5" customHeight="1"/>
    <row r="971" s="21" customFormat="1" ht="18.5" customHeight="1"/>
    <row r="972" s="21" customFormat="1" ht="18.5" customHeight="1"/>
    <row r="973" s="21" customFormat="1" ht="18.5" customHeight="1"/>
    <row r="974" s="21" customFormat="1" ht="18.5" customHeight="1"/>
    <row r="975" s="21" customFormat="1" ht="18.5" customHeight="1"/>
    <row r="976" s="21" customFormat="1" ht="18.5" customHeight="1"/>
    <row r="977" s="21" customFormat="1" ht="18.5" customHeight="1"/>
    <row r="978" s="21" customFormat="1" ht="18.5" customHeight="1"/>
    <row r="979" s="21" customFormat="1" ht="18.5" customHeight="1"/>
    <row r="980" s="21" customFormat="1" ht="18.5" customHeight="1"/>
    <row r="981" s="21" customFormat="1" ht="18.5" customHeight="1"/>
    <row r="982" s="21" customFormat="1" ht="18.5" customHeight="1"/>
    <row r="983" s="21" customFormat="1" ht="18.5" customHeight="1"/>
    <row r="984" s="21" customFormat="1" ht="18.5" customHeight="1"/>
    <row r="985" s="21" customFormat="1" ht="18.5" customHeight="1"/>
    <row r="986" s="21" customFormat="1" ht="18.5" customHeight="1"/>
    <row r="987" s="21" customFormat="1" ht="18.5" customHeight="1"/>
    <row r="988" s="21" customFormat="1" ht="18.5" customHeight="1"/>
    <row r="989" s="21" customFormat="1" ht="18.5" customHeight="1"/>
    <row r="990" s="21" customFormat="1" ht="18.5" customHeight="1"/>
    <row r="991" s="21" customFormat="1" ht="18.5" customHeight="1"/>
    <row r="992" s="21" customFormat="1" ht="18.5" customHeight="1"/>
    <row r="993" s="21" customFormat="1" ht="18.5" customHeight="1"/>
    <row r="994" s="21" customFormat="1" ht="18.5" customHeight="1"/>
    <row r="995" s="21" customFormat="1" ht="18.5" customHeight="1"/>
    <row r="996" s="21" customFormat="1" ht="18.5" customHeight="1"/>
    <row r="997" s="21" customFormat="1" ht="18.5" customHeight="1"/>
    <row r="998" s="21" customFormat="1" ht="18.5" customHeight="1"/>
    <row r="999" s="21" customFormat="1" ht="18.5" customHeight="1"/>
    <row r="1000" s="21" customFormat="1" ht="18.5" customHeight="1"/>
    <row r="1001" s="21" customFormat="1" ht="18.5" customHeight="1"/>
    <row r="1002" s="21" customFormat="1" ht="18.5" customHeight="1"/>
    <row r="1003" s="21" customFormat="1" ht="18.5" customHeight="1"/>
    <row r="1004" s="21" customFormat="1" ht="18.5" customHeight="1"/>
    <row r="1005" s="21" customFormat="1" ht="18.5" customHeight="1"/>
    <row r="1006" s="21" customFormat="1" ht="18.5" customHeight="1"/>
    <row r="1007" s="21" customFormat="1" ht="18.5" customHeight="1"/>
    <row r="1008" s="21" customFormat="1" ht="18.5" customHeight="1"/>
    <row r="1009" s="21" customFormat="1" ht="18.5" customHeight="1"/>
    <row r="1010" s="21" customFormat="1" ht="18.5" customHeight="1"/>
    <row r="1011" s="21" customFormat="1" ht="18.5" customHeight="1"/>
    <row r="1012" s="21" customFormat="1" ht="18.5" customHeight="1"/>
    <row r="1013" s="21" customFormat="1" ht="18.5" customHeight="1"/>
    <row r="1014" s="21" customFormat="1" ht="18.5" customHeight="1"/>
    <row r="1015" s="21" customFormat="1" ht="18.5" customHeight="1"/>
    <row r="1016" s="21" customFormat="1" ht="18.5" customHeight="1"/>
    <row r="1017" s="21" customFormat="1" ht="18.5" customHeight="1"/>
    <row r="1018" s="21" customFormat="1" ht="18.5" customHeight="1"/>
    <row r="1019" s="21" customFormat="1" ht="18.5" customHeight="1"/>
    <row r="1020" s="21" customFormat="1" ht="18.5" customHeight="1"/>
    <row r="1021" s="21" customFormat="1" ht="18.5" customHeight="1"/>
    <row r="1022" s="21" customFormat="1" ht="18.5" customHeight="1"/>
    <row r="1023" s="21" customFormat="1" ht="18.5" customHeight="1"/>
    <row r="1024" s="21" customFormat="1" ht="18.5" customHeight="1"/>
    <row r="1025" s="21" customFormat="1" ht="18.5" customHeight="1"/>
    <row r="1026" s="21" customFormat="1" ht="18.5" customHeight="1"/>
    <row r="1027" s="21" customFormat="1" ht="18.5" customHeight="1"/>
    <row r="1028" s="21" customFormat="1" ht="18.5" customHeight="1"/>
    <row r="1029" s="21" customFormat="1" ht="18.5" customHeight="1"/>
    <row r="1030" s="21" customFormat="1" ht="18.5" customHeight="1"/>
    <row r="1031" s="21" customFormat="1" ht="18.5" customHeight="1"/>
    <row r="1032" s="21" customFormat="1" ht="18.5" customHeight="1"/>
    <row r="1033" s="21" customFormat="1" ht="18.5" customHeight="1"/>
    <row r="1034" s="21" customFormat="1" ht="18.5" customHeight="1"/>
    <row r="1035" s="21" customFormat="1" ht="18.5" customHeight="1"/>
    <row r="1036" s="21" customFormat="1" ht="18.5" customHeight="1"/>
    <row r="1037" s="21" customFormat="1" ht="18.5" customHeight="1"/>
    <row r="1038" s="21" customFormat="1" ht="18.5" customHeight="1"/>
    <row r="1039" s="21" customFormat="1" ht="18.5" customHeight="1"/>
    <row r="1040" s="21" customFormat="1" ht="18.5" customHeight="1"/>
    <row r="1041" s="21" customFormat="1" ht="18.5" customHeight="1"/>
    <row r="1042" s="21" customFormat="1" ht="18.5" customHeight="1"/>
    <row r="1043" s="21" customFormat="1" ht="18.5" customHeight="1"/>
    <row r="1044" s="21" customFormat="1" ht="18.5" customHeight="1"/>
    <row r="1045" s="21" customFormat="1" ht="18.5" customHeight="1"/>
    <row r="1046" s="21" customFormat="1" ht="18.5" customHeight="1"/>
    <row r="1047" s="21" customFormat="1" ht="18.5" customHeight="1"/>
    <row r="1048" s="21" customFormat="1" ht="18.5" customHeight="1"/>
    <row r="1049" s="21" customFormat="1" ht="18.5" customHeight="1"/>
    <row r="1050" s="21" customFormat="1" ht="18.5" customHeight="1"/>
    <row r="1051" s="21" customFormat="1" ht="18.5" customHeight="1"/>
    <row r="1052" s="21" customFormat="1" ht="18.5" customHeight="1"/>
    <row r="1053" s="21" customFormat="1" ht="18.5" customHeight="1"/>
    <row r="1054" s="21" customFormat="1" ht="18.5" customHeight="1"/>
    <row r="1055" s="21" customFormat="1" ht="18.5" customHeight="1"/>
    <row r="1056" s="21" customFormat="1" ht="18.5" customHeight="1"/>
    <row r="1057" s="21" customFormat="1" ht="18.5" customHeight="1"/>
    <row r="1058" s="21" customFormat="1" ht="18.5" customHeight="1"/>
    <row r="1059" s="21" customFormat="1" ht="18.5" customHeight="1"/>
    <row r="1060" s="21" customFormat="1" ht="18.5" customHeight="1"/>
    <row r="1061" s="21" customFormat="1" ht="18.5" customHeight="1"/>
    <row r="1062" s="21" customFormat="1" ht="18.5" customHeight="1"/>
    <row r="1063" s="21" customFormat="1" ht="18.5" customHeight="1"/>
    <row r="1064" s="21" customFormat="1" ht="18.5" customHeight="1"/>
    <row r="1065" s="21" customFormat="1" ht="18.5" customHeight="1"/>
    <row r="1066" s="21" customFormat="1" ht="18.5" customHeight="1"/>
    <row r="1067" s="21" customFormat="1" ht="18.5" customHeight="1"/>
    <row r="1068" s="21" customFormat="1" ht="18.5" customHeight="1"/>
    <row r="1069" s="21" customFormat="1" ht="18.5" customHeight="1"/>
    <row r="1070" s="21" customFormat="1" ht="18.5" customHeight="1"/>
    <row r="1071" s="21" customFormat="1" ht="18.5" customHeight="1"/>
    <row r="1072" s="21" customFormat="1" ht="18.5" customHeight="1"/>
    <row r="1073" s="21" customFormat="1" ht="18.5" customHeight="1"/>
    <row r="1074" s="21" customFormat="1" ht="18.5" customHeight="1"/>
    <row r="1075" s="21" customFormat="1" ht="18.5" customHeight="1"/>
    <row r="1076" s="21" customFormat="1" ht="18.5" customHeight="1"/>
    <row r="1077" s="21" customFormat="1" ht="18.5" customHeight="1"/>
    <row r="1078" s="21" customFormat="1" ht="18.5" customHeight="1"/>
    <row r="1079" s="21" customFormat="1" ht="18.5" customHeight="1"/>
    <row r="1080" s="21" customFormat="1" ht="18.5" customHeight="1"/>
    <row r="1081" s="21" customFormat="1" ht="18.5" customHeight="1"/>
    <row r="1082" s="21" customFormat="1" ht="18.5" customHeight="1"/>
    <row r="1083" s="21" customFormat="1" ht="18.5" customHeight="1"/>
    <row r="1084" s="21" customFormat="1" ht="18.5" customHeight="1"/>
    <row r="1085" s="21" customFormat="1" ht="18.5" customHeight="1"/>
    <row r="1086" s="21" customFormat="1" ht="18.5" customHeight="1"/>
    <row r="1087" s="21" customFormat="1" ht="18.5" customHeight="1"/>
    <row r="1088" s="21" customFormat="1" ht="18.5" customHeight="1"/>
    <row r="1089" s="21" customFormat="1" ht="18.5" customHeight="1"/>
    <row r="1090" s="21" customFormat="1" ht="18.5" customHeight="1"/>
    <row r="1091" s="21" customFormat="1" ht="18.5" customHeight="1"/>
    <row r="1092" s="21" customFormat="1" ht="18.5" customHeight="1"/>
    <row r="1093" s="21" customFormat="1" ht="18.5" customHeight="1"/>
    <row r="1094" s="21" customFormat="1" ht="18.5" customHeight="1"/>
    <row r="1095" s="21" customFormat="1" ht="18.5" customHeight="1"/>
    <row r="1096" s="21" customFormat="1" ht="18.5" customHeight="1"/>
    <row r="1097" s="21" customFormat="1" ht="18.5" customHeight="1"/>
    <row r="1098" s="21" customFormat="1" ht="18.5" customHeight="1"/>
    <row r="1099" s="21" customFormat="1" ht="18.5" customHeight="1"/>
    <row r="1100" s="21" customFormat="1" ht="18.5" customHeight="1"/>
    <row r="1101" s="21" customFormat="1" ht="18.5" customHeight="1"/>
    <row r="1102" s="21" customFormat="1" ht="18.5" customHeight="1"/>
    <row r="1103" s="21" customFormat="1" ht="18.5" customHeight="1"/>
    <row r="1104" s="21" customFormat="1" ht="18.5" customHeight="1"/>
    <row r="1105" s="21" customFormat="1" ht="18.5" customHeight="1"/>
    <row r="1106" s="21" customFormat="1" ht="18.5" customHeight="1"/>
    <row r="1107" s="21" customFormat="1" ht="18.5" customHeight="1"/>
    <row r="1108" s="21" customFormat="1" ht="18.5" customHeight="1"/>
    <row r="1109" s="21" customFormat="1" ht="18.5" customHeight="1"/>
    <row r="1110" s="21" customFormat="1" ht="18.5" customHeight="1"/>
    <row r="1111" s="21" customFormat="1" ht="18.5" customHeight="1"/>
    <row r="1112" s="21" customFormat="1" ht="18.5" customHeight="1"/>
    <row r="1113" s="21" customFormat="1" ht="18.5" customHeight="1"/>
    <row r="1114" s="21" customFormat="1" ht="18.5" customHeight="1"/>
    <row r="1115" s="21" customFormat="1" ht="18.5" customHeight="1"/>
    <row r="1116" s="21" customFormat="1" ht="18.5" customHeight="1"/>
    <row r="1117" s="21" customFormat="1" ht="18.5" customHeight="1"/>
    <row r="1118" s="21" customFormat="1" ht="18.5" customHeight="1"/>
    <row r="1119" s="21" customFormat="1" ht="18.5" customHeight="1"/>
    <row r="1120" s="21" customFormat="1" ht="18.5" customHeight="1"/>
    <row r="1121" s="21" customFormat="1" ht="18.5" customHeight="1"/>
    <row r="1122" s="21" customFormat="1" ht="18.5" customHeight="1"/>
    <row r="1123" s="21" customFormat="1" ht="18.5" customHeight="1"/>
    <row r="1124" s="21" customFormat="1" ht="18.5" customHeight="1"/>
    <row r="1125" s="21" customFormat="1" ht="18.5" customHeight="1"/>
    <row r="1126" s="21" customFormat="1" ht="18.5" customHeight="1"/>
    <row r="1127" s="21" customFormat="1" ht="18.5" customHeight="1"/>
    <row r="1128" s="21" customFormat="1" ht="18.5" customHeight="1"/>
    <row r="1129" s="21" customFormat="1" ht="18.5" customHeight="1"/>
    <row r="1130" s="21" customFormat="1" ht="18.5" customHeight="1"/>
    <row r="1131" s="21" customFormat="1" ht="18.5" customHeight="1"/>
    <row r="1132" s="21" customFormat="1" ht="18.5" customHeight="1"/>
    <row r="1133" s="21" customFormat="1" ht="18.5" customHeight="1"/>
    <row r="1134" s="21" customFormat="1" ht="18.5" customHeight="1"/>
    <row r="1135" s="21" customFormat="1" ht="18.5" customHeight="1"/>
    <row r="1136" s="21" customFormat="1" ht="18.5" customHeight="1"/>
    <row r="1137" s="21" customFormat="1" ht="18.5" customHeight="1"/>
    <row r="1138" s="21" customFormat="1" ht="18.5" customHeight="1"/>
    <row r="1139" s="21" customFormat="1" ht="18.5" customHeight="1"/>
    <row r="1140" s="21" customFormat="1" ht="18.5" customHeight="1"/>
    <row r="1141" s="21" customFormat="1" ht="18.5" customHeight="1"/>
    <row r="1142" s="21" customFormat="1" ht="18.5" customHeight="1"/>
    <row r="1143" s="21" customFormat="1" ht="18.5" customHeight="1"/>
    <row r="1144" s="21" customFormat="1" ht="18.5" customHeight="1"/>
    <row r="1145" s="21" customFormat="1" ht="18.5" customHeight="1"/>
    <row r="1146" s="21" customFormat="1" ht="18.5" customHeight="1"/>
    <row r="1147" s="21" customFormat="1" ht="18.5" customHeight="1"/>
    <row r="1148" s="21" customFormat="1" ht="18.5" customHeight="1"/>
    <row r="1149" s="21" customFormat="1" ht="18.5" customHeight="1"/>
    <row r="1150" s="21" customFormat="1" ht="18.5" customHeight="1"/>
    <row r="1151" s="21" customFormat="1" ht="18.5" customHeight="1"/>
    <row r="1152" s="21" customFormat="1" ht="18.5" customHeight="1"/>
    <row r="1153" s="21" customFormat="1" ht="18.5" customHeight="1"/>
    <row r="1154" s="21" customFormat="1" ht="18.5" customHeight="1"/>
    <row r="1155" s="21" customFormat="1" ht="18.5" customHeight="1"/>
    <row r="1156" s="21" customFormat="1" ht="18.5" customHeight="1"/>
    <row r="1157" s="21" customFormat="1" ht="18.5" customHeight="1"/>
    <row r="1158" s="21" customFormat="1" ht="18.5" customHeight="1"/>
    <row r="1159" s="21" customFormat="1" ht="18.5" customHeight="1"/>
    <row r="1160" s="21" customFormat="1" ht="18.5" customHeight="1"/>
    <row r="1161" s="21" customFormat="1" ht="18.5" customHeight="1"/>
    <row r="1162" s="21" customFormat="1" ht="18.5" customHeight="1"/>
    <row r="1163" s="21" customFormat="1" ht="18.5" customHeight="1"/>
    <row r="1164" s="21" customFormat="1" ht="18.5" customHeight="1"/>
    <row r="1165" s="21" customFormat="1" ht="18.5" customHeight="1"/>
    <row r="1166" s="21" customFormat="1" ht="18.5" customHeight="1"/>
    <row r="1167" s="21" customFormat="1" ht="18.5" customHeight="1"/>
    <row r="1168" s="21" customFormat="1" ht="18.5" customHeight="1"/>
    <row r="1169" s="21" customFormat="1" ht="18.5" customHeight="1"/>
    <row r="1170" s="21" customFormat="1" ht="18.5" customHeight="1"/>
    <row r="1171" s="21" customFormat="1" ht="18.5" customHeight="1"/>
    <row r="1172" s="21" customFormat="1" ht="18.5" customHeight="1"/>
    <row r="1173" s="21" customFormat="1" ht="18.5" customHeight="1"/>
    <row r="1174" s="21" customFormat="1" ht="18.5" customHeight="1"/>
    <row r="1175" s="21" customFormat="1" ht="18.5" customHeight="1"/>
    <row r="1176" s="21" customFormat="1" ht="18.5" customHeight="1"/>
    <row r="1177" s="21" customFormat="1" ht="18.5" customHeight="1"/>
    <row r="1178" s="21" customFormat="1" ht="18.5" customHeight="1"/>
    <row r="1179" s="21" customFormat="1" ht="18.5" customHeight="1"/>
    <row r="1180" s="21" customFormat="1" ht="18.5" customHeight="1"/>
    <row r="1181" s="21" customFormat="1" ht="18.5" customHeight="1"/>
    <row r="1182" s="21" customFormat="1" ht="18.5" customHeight="1"/>
    <row r="1183" s="21" customFormat="1" ht="18.5" customHeight="1"/>
    <row r="1184" s="21" customFormat="1" ht="18.5" customHeight="1"/>
    <row r="1185" s="21" customFormat="1" ht="18.5" customHeight="1"/>
    <row r="1186" s="21" customFormat="1" ht="18.5" customHeight="1"/>
    <row r="1187" s="21" customFormat="1" ht="18.5" customHeight="1"/>
    <row r="1188" s="21" customFormat="1" ht="18.5" customHeight="1"/>
    <row r="1189" s="21" customFormat="1" ht="18.5" customHeight="1"/>
    <row r="1190" s="21" customFormat="1" ht="18.5" customHeight="1"/>
    <row r="1191" s="21" customFormat="1" ht="18.5" customHeight="1"/>
    <row r="1192" s="21" customFormat="1" ht="18.5" customHeight="1"/>
    <row r="1193" s="21" customFormat="1" ht="18.5" customHeight="1"/>
    <row r="1194" s="21" customFormat="1" ht="18.5" customHeight="1"/>
    <row r="1195" s="21" customFormat="1" ht="18.5" customHeight="1"/>
    <row r="1196" s="21" customFormat="1" ht="18.5" customHeight="1"/>
    <row r="1197" s="21" customFormat="1" ht="18.5" customHeight="1"/>
    <row r="1198" s="21" customFormat="1" ht="18.5" customHeight="1"/>
    <row r="1199" s="21" customFormat="1" ht="18.5" customHeight="1"/>
    <row r="1200" s="21" customFormat="1" ht="18.5" customHeight="1"/>
    <row r="1201" s="21" customFormat="1" ht="18.5" customHeight="1"/>
    <row r="1202" s="21" customFormat="1" ht="18.5" customHeight="1"/>
    <row r="1203" s="21" customFormat="1" ht="18.5" customHeight="1"/>
    <row r="1204" s="21" customFormat="1" ht="18.5" customHeight="1"/>
    <row r="1205" s="21" customFormat="1" ht="18.5" customHeight="1"/>
    <row r="1206" s="21" customFormat="1" ht="18.5" customHeight="1"/>
    <row r="1207" s="21" customFormat="1" ht="18.5" customHeight="1"/>
    <row r="1208" s="21" customFormat="1" ht="18.5" customHeight="1"/>
    <row r="1209" s="21" customFormat="1" ht="18.5" customHeight="1"/>
    <row r="1210" s="21" customFormat="1" ht="18.5" customHeight="1"/>
    <row r="1211" s="21" customFormat="1" ht="18.5" customHeight="1"/>
    <row r="1212" s="21" customFormat="1" ht="18.5" customHeight="1"/>
    <row r="1213" s="21" customFormat="1" ht="18.5" customHeight="1"/>
    <row r="1214" s="21" customFormat="1" ht="18.5" customHeight="1"/>
    <row r="1215" s="21" customFormat="1" ht="18.5" customHeight="1"/>
    <row r="1216" s="21" customFormat="1" ht="18.5" customHeight="1"/>
    <row r="1217" s="21" customFormat="1" ht="18.5" customHeight="1"/>
    <row r="1218" s="21" customFormat="1" ht="18.5" customHeight="1"/>
    <row r="1219" s="21" customFormat="1" ht="18.5" customHeight="1"/>
    <row r="1220" s="21" customFormat="1" ht="18.5" customHeight="1"/>
    <row r="1221" s="21" customFormat="1" ht="18.5" customHeight="1"/>
    <row r="1222" s="21" customFormat="1" ht="18.5" customHeight="1"/>
    <row r="1223" s="21" customFormat="1" ht="18.5" customHeight="1"/>
    <row r="1224" s="21" customFormat="1" ht="18.5" customHeight="1"/>
    <row r="1225" s="21" customFormat="1" ht="18.5" customHeight="1"/>
    <row r="1226" s="21" customFormat="1" ht="18.5" customHeight="1"/>
    <row r="1227" s="21" customFormat="1" ht="18.5" customHeight="1"/>
    <row r="1228" s="21" customFormat="1" ht="18.5" customHeight="1"/>
    <row r="1229" s="21" customFormat="1" ht="18.5" customHeight="1"/>
    <row r="1230" s="21" customFormat="1" ht="18.5" customHeight="1"/>
    <row r="1231" s="21" customFormat="1" ht="18.5" customHeight="1"/>
    <row r="1232" s="21" customFormat="1" ht="18.5" customHeight="1"/>
    <row r="1233" s="21" customFormat="1" ht="18.5" customHeight="1"/>
    <row r="1234" s="21" customFormat="1" ht="18.5" customHeight="1"/>
    <row r="1235" s="21" customFormat="1" ht="18.5" customHeight="1"/>
    <row r="1236" s="21" customFormat="1" ht="18.5" customHeight="1"/>
    <row r="1237" s="21" customFormat="1" ht="18.5" customHeight="1"/>
    <row r="1238" s="21" customFormat="1" ht="18.5" customHeight="1"/>
    <row r="1239" s="21" customFormat="1" ht="18.5" customHeight="1"/>
    <row r="1240" s="21" customFormat="1" ht="18.5" customHeight="1"/>
    <row r="1241" s="21" customFormat="1" ht="18.5" customHeight="1"/>
    <row r="1242" s="21" customFormat="1" ht="18.5" customHeight="1"/>
    <row r="1243" s="21" customFormat="1" ht="18.5" customHeight="1"/>
    <row r="1244" s="21" customFormat="1" ht="18.5" customHeight="1"/>
    <row r="1245" s="21" customFormat="1" ht="18.5" customHeight="1"/>
    <row r="1246" s="21" customFormat="1" ht="18.5" customHeight="1"/>
    <row r="1247" s="21" customFormat="1" ht="18.5" customHeight="1"/>
    <row r="1248" s="21" customFormat="1" ht="18.5" customHeight="1"/>
    <row r="1249" s="21" customFormat="1" ht="18.5" customHeight="1"/>
    <row r="1250" s="21" customFormat="1" ht="18.5" customHeight="1"/>
    <row r="1251" s="21" customFormat="1" ht="18.5" customHeight="1"/>
    <row r="1252" s="21" customFormat="1" ht="18.5" customHeight="1"/>
    <row r="1253" s="21" customFormat="1" ht="18.5" customHeight="1"/>
    <row r="1254" s="21" customFormat="1" ht="18.5" customHeight="1"/>
    <row r="1255" s="21" customFormat="1" ht="18.5" customHeight="1"/>
    <row r="1256" s="21" customFormat="1" ht="18.5" customHeight="1"/>
    <row r="1257" s="21" customFormat="1" ht="18.5" customHeight="1"/>
    <row r="1258" s="21" customFormat="1" ht="18.5" customHeight="1"/>
    <row r="1259" s="21" customFormat="1" ht="18.5" customHeight="1"/>
    <row r="1260" s="21" customFormat="1" ht="18.5" customHeight="1"/>
    <row r="1261" s="21" customFormat="1" ht="18.5" customHeight="1"/>
    <row r="1262" s="21" customFormat="1" ht="18.5" customHeight="1"/>
    <row r="1263" s="21" customFormat="1" ht="18.5" customHeight="1"/>
    <row r="1264" s="21" customFormat="1" ht="18.5" customHeight="1"/>
    <row r="1265" s="21" customFormat="1" ht="18.5" customHeight="1"/>
    <row r="1266" s="21" customFormat="1" ht="18.5" customHeight="1"/>
    <row r="1267" s="21" customFormat="1" ht="18.5" customHeight="1"/>
    <row r="1268" s="21" customFormat="1" ht="18.5" customHeight="1"/>
    <row r="1269" s="21" customFormat="1" ht="18.5" customHeight="1"/>
    <row r="1270" s="21" customFormat="1" ht="18.5" customHeight="1"/>
    <row r="1271" s="21" customFormat="1" ht="18.5" customHeight="1"/>
    <row r="1272" s="21" customFormat="1" ht="18.5" customHeight="1"/>
    <row r="1273" s="21" customFormat="1" ht="18.5" customHeight="1"/>
    <row r="1274" s="21" customFormat="1" ht="18.5" customHeight="1"/>
    <row r="1275" s="21" customFormat="1" ht="18.5" customHeight="1"/>
    <row r="1276" s="21" customFormat="1" ht="18.5" customHeight="1"/>
    <row r="1277" s="21" customFormat="1" ht="18.5" customHeight="1"/>
    <row r="1278" s="21" customFormat="1" ht="18.5" customHeight="1"/>
    <row r="1279" s="21" customFormat="1" ht="18.5" customHeight="1"/>
    <row r="1280" s="21" customFormat="1" ht="18.5" customHeight="1"/>
    <row r="1281" s="21" customFormat="1" ht="18.5" customHeight="1"/>
    <row r="1282" s="21" customFormat="1" ht="18.5" customHeight="1"/>
    <row r="1283" s="21" customFormat="1" ht="18.5" customHeight="1"/>
    <row r="1284" s="21" customFormat="1" ht="18.5" customHeight="1"/>
    <row r="1285" s="21" customFormat="1" ht="18.5" customHeight="1"/>
    <row r="1286" s="21" customFormat="1" ht="18.5" customHeight="1"/>
    <row r="1287" s="21" customFormat="1" ht="18.5" customHeight="1"/>
    <row r="1288" s="21" customFormat="1" ht="18.5" customHeight="1"/>
    <row r="1289" s="21" customFormat="1" ht="18.5" customHeight="1"/>
    <row r="1290" s="21" customFormat="1" ht="18.5" customHeight="1"/>
    <row r="1291" s="21" customFormat="1" ht="18.5" customHeight="1"/>
    <row r="1292" s="21" customFormat="1" ht="18.5" customHeight="1"/>
    <row r="1293" s="21" customFormat="1" ht="18.5" customHeight="1"/>
    <row r="1294" s="21" customFormat="1" ht="18.5" customHeight="1"/>
    <row r="1295" s="21" customFormat="1" ht="18.5" customHeight="1"/>
    <row r="1296" s="21" customFormat="1" ht="18.5" customHeight="1"/>
    <row r="1297" s="21" customFormat="1" ht="18.5" customHeight="1"/>
    <row r="1298" s="21" customFormat="1" ht="18.5" customHeight="1"/>
    <row r="1299" s="21" customFormat="1" ht="18.5" customHeight="1"/>
    <row r="1300" s="21" customFormat="1" ht="18.5" customHeight="1"/>
    <row r="1301" s="21" customFormat="1" ht="18.5" customHeight="1"/>
    <row r="1302" s="21" customFormat="1" ht="18.5" customHeight="1"/>
    <row r="1303" s="21" customFormat="1" ht="18.5" customHeight="1"/>
    <row r="1304" s="21" customFormat="1" ht="18.5" customHeight="1"/>
    <row r="1305" s="21" customFormat="1" ht="18.5" customHeight="1"/>
    <row r="1306" s="21" customFormat="1" ht="18.5" customHeight="1"/>
    <row r="1307" s="21" customFormat="1" ht="18.5" customHeight="1"/>
    <row r="1308" s="21" customFormat="1" ht="18.5" customHeight="1"/>
    <row r="1309" s="21" customFormat="1" ht="18.5" customHeight="1"/>
    <row r="1310" s="21" customFormat="1" ht="18.5" customHeight="1"/>
    <row r="1311" s="21" customFormat="1" ht="18.5" customHeight="1"/>
    <row r="1312" s="21" customFormat="1" ht="18.5" customHeight="1"/>
    <row r="1313" s="21" customFormat="1" ht="18.5" customHeight="1"/>
    <row r="1314" s="21" customFormat="1" ht="18.5" customHeight="1"/>
    <row r="1315" s="21" customFormat="1" ht="18.5" customHeight="1"/>
    <row r="1316" s="21" customFormat="1" ht="18.5" customHeight="1"/>
    <row r="1317" s="21" customFormat="1" ht="18.5" customHeight="1"/>
    <row r="1318" s="21" customFormat="1" ht="18.5" customHeight="1"/>
    <row r="1319" s="21" customFormat="1" ht="18.5" customHeight="1"/>
    <row r="1320" s="21" customFormat="1" ht="18.5" customHeight="1"/>
    <row r="1321" s="21" customFormat="1" ht="18.5" customHeight="1"/>
    <row r="1322" s="21" customFormat="1" ht="18.5" customHeight="1"/>
    <row r="1323" s="21" customFormat="1" ht="18.5" customHeight="1"/>
    <row r="1324" s="21" customFormat="1" ht="18.5" customHeight="1"/>
    <row r="1325" s="21" customFormat="1" ht="18.5" customHeight="1"/>
    <row r="1326" s="21" customFormat="1" ht="18.5" customHeight="1"/>
    <row r="1327" s="21" customFormat="1" ht="18.5" customHeight="1"/>
    <row r="1328" s="21" customFormat="1" ht="18.5" customHeight="1"/>
    <row r="1329" s="21" customFormat="1" ht="18.5" customHeight="1"/>
    <row r="1330" s="21" customFormat="1" ht="18.5" customHeight="1"/>
    <row r="1331" s="21" customFormat="1" ht="18.5" customHeight="1"/>
    <row r="1332" s="21" customFormat="1" ht="18.5" customHeight="1"/>
    <row r="1333" s="21" customFormat="1" ht="18.5" customHeight="1"/>
    <row r="1334" s="21" customFormat="1" ht="18.5" customHeight="1"/>
    <row r="1335" s="21" customFormat="1" ht="18.5" customHeight="1"/>
    <row r="1336" s="21" customFormat="1" ht="18.5" customHeight="1"/>
    <row r="1337" s="21" customFormat="1" ht="18.5" customHeight="1"/>
    <row r="1338" s="21" customFormat="1" ht="18.5" customHeight="1"/>
    <row r="1339" s="21" customFormat="1" ht="18.5" customHeight="1"/>
    <row r="1340" s="21" customFormat="1" ht="18.5" customHeight="1"/>
    <row r="1341" s="21" customFormat="1" ht="18.5" customHeight="1"/>
    <row r="1342" s="21" customFormat="1" ht="18.5" customHeight="1"/>
    <row r="1343" s="21" customFormat="1" ht="18.5" customHeight="1"/>
    <row r="1344" s="21" customFormat="1" ht="18.5" customHeight="1"/>
    <row r="1345" s="21" customFormat="1" ht="18.5" customHeight="1"/>
    <row r="1346" s="21" customFormat="1" ht="18.5" customHeight="1"/>
    <row r="1347" s="21" customFormat="1" ht="18.5" customHeight="1"/>
    <row r="1348" s="21" customFormat="1" ht="18.5" customHeight="1"/>
    <row r="1349" s="21" customFormat="1" ht="18.5" customHeight="1"/>
    <row r="1350" s="21" customFormat="1" ht="18.5" customHeight="1"/>
    <row r="1351" s="21" customFormat="1" ht="18.5" customHeight="1"/>
    <row r="1352" s="21" customFormat="1" ht="18.5" customHeight="1"/>
    <row r="1353" s="21" customFormat="1" ht="18.5" customHeight="1"/>
    <row r="1354" s="21" customFormat="1" ht="18.5" customHeight="1"/>
    <row r="1355" s="21" customFormat="1" ht="18.5" customHeight="1"/>
    <row r="1356" s="21" customFormat="1" ht="18.5" customHeight="1"/>
    <row r="1357" s="21" customFormat="1" ht="18.5" customHeight="1"/>
    <row r="1358" s="21" customFormat="1" ht="18.5" customHeight="1"/>
    <row r="1359" s="21" customFormat="1" ht="18.5" customHeight="1"/>
    <row r="1360" s="21" customFormat="1" ht="18.5" customHeight="1"/>
    <row r="1361" s="21" customFormat="1" ht="18.5" customHeight="1"/>
    <row r="1362" s="21" customFormat="1" ht="18.5" customHeight="1"/>
    <row r="1363" s="21" customFormat="1" ht="18.5" customHeight="1"/>
    <row r="1364" s="21" customFormat="1" ht="18.5" customHeight="1"/>
    <row r="1365" s="21" customFormat="1" ht="18.5" customHeight="1"/>
    <row r="1366" s="21" customFormat="1" ht="18.5" customHeight="1"/>
    <row r="1367" s="21" customFormat="1" ht="18.5" customHeight="1"/>
    <row r="1368" s="21" customFormat="1" ht="18.5" customHeight="1"/>
    <row r="1369" s="21" customFormat="1" ht="18.5" customHeight="1"/>
    <row r="1370" s="21" customFormat="1" ht="18.5" customHeight="1"/>
    <row r="1371" s="21" customFormat="1" ht="18.5" customHeight="1"/>
    <row r="1372" s="21" customFormat="1" ht="18.5" customHeight="1"/>
    <row r="1373" s="21" customFormat="1" ht="18.5" customHeight="1"/>
    <row r="1374" s="21" customFormat="1" ht="18.5" customHeight="1"/>
    <row r="1375" s="21" customFormat="1" ht="18.5" customHeight="1"/>
    <row r="1376" s="21" customFormat="1" ht="18.5" customHeight="1"/>
    <row r="1377" s="21" customFormat="1" ht="18.5" customHeight="1"/>
    <row r="1378" s="21" customFormat="1" ht="18.5" customHeight="1"/>
    <row r="1379" s="21" customFormat="1" ht="18.5" customHeight="1"/>
    <row r="1380" s="21" customFormat="1" ht="18.5" customHeight="1"/>
    <row r="1381" s="21" customFormat="1" ht="18.5" customHeight="1"/>
    <row r="1382" s="21" customFormat="1" ht="18.5" customHeight="1"/>
    <row r="1383" s="21" customFormat="1" ht="18.5" customHeight="1"/>
    <row r="1384" s="21" customFormat="1" ht="18.5" customHeight="1"/>
    <row r="1385" s="21" customFormat="1" ht="18.5" customHeight="1"/>
    <row r="1386" s="21" customFormat="1" ht="18.5" customHeight="1"/>
    <row r="1387" s="21" customFormat="1" ht="18.5" customHeight="1"/>
    <row r="1388" s="21" customFormat="1" ht="18.5" customHeight="1"/>
    <row r="1389" s="21" customFormat="1" ht="18.5" customHeight="1"/>
    <row r="1390" s="21" customFormat="1" ht="18.5" customHeight="1"/>
    <row r="1391" s="21" customFormat="1" ht="18.5" customHeight="1"/>
    <row r="1392" s="21" customFormat="1" ht="18.5" customHeight="1"/>
    <row r="1393" s="21" customFormat="1" ht="18.5" customHeight="1"/>
    <row r="1394" s="21" customFormat="1" ht="18.5" customHeight="1"/>
    <row r="1395" s="21" customFormat="1" ht="18.5" customHeight="1"/>
    <row r="1396" s="21" customFormat="1" ht="18.5" customHeight="1"/>
    <row r="1397" s="21" customFormat="1" ht="18.5" customHeight="1"/>
    <row r="1398" s="21" customFormat="1" ht="18.5" customHeight="1"/>
    <row r="1399" s="21" customFormat="1" ht="18.5" customHeight="1"/>
    <row r="1400" s="21" customFormat="1" ht="18.5" customHeight="1"/>
    <row r="1401" s="21" customFormat="1" ht="18.5" customHeight="1"/>
    <row r="1402" s="21" customFormat="1" ht="18.5" customHeight="1"/>
    <row r="1403" s="21" customFormat="1" ht="18.5" customHeight="1"/>
    <row r="1404" s="21" customFormat="1" ht="18.5" customHeight="1"/>
    <row r="1405" s="21" customFormat="1" ht="18.5" customHeight="1"/>
    <row r="1406" s="21" customFormat="1" ht="18.5" customHeight="1"/>
    <row r="1407" s="21" customFormat="1" ht="18.5" customHeight="1"/>
    <row r="1408" s="21" customFormat="1" ht="18.5" customHeight="1"/>
    <row r="1409" s="21" customFormat="1" ht="18.5" customHeight="1"/>
    <row r="1410" s="21" customFormat="1" ht="18.5" customHeight="1"/>
    <row r="1411" s="21" customFormat="1" ht="18.5" customHeight="1"/>
    <row r="1412" s="21" customFormat="1" ht="18.5" customHeight="1"/>
    <row r="1413" s="21" customFormat="1" ht="18.5" customHeight="1"/>
    <row r="1414" s="21" customFormat="1" ht="18.5" customHeight="1"/>
    <row r="1415" s="21" customFormat="1" ht="18.5" customHeight="1"/>
    <row r="1416" s="21" customFormat="1" ht="18.5" customHeight="1"/>
    <row r="1417" s="21" customFormat="1" ht="18.5" customHeight="1"/>
    <row r="1418" s="21" customFormat="1" ht="18.5" customHeight="1"/>
    <row r="1419" s="21" customFormat="1" ht="18.5" customHeight="1"/>
    <row r="1420" s="21" customFormat="1" ht="18.5" customHeight="1"/>
    <row r="1421" s="21" customFormat="1" ht="18.5" customHeight="1"/>
    <row r="1422" s="21" customFormat="1" ht="18.5" customHeight="1"/>
    <row r="1423" s="21" customFormat="1" ht="18.5" customHeight="1"/>
    <row r="1424" s="21" customFormat="1" ht="18.5" customHeight="1"/>
    <row r="1425" s="21" customFormat="1" ht="18.5" customHeight="1"/>
    <row r="1426" s="21" customFormat="1" ht="18.5" customHeight="1"/>
    <row r="1427" s="21" customFormat="1" ht="18.5" customHeight="1"/>
    <row r="1428" s="21" customFormat="1" ht="18.5" customHeight="1"/>
    <row r="1429" s="21" customFormat="1" ht="18.5" customHeight="1"/>
    <row r="1430" s="21" customFormat="1" ht="18.5" customHeight="1"/>
    <row r="1431" s="21" customFormat="1" ht="18.5" customHeight="1"/>
    <row r="1432" s="21" customFormat="1" ht="18.5" customHeight="1"/>
    <row r="1433" s="21" customFormat="1" ht="18.5" customHeight="1"/>
    <row r="1434" s="21" customFormat="1" ht="18.5" customHeight="1"/>
    <row r="1435" s="21" customFormat="1" ht="18.5" customHeight="1"/>
    <row r="1436" s="21" customFormat="1" ht="18.5" customHeight="1"/>
    <row r="1437" s="21" customFormat="1" ht="18.5" customHeight="1"/>
    <row r="1438" s="21" customFormat="1" ht="18.5" customHeight="1"/>
    <row r="1439" s="21" customFormat="1" ht="18.5" customHeight="1"/>
    <row r="1440" s="21" customFormat="1" ht="18.5" customHeight="1"/>
    <row r="1441" s="21" customFormat="1" ht="18.5" customHeight="1"/>
    <row r="1442" s="21" customFormat="1" ht="18.5" customHeight="1"/>
    <row r="1443" s="21" customFormat="1" ht="18.5" customHeight="1"/>
    <row r="1444" s="21" customFormat="1" ht="18.5" customHeight="1"/>
    <row r="1445" s="21" customFormat="1" ht="18.5" customHeight="1"/>
    <row r="1446" s="21" customFormat="1" ht="18.5" customHeight="1"/>
    <row r="1447" s="21" customFormat="1" ht="18.5" customHeight="1"/>
    <row r="1448" s="21" customFormat="1" ht="18.5" customHeight="1"/>
    <row r="1449" s="21" customFormat="1" ht="18.5" customHeight="1"/>
    <row r="1450" s="21" customFormat="1" ht="18.5" customHeight="1"/>
    <row r="1451" s="21" customFormat="1" ht="18.5" customHeight="1"/>
    <row r="1452" s="21" customFormat="1" ht="18.5" customHeight="1"/>
    <row r="1453" s="21" customFormat="1" ht="18.5" customHeight="1"/>
    <row r="1454" s="21" customFormat="1" ht="18.5" customHeight="1"/>
    <row r="1455" s="21" customFormat="1" ht="18.5" customHeight="1"/>
    <row r="1456" s="21" customFormat="1" ht="18.5" customHeight="1"/>
    <row r="1457" s="21" customFormat="1" ht="18.5" customHeight="1"/>
    <row r="1458" s="21" customFormat="1" ht="18.5" customHeight="1"/>
    <row r="1459" s="21" customFormat="1" ht="18.5" customHeight="1"/>
    <row r="1460" s="21" customFormat="1" ht="18.5" customHeight="1"/>
    <row r="1461" s="21" customFormat="1" ht="18.5" customHeight="1"/>
    <row r="1462" s="21" customFormat="1" ht="18.5" customHeight="1"/>
    <row r="1463" s="21" customFormat="1" ht="18.5" customHeight="1"/>
    <row r="1464" s="21" customFormat="1" ht="18.5" customHeight="1"/>
    <row r="1465" s="21" customFormat="1" ht="18.5" customHeight="1"/>
    <row r="1466" s="21" customFormat="1" ht="18.5" customHeight="1"/>
    <row r="1467" s="21" customFormat="1" ht="18.5" customHeight="1"/>
    <row r="1468" s="21" customFormat="1" ht="18.5" customHeight="1"/>
    <row r="1469" s="21" customFormat="1" ht="18.5" customHeight="1"/>
    <row r="1470" s="21" customFormat="1" ht="18.5" customHeight="1"/>
    <row r="1471" s="21" customFormat="1" ht="18.5" customHeight="1"/>
    <row r="1472" s="21" customFormat="1" ht="18.5" customHeight="1"/>
    <row r="1473" s="21" customFormat="1" ht="18.5" customHeight="1"/>
    <row r="1474" s="21" customFormat="1" ht="18.5" customHeight="1"/>
    <row r="1475" s="21" customFormat="1" ht="18.5" customHeight="1"/>
    <row r="1476" s="21" customFormat="1" ht="18.5" customHeight="1"/>
    <row r="1477" s="21" customFormat="1" ht="18.5" customHeight="1"/>
    <row r="1478" s="21" customFormat="1" ht="18.5" customHeight="1"/>
    <row r="1479" s="21" customFormat="1" ht="18.5" customHeight="1"/>
    <row r="1480" s="21" customFormat="1" ht="18.5" customHeight="1"/>
    <row r="1481" s="21" customFormat="1" ht="18.5" customHeight="1"/>
    <row r="1482" s="21" customFormat="1" ht="18.5" customHeight="1"/>
    <row r="1483" s="21" customFormat="1" ht="18.5" customHeight="1"/>
    <row r="1484" s="21" customFormat="1" ht="18.5" customHeight="1"/>
    <row r="1485" s="21" customFormat="1" ht="18.5" customHeight="1"/>
    <row r="1486" s="21" customFormat="1" ht="18.5" customHeight="1"/>
    <row r="1487" s="21" customFormat="1" ht="18.5" customHeight="1"/>
    <row r="1488" s="21" customFormat="1" ht="18.5" customHeight="1"/>
    <row r="1489" s="21" customFormat="1" ht="18.5" customHeight="1"/>
    <row r="1490" s="21" customFormat="1" ht="18.5" customHeight="1"/>
    <row r="1491" s="21" customFormat="1" ht="18.5" customHeight="1"/>
    <row r="1492" s="21" customFormat="1" ht="18.5" customHeight="1"/>
    <row r="1493" s="21" customFormat="1" ht="18.5" customHeight="1"/>
    <row r="1494" s="21" customFormat="1" ht="18.5" customHeight="1"/>
    <row r="1495" s="21" customFormat="1" ht="18.5" customHeight="1"/>
    <row r="1496" s="21" customFormat="1" ht="18.5" customHeight="1"/>
    <row r="1497" s="21" customFormat="1" ht="18.5" customHeight="1"/>
    <row r="1498" s="21" customFormat="1" ht="18.5" customHeight="1"/>
    <row r="1499" s="21" customFormat="1" ht="18.5" customHeight="1"/>
    <row r="1500" s="21" customFormat="1" ht="18.5" customHeight="1"/>
    <row r="1501" s="21" customFormat="1" ht="18.5" customHeight="1"/>
    <row r="1502" s="21" customFormat="1" ht="18.5" customHeight="1"/>
    <row r="1503" s="21" customFormat="1" ht="18.5" customHeight="1"/>
    <row r="1504" s="21" customFormat="1" ht="18.5" customHeight="1"/>
    <row r="1505" s="21" customFormat="1" ht="18.5" customHeight="1"/>
    <row r="1506" s="21" customFormat="1" ht="18.5" customHeight="1"/>
    <row r="1507" s="21" customFormat="1" ht="18.5" customHeight="1"/>
    <row r="1508" s="21" customFormat="1" ht="18.5" customHeight="1"/>
    <row r="1509" s="21" customFormat="1" ht="18.5" customHeight="1"/>
    <row r="1510" s="21" customFormat="1" ht="18.5" customHeight="1"/>
    <row r="1511" s="21" customFormat="1" ht="18.5" customHeight="1"/>
    <row r="1512" s="21" customFormat="1" ht="18.5" customHeight="1"/>
    <row r="1513" s="21" customFormat="1" ht="18.5" customHeight="1"/>
    <row r="1514" s="21" customFormat="1" ht="18.5" customHeight="1"/>
    <row r="1515" s="21" customFormat="1" ht="18.5" customHeight="1"/>
    <row r="1516" s="21" customFormat="1" ht="18.5" customHeight="1"/>
    <row r="1517" s="21" customFormat="1" ht="18.5" customHeight="1"/>
    <row r="1518" s="21" customFormat="1" ht="18.5" customHeight="1"/>
    <row r="1519" s="21" customFormat="1" ht="18.5" customHeight="1"/>
    <row r="1520" s="21" customFormat="1" ht="18.5" customHeight="1"/>
    <row r="1521" s="21" customFormat="1" ht="18.5" customHeight="1"/>
    <row r="1522" s="21" customFormat="1" ht="18.5" customHeight="1"/>
    <row r="1523" s="21" customFormat="1" ht="18.5" customHeight="1"/>
    <row r="1524" s="21" customFormat="1" ht="18.5" customHeight="1"/>
    <row r="1525" s="21" customFormat="1" ht="18.5" customHeight="1"/>
    <row r="1526" s="21" customFormat="1" ht="18.5" customHeight="1"/>
    <row r="1527" s="21" customFormat="1" ht="18.5" customHeight="1"/>
    <row r="1528" s="21" customFormat="1" ht="18.5" customHeight="1"/>
    <row r="1529" s="21" customFormat="1" ht="18.5" customHeight="1"/>
    <row r="1530" s="21" customFormat="1" ht="18.5" customHeight="1"/>
    <row r="1531" s="21" customFormat="1" ht="18.5" customHeight="1"/>
    <row r="1532" s="21" customFormat="1" ht="18.5" customHeight="1"/>
    <row r="1533" s="21" customFormat="1" ht="18.5" customHeight="1"/>
    <row r="1534" s="21" customFormat="1" ht="18.5" customHeight="1"/>
    <row r="1535" s="21" customFormat="1" ht="18.5" customHeight="1"/>
    <row r="1536" s="21" customFormat="1" ht="18.5" customHeight="1"/>
    <row r="1537" s="21" customFormat="1" ht="18.5" customHeight="1"/>
    <row r="1538" s="21" customFormat="1" ht="18.5" customHeight="1"/>
    <row r="1539" s="21" customFormat="1" ht="18.5" customHeight="1"/>
    <row r="1540" s="21" customFormat="1" ht="18.5" customHeight="1"/>
    <row r="1541" s="21" customFormat="1" ht="18.5" customHeight="1"/>
    <row r="1542" s="21" customFormat="1" ht="18.5" customHeight="1"/>
    <row r="1543" s="21" customFormat="1" ht="18.5" customHeight="1"/>
    <row r="1544" s="21" customFormat="1" ht="18.5" customHeight="1"/>
    <row r="1545" s="21" customFormat="1" ht="18.5" customHeight="1"/>
    <row r="1546" s="21" customFormat="1" ht="18.5" customHeight="1"/>
    <row r="1547" s="21" customFormat="1" ht="18.5" customHeight="1"/>
    <row r="1548" s="21" customFormat="1" ht="18.5" customHeight="1"/>
    <row r="1549" s="21" customFormat="1" ht="18.5" customHeight="1"/>
    <row r="1550" s="21" customFormat="1" ht="18.5" customHeight="1"/>
    <row r="1551" s="21" customFormat="1" ht="18.5" customHeight="1"/>
    <row r="1552" s="21" customFormat="1" ht="18.5" customHeight="1"/>
    <row r="1553" s="21" customFormat="1" ht="18.5" customHeight="1"/>
    <row r="1554" s="21" customFormat="1" ht="18.5" customHeight="1"/>
    <row r="1555" s="21" customFormat="1" ht="18.5" customHeight="1"/>
    <row r="1556" s="21" customFormat="1" ht="18.5" customHeight="1"/>
    <row r="1557" s="21" customFormat="1" ht="18.5" customHeight="1"/>
    <row r="1558" s="21" customFormat="1" ht="18.5" customHeight="1"/>
    <row r="1559" s="21" customFormat="1" ht="18.5" customHeight="1"/>
    <row r="1560" s="21" customFormat="1" ht="18.5" customHeight="1"/>
    <row r="1561" s="21" customFormat="1" ht="18.5" customHeight="1"/>
    <row r="1562" s="21" customFormat="1" ht="18.5" customHeight="1"/>
    <row r="1563" s="21" customFormat="1" ht="18.5" customHeight="1"/>
    <row r="1564" s="21" customFormat="1" ht="18.5" customHeight="1"/>
    <row r="1565" s="21" customFormat="1" ht="18.5" customHeight="1"/>
    <row r="1566" s="21" customFormat="1" ht="18.5" customHeight="1"/>
    <row r="1567" s="21" customFormat="1" ht="18.5" customHeight="1"/>
    <row r="1568" s="21" customFormat="1" ht="18.5" customHeight="1"/>
    <row r="1569" s="21" customFormat="1" ht="18.5" customHeight="1"/>
    <row r="1570" s="21" customFormat="1" ht="18.5" customHeight="1"/>
    <row r="1571" s="21" customFormat="1" ht="18.5" customHeight="1"/>
    <row r="1572" s="21" customFormat="1" ht="18.5" customHeight="1"/>
    <row r="1573" s="21" customFormat="1" ht="18.5" customHeight="1"/>
    <row r="1574" s="21" customFormat="1" ht="18.5" customHeight="1"/>
    <row r="1575" s="21" customFormat="1" ht="18.5" customHeight="1"/>
    <row r="1576" s="21" customFormat="1" ht="18.5" customHeight="1"/>
    <row r="1577" s="21" customFormat="1" ht="18.5" customHeight="1"/>
    <row r="1578" s="21" customFormat="1" ht="18.5" customHeight="1"/>
    <row r="1579" s="21" customFormat="1" ht="18.5" customHeight="1"/>
    <row r="1580" s="21" customFormat="1" ht="18.5" customHeight="1"/>
    <row r="1581" s="21" customFormat="1" ht="18.5" customHeight="1"/>
    <row r="1582" s="21" customFormat="1" ht="18.5" customHeight="1"/>
    <row r="1583" s="21" customFormat="1" ht="18.5" customHeight="1"/>
    <row r="1584" s="21" customFormat="1" ht="18.5" customHeight="1"/>
    <row r="1585" s="21" customFormat="1" ht="18.5" customHeight="1"/>
    <row r="1586" s="21" customFormat="1" ht="18.5" customHeight="1"/>
    <row r="1587" s="21" customFormat="1" ht="18.5" customHeight="1"/>
    <row r="1588" s="21" customFormat="1" ht="18.5" customHeight="1"/>
    <row r="1589" s="21" customFormat="1" ht="18.5" customHeight="1"/>
    <row r="1590" s="21" customFormat="1" ht="18.5" customHeight="1"/>
    <row r="1591" s="21" customFormat="1" ht="18.5" customHeight="1"/>
    <row r="1592" s="21" customFormat="1" ht="18.5" customHeight="1"/>
    <row r="1593" s="21" customFormat="1" ht="18.5" customHeight="1"/>
    <row r="1594" s="21" customFormat="1" ht="18.5" customHeight="1"/>
    <row r="1595" s="21" customFormat="1" ht="18.5" customHeight="1"/>
    <row r="1596" s="21" customFormat="1" ht="18.5" customHeight="1"/>
    <row r="1597" s="21" customFormat="1" ht="18.5" customHeight="1"/>
    <row r="1598" s="21" customFormat="1" ht="18.5" customHeight="1"/>
    <row r="1599" s="21" customFormat="1" ht="18.5" customHeight="1"/>
    <row r="1600" s="21" customFormat="1" ht="18.5" customHeight="1"/>
    <row r="1601" s="21" customFormat="1" ht="18.5" customHeight="1"/>
    <row r="1602" s="21" customFormat="1" ht="18.5" customHeight="1"/>
    <row r="1603" s="21" customFormat="1" ht="18.5" customHeight="1"/>
    <row r="1604" s="21" customFormat="1" ht="18.5" customHeight="1"/>
    <row r="1605" s="21" customFormat="1" ht="18.5" customHeight="1"/>
    <row r="1606" s="21" customFormat="1" ht="18.5" customHeight="1"/>
    <row r="1607" s="21" customFormat="1" ht="18.5" customHeight="1"/>
    <row r="1608" s="21" customFormat="1" ht="18.5" customHeight="1"/>
    <row r="1609" s="21" customFormat="1" ht="18.5" customHeight="1"/>
    <row r="1610" s="21" customFormat="1" ht="18.5" customHeight="1"/>
    <row r="1611" s="21" customFormat="1" ht="18.5" customHeight="1"/>
    <row r="1612" s="21" customFormat="1" ht="18.5" customHeight="1"/>
    <row r="1613" s="21" customFormat="1" ht="18.5" customHeight="1"/>
    <row r="1614" s="21" customFormat="1" ht="18.5" customHeight="1"/>
    <row r="1615" s="21" customFormat="1" ht="18.5" customHeight="1"/>
    <row r="1616" s="21" customFormat="1" ht="18.5" customHeight="1"/>
    <row r="1617" s="21" customFormat="1" ht="18.5" customHeight="1"/>
    <row r="1618" s="21" customFormat="1" ht="18.5" customHeight="1"/>
    <row r="1619" s="21" customFormat="1" ht="18.5" customHeight="1"/>
    <row r="1620" s="21" customFormat="1" ht="18.5" customHeight="1"/>
    <row r="1621" s="21" customFormat="1" ht="18.5" customHeight="1"/>
    <row r="1622" s="21" customFormat="1" ht="18.5" customHeight="1"/>
    <row r="1623" s="21" customFormat="1" ht="18.5" customHeight="1"/>
    <row r="1624" s="21" customFormat="1" ht="18.5" customHeight="1"/>
    <row r="1625" s="21" customFormat="1" ht="18.5" customHeight="1"/>
    <row r="1626" s="21" customFormat="1" ht="18.5" customHeight="1"/>
    <row r="1627" s="21" customFormat="1" ht="18.5" customHeight="1"/>
    <row r="1628" s="21" customFormat="1" ht="18.5" customHeight="1"/>
    <row r="1629" s="21" customFormat="1" ht="18.5" customHeight="1"/>
    <row r="1630" s="21" customFormat="1" ht="18.5" customHeight="1"/>
    <row r="1631" s="21" customFormat="1" ht="18.5" customHeight="1"/>
    <row r="1632" s="21" customFormat="1" ht="18.5" customHeight="1"/>
    <row r="1633" s="21" customFormat="1" ht="18.5" customHeight="1"/>
    <row r="1634" s="21" customFormat="1" ht="18.5" customHeight="1"/>
    <row r="1635" s="21" customFormat="1" ht="18.5" customHeight="1"/>
    <row r="1636" s="21" customFormat="1" ht="18.5" customHeight="1"/>
    <row r="1637" s="21" customFormat="1" ht="18.5" customHeight="1"/>
    <row r="1638" s="21" customFormat="1" ht="18.5" customHeight="1"/>
    <row r="1639" s="21" customFormat="1" ht="18.5" customHeight="1"/>
    <row r="1640" s="21" customFormat="1" ht="18.5" customHeight="1"/>
    <row r="1641" s="21" customFormat="1" ht="18.5" customHeight="1"/>
    <row r="1642" s="21" customFormat="1" ht="18.5" customHeight="1"/>
    <row r="1643" s="21" customFormat="1" ht="18.5" customHeight="1"/>
    <row r="1644" s="21" customFormat="1" ht="18.5" customHeight="1"/>
    <row r="1645" s="21" customFormat="1" ht="18.5" customHeight="1"/>
    <row r="1646" s="21" customFormat="1" ht="18.5" customHeight="1"/>
    <row r="1647" s="21" customFormat="1" ht="18.5" customHeight="1"/>
    <row r="1648" s="21" customFormat="1" ht="18.5" customHeight="1"/>
    <row r="1649" s="21" customFormat="1" ht="18.5" customHeight="1"/>
    <row r="1650" s="21" customFormat="1" ht="18.5" customHeight="1"/>
    <row r="1651" s="21" customFormat="1" ht="18.5" customHeight="1"/>
    <row r="1652" s="21" customFormat="1" ht="18.5" customHeight="1"/>
    <row r="1653" s="21" customFormat="1" ht="18.5" customHeight="1"/>
    <row r="1654" s="21" customFormat="1" ht="18.5" customHeight="1"/>
    <row r="1655" s="21" customFormat="1" ht="18.5" customHeight="1"/>
    <row r="1656" s="21" customFormat="1" ht="18.5" customHeight="1"/>
    <row r="1657" s="21" customFormat="1" ht="18.5" customHeight="1"/>
    <row r="1658" s="21" customFormat="1" ht="18.5" customHeight="1"/>
    <row r="1659" s="21" customFormat="1" ht="18.5" customHeight="1"/>
    <row r="1660" s="21" customFormat="1" ht="18.5" customHeight="1"/>
    <row r="1661" s="21" customFormat="1" ht="18.5" customHeight="1"/>
    <row r="1662" s="21" customFormat="1" ht="18.5" customHeight="1"/>
    <row r="1663" s="21" customFormat="1" ht="18.5" customHeight="1"/>
    <row r="1664" s="21" customFormat="1" ht="18.5" customHeight="1"/>
    <row r="1665" s="21" customFormat="1" ht="18.5" customHeight="1"/>
    <row r="1666" s="21" customFormat="1" ht="18.5" customHeight="1"/>
    <row r="1667" s="21" customFormat="1" ht="18.5" customHeight="1"/>
    <row r="1668" s="21" customFormat="1" ht="18.5" customHeight="1"/>
    <row r="1669" s="21" customFormat="1" ht="18.5" customHeight="1"/>
    <row r="1670" s="21" customFormat="1" ht="18.5" customHeight="1"/>
    <row r="1671" s="21" customFormat="1" ht="18.5" customHeight="1"/>
    <row r="1672" s="21" customFormat="1" ht="18.5" customHeight="1"/>
    <row r="1673" s="21" customFormat="1" ht="18.5" customHeight="1"/>
    <row r="1674" s="21" customFormat="1" ht="18.5" customHeight="1"/>
    <row r="1675" s="21" customFormat="1" ht="18.5" customHeight="1"/>
    <row r="1676" s="21" customFormat="1" ht="18.5" customHeight="1"/>
    <row r="1677" s="21" customFormat="1" ht="18.5" customHeight="1"/>
    <row r="1678" s="21" customFormat="1" ht="18.5" customHeight="1"/>
    <row r="1679" s="21" customFormat="1" ht="18.5" customHeight="1"/>
    <row r="1680" s="21" customFormat="1" ht="18.5" customHeight="1"/>
    <row r="1681" s="21" customFormat="1" ht="18.5" customHeight="1"/>
    <row r="1682" s="21" customFormat="1" ht="18.5" customHeight="1"/>
    <row r="1683" s="21" customFormat="1" ht="18.5" customHeight="1"/>
    <row r="1684" s="21" customFormat="1" ht="18.5" customHeight="1"/>
    <row r="1685" s="21" customFormat="1" ht="18.5" customHeight="1"/>
    <row r="1686" s="21" customFormat="1" ht="18.5" customHeight="1"/>
    <row r="1687" s="21" customFormat="1" ht="18.5" customHeight="1"/>
    <row r="1688" s="21" customFormat="1" ht="18.5" customHeight="1"/>
    <row r="1689" s="21" customFormat="1" ht="18.5" customHeight="1"/>
    <row r="1690" s="21" customFormat="1" ht="18.5" customHeight="1"/>
    <row r="1691" s="21" customFormat="1" ht="18.5" customHeight="1"/>
    <row r="1692" s="21" customFormat="1" ht="18.5" customHeight="1"/>
    <row r="1693" s="21" customFormat="1" ht="18.5" customHeight="1"/>
    <row r="1694" s="21" customFormat="1" ht="18.5" customHeight="1"/>
    <row r="1695" s="21" customFormat="1" ht="18.5" customHeight="1"/>
    <row r="1696" s="21" customFormat="1" ht="18.5" customHeight="1"/>
    <row r="1697" s="21" customFormat="1" ht="18.5" customHeight="1"/>
    <row r="1698" s="21" customFormat="1" ht="18.5" customHeight="1"/>
    <row r="1699" s="21" customFormat="1" ht="18.5" customHeight="1"/>
    <row r="1700" s="21" customFormat="1" ht="18.5" customHeight="1"/>
    <row r="1701" s="21" customFormat="1" ht="18.5" customHeight="1"/>
    <row r="1702" s="21" customFormat="1" ht="18.5" customHeight="1"/>
    <row r="1703" s="21" customFormat="1" ht="18.5" customHeight="1"/>
    <row r="1704" s="21" customFormat="1" ht="18.5" customHeight="1"/>
    <row r="1705" s="21" customFormat="1" ht="18.5" customHeight="1"/>
    <row r="1706" s="21" customFormat="1" ht="18.5" customHeight="1"/>
    <row r="1707" s="21" customFormat="1" ht="18.5" customHeight="1"/>
    <row r="1708" s="21" customFormat="1" ht="18.5" customHeight="1"/>
    <row r="1709" s="21" customFormat="1" ht="18.5" customHeight="1"/>
    <row r="1710" s="21" customFormat="1" ht="18.5" customHeight="1"/>
    <row r="1711" s="21" customFormat="1" ht="18.5" customHeight="1"/>
    <row r="1712" s="21" customFormat="1" ht="18.5" customHeight="1"/>
    <row r="1713" s="21" customFormat="1" ht="18.5" customHeight="1"/>
    <row r="1714" s="21" customFormat="1" ht="18.5" customHeight="1"/>
    <row r="1715" s="21" customFormat="1" ht="18.5" customHeight="1"/>
    <row r="1716" s="21" customFormat="1" ht="18.5" customHeight="1"/>
    <row r="1717" s="21" customFormat="1" ht="18.5" customHeight="1"/>
    <row r="1718" s="21" customFormat="1" ht="18.5" customHeight="1"/>
    <row r="1719" s="21" customFormat="1" ht="18.5" customHeight="1"/>
    <row r="1720" s="21" customFormat="1" ht="18.5" customHeight="1"/>
    <row r="1721" s="21" customFormat="1" ht="18.5" customHeight="1"/>
    <row r="1722" s="21" customFormat="1" ht="18.5" customHeight="1"/>
    <row r="1723" s="21" customFormat="1" ht="18.5" customHeight="1"/>
    <row r="1724" s="21" customFormat="1" ht="18.5" customHeight="1"/>
    <row r="1725" s="21" customFormat="1" ht="18.5" customHeight="1"/>
    <row r="1726" s="21" customFormat="1" ht="18.5" customHeight="1"/>
    <row r="1727" s="21" customFormat="1" ht="18.5" customHeight="1"/>
    <row r="1728" s="21" customFormat="1" ht="18.5" customHeight="1"/>
    <row r="1729" s="21" customFormat="1" ht="18.5" customHeight="1"/>
    <row r="1730" s="21" customFormat="1" ht="18.5" customHeight="1"/>
    <row r="1731" s="21" customFormat="1" ht="18.5" customHeight="1"/>
    <row r="1732" s="21" customFormat="1" ht="18.5" customHeight="1"/>
    <row r="1733" s="21" customFormat="1" ht="18.5" customHeight="1"/>
    <row r="1734" s="21" customFormat="1" ht="18.5" customHeight="1"/>
    <row r="1735" s="21" customFormat="1" ht="18.5" customHeight="1"/>
    <row r="1736" s="21" customFormat="1" ht="18.5" customHeight="1"/>
    <row r="1737" s="21" customFormat="1" ht="18.5" customHeight="1"/>
    <row r="1738" s="21" customFormat="1" ht="18.5" customHeight="1"/>
    <row r="1739" s="21" customFormat="1" ht="18.5" customHeight="1"/>
    <row r="1740" s="21" customFormat="1" ht="18.5" customHeight="1"/>
    <row r="1741" s="21" customFormat="1" ht="18.5" customHeight="1"/>
    <row r="1742" s="21" customFormat="1" ht="18.5" customHeight="1"/>
    <row r="1743" s="21" customFormat="1" ht="18.5" customHeight="1"/>
    <row r="1744" s="21" customFormat="1" ht="18.5" customHeight="1"/>
    <row r="1745" s="21" customFormat="1" ht="18.5" customHeight="1"/>
    <row r="1746" s="21" customFormat="1" ht="18.5" customHeight="1"/>
    <row r="1747" s="21" customFormat="1" ht="18.5" customHeight="1"/>
    <row r="1748" s="21" customFormat="1" ht="18.5" customHeight="1"/>
    <row r="1749" s="21" customFormat="1" ht="18.5" customHeight="1"/>
    <row r="1750" s="21" customFormat="1" ht="18.5" customHeight="1"/>
    <row r="1751" s="21" customFormat="1" ht="18.5" customHeight="1"/>
    <row r="1752" s="21" customFormat="1" ht="18.5" customHeight="1"/>
    <row r="1753" s="21" customFormat="1" ht="18.5" customHeight="1"/>
    <row r="1754" s="21" customFormat="1" ht="18.5" customHeight="1"/>
    <row r="1755" s="21" customFormat="1" ht="18.5" customHeight="1"/>
    <row r="1756" s="21" customFormat="1" ht="18.5" customHeight="1"/>
    <row r="1757" s="21" customFormat="1" ht="18.5" customHeight="1"/>
    <row r="1758" s="21" customFormat="1" ht="18.5" customHeight="1"/>
    <row r="1759" s="21" customFormat="1" ht="18.5" customHeight="1"/>
    <row r="1760" s="21" customFormat="1" ht="18.5" customHeight="1"/>
    <row r="1761" s="21" customFormat="1" ht="18.5" customHeight="1"/>
    <row r="1762" s="21" customFormat="1" ht="18.5" customHeight="1"/>
    <row r="1763" s="21" customFormat="1" ht="18.5" customHeight="1"/>
    <row r="1764" s="21" customFormat="1" ht="18.5" customHeight="1"/>
    <row r="1765" s="21" customFormat="1" ht="18.5" customHeight="1"/>
    <row r="1766" s="21" customFormat="1" ht="18.5" customHeight="1"/>
    <row r="1767" s="21" customFormat="1" ht="18.5" customHeight="1"/>
    <row r="1768" s="21" customFormat="1" ht="18.5" customHeight="1"/>
    <row r="1769" s="21" customFormat="1" ht="18.5" customHeight="1"/>
    <row r="1770" s="21" customFormat="1" ht="18.5" customHeight="1"/>
    <row r="1771" s="21" customFormat="1" ht="18.5" customHeight="1"/>
    <row r="1772" s="21" customFormat="1" ht="18.5" customHeight="1"/>
    <row r="1773" s="21" customFormat="1" ht="18.5" customHeight="1"/>
    <row r="1774" s="21" customFormat="1" ht="18.5" customHeight="1"/>
    <row r="1775" s="21" customFormat="1" ht="18.5" customHeight="1"/>
    <row r="1776" s="21" customFormat="1" ht="18.5" customHeight="1"/>
    <row r="1777" s="21" customFormat="1" ht="18.5" customHeight="1"/>
    <row r="1778" s="21" customFormat="1" ht="18.5" customHeight="1"/>
    <row r="1779" s="21" customFormat="1" ht="18.5" customHeight="1"/>
    <row r="1780" s="21" customFormat="1" ht="18.5" customHeight="1"/>
    <row r="1781" s="21" customFormat="1" ht="18.5" customHeight="1"/>
    <row r="1782" s="21" customFormat="1" ht="18.5" customHeight="1"/>
    <row r="1783" s="21" customFormat="1" ht="18.5" customHeight="1"/>
    <row r="1784" s="21" customFormat="1" ht="18.5" customHeight="1"/>
    <row r="1785" s="21" customFormat="1" ht="18.5" customHeight="1"/>
    <row r="1786" s="21" customFormat="1" ht="18.5" customHeight="1"/>
    <row r="1787" s="21" customFormat="1" ht="18.5" customHeight="1"/>
    <row r="1788" s="21" customFormat="1" ht="18.5" customHeight="1"/>
    <row r="1789" s="21" customFormat="1" ht="18.5" customHeight="1"/>
    <row r="1790" s="21" customFormat="1" ht="18.5" customHeight="1"/>
    <row r="1791" s="21" customFormat="1" ht="18.5" customHeight="1"/>
    <row r="1792" s="21" customFormat="1" ht="18.5" customHeight="1"/>
    <row r="1793" s="21" customFormat="1" ht="18.5" customHeight="1"/>
    <row r="1794" s="21" customFormat="1" ht="18.5" customHeight="1"/>
    <row r="1795" s="21" customFormat="1" ht="18.5" customHeight="1"/>
    <row r="1796" s="21" customFormat="1" ht="18.5" customHeight="1"/>
    <row r="1797" s="21" customFormat="1" ht="18.5" customHeight="1"/>
    <row r="1798" s="21" customFormat="1" ht="18.5" customHeight="1"/>
    <row r="1799" s="21" customFormat="1" ht="18.5" customHeight="1"/>
    <row r="1800" s="21" customFormat="1" ht="18.5" customHeight="1"/>
    <row r="1801" s="21" customFormat="1" ht="18.5" customHeight="1"/>
    <row r="1802" s="21" customFormat="1" ht="18.5" customHeight="1"/>
    <row r="1803" s="21" customFormat="1" ht="18.5" customHeight="1"/>
    <row r="1804" s="21" customFormat="1" ht="18.5" customHeight="1"/>
    <row r="1805" s="21" customFormat="1" ht="18.5" customHeight="1"/>
    <row r="1806" s="21" customFormat="1" ht="18.5" customHeight="1"/>
    <row r="1807" s="21" customFormat="1" ht="18.5" customHeight="1"/>
    <row r="1808" s="21" customFormat="1" ht="18.5" customHeight="1"/>
    <row r="1809" s="21" customFormat="1" ht="18.5" customHeight="1"/>
    <row r="1810" s="21" customFormat="1" ht="18.5" customHeight="1"/>
    <row r="1811" s="21" customFormat="1" ht="18.5" customHeight="1"/>
    <row r="1812" s="21" customFormat="1" ht="18.5" customHeight="1"/>
    <row r="1813" s="21" customFormat="1" ht="18.5" customHeight="1"/>
    <row r="1814" s="21" customFormat="1" ht="18.5" customHeight="1"/>
    <row r="1815" s="21" customFormat="1" ht="18.5" customHeight="1"/>
    <row r="1816" s="21" customFormat="1" ht="18.5" customHeight="1"/>
    <row r="1817" s="21" customFormat="1" ht="18.5" customHeight="1"/>
    <row r="1818" s="21" customFormat="1" ht="18.5" customHeight="1"/>
    <row r="1819" s="21" customFormat="1" ht="18.5" customHeight="1"/>
    <row r="1820" s="21" customFormat="1" ht="18.5" customHeight="1"/>
    <row r="1821" s="21" customFormat="1" ht="18.5" customHeight="1"/>
    <row r="1822" s="21" customFormat="1" ht="18.5" customHeight="1"/>
    <row r="1823" s="21" customFormat="1" ht="18.5" customHeight="1"/>
    <row r="1824" s="21" customFormat="1" ht="18.5" customHeight="1"/>
    <row r="1825" s="21" customFormat="1" ht="18.5" customHeight="1"/>
    <row r="1826" s="21" customFormat="1" ht="18.5" customHeight="1"/>
    <row r="1827" s="21" customFormat="1" ht="18.5" customHeight="1"/>
    <row r="1828" s="21" customFormat="1" ht="18.5" customHeight="1"/>
    <row r="1829" s="21" customFormat="1" ht="18.5" customHeight="1"/>
    <row r="1830" s="21" customFormat="1" ht="18.5" customHeight="1"/>
    <row r="1831" s="21" customFormat="1" ht="18.5" customHeight="1"/>
    <row r="1832" s="21" customFormat="1" ht="18.5" customHeight="1"/>
    <row r="1833" s="21" customFormat="1" ht="18.5" customHeight="1"/>
    <row r="1834" s="21" customFormat="1" ht="18.5" customHeight="1"/>
    <row r="1835" s="21" customFormat="1" ht="18.5" customHeight="1"/>
    <row r="1836" s="21" customFormat="1" ht="18.5" customHeight="1"/>
    <row r="1837" s="21" customFormat="1" ht="18.5" customHeight="1"/>
    <row r="1838" s="21" customFormat="1" ht="18.5" customHeight="1"/>
    <row r="1839" s="21" customFormat="1" ht="18.5" customHeight="1"/>
    <row r="1840" s="21" customFormat="1" ht="18.5" customHeight="1"/>
    <row r="1841" s="21" customFormat="1" ht="18.5" customHeight="1"/>
    <row r="1842" s="21" customFormat="1" ht="18.5" customHeight="1"/>
    <row r="1843" s="21" customFormat="1" ht="18.5" customHeight="1"/>
    <row r="1844" s="21" customFormat="1" ht="18.5" customHeight="1"/>
    <row r="1845" s="21" customFormat="1" ht="18.5" customHeight="1"/>
    <row r="1846" s="21" customFormat="1" ht="18.5" customHeight="1"/>
    <row r="1847" s="21" customFormat="1" ht="18.5" customHeight="1"/>
    <row r="1848" s="21" customFormat="1" ht="18.5" customHeight="1"/>
    <row r="1849" s="21" customFormat="1" ht="18.5" customHeight="1"/>
    <row r="1850" s="21" customFormat="1" ht="18.5" customHeight="1"/>
    <row r="1851" s="21" customFormat="1" ht="18.5" customHeight="1"/>
    <row r="1852" s="21" customFormat="1" ht="18.5" customHeight="1"/>
    <row r="1853" s="21" customFormat="1" ht="18.5" customHeight="1"/>
    <row r="1854" s="21" customFormat="1" ht="18.5" customHeight="1"/>
    <row r="1855" s="21" customFormat="1" ht="18.5" customHeight="1"/>
    <row r="1856" s="21" customFormat="1" ht="18.5" customHeight="1"/>
    <row r="1857" s="21" customFormat="1" ht="18.5" customHeight="1"/>
    <row r="1858" s="21" customFormat="1" ht="18.5" customHeight="1"/>
    <row r="1859" s="21" customFormat="1" ht="18.5" customHeight="1"/>
    <row r="1860" s="21" customFormat="1" ht="18.5" customHeight="1"/>
    <row r="1861" s="21" customFormat="1" ht="18.5" customHeight="1"/>
    <row r="1862" s="21" customFormat="1" ht="18.5" customHeight="1"/>
    <row r="1863" s="21" customFormat="1" ht="18.5" customHeight="1"/>
    <row r="1864" s="21" customFormat="1" ht="18.5" customHeight="1"/>
    <row r="1865" s="21" customFormat="1" ht="18.5" customHeight="1"/>
    <row r="1866" s="21" customFormat="1" ht="18.5" customHeight="1"/>
    <row r="1867" s="21" customFormat="1" ht="18.5" customHeight="1"/>
    <row r="1868" s="21" customFormat="1" ht="18.5" customHeight="1"/>
    <row r="1869" s="21" customFormat="1" ht="18.5" customHeight="1"/>
    <row r="1870" s="21" customFormat="1" ht="18.5" customHeight="1"/>
    <row r="1871" s="21" customFormat="1" ht="18.5" customHeight="1"/>
    <row r="1872" s="21" customFormat="1" ht="18.5" customHeight="1"/>
    <row r="1873" s="21" customFormat="1" ht="18.5" customHeight="1"/>
    <row r="1874" s="21" customFormat="1" ht="18.5" customHeight="1"/>
    <row r="1875" s="21" customFormat="1" ht="18.5" customHeight="1"/>
    <row r="1876" s="21" customFormat="1" ht="18.5" customHeight="1"/>
    <row r="1877" s="21" customFormat="1" ht="18.5" customHeight="1"/>
    <row r="1878" s="21" customFormat="1" ht="18.5" customHeight="1"/>
    <row r="1879" s="21" customFormat="1" ht="18.5" customHeight="1"/>
    <row r="1880" s="21" customFormat="1" ht="18.5" customHeight="1"/>
    <row r="1881" s="21" customFormat="1" ht="18.5" customHeight="1"/>
    <row r="1882" s="21" customFormat="1" ht="18.5" customHeight="1"/>
    <row r="1883" s="21" customFormat="1" ht="18.5" customHeight="1"/>
    <row r="1884" s="21" customFormat="1" ht="18.5" customHeight="1"/>
    <row r="1885" s="21" customFormat="1" ht="18.5" customHeight="1"/>
    <row r="1886" s="21" customFormat="1" ht="18.5" customHeight="1"/>
    <row r="1887" s="21" customFormat="1" ht="18.5" customHeight="1"/>
    <row r="1888" s="21" customFormat="1" ht="18.5" customHeight="1"/>
    <row r="1889" s="21" customFormat="1" ht="18.5" customHeight="1"/>
    <row r="1890" s="21" customFormat="1" ht="18.5" customHeight="1"/>
    <row r="1891" s="21" customFormat="1" ht="18.5" customHeight="1"/>
    <row r="1892" s="21" customFormat="1" ht="18.5" customHeight="1"/>
    <row r="1893" s="21" customFormat="1" ht="18.5" customHeight="1"/>
    <row r="1894" s="21" customFormat="1" ht="18.5" customHeight="1"/>
    <row r="1895" s="21" customFormat="1" ht="18.5" customHeight="1"/>
    <row r="1896" s="21" customFormat="1" ht="18.5" customHeight="1"/>
    <row r="1897" s="21" customFormat="1" ht="18.5" customHeight="1"/>
    <row r="1898" s="21" customFormat="1" ht="18.5" customHeight="1"/>
    <row r="1899" s="21" customFormat="1" ht="18.5" customHeight="1"/>
    <row r="1900" s="21" customFormat="1" ht="18.5" customHeight="1"/>
    <row r="1901" s="21" customFormat="1" ht="18.5" customHeight="1"/>
    <row r="1902" s="21" customFormat="1" ht="18.5" customHeight="1"/>
    <row r="1903" s="21" customFormat="1" ht="18.5" customHeight="1"/>
    <row r="1904" s="21" customFormat="1" ht="18.5" customHeight="1"/>
    <row r="1905" s="21" customFormat="1" ht="18.5" customHeight="1"/>
    <row r="1906" s="21" customFormat="1" ht="18.5" customHeight="1"/>
    <row r="1907" s="21" customFormat="1" ht="18.5" customHeight="1"/>
    <row r="1908" s="21" customFormat="1" ht="18.5" customHeight="1"/>
    <row r="1909" s="21" customFormat="1" ht="18.5" customHeight="1"/>
    <row r="1910" s="21" customFormat="1" ht="18.5" customHeight="1"/>
    <row r="1911" s="21" customFormat="1" ht="18.5" customHeight="1"/>
    <row r="1912" s="21" customFormat="1" ht="18.5" customHeight="1"/>
    <row r="1913" s="21" customFormat="1" ht="18.5" customHeight="1"/>
    <row r="1914" s="21" customFormat="1" ht="18.5" customHeight="1"/>
    <row r="1915" s="21" customFormat="1" ht="18.5" customHeight="1"/>
    <row r="1916" s="21" customFormat="1" ht="18.5" customHeight="1"/>
    <row r="1917" s="21" customFormat="1" ht="18.5" customHeight="1"/>
    <row r="1918" s="21" customFormat="1" ht="18.5" customHeight="1"/>
    <row r="1919" s="21" customFormat="1" ht="18.5" customHeight="1"/>
    <row r="1920" s="21" customFormat="1" ht="18.5" customHeight="1"/>
    <row r="1921" s="21" customFormat="1" ht="18.5" customHeight="1"/>
    <row r="1922" s="21" customFormat="1" ht="18.5" customHeight="1"/>
    <row r="1923" s="21" customFormat="1" ht="18.5" customHeight="1"/>
    <row r="1924" s="21" customFormat="1" ht="18.5" customHeight="1"/>
    <row r="1925" s="21" customFormat="1" ht="18.5" customHeight="1"/>
    <row r="1926" s="21" customFormat="1" ht="18.5" customHeight="1"/>
    <row r="1927" s="21" customFormat="1" ht="18.5" customHeight="1"/>
    <row r="1928" s="21" customFormat="1" ht="18.5" customHeight="1"/>
    <row r="1929" s="21" customFormat="1" ht="18.5" customHeight="1"/>
    <row r="1930" s="21" customFormat="1" ht="18.5" customHeight="1"/>
    <row r="1931" s="21" customFormat="1" ht="18.5" customHeight="1"/>
    <row r="1932" s="21" customFormat="1" ht="18.5" customHeight="1"/>
    <row r="1933" s="21" customFormat="1" ht="18.5" customHeight="1"/>
    <row r="1934" s="21" customFormat="1" ht="18.5" customHeight="1"/>
    <row r="1935" s="21" customFormat="1" ht="18.5" customHeight="1"/>
    <row r="1936" s="21" customFormat="1" ht="18.5" customHeight="1"/>
    <row r="1937" s="21" customFormat="1" ht="18.5" customHeight="1"/>
    <row r="1938" s="21" customFormat="1" ht="18.5" customHeight="1"/>
    <row r="1939" s="21" customFormat="1" ht="18.5" customHeight="1"/>
    <row r="1940" s="21" customFormat="1" ht="18.5" customHeight="1"/>
    <row r="1941" s="21" customFormat="1" ht="18.5" customHeight="1"/>
    <row r="1942" s="21" customFormat="1" ht="18.5" customHeight="1"/>
    <row r="1943" s="21" customFormat="1" ht="18.5" customHeight="1"/>
    <row r="1944" s="21" customFormat="1" ht="18.5" customHeight="1"/>
    <row r="1945" s="21" customFormat="1" ht="18.5" customHeight="1"/>
    <row r="1946" s="21" customFormat="1" ht="18.5" customHeight="1"/>
    <row r="1947" s="21" customFormat="1" ht="18.5" customHeight="1"/>
    <row r="1948" s="21" customFormat="1" ht="18.5" customHeight="1"/>
    <row r="1949" s="21" customFormat="1" ht="18.5" customHeight="1"/>
    <row r="1950" s="21" customFormat="1" ht="18.5" customHeight="1"/>
    <row r="1951" s="21" customFormat="1" ht="18.5" customHeight="1"/>
    <row r="1952" s="21" customFormat="1" ht="18.5" customHeight="1"/>
    <row r="1953" s="21" customFormat="1" ht="18.5" customHeight="1"/>
    <row r="1954" s="21" customFormat="1" ht="18.5" customHeight="1"/>
    <row r="1955" s="21" customFormat="1" ht="18.5" customHeight="1"/>
    <row r="1956" s="21" customFormat="1" ht="18.5" customHeight="1"/>
    <row r="1957" s="21" customFormat="1" ht="18.5" customHeight="1"/>
    <row r="1958" s="21" customFormat="1" ht="18.5" customHeight="1"/>
    <row r="1959" s="21" customFormat="1" ht="18.5" customHeight="1"/>
    <row r="1960" s="21" customFormat="1" ht="18.5" customHeight="1"/>
    <row r="1961" s="21" customFormat="1" ht="18.5" customHeight="1"/>
    <row r="1962" s="21" customFormat="1" ht="18.5" customHeight="1"/>
    <row r="1963" s="21" customFormat="1" ht="18.5" customHeight="1"/>
    <row r="1964" s="21" customFormat="1" ht="18.5" customHeight="1"/>
    <row r="1965" s="21" customFormat="1" ht="18.5" customHeight="1"/>
    <row r="1966" s="21" customFormat="1" ht="18.5" customHeight="1"/>
    <row r="1967" s="21" customFormat="1" ht="18.5" customHeight="1"/>
    <row r="1968" s="21" customFormat="1" ht="18.5" customHeight="1"/>
    <row r="1969" s="21" customFormat="1" ht="18.5" customHeight="1"/>
    <row r="1970" s="21" customFormat="1" ht="18.5" customHeight="1"/>
    <row r="1971" s="21" customFormat="1" ht="18.5" customHeight="1"/>
    <row r="1972" s="21" customFormat="1" ht="18.5" customHeight="1"/>
    <row r="1973" s="21" customFormat="1" ht="18.5" customHeight="1"/>
    <row r="1974" s="21" customFormat="1" ht="18.5" customHeight="1"/>
    <row r="1975" s="21" customFormat="1" ht="18.5" customHeight="1"/>
    <row r="1976" s="21" customFormat="1" ht="18.5" customHeight="1"/>
    <row r="1977" s="21" customFormat="1" ht="18.5" customHeight="1"/>
    <row r="1978" s="21" customFormat="1" ht="18.5" customHeight="1"/>
    <row r="1979" s="21" customFormat="1" ht="18.5" customHeight="1"/>
    <row r="1980" s="21" customFormat="1" ht="18.5" customHeight="1"/>
    <row r="1981" s="21" customFormat="1" ht="18.5" customHeight="1"/>
    <row r="1982" s="21" customFormat="1" ht="18.5" customHeight="1"/>
    <row r="1983" s="21" customFormat="1" ht="18.5" customHeight="1"/>
    <row r="1984" s="21" customFormat="1" ht="18.5" customHeight="1"/>
    <row r="1985" s="21" customFormat="1" ht="18.5" customHeight="1"/>
    <row r="1986" s="21" customFormat="1" ht="18.5" customHeight="1"/>
    <row r="1987" s="21" customFormat="1" ht="18.5" customHeight="1"/>
    <row r="1988" s="21" customFormat="1" ht="18.5" customHeight="1"/>
    <row r="1989" s="21" customFormat="1" ht="18.5" customHeight="1"/>
    <row r="1990" s="21" customFormat="1" ht="18.5" customHeight="1"/>
    <row r="1991" s="21" customFormat="1" ht="18.5" customHeight="1"/>
    <row r="1992" s="21" customFormat="1" ht="18.5" customHeight="1"/>
    <row r="1993" s="21" customFormat="1" ht="18.5" customHeight="1"/>
    <row r="1994" s="21" customFormat="1" ht="18.5" customHeight="1"/>
    <row r="1995" s="21" customFormat="1" ht="18.5" customHeight="1"/>
    <row r="1996" s="21" customFormat="1" ht="18.5" customHeight="1"/>
    <row r="1997" s="21" customFormat="1" ht="18.5" customHeight="1"/>
    <row r="1998" s="21" customFormat="1" ht="18.5" customHeight="1"/>
    <row r="1999" s="21" customFormat="1" ht="18.5" customHeight="1"/>
    <row r="2000" s="21" customFormat="1" ht="18.5" customHeight="1"/>
    <row r="2001" s="21" customFormat="1" ht="18.5" customHeight="1"/>
    <row r="2002" s="21" customFormat="1" ht="18.5" customHeight="1"/>
    <row r="2003" s="21" customFormat="1" ht="18.5" customHeight="1"/>
    <row r="2004" s="21" customFormat="1" ht="18.5" customHeight="1"/>
    <row r="2005" s="21" customFormat="1" ht="18.5" customHeight="1"/>
    <row r="2006" s="21" customFormat="1" ht="18.5" customHeight="1"/>
    <row r="2007" s="21" customFormat="1" ht="18.5" customHeight="1"/>
    <row r="2008" s="21" customFormat="1" ht="18.5" customHeight="1"/>
    <row r="2009" s="21" customFormat="1" ht="18.5" customHeight="1"/>
    <row r="2010" s="21" customFormat="1" ht="18.5" customHeight="1"/>
    <row r="2011" s="21" customFormat="1" ht="18.5" customHeight="1"/>
    <row r="2012" s="21" customFormat="1" ht="18.5" customHeight="1"/>
    <row r="2013" s="21" customFormat="1" ht="18.5" customHeight="1"/>
    <row r="2014" s="21" customFormat="1" ht="18.5" customHeight="1"/>
    <row r="2015" s="21" customFormat="1" ht="18.5" customHeight="1"/>
    <row r="2016" s="21" customFormat="1" ht="18.5" customHeight="1"/>
    <row r="2017" s="21" customFormat="1" ht="18.5" customHeight="1"/>
    <row r="2018" s="21" customFormat="1" ht="18.5" customHeight="1"/>
    <row r="2019" s="21" customFormat="1" ht="18.5" customHeight="1"/>
    <row r="2020" s="21" customFormat="1" ht="18.5" customHeight="1"/>
    <row r="2021" s="21" customFormat="1" ht="18.5" customHeight="1"/>
    <row r="2022" s="21" customFormat="1" ht="18.5" customHeight="1"/>
    <row r="2023" s="21" customFormat="1" ht="18.5" customHeight="1"/>
    <row r="2024" s="21" customFormat="1" ht="18.5" customHeight="1"/>
    <row r="2025" s="21" customFormat="1" ht="18.5" customHeight="1"/>
    <row r="2026" s="21" customFormat="1" ht="18.5" customHeight="1"/>
    <row r="2027" s="21" customFormat="1" ht="18.5" customHeight="1"/>
    <row r="2028" s="21" customFormat="1" ht="18.5" customHeight="1"/>
    <row r="2029" s="21" customFormat="1" ht="18.5" customHeight="1"/>
    <row r="2030" s="21" customFormat="1" ht="18.5" customHeight="1"/>
    <row r="2031" s="21" customFormat="1" ht="18.5" customHeight="1"/>
    <row r="2032" s="21" customFormat="1" ht="18.5" customHeight="1"/>
    <row r="2033" s="21" customFormat="1" ht="18.5" customHeight="1"/>
    <row r="2034" s="21" customFormat="1" ht="18.5" customHeight="1"/>
    <row r="2035" s="21" customFormat="1" ht="18.5" customHeight="1"/>
    <row r="2036" s="21" customFormat="1" ht="18.5" customHeight="1"/>
    <row r="2037" s="21" customFormat="1" ht="18.5" customHeight="1"/>
    <row r="2038" s="21" customFormat="1" ht="18.5" customHeight="1"/>
    <row r="2039" s="21" customFormat="1" ht="18.5" customHeight="1"/>
    <row r="2040" s="21" customFormat="1" ht="18.5" customHeight="1"/>
    <row r="2041" s="21" customFormat="1" ht="18.5" customHeight="1"/>
    <row r="2042" s="21" customFormat="1" ht="18.5" customHeight="1"/>
    <row r="2043" s="21" customFormat="1" ht="18.5" customHeight="1"/>
    <row r="2044" s="21" customFormat="1" ht="18.5" customHeight="1"/>
    <row r="2045" s="21" customFormat="1" ht="18.5" customHeight="1"/>
    <row r="2046" s="21" customFormat="1" ht="18.5" customHeight="1"/>
    <row r="2047" s="21" customFormat="1" ht="18.5" customHeight="1"/>
    <row r="2048" s="21" customFormat="1" ht="18.5" customHeight="1"/>
    <row r="2049" s="21" customFormat="1" ht="18.5" customHeight="1"/>
    <row r="2050" s="21" customFormat="1" ht="18.5" customHeight="1"/>
    <row r="2051" s="21" customFormat="1" ht="18.5" customHeight="1"/>
    <row r="2052" s="21" customFormat="1" ht="18.5" customHeight="1"/>
    <row r="2053" s="21" customFormat="1" ht="18.5" customHeight="1"/>
    <row r="2054" s="21" customFormat="1" ht="18.5" customHeight="1"/>
    <row r="2055" s="21" customFormat="1" ht="18.5" customHeight="1"/>
    <row r="2056" s="21" customFormat="1" ht="18.5" customHeight="1"/>
    <row r="2057" s="21" customFormat="1" ht="18.5" customHeight="1"/>
    <row r="2058" s="21" customFormat="1" ht="18.5" customHeight="1"/>
    <row r="2059" s="21" customFormat="1" ht="18.5" customHeight="1"/>
    <row r="2060" s="21" customFormat="1" ht="18.5" customHeight="1"/>
    <row r="2061" s="21" customFormat="1" ht="18.5" customHeight="1"/>
    <row r="2062" s="21" customFormat="1" ht="18.5" customHeight="1"/>
    <row r="2063" s="21" customFormat="1" ht="18.5" customHeight="1"/>
    <row r="2064" s="21" customFormat="1" ht="18.5" customHeight="1"/>
    <row r="2065" s="21" customFormat="1" ht="18.5" customHeight="1"/>
    <row r="2066" s="21" customFormat="1" ht="18.5" customHeight="1"/>
    <row r="2067" s="21" customFormat="1" ht="18.5" customHeight="1"/>
    <row r="2068" s="21" customFormat="1" ht="18.5" customHeight="1"/>
    <row r="2069" s="21" customFormat="1" ht="18.5" customHeight="1"/>
    <row r="2070" s="21" customFormat="1" ht="18.5" customHeight="1"/>
    <row r="2071" s="21" customFormat="1" ht="18.5" customHeight="1"/>
    <row r="2072" s="21" customFormat="1" ht="18.5" customHeight="1"/>
    <row r="2073" s="21" customFormat="1" ht="18.5" customHeight="1"/>
    <row r="2074" s="21" customFormat="1" ht="18.5" customHeight="1"/>
    <row r="2075" s="21" customFormat="1" ht="18.5" customHeight="1"/>
    <row r="2076" s="21" customFormat="1" ht="18.5" customHeight="1"/>
    <row r="2077" s="21" customFormat="1" ht="18.5" customHeight="1"/>
    <row r="2078" s="21" customFormat="1" ht="18.5" customHeight="1"/>
    <row r="2079" s="21" customFormat="1" ht="18.5" customHeight="1"/>
    <row r="2080" s="21" customFormat="1" ht="18.5" customHeight="1"/>
    <row r="2081" s="21" customFormat="1" ht="18.5" customHeight="1"/>
    <row r="2082" s="21" customFormat="1" ht="18.5" customHeight="1"/>
    <row r="2083" s="21" customFormat="1" ht="18.5" customHeight="1"/>
    <row r="2084" s="21" customFormat="1" ht="18.5" customHeight="1"/>
    <row r="2085" s="21" customFormat="1" ht="18.5" customHeight="1"/>
    <row r="2086" s="21" customFormat="1" ht="18.5" customHeight="1"/>
    <row r="2087" s="21" customFormat="1" ht="18.5" customHeight="1"/>
    <row r="2088" s="21" customFormat="1" ht="18.5" customHeight="1"/>
    <row r="2089" s="21" customFormat="1" ht="18.5" customHeight="1"/>
    <row r="2090" s="21" customFormat="1" ht="18.5" customHeight="1"/>
    <row r="2091" s="21" customFormat="1" ht="18.5" customHeight="1"/>
    <row r="2092" s="21" customFormat="1" ht="18.5" customHeight="1"/>
    <row r="2093" s="21" customFormat="1" ht="18.5" customHeight="1"/>
    <row r="2094" s="21" customFormat="1" ht="18.5" customHeight="1"/>
    <row r="2095" s="21" customFormat="1" ht="18.5" customHeight="1"/>
    <row r="2096" s="21" customFormat="1" ht="18.5" customHeight="1"/>
    <row r="2097" s="21" customFormat="1" ht="18.5" customHeight="1"/>
    <row r="2098" s="21" customFormat="1" ht="18.5" customHeight="1"/>
    <row r="2099" s="21" customFormat="1" ht="18.5" customHeight="1"/>
    <row r="2100" s="21" customFormat="1" ht="18.5" customHeight="1"/>
    <row r="2101" s="21" customFormat="1" ht="18.5" customHeight="1"/>
    <row r="2102" s="21" customFormat="1" ht="18.5" customHeight="1"/>
    <row r="2103" s="21" customFormat="1" ht="18.5" customHeight="1"/>
    <row r="2104" s="21" customFormat="1" ht="18.5" customHeight="1"/>
    <row r="2105" s="21" customFormat="1" ht="18.5" customHeight="1"/>
    <row r="2106" s="21" customFormat="1" ht="18.5" customHeight="1"/>
    <row r="2107" s="21" customFormat="1" ht="18.5" customHeight="1"/>
    <row r="2108" s="21" customFormat="1" ht="18.5" customHeight="1"/>
    <row r="2109" s="21" customFormat="1" ht="18.5" customHeight="1"/>
    <row r="2110" s="21" customFormat="1" ht="18.5" customHeight="1"/>
    <row r="2111" s="21" customFormat="1" ht="18.5" customHeight="1"/>
    <row r="2112" s="21" customFormat="1" ht="18.5" customHeight="1"/>
    <row r="2113" s="21" customFormat="1" ht="18.5" customHeight="1"/>
    <row r="2114" s="21" customFormat="1" ht="18.5" customHeight="1"/>
    <row r="2115" s="21" customFormat="1" ht="18.5" customHeight="1"/>
    <row r="2116" s="21" customFormat="1" ht="18.5" customHeight="1"/>
    <row r="2117" s="21" customFormat="1" ht="18.5" customHeight="1"/>
    <row r="2118" s="21" customFormat="1" ht="18.5" customHeight="1"/>
    <row r="2119" s="21" customFormat="1" ht="18.5" customHeight="1"/>
    <row r="2120" s="21" customFormat="1" ht="18.5" customHeight="1"/>
    <row r="2121" s="21" customFormat="1" ht="18.5" customHeight="1"/>
    <row r="2122" s="21" customFormat="1" ht="18.5" customHeight="1"/>
    <row r="2123" s="21" customFormat="1" ht="18.5" customHeight="1"/>
    <row r="2124" s="21" customFormat="1" ht="18.5" customHeight="1"/>
    <row r="2125" s="21" customFormat="1" ht="18.5" customHeight="1"/>
    <row r="2126" s="21" customFormat="1" ht="18.5" customHeight="1"/>
    <row r="2127" s="21" customFormat="1" ht="18.5" customHeight="1"/>
    <row r="2128" s="21" customFormat="1" ht="18.5" customHeight="1"/>
    <row r="2129" s="21" customFormat="1" ht="18.5" customHeight="1"/>
    <row r="2130" s="21" customFormat="1" ht="18.5" customHeight="1"/>
    <row r="2131" s="21" customFormat="1" ht="18.5" customHeight="1"/>
    <row r="2132" s="21" customFormat="1" ht="18.5" customHeight="1"/>
    <row r="2133" s="21" customFormat="1" ht="18.5" customHeight="1"/>
    <row r="2134" s="21" customFormat="1" ht="18.5" customHeight="1"/>
    <row r="2135" s="21" customFormat="1" ht="18.5" customHeight="1"/>
    <row r="2136" s="21" customFormat="1" ht="18.5" customHeight="1"/>
    <row r="2137" s="21" customFormat="1" ht="18.5" customHeight="1"/>
    <row r="2138" s="21" customFormat="1" ht="18.5" customHeight="1"/>
    <row r="2139" s="21" customFormat="1" ht="18.5" customHeight="1"/>
    <row r="2140" s="21" customFormat="1" ht="18.5" customHeight="1"/>
    <row r="2141" s="21" customFormat="1" ht="18.5" customHeight="1"/>
    <row r="2142" s="21" customFormat="1" ht="18.5" customHeight="1"/>
    <row r="2143" s="21" customFormat="1" ht="18.5" customHeight="1"/>
    <row r="2144" s="21" customFormat="1" ht="18.5" customHeight="1"/>
    <row r="2145" s="21" customFormat="1" ht="18.5" customHeight="1"/>
    <row r="2146" s="21" customFormat="1" ht="18.5" customHeight="1"/>
    <row r="2147" s="21" customFormat="1" ht="18.5" customHeight="1"/>
    <row r="2148" s="21" customFormat="1" ht="18.5" customHeight="1"/>
    <row r="2149" s="21" customFormat="1" ht="18.5" customHeight="1"/>
    <row r="2150" s="21" customFormat="1" ht="18.5" customHeight="1"/>
    <row r="2151" s="21" customFormat="1" ht="18.5" customHeight="1"/>
    <row r="2152" s="21" customFormat="1" ht="18.5" customHeight="1"/>
    <row r="2153" s="21" customFormat="1" ht="18.5" customHeight="1"/>
    <row r="2154" s="21" customFormat="1" ht="18.5" customHeight="1"/>
    <row r="2155" s="21" customFormat="1" ht="18.5" customHeight="1"/>
    <row r="2156" s="21" customFormat="1" ht="18.5" customHeight="1"/>
    <row r="2157" s="21" customFormat="1" ht="18.5" customHeight="1"/>
    <row r="2158" s="21" customFormat="1" ht="18.5" customHeight="1"/>
    <row r="2159" s="21" customFormat="1" ht="18.5" customHeight="1"/>
    <row r="2160" s="21" customFormat="1" ht="18.5" customHeight="1"/>
    <row r="2161" s="21" customFormat="1" ht="18.5" customHeight="1"/>
    <row r="2162" s="21" customFormat="1" ht="18.5" customHeight="1"/>
    <row r="2163" s="21" customFormat="1" ht="18.5" customHeight="1"/>
    <row r="2164" s="21" customFormat="1" ht="18.5" customHeight="1"/>
    <row r="2165" s="21" customFormat="1" ht="18.5" customHeight="1"/>
    <row r="2166" s="21" customFormat="1" ht="18.5" customHeight="1"/>
    <row r="2167" s="21" customFormat="1" ht="18.5" customHeight="1"/>
    <row r="2168" s="21" customFormat="1" ht="18.5" customHeight="1"/>
    <row r="2169" s="21" customFormat="1" ht="18.5" customHeight="1"/>
    <row r="2170" s="21" customFormat="1" ht="18.5" customHeight="1"/>
    <row r="2171" s="21" customFormat="1" ht="18.5" customHeight="1"/>
    <row r="2172" s="21" customFormat="1" ht="18.5" customHeight="1"/>
    <row r="2173" s="21" customFormat="1" ht="18.5" customHeight="1"/>
    <row r="2174" s="21" customFormat="1" ht="18.5" customHeight="1"/>
    <row r="2175" s="21" customFormat="1" ht="18.5" customHeight="1"/>
    <row r="2176" s="21" customFormat="1" ht="18.5" customHeight="1"/>
    <row r="2177" s="21" customFormat="1" ht="18.5" customHeight="1"/>
    <row r="2178" s="21" customFormat="1" ht="18.5" customHeight="1"/>
    <row r="2179" s="21" customFormat="1" ht="18.5" customHeight="1"/>
    <row r="2180" s="21" customFormat="1" ht="18.5" customHeight="1"/>
    <row r="2181" s="21" customFormat="1" ht="18.5" customHeight="1"/>
    <row r="2182" s="21" customFormat="1" ht="18.5" customHeight="1"/>
    <row r="2183" s="21" customFormat="1" ht="18.5" customHeight="1"/>
    <row r="2184" s="21" customFormat="1" ht="18.5" customHeight="1"/>
    <row r="2185" s="21" customFormat="1" ht="18.5" customHeight="1"/>
    <row r="2186" s="21" customFormat="1" ht="18.5" customHeight="1"/>
    <row r="2187" s="21" customFormat="1" ht="18.5" customHeight="1"/>
    <row r="2188" s="21" customFormat="1" ht="18.5" customHeight="1"/>
    <row r="2189" s="21" customFormat="1" ht="18.5" customHeight="1"/>
    <row r="2190" s="21" customFormat="1" ht="18.5" customHeight="1"/>
    <row r="2191" s="21" customFormat="1" ht="18.5" customHeight="1"/>
    <row r="2192" s="21" customFormat="1" ht="18.5" customHeight="1"/>
    <row r="2193" s="21" customFormat="1" ht="18.5" customHeight="1"/>
    <row r="2194" s="21" customFormat="1" ht="18.5" customHeight="1"/>
    <row r="2195" s="21" customFormat="1" ht="18.5" customHeight="1"/>
    <row r="2196" s="21" customFormat="1" ht="18.5" customHeight="1"/>
    <row r="2197" s="21" customFormat="1" ht="18.5" customHeight="1"/>
    <row r="2198" s="21" customFormat="1" ht="18.5" customHeight="1"/>
    <row r="2199" s="21" customFormat="1" ht="18.5" customHeight="1"/>
    <row r="2200" s="21" customFormat="1" ht="18.5" customHeight="1"/>
    <row r="2201" s="21" customFormat="1" ht="18.5" customHeight="1"/>
    <row r="2202" s="21" customFormat="1" ht="18.5" customHeight="1"/>
    <row r="2203" s="21" customFormat="1" ht="18.5" customHeight="1"/>
    <row r="2204" s="21" customFormat="1" ht="18.5" customHeight="1"/>
    <row r="2205" s="21" customFormat="1" ht="18.5" customHeight="1"/>
    <row r="2206" s="21" customFormat="1" ht="18.5" customHeight="1"/>
    <row r="2207" s="21" customFormat="1" ht="18.5" customHeight="1"/>
    <row r="2208" s="21" customFormat="1" ht="18.5" customHeight="1"/>
    <row r="2209" s="21" customFormat="1" ht="18.5" customHeight="1"/>
    <row r="2210" s="21" customFormat="1" ht="18.5" customHeight="1"/>
    <row r="2211" s="21" customFormat="1" ht="18.5" customHeight="1"/>
    <row r="2212" s="21" customFormat="1" ht="18.5" customHeight="1"/>
    <row r="2213" s="21" customFormat="1" ht="18.5" customHeight="1"/>
    <row r="2214" s="21" customFormat="1" ht="18.5" customHeight="1"/>
    <row r="2215" s="21" customFormat="1" ht="18.5" customHeight="1"/>
    <row r="2216" s="21" customFormat="1" ht="18.5" customHeight="1"/>
    <row r="2217" s="21" customFormat="1" ht="18.5" customHeight="1"/>
    <row r="2218" s="21" customFormat="1" ht="18.5" customHeight="1"/>
    <row r="2219" s="21" customFormat="1" ht="18.5" customHeight="1"/>
    <row r="2220" s="21" customFormat="1" ht="18.5" customHeight="1"/>
    <row r="2221" s="21" customFormat="1" ht="18.5" customHeight="1"/>
    <row r="2222" s="21" customFormat="1" ht="18.5" customHeight="1"/>
    <row r="2223" s="21" customFormat="1" ht="18.5" customHeight="1"/>
    <row r="2224" s="21" customFormat="1" ht="18.5" customHeight="1"/>
    <row r="2225" s="21" customFormat="1" ht="18.5" customHeight="1"/>
    <row r="2226" s="21" customFormat="1" ht="18.5" customHeight="1"/>
    <row r="2227" s="21" customFormat="1" ht="18.5" customHeight="1"/>
    <row r="2228" s="21" customFormat="1" ht="18.5" customHeight="1"/>
    <row r="2229" s="21" customFormat="1" ht="18.5" customHeight="1"/>
    <row r="2230" s="21" customFormat="1" ht="18.5" customHeight="1"/>
    <row r="2231" s="21" customFormat="1" ht="18.5" customHeight="1"/>
    <row r="2232" s="21" customFormat="1" ht="18.5" customHeight="1"/>
    <row r="2233" s="21" customFormat="1" ht="18.5" customHeight="1"/>
    <row r="2234" s="21" customFormat="1" ht="18.5" customHeight="1"/>
    <row r="2235" s="21" customFormat="1" ht="18.5" customHeight="1"/>
    <row r="2236" s="21" customFormat="1" ht="18.5" customHeight="1"/>
    <row r="2237" s="21" customFormat="1" ht="18.5" customHeight="1"/>
    <row r="2238" s="21" customFormat="1" ht="18.5" customHeight="1"/>
    <row r="2239" s="21" customFormat="1" ht="18.5" customHeight="1"/>
    <row r="2240" s="21" customFormat="1" ht="18.5" customHeight="1"/>
    <row r="2241" s="21" customFormat="1" ht="18.5" customHeight="1"/>
    <row r="2242" s="21" customFormat="1" ht="18.5" customHeight="1"/>
    <row r="2243" s="21" customFormat="1" ht="18.5" customHeight="1"/>
    <row r="2244" s="21" customFormat="1" ht="18.5" customHeight="1"/>
    <row r="2245" s="21" customFormat="1" ht="18.5" customHeight="1"/>
    <row r="2246" s="21" customFormat="1" ht="18.5" customHeight="1"/>
    <row r="2247" s="21" customFormat="1" ht="18.5" customHeight="1"/>
    <row r="2248" s="21" customFormat="1" ht="18.5" customHeight="1"/>
    <row r="2249" s="21" customFormat="1" ht="18.5" customHeight="1"/>
    <row r="2250" s="21" customFormat="1" ht="18.5" customHeight="1"/>
    <row r="2251" s="21" customFormat="1" ht="18.5" customHeight="1"/>
    <row r="2252" s="21" customFormat="1" ht="18.5" customHeight="1"/>
    <row r="2253" s="21" customFormat="1" ht="18.5" customHeight="1"/>
    <row r="2254" s="21" customFormat="1" ht="18.5" customHeight="1"/>
    <row r="2255" s="21" customFormat="1" ht="18.5" customHeight="1"/>
    <row r="2256" s="21" customFormat="1" ht="18.5" customHeight="1"/>
    <row r="2257" s="21" customFormat="1" ht="18.5" customHeight="1"/>
    <row r="2258" s="21" customFormat="1" ht="18.5" customHeight="1"/>
    <row r="2259" s="21" customFormat="1" ht="18.5" customHeight="1"/>
    <row r="2260" s="21" customFormat="1" ht="18.5" customHeight="1"/>
    <row r="2261" s="21" customFormat="1" ht="18.5" customHeight="1"/>
    <row r="2262" s="21" customFormat="1" ht="18.5" customHeight="1"/>
    <row r="2263" s="21" customFormat="1" ht="18.5" customHeight="1"/>
    <row r="2264" s="21" customFormat="1" ht="18.5" customHeight="1"/>
    <row r="2265" s="21" customFormat="1" ht="18.5" customHeight="1"/>
    <row r="2266" s="21" customFormat="1" ht="18.5" customHeight="1"/>
    <row r="2267" s="21" customFormat="1" ht="18.5" customHeight="1"/>
    <row r="2268" s="21" customFormat="1" ht="18.5" customHeight="1"/>
    <row r="2269" s="21" customFormat="1" ht="18.5" customHeight="1"/>
    <row r="2270" s="21" customFormat="1" ht="18.5" customHeight="1"/>
    <row r="2271" s="21" customFormat="1" ht="18.5" customHeight="1"/>
    <row r="2272" s="21" customFormat="1" ht="18.5" customHeight="1"/>
    <row r="2273" s="21" customFormat="1" ht="18.5" customHeight="1"/>
    <row r="2274" s="21" customFormat="1" ht="18.5" customHeight="1"/>
    <row r="2275" s="21" customFormat="1" ht="18.5" customHeight="1"/>
    <row r="2276" s="21" customFormat="1" ht="18.5" customHeight="1"/>
    <row r="2277" s="21" customFormat="1" ht="18.5" customHeight="1"/>
    <row r="2278" s="21" customFormat="1" ht="18.5" customHeight="1"/>
    <row r="2279" s="21" customFormat="1" ht="18.5" customHeight="1"/>
    <row r="2280" s="21" customFormat="1" ht="18.5" customHeight="1"/>
    <row r="2281" s="21" customFormat="1" ht="18.5" customHeight="1"/>
    <row r="2282" s="21" customFormat="1" ht="18.5" customHeight="1"/>
    <row r="2283" s="21" customFormat="1" ht="18.5" customHeight="1"/>
    <row r="2284" s="21" customFormat="1" ht="18.5" customHeight="1"/>
    <row r="2285" s="21" customFormat="1" ht="18.5" customHeight="1"/>
    <row r="2286" s="21" customFormat="1" ht="18.5" customHeight="1"/>
    <row r="2287" s="21" customFormat="1" ht="18.5" customHeight="1"/>
    <row r="2288" s="21" customFormat="1" ht="18.5" customHeight="1"/>
    <row r="2289" s="21" customFormat="1" ht="18.5" customHeight="1"/>
    <row r="2290" s="21" customFormat="1" ht="18.5" customHeight="1"/>
    <row r="2291" s="21" customFormat="1" ht="18.5" customHeight="1"/>
    <row r="2292" s="21" customFormat="1" ht="18.5" customHeight="1"/>
    <row r="2293" s="21" customFormat="1" ht="18.5" customHeight="1"/>
    <row r="2294" s="21" customFormat="1" ht="18.5" customHeight="1"/>
    <row r="2295" s="21" customFormat="1" ht="18.5" customHeight="1"/>
    <row r="2296" s="21" customFormat="1" ht="18.5" customHeight="1"/>
    <row r="2297" s="21" customFormat="1" ht="18.5" customHeight="1"/>
    <row r="2298" s="21" customFormat="1" ht="18.5" customHeight="1"/>
    <row r="2299" s="21" customFormat="1" ht="18.5" customHeight="1"/>
    <row r="2300" s="21" customFormat="1" ht="18.5" customHeight="1"/>
    <row r="2301" s="21" customFormat="1" ht="18.5" customHeight="1"/>
    <row r="2302" s="21" customFormat="1" ht="18.5" customHeight="1"/>
    <row r="2303" s="21" customFormat="1" ht="18.5" customHeight="1"/>
    <row r="2304" s="21" customFormat="1" ht="18.5" customHeight="1"/>
    <row r="2305" s="21" customFormat="1" ht="18.5" customHeight="1"/>
    <row r="2306" s="21" customFormat="1" ht="18.5" customHeight="1"/>
    <row r="2307" s="21" customFormat="1" ht="18.5" customHeight="1"/>
    <row r="2308" s="21" customFormat="1" ht="18.5" customHeight="1"/>
    <row r="2309" s="21" customFormat="1" ht="18.5" customHeight="1"/>
    <row r="2310" s="21" customFormat="1" ht="18.5" customHeight="1"/>
    <row r="2311" s="21" customFormat="1" ht="18.5" customHeight="1"/>
    <row r="2312" s="21" customFormat="1" ht="18.5" customHeight="1"/>
    <row r="2313" s="21" customFormat="1" ht="18.5" customHeight="1"/>
    <row r="2314" s="21" customFormat="1" ht="18.5" customHeight="1"/>
    <row r="2315" s="21" customFormat="1" ht="18.5" customHeight="1"/>
    <row r="2316" s="21" customFormat="1" ht="18.5" customHeight="1"/>
    <row r="2317" s="21" customFormat="1" ht="18.5" customHeight="1"/>
    <row r="2318" s="21" customFormat="1" ht="18.5" customHeight="1"/>
    <row r="2319" s="21" customFormat="1" ht="18.5" customHeight="1"/>
    <row r="2320" s="21" customFormat="1" ht="18.5" customHeight="1"/>
    <row r="2321" s="21" customFormat="1" ht="18.5" customHeight="1"/>
    <row r="2322" s="21" customFormat="1" ht="18.5" customHeight="1"/>
    <row r="2323" s="21" customFormat="1" ht="18.5" customHeight="1"/>
    <row r="2324" s="21" customFormat="1" ht="18.5" customHeight="1"/>
    <row r="2325" s="21" customFormat="1" ht="18.5" customHeight="1"/>
    <row r="2326" s="21" customFormat="1" ht="18.5" customHeight="1"/>
    <row r="2327" s="21" customFormat="1" ht="18.5" customHeight="1"/>
    <row r="2328" s="21" customFormat="1" ht="18.5" customHeight="1"/>
    <row r="2329" s="21" customFormat="1" ht="18.5" customHeight="1"/>
    <row r="2330" s="21" customFormat="1" ht="18.5" customHeight="1"/>
    <row r="2331" s="21" customFormat="1" ht="18.5" customHeight="1"/>
    <row r="2332" s="21" customFormat="1" ht="18.5" customHeight="1"/>
    <row r="2333" s="21" customFormat="1" ht="18.5" customHeight="1"/>
    <row r="2334" s="21" customFormat="1" ht="18.5" customHeight="1"/>
    <row r="2335" s="21" customFormat="1" ht="18.5" customHeight="1"/>
    <row r="2336" s="21" customFormat="1" ht="18.5" customHeight="1"/>
    <row r="2337" s="21" customFormat="1" ht="18.5" customHeight="1"/>
    <row r="2338" s="21" customFormat="1" ht="18.5" customHeight="1"/>
    <row r="2339" s="21" customFormat="1" ht="18.5" customHeight="1"/>
    <row r="2340" s="21" customFormat="1" ht="18.5" customHeight="1"/>
    <row r="2341" s="21" customFormat="1" ht="18.5" customHeight="1"/>
    <row r="2342" s="21" customFormat="1" ht="18.5" customHeight="1"/>
    <row r="2343" s="21" customFormat="1" ht="18.5" customHeight="1"/>
    <row r="2344" s="21" customFormat="1" ht="18.5" customHeight="1"/>
    <row r="2345" s="21" customFormat="1" ht="18.5" customHeight="1"/>
    <row r="2346" s="21" customFormat="1" ht="18.5" customHeight="1"/>
    <row r="2347" s="21" customFormat="1" ht="18.5" customHeight="1"/>
    <row r="2348" s="21" customFormat="1" ht="18.5" customHeight="1"/>
    <row r="2349" s="21" customFormat="1" ht="18.5" customHeight="1"/>
    <row r="2350" s="21" customFormat="1" ht="18.5" customHeight="1"/>
    <row r="2351" s="21" customFormat="1" ht="18.5" customHeight="1"/>
    <row r="2352" s="21" customFormat="1" ht="18.5" customHeight="1"/>
    <row r="2353" s="21" customFormat="1" ht="18.5" customHeight="1"/>
    <row r="2354" s="21" customFormat="1" ht="18.5" customHeight="1"/>
    <row r="2355" s="21" customFormat="1" ht="18.5" customHeight="1"/>
    <row r="2356" s="21" customFormat="1" ht="18.5" customHeight="1"/>
    <row r="2357" s="21" customFormat="1" ht="18.5" customHeight="1"/>
    <row r="2358" s="21" customFormat="1" ht="18.5" customHeight="1"/>
    <row r="2359" s="21" customFormat="1" ht="18.5" customHeight="1"/>
    <row r="2360" s="21" customFormat="1" ht="18.5" customHeight="1"/>
    <row r="2361" s="21" customFormat="1" ht="18.5" customHeight="1"/>
    <row r="2362" s="21" customFormat="1" ht="18.5" customHeight="1"/>
    <row r="2363" s="21" customFormat="1" ht="18.5" customHeight="1"/>
    <row r="2364" s="21" customFormat="1" ht="18.5" customHeight="1"/>
    <row r="2365" s="21" customFormat="1" ht="18.5" customHeight="1"/>
    <row r="2366" s="21" customFormat="1" ht="18.5" customHeight="1"/>
    <row r="2367" s="21" customFormat="1" ht="18.5" customHeight="1"/>
    <row r="2368" s="21" customFormat="1" ht="18.5" customHeight="1"/>
    <row r="2369" s="21" customFormat="1" ht="18.5" customHeight="1"/>
    <row r="2370" s="21" customFormat="1" ht="18.5" customHeight="1"/>
    <row r="2371" s="21" customFormat="1" ht="18.5" customHeight="1"/>
    <row r="2372" s="21" customFormat="1" ht="18.5" customHeight="1"/>
    <row r="2373" s="21" customFormat="1" ht="18.5" customHeight="1"/>
    <row r="2374" s="21" customFormat="1" ht="18.5" customHeight="1"/>
    <row r="2375" s="21" customFormat="1" ht="18.5" customHeight="1"/>
    <row r="2376" s="21" customFormat="1" ht="18.5" customHeight="1"/>
    <row r="2377" s="21" customFormat="1" ht="18.5" customHeight="1"/>
    <row r="2378" s="21" customFormat="1" ht="18.5" customHeight="1"/>
    <row r="2379" s="21" customFormat="1" ht="18.5" customHeight="1"/>
    <row r="2380" s="21" customFormat="1" ht="18.5" customHeight="1"/>
    <row r="2381" s="21" customFormat="1" ht="18.5" customHeight="1"/>
    <row r="2382" s="21" customFormat="1" ht="18.5" customHeight="1"/>
    <row r="2383" s="21" customFormat="1" ht="18.5" customHeight="1"/>
    <row r="2384" s="21" customFormat="1" ht="18.5" customHeight="1"/>
    <row r="2385" s="21" customFormat="1" ht="18.5" customHeight="1"/>
    <row r="2386" s="21" customFormat="1" ht="18.5" customHeight="1"/>
    <row r="2387" s="21" customFormat="1" ht="18.5" customHeight="1"/>
    <row r="2388" s="21" customFormat="1" ht="18.5" customHeight="1"/>
    <row r="2389" s="21" customFormat="1" ht="18.5" customHeight="1"/>
    <row r="2390" s="21" customFormat="1" ht="18.5" customHeight="1"/>
    <row r="2391" s="21" customFormat="1" ht="18.5" customHeight="1"/>
    <row r="2392" s="21" customFormat="1" ht="18.5" customHeight="1"/>
    <row r="2393" s="21" customFormat="1" ht="18.5" customHeight="1"/>
    <row r="2394" s="21" customFormat="1" ht="18.5" customHeight="1"/>
    <row r="2395" s="21" customFormat="1" ht="18.5" customHeight="1"/>
    <row r="2396" s="21" customFormat="1" ht="18.5" customHeight="1"/>
    <row r="2397" s="21" customFormat="1" ht="18.5" customHeight="1"/>
    <row r="2398" s="21" customFormat="1" ht="18.5" customHeight="1"/>
    <row r="2399" s="21" customFormat="1" ht="18.5" customHeight="1"/>
    <row r="2400" s="21" customFormat="1" ht="18.5" customHeight="1"/>
    <row r="2401" s="21" customFormat="1" ht="18.5" customHeight="1"/>
    <row r="2402" s="21" customFormat="1" ht="18.5" customHeight="1"/>
    <row r="2403" s="21" customFormat="1" ht="18.5" customHeight="1"/>
    <row r="2404" s="21" customFormat="1" ht="18.5" customHeight="1"/>
    <row r="2405" s="21" customFormat="1" ht="18.5" customHeight="1"/>
    <row r="2406" s="21" customFormat="1" ht="18.5" customHeight="1"/>
    <row r="2407" s="21" customFormat="1" ht="18.5" customHeight="1"/>
    <row r="2408" s="21" customFormat="1" ht="18.5" customHeight="1"/>
    <row r="2409" s="21" customFormat="1" ht="18.5" customHeight="1"/>
    <row r="2410" s="21" customFormat="1" ht="18.5" customHeight="1"/>
    <row r="2411" s="21" customFormat="1" ht="18.5" customHeight="1"/>
    <row r="2412" s="21" customFormat="1" ht="18.5" customHeight="1"/>
    <row r="2413" s="21" customFormat="1" ht="18.5" customHeight="1"/>
    <row r="2414" s="21" customFormat="1" ht="18.5" customHeight="1"/>
    <row r="2415" s="21" customFormat="1" ht="18.5" customHeight="1"/>
    <row r="2416" s="21" customFormat="1" ht="18.5" customHeight="1"/>
    <row r="2417" s="21" customFormat="1" ht="18.5" customHeight="1"/>
    <row r="2418" s="21" customFormat="1" ht="18.5" customHeight="1"/>
    <row r="2419" s="21" customFormat="1" ht="18.5" customHeight="1"/>
    <row r="2420" s="21" customFormat="1" ht="18.5" customHeight="1"/>
    <row r="2421" s="21" customFormat="1" ht="18.5" customHeight="1"/>
    <row r="2422" s="21" customFormat="1" ht="18.5" customHeight="1"/>
    <row r="2423" s="21" customFormat="1" ht="18.5" customHeight="1"/>
    <row r="2424" s="21" customFormat="1" ht="18.5" customHeight="1"/>
    <row r="2425" s="21" customFormat="1" ht="18.5" customHeight="1"/>
    <row r="2426" s="21" customFormat="1" ht="18.5" customHeight="1"/>
    <row r="2427" s="21" customFormat="1" ht="18.5" customHeight="1"/>
    <row r="2428" s="21" customFormat="1" ht="18.5" customHeight="1"/>
    <row r="2429" s="21" customFormat="1" ht="18.5" customHeight="1"/>
    <row r="2430" s="21" customFormat="1" ht="18.5" customHeight="1"/>
    <row r="2431" s="21" customFormat="1" ht="18.5" customHeight="1"/>
    <row r="2432" s="21" customFormat="1" ht="18.5" customHeight="1"/>
    <row r="2433" s="21" customFormat="1" ht="18.5" customHeight="1"/>
    <row r="2434" s="21" customFormat="1" ht="18.5" customHeight="1"/>
    <row r="2435" s="21" customFormat="1" ht="18.5" customHeight="1"/>
    <row r="2436" s="21" customFormat="1" ht="18.5" customHeight="1"/>
    <row r="2437" s="21" customFormat="1" ht="18.5" customHeight="1"/>
    <row r="2438" s="21" customFormat="1" ht="18.5" customHeight="1"/>
    <row r="2439" s="21" customFormat="1" ht="18.5" customHeight="1"/>
    <row r="2440" s="21" customFormat="1" ht="18.5" customHeight="1"/>
    <row r="2441" s="21" customFormat="1" ht="18.5" customHeight="1"/>
    <row r="2442" s="21" customFormat="1" ht="18.5" customHeight="1"/>
    <row r="2443" s="21" customFormat="1" ht="18.5" customHeight="1"/>
    <row r="2444" s="21" customFormat="1" ht="18.5" customHeight="1"/>
    <row r="2445" s="21" customFormat="1" ht="18.5" customHeight="1"/>
    <row r="2446" s="21" customFormat="1" ht="18.5" customHeight="1"/>
    <row r="2447" s="21" customFormat="1" ht="18.5" customHeight="1"/>
    <row r="2448" s="21" customFormat="1" ht="18.5" customHeight="1"/>
    <row r="2449" s="21" customFormat="1" ht="18.5" customHeight="1"/>
    <row r="2450" s="21" customFormat="1" ht="18.5" customHeight="1"/>
    <row r="2451" s="21" customFormat="1" ht="18.5" customHeight="1"/>
    <row r="2452" s="21" customFormat="1" ht="18.5" customHeight="1"/>
    <row r="2453" s="21" customFormat="1" ht="18.5" customHeight="1"/>
    <row r="2454" s="21" customFormat="1" ht="18.5" customHeight="1"/>
    <row r="2455" s="21" customFormat="1" ht="18.5" customHeight="1"/>
    <row r="2456" s="21" customFormat="1" ht="18.5" customHeight="1"/>
    <row r="2457" s="21" customFormat="1" ht="18.5" customHeight="1"/>
    <row r="2458" s="21" customFormat="1" ht="18.5" customHeight="1"/>
    <row r="2459" s="21" customFormat="1" ht="18.5" customHeight="1"/>
    <row r="2460" s="21" customFormat="1" ht="18.5" customHeight="1"/>
    <row r="2461" s="21" customFormat="1" ht="18.5" customHeight="1"/>
    <row r="2462" s="21" customFormat="1" ht="18.5" customHeight="1"/>
    <row r="2463" s="21" customFormat="1" ht="18.5" customHeight="1"/>
    <row r="2464" s="21" customFormat="1" ht="18.5" customHeight="1"/>
    <row r="2465" s="21" customFormat="1" ht="18.5" customHeight="1"/>
    <row r="2466" s="21" customFormat="1" ht="18.5" customHeight="1"/>
    <row r="2467" s="21" customFormat="1" ht="18.5" customHeight="1"/>
    <row r="2468" s="21" customFormat="1" ht="18.5" customHeight="1"/>
    <row r="2469" s="21" customFormat="1" ht="18.5" customHeight="1"/>
    <row r="2470" s="21" customFormat="1" ht="18.5" customHeight="1"/>
    <row r="2471" s="21" customFormat="1" ht="18.5" customHeight="1"/>
    <row r="2472" s="21" customFormat="1" ht="18.5" customHeight="1"/>
    <row r="2473" s="21" customFormat="1" ht="18.5" customHeight="1"/>
    <row r="2474" s="21" customFormat="1" ht="18.5" customHeight="1"/>
    <row r="2475" s="21" customFormat="1" ht="18.5" customHeight="1"/>
    <row r="2476" s="21" customFormat="1" ht="18.5" customHeight="1"/>
    <row r="2477" s="21" customFormat="1" ht="18.5" customHeight="1"/>
    <row r="2478" s="21" customFormat="1" ht="18.5" customHeight="1"/>
    <row r="2479" s="21" customFormat="1" ht="18.5" customHeight="1"/>
    <row r="2480" s="21" customFormat="1" ht="18.5" customHeight="1"/>
    <row r="2481" s="21" customFormat="1" ht="18.5" customHeight="1"/>
    <row r="2482" s="21" customFormat="1" ht="18.5" customHeight="1"/>
    <row r="2483" s="21" customFormat="1" ht="18.5" customHeight="1"/>
    <row r="2484" s="21" customFormat="1" ht="18.5" customHeight="1"/>
    <row r="2485" s="21" customFormat="1" ht="18.5" customHeight="1"/>
    <row r="2486" s="21" customFormat="1" ht="18.5" customHeight="1"/>
    <row r="2487" s="21" customFormat="1" ht="18.5" customHeight="1"/>
    <row r="2488" s="21" customFormat="1" ht="18.5" customHeight="1"/>
    <row r="2489" s="21" customFormat="1" ht="18.5" customHeight="1"/>
    <row r="2490" s="21" customFormat="1" ht="18.5" customHeight="1"/>
    <row r="2491" s="21" customFormat="1" ht="18.5" customHeight="1"/>
    <row r="2492" s="21" customFormat="1" ht="18.5" customHeight="1"/>
    <row r="2493" s="21" customFormat="1" ht="18.5" customHeight="1"/>
    <row r="2494" s="21" customFormat="1" ht="18.5" customHeight="1"/>
    <row r="2495" s="21" customFormat="1" ht="18.5" customHeight="1"/>
    <row r="2496" s="21" customFormat="1" ht="18.5" customHeight="1"/>
    <row r="2497" s="21" customFormat="1" ht="18.5" customHeight="1"/>
    <row r="2498" s="21" customFormat="1" ht="18.5" customHeight="1"/>
    <row r="2499" s="21" customFormat="1" ht="18.5" customHeight="1"/>
    <row r="2500" s="21" customFormat="1" ht="18.5" customHeight="1"/>
    <row r="2501" s="21" customFormat="1" ht="18.5" customHeight="1"/>
    <row r="2502" s="21" customFormat="1" ht="18.5" customHeight="1"/>
    <row r="2503" s="21" customFormat="1" ht="18.5" customHeight="1"/>
    <row r="2504" s="21" customFormat="1" ht="18.5" customHeight="1"/>
    <row r="2505" s="21" customFormat="1" ht="18.5" customHeight="1"/>
    <row r="2506" s="21" customFormat="1" ht="18.5" customHeight="1"/>
    <row r="2507" s="21" customFormat="1" ht="18.5" customHeight="1"/>
    <row r="2508" s="21" customFormat="1" ht="18.5" customHeight="1"/>
    <row r="2509" s="21" customFormat="1" ht="18.5" customHeight="1"/>
    <row r="2510" s="21" customFormat="1" ht="18.5" customHeight="1"/>
    <row r="2511" s="21" customFormat="1" ht="18.5" customHeight="1"/>
    <row r="2512" s="21" customFormat="1" ht="18.5" customHeight="1"/>
    <row r="2513" s="21" customFormat="1" ht="18.5" customHeight="1"/>
    <row r="2514" s="21" customFormat="1" ht="18.5" customHeight="1"/>
    <row r="2515" s="21" customFormat="1" ht="18.5" customHeight="1"/>
    <row r="2516" s="21" customFormat="1" ht="18.5" customHeight="1"/>
    <row r="2517" s="21" customFormat="1" ht="18.5" customHeight="1"/>
    <row r="2518" s="21" customFormat="1" ht="18.5" customHeight="1"/>
    <row r="2519" s="21" customFormat="1" ht="18.5" customHeight="1"/>
    <row r="2520" s="21" customFormat="1" ht="18.5" customHeight="1"/>
    <row r="2521" s="21" customFormat="1" ht="18.5" customHeight="1"/>
    <row r="2522" s="21" customFormat="1" ht="18.5" customHeight="1"/>
    <row r="2523" s="21" customFormat="1" ht="18.5" customHeight="1"/>
    <row r="2524" s="21" customFormat="1" ht="18.5" customHeight="1"/>
    <row r="2525" s="21" customFormat="1" ht="18.5" customHeight="1"/>
    <row r="2526" s="21" customFormat="1" ht="18.5" customHeight="1"/>
    <row r="2527" s="21" customFormat="1" ht="18.5" customHeight="1"/>
    <row r="2528" s="21" customFormat="1" ht="18.5" customHeight="1"/>
    <row r="2529" s="21" customFormat="1" ht="18.5" customHeight="1"/>
    <row r="2530" s="21" customFormat="1" ht="18.5" customHeight="1"/>
    <row r="2531" s="21" customFormat="1" ht="18.5" customHeight="1"/>
    <row r="2532" s="21" customFormat="1" ht="18.5" customHeight="1"/>
    <row r="2533" s="21" customFormat="1" ht="18.5" customHeight="1"/>
    <row r="2534" s="21" customFormat="1" ht="18.5" customHeight="1"/>
    <row r="2535" s="21" customFormat="1" ht="18.5" customHeight="1"/>
    <row r="2536" s="21" customFormat="1" ht="18.5" customHeight="1"/>
    <row r="2537" s="21" customFormat="1" ht="18.5" customHeight="1"/>
    <row r="2538" s="21" customFormat="1" ht="18.5" customHeight="1"/>
    <row r="2539" s="21" customFormat="1" ht="18.5" customHeight="1"/>
    <row r="2540" s="21" customFormat="1" ht="18.5" customHeight="1"/>
    <row r="2541" s="21" customFormat="1" ht="18.5" customHeight="1"/>
    <row r="2542" s="21" customFormat="1" ht="18.5" customHeight="1"/>
    <row r="2543" s="21" customFormat="1" ht="18.5" customHeight="1"/>
    <row r="2544" s="21" customFormat="1" ht="18.5" customHeight="1"/>
    <row r="2545" s="21" customFormat="1" ht="18.5" customHeight="1"/>
    <row r="2546" s="21" customFormat="1" ht="18.5" customHeight="1"/>
    <row r="2547" s="21" customFormat="1" ht="18.5" customHeight="1"/>
    <row r="2548" s="21" customFormat="1" ht="18.5" customHeight="1"/>
    <row r="2549" s="21" customFormat="1" ht="18.5" customHeight="1"/>
    <row r="2550" s="21" customFormat="1" ht="18.5" customHeight="1"/>
    <row r="2551" s="21" customFormat="1" ht="18.5" customHeight="1"/>
    <row r="2552" s="21" customFormat="1" ht="18.5" customHeight="1"/>
    <row r="2553" s="21" customFormat="1" ht="18.5" customHeight="1"/>
    <row r="2554" s="21" customFormat="1" ht="18.5" customHeight="1"/>
    <row r="2555" s="21" customFormat="1" ht="18.5" customHeight="1"/>
    <row r="2556" s="21" customFormat="1" ht="18.5" customHeight="1"/>
    <row r="2557" s="21" customFormat="1" ht="18.5" customHeight="1"/>
    <row r="2558" s="21" customFormat="1" ht="18.5" customHeight="1"/>
    <row r="2559" s="21" customFormat="1" ht="18.5" customHeight="1"/>
    <row r="2560" s="21" customFormat="1" ht="18.5" customHeight="1"/>
    <row r="2561" s="21" customFormat="1" ht="18.5" customHeight="1"/>
    <row r="2562" s="21" customFormat="1" ht="18.5" customHeight="1"/>
    <row r="2563" s="21" customFormat="1" ht="18.5" customHeight="1"/>
    <row r="2564" s="21" customFormat="1" ht="18.5" customHeight="1"/>
    <row r="2565" s="21" customFormat="1" ht="18.5" customHeight="1"/>
    <row r="2566" s="21" customFormat="1" ht="18.5" customHeight="1"/>
    <row r="2567" s="21" customFormat="1" ht="18.5" customHeight="1"/>
    <row r="2568" s="21" customFormat="1" ht="18.5" customHeight="1"/>
    <row r="2569" s="21" customFormat="1" ht="18.5" customHeight="1"/>
    <row r="2570" s="21" customFormat="1" ht="18.5" customHeight="1"/>
    <row r="2571" s="21" customFormat="1" ht="18.5" customHeight="1"/>
    <row r="2572" s="21" customFormat="1" ht="18.5" customHeight="1"/>
    <row r="2573" s="21" customFormat="1" ht="18.5" customHeight="1"/>
    <row r="2574" s="21" customFormat="1" ht="18.5" customHeight="1"/>
    <row r="2575" s="21" customFormat="1" ht="18.5" customHeight="1"/>
    <row r="2576" s="21" customFormat="1" ht="18.5" customHeight="1"/>
    <row r="2577" s="21" customFormat="1" ht="18.5" customHeight="1"/>
    <row r="2578" s="21" customFormat="1" ht="18.5" customHeight="1"/>
    <row r="2579" s="21" customFormat="1" ht="18.5" customHeight="1"/>
    <row r="2580" s="21" customFormat="1" ht="18.5" customHeight="1"/>
    <row r="2581" s="21" customFormat="1" ht="18.5" customHeight="1"/>
    <row r="2582" s="21" customFormat="1" ht="18.5" customHeight="1"/>
    <row r="2583" s="21" customFormat="1" ht="18.5" customHeight="1"/>
    <row r="2584" s="21" customFormat="1" ht="18.5" customHeight="1"/>
    <row r="2585" s="21" customFormat="1" ht="18.5" customHeight="1"/>
    <row r="2586" s="21" customFormat="1" ht="18.5" customHeight="1"/>
    <row r="2587" s="21" customFormat="1" ht="18.5" customHeight="1"/>
    <row r="2588" s="21" customFormat="1" ht="18.5" customHeight="1"/>
    <row r="2589" s="21" customFormat="1" ht="18.5" customHeight="1"/>
    <row r="2590" s="21" customFormat="1" ht="18.5" customHeight="1"/>
    <row r="2591" s="21" customFormat="1" ht="18.5" customHeight="1"/>
    <row r="2592" s="21" customFormat="1" ht="18.5" customHeight="1"/>
    <row r="2593" s="21" customFormat="1" ht="18.5" customHeight="1"/>
    <row r="2594" s="21" customFormat="1" ht="18.5" customHeight="1"/>
    <row r="2595" s="21" customFormat="1" ht="18.5" customHeight="1"/>
    <row r="2596" s="21" customFormat="1" ht="18.5" customHeight="1"/>
    <row r="2597" s="21" customFormat="1" ht="18.5" customHeight="1"/>
    <row r="2598" s="21" customFormat="1" ht="18.5" customHeight="1"/>
    <row r="2599" s="21" customFormat="1" ht="18.5" customHeight="1"/>
    <row r="2600" s="21" customFormat="1" ht="18.5" customHeight="1"/>
    <row r="2601" s="21" customFormat="1" ht="18.5" customHeight="1"/>
    <row r="2602" s="21" customFormat="1" ht="18.5" customHeight="1"/>
    <row r="2603" s="21" customFormat="1" ht="18.5" customHeight="1"/>
    <row r="2604" s="21" customFormat="1" ht="18.5" customHeight="1"/>
    <row r="2605" s="21" customFormat="1" ht="18.5" customHeight="1"/>
    <row r="2606" s="21" customFormat="1" ht="18.5" customHeight="1"/>
    <row r="2607" s="21" customFormat="1" ht="18.5" customHeight="1"/>
    <row r="2608" s="21" customFormat="1" ht="18.5" customHeight="1"/>
    <row r="2609" s="21" customFormat="1" ht="18.5" customHeight="1"/>
    <row r="2610" s="21" customFormat="1" ht="18.5" customHeight="1"/>
    <row r="2611" s="21" customFormat="1" ht="18.5" customHeight="1"/>
    <row r="2612" s="21" customFormat="1" ht="18.5" customHeight="1"/>
    <row r="2613" s="21" customFormat="1" ht="18.5" customHeight="1"/>
    <row r="2614" s="21" customFormat="1" ht="18.5" customHeight="1"/>
    <row r="2615" s="21" customFormat="1" ht="18.5" customHeight="1"/>
    <row r="2616" s="21" customFormat="1" ht="18.5" customHeight="1"/>
    <row r="2617" s="21" customFormat="1" ht="18.5" customHeight="1"/>
    <row r="2618" s="21" customFormat="1" ht="18.5" customHeight="1"/>
    <row r="2619" s="21" customFormat="1" ht="18.5" customHeight="1"/>
    <row r="2620" s="21" customFormat="1" ht="18.5" customHeight="1"/>
    <row r="2621" s="21" customFormat="1" ht="18.5" customHeight="1"/>
    <row r="2622" s="21" customFormat="1" ht="18.5" customHeight="1"/>
    <row r="2623" s="21" customFormat="1" ht="18.5" customHeight="1"/>
    <row r="2624" s="21" customFormat="1" ht="18.5" customHeight="1"/>
    <row r="2625" s="21" customFormat="1" ht="18.5" customHeight="1"/>
    <row r="2626" s="21" customFormat="1" ht="18.5" customHeight="1"/>
    <row r="2627" s="21" customFormat="1" ht="18.5" customHeight="1"/>
    <row r="2628" s="21" customFormat="1" ht="18.5" customHeight="1"/>
    <row r="2629" s="21" customFormat="1" ht="18.5" customHeight="1"/>
    <row r="2630" s="21" customFormat="1" ht="18.5" customHeight="1"/>
    <row r="2631" s="21" customFormat="1" ht="18.5" customHeight="1"/>
    <row r="2632" s="21" customFormat="1" ht="18.5" customHeight="1"/>
    <row r="2633" s="21" customFormat="1" ht="18.5" customHeight="1"/>
    <row r="2634" s="21" customFormat="1" ht="18.5" customHeight="1"/>
    <row r="2635" s="21" customFormat="1" ht="18.5" customHeight="1"/>
    <row r="2636" s="21" customFormat="1" ht="18.5" customHeight="1"/>
    <row r="2637" s="21" customFormat="1" ht="18.5" customHeight="1"/>
    <row r="2638" s="21" customFormat="1" ht="18.5" customHeight="1"/>
    <row r="2639" s="21" customFormat="1" ht="18.5" customHeight="1"/>
    <row r="2640" s="21" customFormat="1" ht="18.5" customHeight="1"/>
    <row r="2641" s="21" customFormat="1" ht="18.5" customHeight="1"/>
    <row r="2642" s="21" customFormat="1" ht="18.5" customHeight="1"/>
    <row r="2643" s="21" customFormat="1" ht="18.5" customHeight="1"/>
    <row r="2644" s="21" customFormat="1" ht="18.5" customHeight="1"/>
    <row r="2645" s="21" customFormat="1" ht="18.5" customHeight="1"/>
    <row r="2646" s="21" customFormat="1" ht="18.5" customHeight="1"/>
    <row r="2647" s="21" customFormat="1" ht="18.5" customHeight="1"/>
    <row r="2648" s="21" customFormat="1" ht="18.5" customHeight="1"/>
    <row r="2649" s="21" customFormat="1" ht="18.5" customHeight="1"/>
    <row r="2650" s="21" customFormat="1" ht="18.5" customHeight="1"/>
    <row r="2651" s="21" customFormat="1" ht="18.5" customHeight="1"/>
    <row r="2652" s="21" customFormat="1" ht="18.5" customHeight="1"/>
    <row r="2653" s="21" customFormat="1" ht="18.5" customHeight="1"/>
    <row r="2654" s="21" customFormat="1" ht="18.5" customHeight="1"/>
    <row r="2655" s="21" customFormat="1" ht="18.5" customHeight="1"/>
    <row r="2656" s="21" customFormat="1" ht="18.5" customHeight="1"/>
    <row r="2657" s="21" customFormat="1" ht="18.5" customHeight="1"/>
    <row r="2658" s="21" customFormat="1" ht="18.5" customHeight="1"/>
    <row r="2659" s="21" customFormat="1" ht="18.5" customHeight="1"/>
    <row r="2660" s="21" customFormat="1" ht="18.5" customHeight="1"/>
    <row r="2661" s="21" customFormat="1" ht="18.5" customHeight="1"/>
    <row r="2662" s="21" customFormat="1" ht="18.5" customHeight="1"/>
    <row r="2663" s="21" customFormat="1" ht="18.5" customHeight="1"/>
    <row r="2664" s="21" customFormat="1" ht="18.5" customHeight="1"/>
    <row r="2665" s="21" customFormat="1" ht="18.5" customHeight="1"/>
    <row r="2666" s="21" customFormat="1" ht="18.5" customHeight="1"/>
    <row r="2667" s="21" customFormat="1" ht="18.5" customHeight="1"/>
    <row r="2668" s="21" customFormat="1" ht="18.5" customHeight="1"/>
    <row r="2669" s="21" customFormat="1" ht="18.5" customHeight="1"/>
    <row r="2670" s="21" customFormat="1" ht="18.5" customHeight="1"/>
    <row r="2671" s="21" customFormat="1" ht="18.5" customHeight="1"/>
    <row r="2672" s="21" customFormat="1" ht="18.5" customHeight="1"/>
    <row r="2673" s="21" customFormat="1" ht="18.5" customHeight="1"/>
    <row r="2674" s="21" customFormat="1" ht="18.5" customHeight="1"/>
    <row r="2675" s="21" customFormat="1" ht="18.5" customHeight="1"/>
    <row r="2676" s="21" customFormat="1" ht="18.5" customHeight="1"/>
    <row r="2677" s="21" customFormat="1" ht="18.5" customHeight="1"/>
    <row r="2678" s="21" customFormat="1" ht="18.5" customHeight="1"/>
    <row r="2679" s="21" customFormat="1" ht="18.5" customHeight="1"/>
    <row r="2680" s="21" customFormat="1" ht="18.5" customHeight="1"/>
    <row r="2681" s="21" customFormat="1" ht="18.5" customHeight="1"/>
    <row r="2682" s="21" customFormat="1" ht="18.5" customHeight="1"/>
    <row r="2683" s="21" customFormat="1" ht="18.5" customHeight="1"/>
    <row r="2684" s="21" customFormat="1" ht="18.5" customHeight="1"/>
    <row r="2685" s="21" customFormat="1" ht="18.5" customHeight="1"/>
    <row r="2686" s="21" customFormat="1" ht="18.5" customHeight="1"/>
    <row r="2687" s="21" customFormat="1" ht="18.5" customHeight="1"/>
    <row r="2688" s="21" customFormat="1" ht="18.5" customHeight="1"/>
    <row r="2689" s="21" customFormat="1" ht="18.5" customHeight="1"/>
    <row r="2690" s="21" customFormat="1" ht="18.5" customHeight="1"/>
    <row r="2691" s="21" customFormat="1" ht="18.5" customHeight="1"/>
    <row r="2692" s="21" customFormat="1" ht="18.5" customHeight="1"/>
    <row r="2693" s="21" customFormat="1" ht="18.5" customHeight="1"/>
    <row r="2694" s="21" customFormat="1" ht="18.5" customHeight="1"/>
    <row r="2695" s="21" customFormat="1" ht="18.5" customHeight="1"/>
    <row r="2696" s="21" customFormat="1" ht="18.5" customHeight="1"/>
    <row r="2697" s="21" customFormat="1" ht="18.5" customHeight="1"/>
    <row r="2698" s="21" customFormat="1" ht="18.5" customHeight="1"/>
    <row r="2699" s="21" customFormat="1" ht="18.5" customHeight="1"/>
    <row r="2700" s="21" customFormat="1" ht="18.5" customHeight="1"/>
    <row r="2701" s="21" customFormat="1" ht="18.5" customHeight="1"/>
    <row r="2702" s="21" customFormat="1" ht="18.5" customHeight="1"/>
    <row r="2703" s="21" customFormat="1" ht="18.5" customHeight="1"/>
    <row r="2704" s="21" customFormat="1" ht="18.5" customHeight="1"/>
    <row r="2705" s="21" customFormat="1" ht="18.5" customHeight="1"/>
    <row r="2706" s="21" customFormat="1" ht="18.5" customHeight="1"/>
    <row r="2707" s="21" customFormat="1" ht="18.5" customHeight="1"/>
    <row r="2708" s="21" customFormat="1" ht="18.5" customHeight="1"/>
    <row r="2709" s="21" customFormat="1" ht="18.5" customHeight="1"/>
    <row r="2710" s="21" customFormat="1" ht="18.5" customHeight="1"/>
    <row r="2711" s="21" customFormat="1" ht="18.5" customHeight="1"/>
    <row r="2712" s="21" customFormat="1" ht="18.5" customHeight="1"/>
    <row r="2713" s="21" customFormat="1" ht="18.5" customHeight="1"/>
    <row r="2714" s="21" customFormat="1" ht="18.5" customHeight="1"/>
    <row r="2715" s="21" customFormat="1" ht="18.5" customHeight="1"/>
    <row r="2716" s="21" customFormat="1" ht="18.5" customHeight="1"/>
    <row r="2717" s="21" customFormat="1" ht="18.5" customHeight="1"/>
    <row r="2718" s="21" customFormat="1" ht="18.5" customHeight="1"/>
    <row r="2719" s="21" customFormat="1" ht="18.5" customHeight="1"/>
    <row r="2720" s="21" customFormat="1" ht="18.5" customHeight="1"/>
    <row r="2721" s="21" customFormat="1" ht="18.5" customHeight="1"/>
    <row r="2722" s="21" customFormat="1" ht="18.5" customHeight="1"/>
    <row r="2723" s="21" customFormat="1" ht="18.5" customHeight="1"/>
    <row r="2724" s="21" customFormat="1" ht="18.5" customHeight="1"/>
    <row r="2725" s="21" customFormat="1" ht="18.5" customHeight="1"/>
    <row r="2726" s="21" customFormat="1" ht="18.5" customHeight="1"/>
    <row r="2727" s="21" customFormat="1" ht="18.5" customHeight="1"/>
    <row r="2728" s="21" customFormat="1" ht="18.5" customHeight="1"/>
    <row r="2729" s="21" customFormat="1" ht="18.5" customHeight="1"/>
    <row r="2730" s="21" customFormat="1" ht="18.5" customHeight="1"/>
    <row r="2731" s="21" customFormat="1" ht="18.5" customHeight="1"/>
    <row r="2732" s="21" customFormat="1" ht="18.5" customHeight="1"/>
    <row r="2733" s="21" customFormat="1" ht="18.5" customHeight="1"/>
    <row r="2734" s="21" customFormat="1" ht="18.5" customHeight="1"/>
    <row r="2735" s="21" customFormat="1" ht="18.5" customHeight="1"/>
    <row r="2736" s="21" customFormat="1" ht="18.5" customHeight="1"/>
    <row r="2737" s="21" customFormat="1" ht="18.5" customHeight="1"/>
    <row r="2738" s="21" customFormat="1" ht="18.5" customHeight="1"/>
    <row r="2739" s="21" customFormat="1" ht="18.5" customHeight="1"/>
    <row r="2740" s="21" customFormat="1" ht="18.5" customHeight="1"/>
    <row r="2741" s="21" customFormat="1" ht="18.5" customHeight="1"/>
    <row r="2742" s="21" customFormat="1" ht="18.5" customHeight="1"/>
    <row r="2743" s="21" customFormat="1" ht="18.5" customHeight="1"/>
    <row r="2744" s="21" customFormat="1" ht="18.5" customHeight="1"/>
    <row r="2745" s="21" customFormat="1" ht="18.5" customHeight="1"/>
    <row r="2746" s="21" customFormat="1" ht="18.5" customHeight="1"/>
    <row r="2747" s="21" customFormat="1" ht="18.5" customHeight="1"/>
    <row r="2748" s="21" customFormat="1" ht="18.5" customHeight="1"/>
    <row r="2749" s="21" customFormat="1" ht="18.5" customHeight="1"/>
    <row r="2750" s="21" customFormat="1" ht="18.5" customHeight="1"/>
    <row r="2751" s="21" customFormat="1" ht="18.5" customHeight="1"/>
    <row r="2752" s="21" customFormat="1" ht="18.5" customHeight="1"/>
    <row r="2753" s="21" customFormat="1" ht="18.5" customHeight="1"/>
    <row r="2754" s="21" customFormat="1" ht="18.5" customHeight="1"/>
    <row r="2755" s="21" customFormat="1" ht="18.5" customHeight="1"/>
    <row r="2756" s="21" customFormat="1" ht="18.5" customHeight="1"/>
    <row r="2757" s="21" customFormat="1" ht="18.5" customHeight="1"/>
    <row r="2758" s="21" customFormat="1" ht="18.5" customHeight="1"/>
    <row r="2759" s="21" customFormat="1" ht="18.5" customHeight="1"/>
    <row r="2760" s="21" customFormat="1" ht="18.5" customHeight="1"/>
    <row r="2761" s="21" customFormat="1" ht="18.5" customHeight="1"/>
    <row r="2762" s="21" customFormat="1" ht="18.5" customHeight="1"/>
    <row r="2763" s="21" customFormat="1" ht="18.5" customHeight="1"/>
    <row r="2764" s="21" customFormat="1" ht="18.5" customHeight="1"/>
    <row r="2765" s="21" customFormat="1" ht="18.5" customHeight="1"/>
    <row r="2766" s="21" customFormat="1" ht="18.5" customHeight="1"/>
    <row r="2767" s="21" customFormat="1" ht="18.5" customHeight="1"/>
    <row r="2768" s="21" customFormat="1" ht="18.5" customHeight="1"/>
    <row r="2769" s="21" customFormat="1" ht="18.5" customHeight="1"/>
    <row r="2770" s="21" customFormat="1" ht="18.5" customHeight="1"/>
    <row r="2771" s="21" customFormat="1" ht="18.5" customHeight="1"/>
    <row r="2772" s="21" customFormat="1" ht="18.5" customHeight="1"/>
    <row r="2773" s="21" customFormat="1" ht="18.5" customHeight="1"/>
    <row r="2774" s="21" customFormat="1" ht="18.5" customHeight="1"/>
    <row r="2775" s="21" customFormat="1" ht="18.5" customHeight="1"/>
    <row r="2776" s="21" customFormat="1" ht="18.5" customHeight="1"/>
    <row r="2777" s="21" customFormat="1" ht="18.5" customHeight="1"/>
    <row r="2778" s="21" customFormat="1" ht="18.5" customHeight="1"/>
    <row r="2779" s="21" customFormat="1" ht="18.5" customHeight="1"/>
    <row r="2780" s="21" customFormat="1" ht="18.5" customHeight="1"/>
    <row r="2781" s="21" customFormat="1" ht="18.5" customHeight="1"/>
    <row r="2782" s="21" customFormat="1" ht="18.5" customHeight="1"/>
    <row r="2783" s="21" customFormat="1" ht="18.5" customHeight="1"/>
    <row r="2784" s="21" customFormat="1" ht="18.5" customHeight="1"/>
    <row r="2785" s="21" customFormat="1" ht="18.5" customHeight="1"/>
    <row r="2786" s="21" customFormat="1" ht="18.5" customHeight="1"/>
    <row r="2787" s="21" customFormat="1" ht="18.5" customHeight="1"/>
    <row r="2788" s="21" customFormat="1" ht="18.5" customHeight="1"/>
    <row r="2789" s="21" customFormat="1" ht="18.5" customHeight="1"/>
    <row r="2790" s="21" customFormat="1" ht="18.5" customHeight="1"/>
    <row r="2791" s="21" customFormat="1" ht="18.5" customHeight="1"/>
    <row r="2792" s="21" customFormat="1" ht="18.5" customHeight="1"/>
    <row r="2793" s="21" customFormat="1" ht="18.5" customHeight="1"/>
    <row r="2794" s="21" customFormat="1" ht="18.5" customHeight="1"/>
    <row r="2795" s="21" customFormat="1" ht="18.5" customHeight="1"/>
    <row r="2796" s="21" customFormat="1" ht="18.5" customHeight="1"/>
    <row r="2797" s="21" customFormat="1" ht="18.5" customHeight="1"/>
    <row r="2798" s="21" customFormat="1" ht="18.5" customHeight="1"/>
    <row r="2799" s="21" customFormat="1" ht="18.5" customHeight="1"/>
    <row r="2800" s="21" customFormat="1" ht="18.5" customHeight="1"/>
    <row r="2801" s="21" customFormat="1" ht="18.5" customHeight="1"/>
    <row r="2802" s="21" customFormat="1" ht="18.5" customHeight="1"/>
    <row r="2803" s="21" customFormat="1" ht="18.5" customHeight="1"/>
    <row r="2804" s="21" customFormat="1" ht="18.5" customHeight="1"/>
    <row r="2805" s="21" customFormat="1" ht="18.5" customHeight="1"/>
    <row r="2806" s="21" customFormat="1" ht="18.5" customHeight="1"/>
    <row r="2807" s="21" customFormat="1" ht="18.5" customHeight="1"/>
    <row r="2808" s="21" customFormat="1" ht="18.5" customHeight="1"/>
    <row r="2809" s="21" customFormat="1" ht="18.5" customHeight="1"/>
    <row r="2810" s="21" customFormat="1" ht="18.5" customHeight="1"/>
    <row r="2811" s="21" customFormat="1" ht="18.5" customHeight="1"/>
    <row r="2812" s="21" customFormat="1" ht="18.5" customHeight="1"/>
    <row r="2813" s="21" customFormat="1" ht="18.5" customHeight="1"/>
    <row r="2814" s="21" customFormat="1" ht="18.5" customHeight="1"/>
    <row r="2815" s="21" customFormat="1" ht="18.5" customHeight="1"/>
    <row r="2816" s="21" customFormat="1" ht="18.5" customHeight="1"/>
    <row r="2817" s="21" customFormat="1" ht="18.5" customHeight="1"/>
    <row r="2818" s="21" customFormat="1" ht="18.5" customHeight="1"/>
    <row r="2819" s="21" customFormat="1" ht="18.5" customHeight="1"/>
    <row r="2820" s="21" customFormat="1" ht="18.5" customHeight="1"/>
    <row r="2821" s="21" customFormat="1" ht="18.5" customHeight="1"/>
    <row r="2822" s="21" customFormat="1" ht="18.5" customHeight="1"/>
    <row r="2823" s="21" customFormat="1" ht="18.5" customHeight="1"/>
    <row r="2824" s="21" customFormat="1" ht="18.5" customHeight="1"/>
    <row r="2825" s="21" customFormat="1" ht="18.5" customHeight="1"/>
    <row r="2826" s="21" customFormat="1" ht="18.5" customHeight="1"/>
    <row r="2827" s="21" customFormat="1" ht="18.5" customHeight="1"/>
    <row r="2828" s="21" customFormat="1" ht="18.5" customHeight="1"/>
    <row r="2829" s="21" customFormat="1" ht="18.5" customHeight="1"/>
    <row r="2830" s="21" customFormat="1" ht="18.5" customHeight="1"/>
    <row r="2831" s="21" customFormat="1" ht="18.5" customHeight="1"/>
    <row r="2832" s="21" customFormat="1" ht="18.5" customHeight="1"/>
    <row r="2833" s="21" customFormat="1" ht="18.5" customHeight="1"/>
    <row r="2834" s="21" customFormat="1" ht="18.5" customHeight="1"/>
    <row r="2835" s="21" customFormat="1" ht="18.5" customHeight="1"/>
    <row r="2836" s="21" customFormat="1" ht="18.5" customHeight="1"/>
    <row r="2837" s="21" customFormat="1" ht="18.5" customHeight="1"/>
    <row r="2838" s="21" customFormat="1" ht="18.5" customHeight="1"/>
    <row r="2839" s="21" customFormat="1" ht="18.5" customHeight="1"/>
    <row r="2840" s="21" customFormat="1" ht="18.5" customHeight="1"/>
    <row r="2841" s="21" customFormat="1" ht="18.5" customHeight="1"/>
    <row r="2842" s="21" customFormat="1" ht="18.5" customHeight="1"/>
    <row r="2843" s="21" customFormat="1" ht="18.5" customHeight="1"/>
    <row r="2844" s="21" customFormat="1" ht="18.5" customHeight="1"/>
    <row r="2845" s="21" customFormat="1" ht="18.5" customHeight="1"/>
    <row r="2846" s="21" customFormat="1" ht="18.5" customHeight="1"/>
    <row r="2847" s="21" customFormat="1" ht="18.5" customHeight="1"/>
    <row r="2848" s="21" customFormat="1" ht="18.5" customHeight="1"/>
    <row r="2849" s="21" customFormat="1" ht="18.5" customHeight="1"/>
    <row r="2850" s="21" customFormat="1" ht="18.5" customHeight="1"/>
    <row r="2851" s="21" customFormat="1" ht="18.5" customHeight="1"/>
    <row r="2852" s="21" customFormat="1" ht="18.5" customHeight="1"/>
    <row r="2853" s="21" customFormat="1" ht="18.5" customHeight="1"/>
    <row r="2854" s="21" customFormat="1" ht="18.5" customHeight="1"/>
    <row r="2855" s="21" customFormat="1" ht="18.5" customHeight="1"/>
    <row r="2856" s="21" customFormat="1" ht="18.5" customHeight="1"/>
    <row r="2857" s="21" customFormat="1" ht="18.5" customHeight="1"/>
    <row r="2858" s="21" customFormat="1" ht="18.5" customHeight="1"/>
    <row r="2859" s="21" customFormat="1" ht="18.5" customHeight="1"/>
    <row r="2860" s="21" customFormat="1" ht="18.5" customHeight="1"/>
    <row r="2861" s="21" customFormat="1" ht="18.5" customHeight="1"/>
    <row r="2862" s="21" customFormat="1" ht="18.5" customHeight="1"/>
    <row r="2863" s="21" customFormat="1" ht="18.5" customHeight="1"/>
    <row r="2864" s="21" customFormat="1" ht="18.5" customHeight="1"/>
    <row r="2865" s="21" customFormat="1" ht="18.5" customHeight="1"/>
    <row r="2866" s="21" customFormat="1" ht="18.5" customHeight="1"/>
    <row r="2867" s="21" customFormat="1" ht="18.5" customHeight="1"/>
    <row r="2868" s="21" customFormat="1" ht="18.5" customHeight="1"/>
    <row r="2869" s="21" customFormat="1" ht="18.5" customHeight="1"/>
    <row r="2870" s="21" customFormat="1" ht="18.5" customHeight="1"/>
    <row r="2871" s="21" customFormat="1" ht="18.5" customHeight="1"/>
    <row r="2872" s="21" customFormat="1" ht="18.5" customHeight="1"/>
    <row r="2873" s="21" customFormat="1" ht="18.5" customHeight="1"/>
    <row r="2874" s="21" customFormat="1" ht="18.5" customHeight="1"/>
    <row r="2875" s="21" customFormat="1" ht="18.5" customHeight="1"/>
    <row r="2876" s="21" customFormat="1" ht="18.5" customHeight="1"/>
    <row r="2877" s="21" customFormat="1" ht="18.5" customHeight="1"/>
    <row r="2878" s="21" customFormat="1" ht="18.5" customHeight="1"/>
    <row r="2879" s="21" customFormat="1" ht="18.5" customHeight="1"/>
    <row r="2880" s="21" customFormat="1" ht="18.5" customHeight="1"/>
    <row r="2881" s="21" customFormat="1" ht="18.5" customHeight="1"/>
    <row r="2882" s="21" customFormat="1" ht="18.5" customHeight="1"/>
    <row r="2883" s="21" customFormat="1" ht="18.5" customHeight="1"/>
    <row r="2884" s="21" customFormat="1" ht="18.5" customHeight="1"/>
    <row r="2885" s="21" customFormat="1" ht="18.5" customHeight="1"/>
    <row r="2886" s="21" customFormat="1" ht="18.5" customHeight="1"/>
    <row r="2887" s="21" customFormat="1" ht="18.5" customHeight="1"/>
    <row r="2888" s="21" customFormat="1" ht="18.5" customHeight="1"/>
    <row r="2889" s="21" customFormat="1" ht="18.5" customHeight="1"/>
    <row r="2890" s="21" customFormat="1" ht="18.5" customHeight="1"/>
    <row r="2891" s="21" customFormat="1" ht="18.5" customHeight="1"/>
    <row r="2892" s="21" customFormat="1" ht="18.5" customHeight="1"/>
    <row r="2893" s="21" customFormat="1" ht="18.5" customHeight="1"/>
    <row r="2894" s="21" customFormat="1" ht="18.5" customHeight="1"/>
    <row r="2895" s="21" customFormat="1" ht="18.5" customHeight="1"/>
    <row r="2896" s="21" customFormat="1" ht="18.5" customHeight="1"/>
    <row r="2897" s="21" customFormat="1" ht="18.5" customHeight="1"/>
    <row r="2898" s="21" customFormat="1" ht="18.5" customHeight="1"/>
    <row r="2899" s="21" customFormat="1" ht="18.5" customHeight="1"/>
    <row r="2900" s="21" customFormat="1" ht="18.5" customHeight="1"/>
    <row r="2901" s="21" customFormat="1" ht="18.5" customHeight="1"/>
    <row r="2902" s="21" customFormat="1" ht="18.5" customHeight="1"/>
    <row r="2903" s="21" customFormat="1" ht="18.5" customHeight="1"/>
    <row r="2904" s="21" customFormat="1" ht="18.5" customHeight="1"/>
    <row r="2905" s="21" customFormat="1" ht="18.5" customHeight="1"/>
    <row r="2906" s="21" customFormat="1" ht="18.5" customHeight="1"/>
    <row r="2907" s="21" customFormat="1" ht="18.5" customHeight="1"/>
    <row r="2908" s="21" customFormat="1" ht="18.5" customHeight="1"/>
    <row r="2909" s="21" customFormat="1" ht="18.5" customHeight="1"/>
    <row r="2910" s="21" customFormat="1" ht="18.5" customHeight="1"/>
    <row r="2911" s="21" customFormat="1" ht="18.5" customHeight="1"/>
    <row r="2912" s="21" customFormat="1" ht="18.5" customHeight="1"/>
    <row r="2913" s="21" customFormat="1" ht="18.5" customHeight="1"/>
    <row r="2914" s="21" customFormat="1" ht="18.5" customHeight="1"/>
    <row r="2915" s="21" customFormat="1" ht="18.5" customHeight="1"/>
    <row r="2916" s="21" customFormat="1" ht="18.5" customHeight="1"/>
    <row r="2917" s="21" customFormat="1" ht="18.5" customHeight="1"/>
    <row r="2918" s="21" customFormat="1" ht="18.5" customHeight="1"/>
    <row r="2919" s="21" customFormat="1" ht="18.5" customHeight="1"/>
    <row r="2920" s="21" customFormat="1" ht="18.5" customHeight="1"/>
    <row r="2921" s="21" customFormat="1" ht="18.5" customHeight="1"/>
    <row r="2922" s="21" customFormat="1" ht="18.5" customHeight="1"/>
    <row r="2923" s="21" customFormat="1" ht="18.5" customHeight="1"/>
    <row r="2924" s="21" customFormat="1" ht="18.5" customHeight="1"/>
    <row r="2925" s="21" customFormat="1" ht="18.5" customHeight="1"/>
    <row r="2926" s="21" customFormat="1" ht="18.5" customHeight="1"/>
    <row r="2927" s="21" customFormat="1" ht="18.5" customHeight="1"/>
    <row r="2928" s="21" customFormat="1" ht="18.5" customHeight="1"/>
    <row r="2929" s="21" customFormat="1" ht="18.5" customHeight="1"/>
    <row r="2930" s="21" customFormat="1" ht="18.5" customHeight="1"/>
    <row r="2931" s="21" customFormat="1" ht="18.5" customHeight="1"/>
    <row r="2932" s="21" customFormat="1" ht="18.5" customHeight="1"/>
    <row r="2933" s="21" customFormat="1" ht="18.5" customHeight="1"/>
    <row r="2934" s="21" customFormat="1" ht="18.5" customHeight="1"/>
    <row r="2935" s="21" customFormat="1" ht="18.5" customHeight="1"/>
    <row r="2936" s="21" customFormat="1" ht="18.5" customHeight="1"/>
    <row r="2937" s="21" customFormat="1" ht="18.5" customHeight="1"/>
    <row r="2938" s="21" customFormat="1" ht="18.5" customHeight="1"/>
    <row r="2939" s="21" customFormat="1" ht="18.5" customHeight="1"/>
    <row r="2940" s="21" customFormat="1" ht="18.5" customHeight="1"/>
    <row r="2941" s="21" customFormat="1" ht="18.5" customHeight="1"/>
    <row r="2942" s="21" customFormat="1" ht="18.5" customHeight="1"/>
    <row r="2943" s="21" customFormat="1" ht="18.5" customHeight="1"/>
    <row r="2944" s="21" customFormat="1" ht="18.5" customHeight="1"/>
    <row r="2945" s="21" customFormat="1" ht="18.5" customHeight="1"/>
    <row r="2946" s="21" customFormat="1" ht="18.5" customHeight="1"/>
    <row r="2947" s="21" customFormat="1" ht="18.5" customHeight="1"/>
    <row r="2948" s="21" customFormat="1" ht="18.5" customHeight="1"/>
    <row r="2949" s="21" customFormat="1" ht="18.5" customHeight="1"/>
    <row r="2950" s="21" customFormat="1" ht="18.5" customHeight="1"/>
    <row r="2951" s="21" customFormat="1" ht="18.5" customHeight="1"/>
    <row r="2952" s="21" customFormat="1" ht="18.5" customHeight="1"/>
    <row r="2953" s="21" customFormat="1" ht="18.5" customHeight="1"/>
    <row r="2954" s="21" customFormat="1" ht="18.5" customHeight="1"/>
    <row r="2955" s="21" customFormat="1" ht="18.5" customHeight="1"/>
    <row r="2956" s="21" customFormat="1" ht="18.5" customHeight="1"/>
    <row r="2957" s="21" customFormat="1" ht="18.5" customHeight="1"/>
    <row r="2958" s="21" customFormat="1" ht="18.5" customHeight="1"/>
    <row r="2959" s="21" customFormat="1" ht="18.5" customHeight="1"/>
    <row r="2960" s="21" customFormat="1" ht="18.5" customHeight="1"/>
    <row r="2961" s="21" customFormat="1" ht="18.5" customHeight="1"/>
    <row r="2962" s="21" customFormat="1" ht="18.5" customHeight="1"/>
    <row r="2963" s="21" customFormat="1" ht="18.5" customHeight="1"/>
    <row r="2964" s="21" customFormat="1" ht="18.5" customHeight="1"/>
    <row r="2965" s="21" customFormat="1" ht="18.5" customHeight="1"/>
    <row r="2966" s="21" customFormat="1" ht="18.5" customHeight="1"/>
    <row r="2967" s="21" customFormat="1" ht="18.5" customHeight="1"/>
    <row r="2968" s="21" customFormat="1" ht="18.5" customHeight="1"/>
    <row r="2969" s="21" customFormat="1" ht="18.5" customHeight="1"/>
    <row r="2970" s="21" customFormat="1" ht="18.5" customHeight="1"/>
    <row r="2971" s="21" customFormat="1" ht="18.5" customHeight="1"/>
    <row r="2972" s="21" customFormat="1" ht="18.5" customHeight="1"/>
    <row r="2973" s="21" customFormat="1" ht="18.5" customHeight="1"/>
    <row r="2974" s="21" customFormat="1" ht="18.5" customHeight="1"/>
    <row r="2975" s="21" customFormat="1" ht="18.5" customHeight="1"/>
    <row r="2976" s="21" customFormat="1" ht="18.5" customHeight="1"/>
    <row r="2977" s="21" customFormat="1" ht="18.5" customHeight="1"/>
    <row r="2978" s="21" customFormat="1" ht="18.5" customHeight="1"/>
    <row r="2979" s="21" customFormat="1" ht="18.5" customHeight="1"/>
    <row r="2980" s="21" customFormat="1" ht="18.5" customHeight="1"/>
    <row r="2981" s="21" customFormat="1" ht="18.5" customHeight="1"/>
    <row r="2982" s="21" customFormat="1" ht="18.5" customHeight="1"/>
    <row r="2983" s="21" customFormat="1" ht="18.5" customHeight="1"/>
    <row r="2984" s="21" customFormat="1" ht="18.5" customHeight="1"/>
    <row r="2985" s="21" customFormat="1" ht="18.5" customHeight="1"/>
    <row r="2986" s="21" customFormat="1" ht="18.5" customHeight="1"/>
    <row r="2987" s="21" customFormat="1" ht="18.5" customHeight="1"/>
    <row r="2988" s="21" customFormat="1" ht="18.5" customHeight="1"/>
    <row r="2989" s="21" customFormat="1" ht="18.5" customHeight="1"/>
    <row r="2990" s="21" customFormat="1" ht="18.5" customHeight="1"/>
    <row r="2991" s="21" customFormat="1" ht="18.5" customHeight="1"/>
    <row r="2992" s="21" customFormat="1" ht="18.5" customHeight="1"/>
    <row r="2993" s="21" customFormat="1" ht="18.5" customHeight="1"/>
    <row r="2994" s="21" customFormat="1" ht="18.5" customHeight="1"/>
    <row r="2995" s="21" customFormat="1" ht="18.5" customHeight="1"/>
    <row r="2996" s="21" customFormat="1" ht="18.5" customHeight="1"/>
    <row r="2997" s="21" customFormat="1" ht="18.5" customHeight="1"/>
    <row r="2998" s="21" customFormat="1" ht="18.5" customHeight="1"/>
    <row r="2999" s="21" customFormat="1" ht="18.5" customHeight="1"/>
    <row r="3000" s="21" customFormat="1" ht="18.5" customHeight="1"/>
    <row r="3001" s="21" customFormat="1" ht="18.5" customHeight="1"/>
    <row r="3002" s="21" customFormat="1" ht="18.5" customHeight="1"/>
    <row r="3003" s="21" customFormat="1" ht="18.5" customHeight="1"/>
    <row r="3004" s="21" customFormat="1" ht="18.5" customHeight="1"/>
    <row r="3005" s="21" customFormat="1" ht="18.5" customHeight="1"/>
    <row r="3006" s="21" customFormat="1" ht="18.5" customHeight="1"/>
    <row r="3007" s="21" customFormat="1" ht="18.5" customHeight="1"/>
    <row r="3008" s="21" customFormat="1" ht="18.5" customHeight="1"/>
    <row r="3009" s="21" customFormat="1" ht="18.5" customHeight="1"/>
    <row r="3010" s="21" customFormat="1" ht="18.5" customHeight="1"/>
    <row r="3011" s="21" customFormat="1" ht="18.5" customHeight="1"/>
    <row r="3012" s="21" customFormat="1" ht="18.5" customHeight="1"/>
    <row r="3013" s="21" customFormat="1" ht="18.5" customHeight="1"/>
    <row r="3014" s="21" customFormat="1" ht="18.5" customHeight="1"/>
    <row r="3015" s="21" customFormat="1" ht="18.5" customHeight="1"/>
    <row r="3016" s="21" customFormat="1" ht="18.5" customHeight="1"/>
    <row r="3017" s="21" customFormat="1" ht="18.5" customHeight="1"/>
    <row r="3018" s="21" customFormat="1" ht="18.5" customHeight="1"/>
    <row r="3019" s="21" customFormat="1" ht="18.5" customHeight="1"/>
    <row r="3020" s="21" customFormat="1" ht="18.5" customHeight="1"/>
    <row r="3021" s="21" customFormat="1" ht="18.5" customHeight="1"/>
    <row r="3022" s="21" customFormat="1" ht="18.5" customHeight="1"/>
    <row r="3023" s="21" customFormat="1" ht="18.5" customHeight="1"/>
    <row r="3024" s="21" customFormat="1" ht="18.5" customHeight="1"/>
    <row r="3025" s="21" customFormat="1" ht="18.5" customHeight="1"/>
    <row r="3026" s="21" customFormat="1" ht="18.5" customHeight="1"/>
    <row r="3027" s="21" customFormat="1" ht="18.5" customHeight="1"/>
    <row r="3028" s="21" customFormat="1" ht="18.5" customHeight="1"/>
    <row r="3029" s="21" customFormat="1" ht="18.5" customHeight="1"/>
    <row r="3030" s="21" customFormat="1" ht="18.5" customHeight="1"/>
    <row r="3031" s="21" customFormat="1" ht="18.5" customHeight="1"/>
    <row r="3032" s="21" customFormat="1" ht="18.5" customHeight="1"/>
    <row r="3033" s="21" customFormat="1" ht="18.5" customHeight="1"/>
    <row r="3034" s="21" customFormat="1" ht="18.5" customHeight="1"/>
    <row r="3035" s="21" customFormat="1" ht="18.5" customHeight="1"/>
    <row r="3036" s="21" customFormat="1" ht="18.5" customHeight="1"/>
    <row r="3037" s="21" customFormat="1" ht="18.5" customHeight="1"/>
    <row r="3038" s="21" customFormat="1" ht="18.5" customHeight="1"/>
    <row r="3039" s="21" customFormat="1" ht="18.5" customHeight="1"/>
    <row r="3040" s="21" customFormat="1" ht="18.5" customHeight="1"/>
    <row r="3041" s="21" customFormat="1" ht="18.5" customHeight="1"/>
    <row r="3042" s="21" customFormat="1" ht="18.5" customHeight="1"/>
    <row r="3043" s="21" customFormat="1" ht="18.5" customHeight="1"/>
    <row r="3044" s="21" customFormat="1" ht="18.5" customHeight="1"/>
    <row r="3045" s="21" customFormat="1" ht="18.5" customHeight="1"/>
    <row r="3046" s="21" customFormat="1" ht="18.5" customHeight="1"/>
    <row r="3047" s="21" customFormat="1" ht="18.5" customHeight="1"/>
    <row r="3048" s="21" customFormat="1" ht="18.5" customHeight="1"/>
    <row r="3049" s="21" customFormat="1" ht="18.5" customHeight="1"/>
    <row r="3050" s="21" customFormat="1" ht="18.5" customHeight="1"/>
    <row r="3051" s="21" customFormat="1" ht="18.5" customHeight="1"/>
    <row r="3052" s="21" customFormat="1" ht="18.5" customHeight="1"/>
    <row r="3053" s="21" customFormat="1" ht="18.5" customHeight="1"/>
    <row r="3054" s="21" customFormat="1" ht="18.5" customHeight="1"/>
    <row r="3055" s="21" customFormat="1" ht="18.5" customHeight="1"/>
    <row r="3056" s="21" customFormat="1" ht="18.5" customHeight="1"/>
    <row r="3057" s="21" customFormat="1" ht="18.5" customHeight="1"/>
    <row r="3058" s="21" customFormat="1" ht="18.5" customHeight="1"/>
    <row r="3059" s="21" customFormat="1" ht="18.5" customHeight="1"/>
    <row r="3060" s="21" customFormat="1" ht="18.5" customHeight="1"/>
    <row r="3061" s="21" customFormat="1" ht="18.5" customHeight="1"/>
    <row r="3062" s="21" customFormat="1" ht="18.5" customHeight="1"/>
    <row r="3063" s="21" customFormat="1" ht="18.5" customHeight="1"/>
    <row r="3064" s="21" customFormat="1" ht="18.5" customHeight="1"/>
    <row r="3065" s="21" customFormat="1" ht="18.5" customHeight="1"/>
    <row r="3066" s="21" customFormat="1" ht="18.5" customHeight="1"/>
    <row r="3067" s="21" customFormat="1" ht="18.5" customHeight="1"/>
    <row r="3068" s="21" customFormat="1" ht="18.5" customHeight="1"/>
    <row r="3069" s="21" customFormat="1" ht="18.5" customHeight="1"/>
    <row r="3070" s="21" customFormat="1" ht="18.5" customHeight="1"/>
    <row r="3071" s="21" customFormat="1" ht="18.5" customHeight="1"/>
    <row r="3072" s="21" customFormat="1" ht="18.5" customHeight="1"/>
    <row r="3073" s="21" customFormat="1" ht="18.5" customHeight="1"/>
    <row r="3074" s="21" customFormat="1" ht="18.5" customHeight="1"/>
    <row r="3075" s="21" customFormat="1" ht="18.5" customHeight="1"/>
    <row r="3076" s="21" customFormat="1" ht="18.5" customHeight="1"/>
    <row r="3077" s="21" customFormat="1" ht="18.5" customHeight="1"/>
    <row r="3078" s="21" customFormat="1" ht="18.5" customHeight="1"/>
    <row r="3079" s="21" customFormat="1" ht="18.5" customHeight="1"/>
    <row r="3080" s="21" customFormat="1" ht="18.5" customHeight="1"/>
    <row r="3081" s="21" customFormat="1" ht="18.5" customHeight="1"/>
    <row r="3082" s="21" customFormat="1" ht="18.5" customHeight="1"/>
    <row r="3083" s="21" customFormat="1" ht="18.5" customHeight="1"/>
    <row r="3084" s="21" customFormat="1" ht="18.5" customHeight="1"/>
    <row r="3085" s="21" customFormat="1" ht="18.5" customHeight="1"/>
    <row r="3086" s="21" customFormat="1" ht="18.5" customHeight="1"/>
    <row r="3087" s="21" customFormat="1" ht="18.5" customHeight="1"/>
    <row r="3088" s="21" customFormat="1" ht="18.5" customHeight="1"/>
    <row r="3089" s="21" customFormat="1" ht="18.5" customHeight="1"/>
    <row r="3090" s="21" customFormat="1" ht="18.5" customHeight="1"/>
    <row r="3091" s="21" customFormat="1" ht="18.5" customHeight="1"/>
    <row r="3092" s="21" customFormat="1" ht="18.5" customHeight="1"/>
    <row r="3093" s="21" customFormat="1" ht="18.5" customHeight="1"/>
    <row r="3094" s="21" customFormat="1" ht="18.5" customHeight="1"/>
    <row r="3095" s="21" customFormat="1" ht="18.5" customHeight="1"/>
    <row r="3096" s="21" customFormat="1" ht="18.5" customHeight="1"/>
    <row r="3097" s="21" customFormat="1" ht="18.5" customHeight="1"/>
    <row r="3098" s="21" customFormat="1" ht="18.5" customHeight="1"/>
    <row r="3099" s="21" customFormat="1" ht="18.5" customHeight="1"/>
    <row r="3100" s="21" customFormat="1" ht="18.5" customHeight="1"/>
    <row r="3101" s="21" customFormat="1" ht="18.5" customHeight="1"/>
    <row r="3102" s="21" customFormat="1" ht="18.5" customHeight="1"/>
    <row r="3103" s="21" customFormat="1" ht="18.5" customHeight="1"/>
    <row r="3104" s="21" customFormat="1" ht="18.5" customHeight="1"/>
    <row r="3105" s="21" customFormat="1" ht="18.5" customHeight="1"/>
    <row r="3106" s="21" customFormat="1" ht="18.5" customHeight="1"/>
    <row r="3107" s="21" customFormat="1" ht="18.5" customHeight="1"/>
    <row r="3108" s="21" customFormat="1" ht="18.5" customHeight="1"/>
    <row r="3109" s="21" customFormat="1" ht="18.5" customHeight="1"/>
    <row r="3110" s="21" customFormat="1" ht="18.5" customHeight="1"/>
    <row r="3111" s="21" customFormat="1" ht="18.5" customHeight="1"/>
    <row r="3112" s="21" customFormat="1" ht="18.5" customHeight="1"/>
    <row r="3113" s="21" customFormat="1" ht="18.5" customHeight="1"/>
    <row r="3114" s="21" customFormat="1" ht="18.5" customHeight="1"/>
    <row r="3115" s="21" customFormat="1" ht="18.5" customHeight="1"/>
    <row r="3116" s="21" customFormat="1" ht="18.5" customHeight="1"/>
    <row r="3117" s="21" customFormat="1" ht="18.5" customHeight="1"/>
    <row r="3118" s="21" customFormat="1" ht="18.5" customHeight="1"/>
    <row r="3119" s="21" customFormat="1" ht="18.5" customHeight="1"/>
    <row r="3120" s="21" customFormat="1" ht="18.5" customHeight="1"/>
    <row r="3121" s="21" customFormat="1" ht="18.5" customHeight="1"/>
    <row r="3122" s="21" customFormat="1" ht="18.5" customHeight="1"/>
    <row r="3123" s="21" customFormat="1" ht="18.5" customHeight="1"/>
    <row r="3124" s="21" customFormat="1" ht="18.5" customHeight="1"/>
    <row r="3125" s="21" customFormat="1" ht="18.5" customHeight="1"/>
    <row r="3126" s="21" customFormat="1" ht="18.5" customHeight="1"/>
    <row r="3127" s="21" customFormat="1" ht="18.5" customHeight="1"/>
    <row r="3128" s="21" customFormat="1" ht="18.5" customHeight="1"/>
    <row r="3129" s="21" customFormat="1" ht="18.5" customHeight="1"/>
    <row r="3130" s="21" customFormat="1" ht="18.5" customHeight="1"/>
    <row r="3131" s="21" customFormat="1" ht="18.5" customHeight="1"/>
    <row r="3132" s="21" customFormat="1" ht="18.5" customHeight="1"/>
    <row r="3133" s="21" customFormat="1" ht="18.5" customHeight="1"/>
    <row r="3134" s="21" customFormat="1" ht="18.5" customHeight="1"/>
    <row r="3135" s="21" customFormat="1" ht="18.5" customHeight="1"/>
    <row r="3136" s="21" customFormat="1" ht="18.5" customHeight="1"/>
    <row r="3137" s="21" customFormat="1" ht="18.5" customHeight="1"/>
    <row r="3138" s="21" customFormat="1" ht="18.5" customHeight="1"/>
    <row r="3139" s="21" customFormat="1" ht="18.5" customHeight="1"/>
    <row r="3140" s="21" customFormat="1" ht="18.5" customHeight="1"/>
    <row r="3141" s="21" customFormat="1" ht="18.5" customHeight="1"/>
    <row r="3142" s="21" customFormat="1" ht="18.5" customHeight="1"/>
    <row r="3143" s="21" customFormat="1" ht="18.5" customHeight="1"/>
    <row r="3144" s="21" customFormat="1" ht="18.5" customHeight="1"/>
    <row r="3145" s="21" customFormat="1" ht="18.5" customHeight="1"/>
    <row r="3146" s="21" customFormat="1" ht="18.5" customHeight="1"/>
    <row r="3147" s="21" customFormat="1" ht="18.5" customHeight="1"/>
    <row r="3148" s="21" customFormat="1" ht="18.5" customHeight="1"/>
    <row r="3149" s="21" customFormat="1" ht="18.5" customHeight="1"/>
    <row r="3150" s="21" customFormat="1" ht="18.5" customHeight="1"/>
    <row r="3151" s="21" customFormat="1" ht="18.5" customHeight="1"/>
    <row r="3152" s="21" customFormat="1" ht="18.5" customHeight="1"/>
    <row r="3153" s="21" customFormat="1" ht="18.5" customHeight="1"/>
    <row r="3154" s="21" customFormat="1" ht="18.5" customHeight="1"/>
    <row r="3155" s="21" customFormat="1" ht="18.5" customHeight="1"/>
    <row r="3156" s="21" customFormat="1" ht="18.5" customHeight="1"/>
    <row r="3157" s="21" customFormat="1" ht="18.5" customHeight="1"/>
    <row r="3158" s="21" customFormat="1" ht="18.5" customHeight="1"/>
    <row r="3159" s="21" customFormat="1" ht="18.5" customHeight="1"/>
    <row r="3160" s="21" customFormat="1" ht="18.5" customHeight="1"/>
    <row r="3161" s="21" customFormat="1" ht="18.5" customHeight="1"/>
    <row r="3162" s="21" customFormat="1" ht="18.5" customHeight="1"/>
    <row r="3163" s="21" customFormat="1" ht="18.5" customHeight="1"/>
    <row r="3164" s="21" customFormat="1" ht="18.5" customHeight="1"/>
    <row r="3165" s="21" customFormat="1" ht="18.5" customHeight="1"/>
    <row r="3166" s="21" customFormat="1" ht="18.5" customHeight="1"/>
    <row r="3167" s="21" customFormat="1" ht="18.5" customHeight="1"/>
    <row r="3168" s="21" customFormat="1" ht="18.5" customHeight="1"/>
    <row r="3169" s="21" customFormat="1" ht="18.5" customHeight="1"/>
    <row r="3170" s="21" customFormat="1" ht="18.5" customHeight="1"/>
    <row r="3171" s="21" customFormat="1" ht="18.5" customHeight="1"/>
    <row r="3172" s="21" customFormat="1" ht="18.5" customHeight="1"/>
    <row r="3173" s="21" customFormat="1" ht="18.5" customHeight="1"/>
    <row r="3174" s="21" customFormat="1" ht="18.5" customHeight="1"/>
    <row r="3175" s="21" customFormat="1" ht="18.5" customHeight="1"/>
    <row r="3176" s="21" customFormat="1" ht="18.5" customHeight="1"/>
    <row r="3177" s="21" customFormat="1" ht="18.5" customHeight="1"/>
    <row r="3178" s="21" customFormat="1" ht="18.5" customHeight="1"/>
    <row r="3179" s="21" customFormat="1" ht="18.5" customHeight="1"/>
    <row r="3180" s="21" customFormat="1" ht="18.5" customHeight="1"/>
    <row r="3181" s="21" customFormat="1" ht="18.5" customHeight="1"/>
    <row r="3182" s="21" customFormat="1" ht="18.5" customHeight="1"/>
    <row r="3183" s="21" customFormat="1" ht="18.5" customHeight="1"/>
    <row r="3184" s="21" customFormat="1" ht="18.5" customHeight="1"/>
    <row r="3185" s="21" customFormat="1" ht="18.5" customHeight="1"/>
    <row r="3186" s="21" customFormat="1" ht="18.5" customHeight="1"/>
    <row r="3187" s="21" customFormat="1" ht="18.5" customHeight="1"/>
    <row r="3188" s="21" customFormat="1" ht="18.5" customHeight="1"/>
    <row r="3189" s="21" customFormat="1" ht="18.5" customHeight="1"/>
    <row r="3190" s="21" customFormat="1" ht="18.5" customHeight="1"/>
    <row r="3191" s="21" customFormat="1" ht="18.5" customHeight="1"/>
    <row r="3192" s="21" customFormat="1" ht="18.5" customHeight="1"/>
    <row r="3193" s="21" customFormat="1" ht="18.5" customHeight="1"/>
    <row r="3194" s="21" customFormat="1" ht="18.5" customHeight="1"/>
    <row r="3195" s="21" customFormat="1" ht="18.5" customHeight="1"/>
    <row r="3196" s="21" customFormat="1" ht="18.5" customHeight="1"/>
    <row r="3197" s="21" customFormat="1" ht="18.5" customHeight="1"/>
    <row r="3198" s="21" customFormat="1" ht="18.5" customHeight="1"/>
    <row r="3199" s="21" customFormat="1" ht="18.5" customHeight="1"/>
    <row r="3200" s="21" customFormat="1" ht="18.5" customHeight="1"/>
    <row r="3201" s="21" customFormat="1" ht="18.5" customHeight="1"/>
    <row r="3202" s="21" customFormat="1" ht="18.5" customHeight="1"/>
    <row r="3203" s="21" customFormat="1" ht="18.5" customHeight="1"/>
    <row r="3204" s="21" customFormat="1" ht="18.5" customHeight="1"/>
    <row r="3205" s="21" customFormat="1" ht="18.5" customHeight="1"/>
    <row r="3206" s="21" customFormat="1" ht="18.5" customHeight="1"/>
    <row r="3207" s="21" customFormat="1" ht="18.5" customHeight="1"/>
    <row r="3208" s="21" customFormat="1" ht="18.5" customHeight="1"/>
    <row r="3209" s="21" customFormat="1" ht="18.5" customHeight="1"/>
    <row r="3210" s="21" customFormat="1" ht="18.5" customHeight="1"/>
    <row r="3211" s="21" customFormat="1" ht="18.5" customHeight="1"/>
    <row r="3212" s="21" customFormat="1" ht="18.5" customHeight="1"/>
    <row r="3213" s="21" customFormat="1" ht="18.5" customHeight="1"/>
    <row r="3214" s="21" customFormat="1" ht="18.5" customHeight="1"/>
    <row r="3215" s="21" customFormat="1" ht="18.5" customHeight="1"/>
    <row r="3216" s="21" customFormat="1" ht="18.5" customHeight="1"/>
    <row r="3217" s="21" customFormat="1" ht="18.5" customHeight="1"/>
    <row r="3218" s="21" customFormat="1" ht="18.5" customHeight="1"/>
    <row r="3219" s="21" customFormat="1" ht="18.5" customHeight="1"/>
    <row r="3220" s="21" customFormat="1" ht="18.5" customHeight="1"/>
    <row r="3221" s="21" customFormat="1" ht="18.5" customHeight="1"/>
    <row r="3222" s="21" customFormat="1" ht="18.5" customHeight="1"/>
    <row r="3223" s="21" customFormat="1" ht="18.5" customHeight="1"/>
    <row r="3224" s="21" customFormat="1" ht="18.5" customHeight="1"/>
    <row r="3225" s="21" customFormat="1" ht="18.5" customHeight="1"/>
    <row r="3226" s="21" customFormat="1" ht="18.5" customHeight="1"/>
    <row r="3227" s="21" customFormat="1" ht="18.5" customHeight="1"/>
    <row r="3228" s="21" customFormat="1" ht="18.5" customHeight="1"/>
    <row r="3229" s="21" customFormat="1" ht="18.5" customHeight="1"/>
    <row r="3230" s="21" customFormat="1" ht="18.5" customHeight="1"/>
    <row r="3231" s="21" customFormat="1" ht="18.5" customHeight="1"/>
    <row r="3232" s="21" customFormat="1" ht="18.5" customHeight="1"/>
    <row r="3233" s="21" customFormat="1" ht="18.5" customHeight="1"/>
    <row r="3234" s="21" customFormat="1" ht="18.5" customHeight="1"/>
    <row r="3235" s="21" customFormat="1" ht="18.5" customHeight="1"/>
    <row r="3236" s="21" customFormat="1" ht="18.5" customHeight="1"/>
    <row r="3237" s="21" customFormat="1" ht="18.5" customHeight="1"/>
    <row r="3238" s="21" customFormat="1" ht="18.5" customHeight="1"/>
    <row r="3239" s="21" customFormat="1" ht="18.5" customHeight="1"/>
    <row r="3240" s="21" customFormat="1" ht="18.5" customHeight="1"/>
    <row r="3241" s="21" customFormat="1" ht="18.5" customHeight="1"/>
    <row r="3242" s="21" customFormat="1" ht="18.5" customHeight="1"/>
    <row r="3243" s="21" customFormat="1" ht="18.5" customHeight="1"/>
    <row r="3244" s="21" customFormat="1" ht="18.5" customHeight="1"/>
    <row r="3245" s="21" customFormat="1" ht="18.5" customHeight="1"/>
    <row r="3246" s="21" customFormat="1" ht="18.5" customHeight="1"/>
    <row r="3247" s="21" customFormat="1" ht="18.5" customHeight="1"/>
    <row r="3248" s="21" customFormat="1" ht="18.5" customHeight="1"/>
    <row r="3249" s="21" customFormat="1" ht="18.5" customHeight="1"/>
    <row r="3250" s="21" customFormat="1" ht="18.5" customHeight="1"/>
    <row r="3251" s="21" customFormat="1" ht="18.5" customHeight="1"/>
    <row r="3252" s="21" customFormat="1" ht="18.5" customHeight="1"/>
    <row r="3253" s="21" customFormat="1" ht="18.5" customHeight="1"/>
    <row r="3254" s="21" customFormat="1" ht="18.5" customHeight="1"/>
    <row r="3255" s="21" customFormat="1" ht="18.5" customHeight="1"/>
    <row r="3256" s="21" customFormat="1" ht="18.5" customHeight="1"/>
    <row r="3257" s="21" customFormat="1" ht="18.5" customHeight="1"/>
    <row r="3258" s="21" customFormat="1" ht="18.5" customHeight="1"/>
    <row r="3259" s="21" customFormat="1" ht="18.5" customHeight="1"/>
    <row r="3260" s="21" customFormat="1" ht="18.5" customHeight="1"/>
    <row r="3261" s="21" customFormat="1" ht="18.5" customHeight="1"/>
    <row r="3262" s="21" customFormat="1" ht="18.5" customHeight="1"/>
    <row r="3263" s="21" customFormat="1" ht="18.5" customHeight="1"/>
    <row r="3264" s="21" customFormat="1" ht="18.5" customHeight="1"/>
    <row r="3265" s="21" customFormat="1" ht="18.5" customHeight="1"/>
    <row r="3266" s="21" customFormat="1" ht="18.5" customHeight="1"/>
    <row r="3267" s="21" customFormat="1" ht="18.5" customHeight="1"/>
    <row r="3268" s="21" customFormat="1" ht="18.5" customHeight="1"/>
    <row r="3269" s="21" customFormat="1" ht="18.5" customHeight="1"/>
    <row r="3270" s="21" customFormat="1" ht="18.5" customHeight="1"/>
    <row r="3271" s="21" customFormat="1" ht="18.5" customHeight="1"/>
    <row r="3272" s="21" customFormat="1" ht="18.5" customHeight="1"/>
    <row r="3273" s="21" customFormat="1" ht="18.5" customHeight="1"/>
    <row r="3274" s="21" customFormat="1" ht="18.5" customHeight="1"/>
    <row r="3275" s="21" customFormat="1" ht="18.5" customHeight="1"/>
    <row r="3276" s="21" customFormat="1" ht="18.5" customHeight="1"/>
    <row r="3277" s="21" customFormat="1" ht="18.5" customHeight="1"/>
    <row r="3278" s="21" customFormat="1" ht="18.5" customHeight="1"/>
    <row r="3279" s="21" customFormat="1" ht="18.5" customHeight="1"/>
    <row r="3280" s="21" customFormat="1" ht="18.5" customHeight="1"/>
    <row r="3281" s="21" customFormat="1" ht="18.5" customHeight="1"/>
    <row r="3282" s="21" customFormat="1" ht="18.5" customHeight="1"/>
    <row r="3283" s="21" customFormat="1" ht="18.5" customHeight="1"/>
    <row r="3284" s="21" customFormat="1" ht="18.5" customHeight="1"/>
    <row r="3285" s="21" customFormat="1" ht="18.5" customHeight="1"/>
    <row r="3286" s="21" customFormat="1" ht="18.5" customHeight="1"/>
    <row r="3287" s="21" customFormat="1" ht="18.5" customHeight="1"/>
    <row r="3288" s="21" customFormat="1" ht="18.5" customHeight="1"/>
    <row r="3289" s="21" customFormat="1" ht="18.5" customHeight="1"/>
    <row r="3290" s="21" customFormat="1" ht="18.5" customHeight="1"/>
    <row r="3291" s="21" customFormat="1" ht="18.5" customHeight="1"/>
    <row r="3292" s="21" customFormat="1" ht="18.5" customHeight="1"/>
    <row r="3293" s="21" customFormat="1" ht="18.5" customHeight="1"/>
    <row r="3294" s="21" customFormat="1" ht="18.5" customHeight="1"/>
    <row r="3295" s="21" customFormat="1" ht="18.5" customHeight="1"/>
    <row r="3296" s="21" customFormat="1" ht="18.5" customHeight="1"/>
    <row r="3297" s="21" customFormat="1" ht="18.5" customHeight="1"/>
    <row r="3298" s="21" customFormat="1" ht="18.5" customHeight="1"/>
    <row r="3299" s="21" customFormat="1" ht="18.5" customHeight="1"/>
    <row r="3300" s="21" customFormat="1" ht="18.5" customHeight="1"/>
    <row r="3301" s="21" customFormat="1" ht="18.5" customHeight="1"/>
    <row r="3302" s="21" customFormat="1" ht="18.5" customHeight="1"/>
    <row r="3303" s="21" customFormat="1" ht="18.5" customHeight="1"/>
    <row r="3304" s="21" customFormat="1" ht="18.5" customHeight="1"/>
    <row r="3305" s="21" customFormat="1" ht="18.5" customHeight="1"/>
    <row r="3306" s="21" customFormat="1" ht="18.5" customHeight="1"/>
    <row r="3307" s="21" customFormat="1" ht="18.5" customHeight="1"/>
    <row r="3308" s="21" customFormat="1" ht="18.5" customHeight="1"/>
    <row r="3309" s="21" customFormat="1" ht="18.5" customHeight="1"/>
    <row r="3310" s="21" customFormat="1" ht="18.5" customHeight="1"/>
    <row r="3311" s="21" customFormat="1" ht="18.5" customHeight="1"/>
    <row r="3312" s="21" customFormat="1" ht="18.5" customHeight="1"/>
    <row r="3313" s="21" customFormat="1" ht="18.5" customHeight="1"/>
    <row r="3314" s="21" customFormat="1" ht="18.5" customHeight="1"/>
    <row r="3315" s="21" customFormat="1" ht="18.5" customHeight="1"/>
    <row r="3316" s="21" customFormat="1" ht="18.5" customHeight="1"/>
    <row r="3317" s="21" customFormat="1" ht="18.5" customHeight="1"/>
    <row r="3318" s="21" customFormat="1" ht="18.5" customHeight="1"/>
    <row r="3319" s="21" customFormat="1" ht="18.5" customHeight="1"/>
    <row r="3320" s="21" customFormat="1" ht="18.5" customHeight="1"/>
    <row r="3321" s="21" customFormat="1" ht="18.5" customHeight="1"/>
    <row r="3322" s="21" customFormat="1" ht="18.5" customHeight="1"/>
    <row r="3323" s="21" customFormat="1" ht="18.5" customHeight="1"/>
    <row r="3324" s="21" customFormat="1" ht="18.5" customHeight="1"/>
    <row r="3325" s="21" customFormat="1" ht="18.5" customHeight="1"/>
    <row r="3326" s="21" customFormat="1" ht="18.5" customHeight="1"/>
    <row r="3327" s="21" customFormat="1" ht="18.5" customHeight="1"/>
    <row r="3328" s="21" customFormat="1" ht="18.5" customHeight="1"/>
    <row r="3329" s="21" customFormat="1" ht="18.5" customHeight="1"/>
    <row r="3330" s="21" customFormat="1" ht="18.5" customHeight="1"/>
    <row r="3331" s="21" customFormat="1" ht="18.5" customHeight="1"/>
    <row r="3332" s="21" customFormat="1" ht="18.5" customHeight="1"/>
    <row r="3333" s="21" customFormat="1" ht="18.5" customHeight="1"/>
    <row r="3334" s="21" customFormat="1" ht="18.5" customHeight="1"/>
    <row r="3335" s="21" customFormat="1" ht="18.5" customHeight="1"/>
    <row r="3336" s="21" customFormat="1" ht="18.5" customHeight="1"/>
    <row r="3337" s="21" customFormat="1" ht="18.5" customHeight="1"/>
    <row r="3338" s="21" customFormat="1" ht="18.5" customHeight="1"/>
    <row r="3339" s="21" customFormat="1" ht="18.5" customHeight="1"/>
    <row r="3340" s="21" customFormat="1" ht="18.5" customHeight="1"/>
    <row r="3341" s="21" customFormat="1" ht="18.5" customHeight="1"/>
    <row r="3342" s="21" customFormat="1" ht="18.5" customHeight="1"/>
    <row r="3343" s="21" customFormat="1" ht="18.5" customHeight="1"/>
    <row r="3344" s="21" customFormat="1" ht="18.5" customHeight="1"/>
    <row r="3345" s="21" customFormat="1" ht="18.5" customHeight="1"/>
    <row r="3346" s="21" customFormat="1" ht="18.5" customHeight="1"/>
    <row r="3347" s="21" customFormat="1" ht="18.5" customHeight="1"/>
    <row r="3348" s="21" customFormat="1" ht="18.5" customHeight="1"/>
    <row r="3349" s="21" customFormat="1" ht="18.5" customHeight="1"/>
    <row r="3350" s="21" customFormat="1" ht="18.5" customHeight="1"/>
    <row r="3351" s="21" customFormat="1" ht="18.5" customHeight="1"/>
    <row r="3352" s="21" customFormat="1" ht="18.5" customHeight="1"/>
    <row r="3353" s="21" customFormat="1" ht="18.5" customHeight="1"/>
    <row r="3354" s="21" customFormat="1" ht="18.5" customHeight="1"/>
    <row r="3355" s="21" customFormat="1" ht="18.5" customHeight="1"/>
    <row r="3356" s="21" customFormat="1" ht="18.5" customHeight="1"/>
    <row r="3357" s="21" customFormat="1" ht="18.5" customHeight="1"/>
    <row r="3358" s="21" customFormat="1" ht="18.5" customHeight="1"/>
    <row r="3359" s="21" customFormat="1" ht="18.5" customHeight="1"/>
    <row r="3360" s="21" customFormat="1" ht="18.5" customHeight="1"/>
    <row r="3361" s="21" customFormat="1" ht="18.5" customHeight="1"/>
    <row r="3362" s="21" customFormat="1" ht="18.5" customHeight="1"/>
    <row r="3363" s="21" customFormat="1" ht="18.5" customHeight="1"/>
    <row r="3364" s="21" customFormat="1" ht="18.5" customHeight="1"/>
    <row r="3365" s="21" customFormat="1" ht="18.5" customHeight="1"/>
    <row r="3366" s="21" customFormat="1" ht="18.5" customHeight="1"/>
    <row r="3367" s="21" customFormat="1" ht="18.5" customHeight="1"/>
    <row r="3368" s="21" customFormat="1" ht="18.5" customHeight="1"/>
    <row r="3369" s="21" customFormat="1" ht="18.5" customHeight="1"/>
    <row r="3370" s="21" customFormat="1" ht="18.5" customHeight="1"/>
    <row r="3371" s="21" customFormat="1" ht="18.5" customHeight="1"/>
    <row r="3372" s="21" customFormat="1" ht="18.5" customHeight="1"/>
    <row r="3373" s="21" customFormat="1" ht="18.5" customHeight="1"/>
    <row r="3374" s="21" customFormat="1" ht="18.5" customHeight="1"/>
    <row r="3375" s="21" customFormat="1" ht="18.5" customHeight="1"/>
    <row r="3376" s="21" customFormat="1" ht="18.5" customHeight="1"/>
    <row r="3377" s="21" customFormat="1" ht="18.5" customHeight="1"/>
    <row r="3378" s="21" customFormat="1" ht="18.5" customHeight="1"/>
    <row r="3379" s="21" customFormat="1" ht="18.5" customHeight="1"/>
    <row r="3380" s="21" customFormat="1" ht="18.5" customHeight="1"/>
    <row r="3381" s="21" customFormat="1" ht="18.5" customHeight="1"/>
    <row r="3382" s="21" customFormat="1" ht="18.5" customHeight="1"/>
    <row r="3383" s="21" customFormat="1" ht="18.5" customHeight="1"/>
    <row r="3384" s="21" customFormat="1" ht="18.5" customHeight="1"/>
    <row r="3385" s="21" customFormat="1" ht="18.5" customHeight="1"/>
    <row r="3386" s="21" customFormat="1" ht="18.5" customHeight="1"/>
    <row r="3387" s="21" customFormat="1" ht="18.5" customHeight="1"/>
    <row r="3388" s="21" customFormat="1" ht="18.5" customHeight="1"/>
    <row r="3389" s="21" customFormat="1" ht="18.5" customHeight="1"/>
    <row r="3390" s="21" customFormat="1" ht="18.5" customHeight="1"/>
    <row r="3391" s="21" customFormat="1" ht="18.5" customHeight="1"/>
    <row r="3392" s="21" customFormat="1" ht="18.5" customHeight="1"/>
    <row r="3393" s="21" customFormat="1" ht="18.5" customHeight="1"/>
    <row r="3394" s="21" customFormat="1" ht="18.5" customHeight="1"/>
    <row r="3395" s="21" customFormat="1" ht="18.5" customHeight="1"/>
    <row r="3396" s="21" customFormat="1" ht="18.5" customHeight="1"/>
    <row r="3397" s="21" customFormat="1" ht="18.5" customHeight="1"/>
    <row r="3398" s="21" customFormat="1" ht="18.5" customHeight="1"/>
    <row r="3399" s="21" customFormat="1" ht="18.5" customHeight="1"/>
    <row r="3400" s="21" customFormat="1" ht="18.5" customHeight="1"/>
    <row r="3401" s="21" customFormat="1" ht="18.5" customHeight="1"/>
    <row r="3402" s="21" customFormat="1" ht="18.5" customHeight="1"/>
    <row r="3403" s="21" customFormat="1" ht="18.5" customHeight="1"/>
    <row r="3404" s="21" customFormat="1" ht="18.5" customHeight="1"/>
    <row r="3405" s="21" customFormat="1" ht="18.5" customHeight="1"/>
    <row r="3406" s="21" customFormat="1" ht="18.5" customHeight="1"/>
    <row r="3407" s="21" customFormat="1" ht="18.5" customHeight="1"/>
    <row r="3408" s="21" customFormat="1" ht="18.5" customHeight="1"/>
    <row r="3409" s="21" customFormat="1" ht="18.5" customHeight="1"/>
    <row r="3410" s="21" customFormat="1" ht="18.5" customHeight="1"/>
    <row r="3411" s="21" customFormat="1" ht="18.5" customHeight="1"/>
    <row r="3412" s="21" customFormat="1" ht="18.5" customHeight="1"/>
    <row r="3413" s="21" customFormat="1" ht="18.5" customHeight="1"/>
    <row r="3414" s="21" customFormat="1" ht="18.5" customHeight="1"/>
    <row r="3415" s="21" customFormat="1" ht="18.5" customHeight="1"/>
    <row r="3416" s="21" customFormat="1" ht="18.5" customHeight="1"/>
    <row r="3417" s="21" customFormat="1" ht="18.5" customHeight="1"/>
    <row r="3418" s="21" customFormat="1" ht="18.5" customHeight="1"/>
    <row r="3419" s="21" customFormat="1" ht="18.5" customHeight="1"/>
    <row r="3420" s="21" customFormat="1" ht="18.5" customHeight="1"/>
    <row r="3421" s="21" customFormat="1" ht="18.5" customHeight="1"/>
    <row r="3422" s="21" customFormat="1" ht="18.5" customHeight="1"/>
    <row r="3423" s="21" customFormat="1" ht="18.5" customHeight="1"/>
    <row r="3424" s="21" customFormat="1" ht="18.5" customHeight="1"/>
    <row r="3425" s="21" customFormat="1" ht="18.5" customHeight="1"/>
    <row r="3426" s="21" customFormat="1" ht="18.5" customHeight="1"/>
    <row r="3427" s="21" customFormat="1" ht="18.5" customHeight="1"/>
    <row r="3428" s="21" customFormat="1" ht="18.5" customHeight="1"/>
    <row r="3429" s="21" customFormat="1" ht="18.5" customHeight="1"/>
    <row r="3430" s="21" customFormat="1" ht="18.5" customHeight="1"/>
    <row r="3431" s="21" customFormat="1" ht="18.5" customHeight="1"/>
    <row r="3432" s="21" customFormat="1" ht="18.5" customHeight="1"/>
    <row r="3433" s="21" customFormat="1" ht="18.5" customHeight="1"/>
    <row r="3434" s="21" customFormat="1" ht="18.5" customHeight="1"/>
    <row r="3435" s="21" customFormat="1" ht="18.5" customHeight="1"/>
    <row r="3436" s="21" customFormat="1" ht="18.5" customHeight="1"/>
    <row r="3437" s="21" customFormat="1" ht="18.5" customHeight="1"/>
    <row r="3438" s="21" customFormat="1" ht="18.5" customHeight="1"/>
    <row r="3439" s="21" customFormat="1" ht="18.5" customHeight="1"/>
    <row r="3440" s="21" customFormat="1" ht="18.5" customHeight="1"/>
    <row r="3441" s="21" customFormat="1" ht="18.5" customHeight="1"/>
    <row r="3442" s="21" customFormat="1" ht="18.5" customHeight="1"/>
    <row r="3443" s="21" customFormat="1" ht="18.5" customHeight="1"/>
    <row r="3444" s="21" customFormat="1" ht="18.5" customHeight="1"/>
    <row r="3445" s="21" customFormat="1" ht="18.5" customHeight="1"/>
    <row r="3446" s="21" customFormat="1" ht="18.5" customHeight="1"/>
    <row r="3447" s="21" customFormat="1" ht="18.5" customHeight="1"/>
    <row r="3448" s="21" customFormat="1" ht="18.5" customHeight="1"/>
    <row r="3449" s="21" customFormat="1" ht="18.5" customHeight="1"/>
    <row r="3450" s="21" customFormat="1" ht="18.5" customHeight="1"/>
    <row r="3451" s="21" customFormat="1" ht="18.5" customHeight="1"/>
    <row r="3452" s="21" customFormat="1" ht="18.5" customHeight="1"/>
    <row r="3453" s="21" customFormat="1" ht="18.5" customHeight="1"/>
    <row r="3454" s="21" customFormat="1" ht="18.5" customHeight="1"/>
    <row r="3455" s="21" customFormat="1" ht="18.5" customHeight="1"/>
    <row r="3456" s="21" customFormat="1" ht="18.5" customHeight="1"/>
    <row r="3457" s="21" customFormat="1" ht="18.5" customHeight="1"/>
    <row r="3458" s="21" customFormat="1" ht="18.5" customHeight="1"/>
    <row r="3459" s="21" customFormat="1" ht="18.5" customHeight="1"/>
    <row r="3460" s="21" customFormat="1" ht="18.5" customHeight="1"/>
    <row r="3461" s="21" customFormat="1" ht="18.5" customHeight="1"/>
    <row r="3462" s="21" customFormat="1" ht="18.5" customHeight="1"/>
    <row r="3463" s="21" customFormat="1" ht="18.5" customHeight="1"/>
    <row r="3464" s="21" customFormat="1" ht="18.5" customHeight="1"/>
    <row r="3465" s="21" customFormat="1" ht="18.5" customHeight="1"/>
    <row r="3466" s="21" customFormat="1" ht="18.5" customHeight="1"/>
    <row r="3467" s="21" customFormat="1" ht="18.5" customHeight="1"/>
    <row r="3468" s="21" customFormat="1" ht="18.5" customHeight="1"/>
    <row r="3469" s="21" customFormat="1" ht="18.5" customHeight="1"/>
    <row r="3470" s="21" customFormat="1" ht="18.5" customHeight="1"/>
    <row r="3471" s="21" customFormat="1" ht="18.5" customHeight="1"/>
    <row r="3472" s="21" customFormat="1" ht="18.5" customHeight="1"/>
    <row r="3473" s="21" customFormat="1" ht="18.5" customHeight="1"/>
    <row r="3474" s="21" customFormat="1" ht="18.5" customHeight="1"/>
    <row r="3475" s="21" customFormat="1" ht="18.5" customHeight="1"/>
    <row r="3476" s="21" customFormat="1" ht="18.5" customHeight="1"/>
    <row r="3477" s="21" customFormat="1" ht="18.5" customHeight="1"/>
    <row r="3478" s="21" customFormat="1" ht="18.5" customHeight="1"/>
    <row r="3479" s="21" customFormat="1" ht="18.5" customHeight="1"/>
    <row r="3480" s="21" customFormat="1" ht="18.5" customHeight="1"/>
    <row r="3481" s="21" customFormat="1" ht="18.5" customHeight="1"/>
    <row r="3482" s="21" customFormat="1" ht="18.5" customHeight="1"/>
    <row r="3483" s="21" customFormat="1" ht="18.5" customHeight="1"/>
    <row r="3484" s="21" customFormat="1" ht="18.5" customHeight="1"/>
    <row r="3485" s="21" customFormat="1" ht="18.5" customHeight="1"/>
    <row r="3486" s="21" customFormat="1" ht="18.5" customHeight="1"/>
    <row r="3487" s="21" customFormat="1" ht="18.5" customHeight="1"/>
    <row r="3488" s="21" customFormat="1" ht="18.5" customHeight="1"/>
    <row r="3489" s="21" customFormat="1" ht="18.5" customHeight="1"/>
    <row r="3490" s="21" customFormat="1" ht="18.5" customHeight="1"/>
    <row r="3491" s="21" customFormat="1" ht="18.5" customHeight="1"/>
    <row r="3492" s="21" customFormat="1" ht="18.5" customHeight="1"/>
    <row r="3493" s="21" customFormat="1" ht="18.5" customHeight="1"/>
    <row r="3494" s="21" customFormat="1" ht="18.5" customHeight="1"/>
    <row r="3495" s="21" customFormat="1" ht="18.5" customHeight="1"/>
    <row r="3496" s="21" customFormat="1" ht="18.5" customHeight="1"/>
    <row r="3497" s="21" customFormat="1" ht="18.5" customHeight="1"/>
    <row r="3498" s="21" customFormat="1" ht="18.5" customHeight="1"/>
    <row r="3499" s="21" customFormat="1" ht="18.5" customHeight="1"/>
    <row r="3500" s="21" customFormat="1" ht="18.5" customHeight="1"/>
    <row r="3501" s="21" customFormat="1" ht="18.5" customHeight="1"/>
    <row r="3502" s="21" customFormat="1" ht="18.5" customHeight="1"/>
    <row r="3503" s="21" customFormat="1" ht="18.5" customHeight="1"/>
    <row r="3504" s="21" customFormat="1" ht="18.5" customHeight="1"/>
    <row r="3505" s="21" customFormat="1" ht="18.5" customHeight="1"/>
    <row r="3506" s="21" customFormat="1" ht="18.5" customHeight="1"/>
    <row r="3507" s="21" customFormat="1" ht="18.5" customHeight="1"/>
    <row r="3508" s="21" customFormat="1" ht="18.5" customHeight="1"/>
    <row r="3509" s="21" customFormat="1" ht="18.5" customHeight="1"/>
    <row r="3510" s="21" customFormat="1" ht="18.5" customHeight="1"/>
    <row r="3511" s="21" customFormat="1" ht="18.5" customHeight="1"/>
    <row r="3512" s="21" customFormat="1" ht="18.5" customHeight="1"/>
    <row r="3513" s="21" customFormat="1" ht="18.5" customHeight="1"/>
    <row r="3514" s="21" customFormat="1" ht="18.5" customHeight="1"/>
    <row r="3515" s="21" customFormat="1" ht="18.5" customHeight="1"/>
    <row r="3516" s="21" customFormat="1" ht="18.5" customHeight="1"/>
    <row r="3517" s="21" customFormat="1" ht="18.5" customHeight="1"/>
    <row r="3518" s="21" customFormat="1" ht="18.5" customHeight="1"/>
    <row r="3519" s="21" customFormat="1" ht="18.5" customHeight="1"/>
    <row r="3520" s="21" customFormat="1" ht="18.5" customHeight="1"/>
    <row r="3521" s="21" customFormat="1" ht="18.5" customHeight="1"/>
    <row r="3522" s="21" customFormat="1" ht="18.5" customHeight="1"/>
    <row r="3523" s="21" customFormat="1" ht="18.5" customHeight="1"/>
    <row r="3524" s="21" customFormat="1" ht="18.5" customHeight="1"/>
    <row r="3525" s="21" customFormat="1" ht="18.5" customHeight="1"/>
    <row r="3526" s="21" customFormat="1" ht="18.5" customHeight="1"/>
    <row r="3527" s="21" customFormat="1" ht="18.5" customHeight="1"/>
    <row r="3528" s="21" customFormat="1" ht="18.5" customHeight="1"/>
    <row r="3529" s="21" customFormat="1" ht="18.5" customHeight="1"/>
    <row r="3530" s="21" customFormat="1" ht="18.5" customHeight="1"/>
    <row r="3531" s="21" customFormat="1" ht="18.5" customHeight="1"/>
    <row r="3532" s="21" customFormat="1" ht="18.5" customHeight="1"/>
    <row r="3533" s="21" customFormat="1" ht="18.5" customHeight="1"/>
    <row r="3534" s="21" customFormat="1" ht="18.5" customHeight="1"/>
    <row r="3535" s="21" customFormat="1" ht="18.5" customHeight="1"/>
    <row r="3536" s="21" customFormat="1" ht="18.5" customHeight="1"/>
    <row r="3537" s="21" customFormat="1" ht="18.5" customHeight="1"/>
    <row r="3538" s="21" customFormat="1" ht="18.5" customHeight="1"/>
    <row r="3539" s="21" customFormat="1" ht="18.5" customHeight="1"/>
    <row r="3540" s="21" customFormat="1" ht="18.5" customHeight="1"/>
    <row r="3541" s="21" customFormat="1" ht="18.5" customHeight="1"/>
    <row r="3542" s="21" customFormat="1" ht="18.5" customHeight="1"/>
    <row r="3543" s="21" customFormat="1" ht="18.5" customHeight="1"/>
    <row r="3544" s="21" customFormat="1" ht="18.5" customHeight="1"/>
    <row r="3545" s="21" customFormat="1" ht="18.5" customHeight="1"/>
    <row r="3546" s="21" customFormat="1" ht="18.5" customHeight="1"/>
    <row r="3547" s="21" customFormat="1" ht="18.5" customHeight="1"/>
    <row r="3548" s="21" customFormat="1" ht="18.5" customHeight="1"/>
    <row r="3549" s="21" customFormat="1" ht="18.5" customHeight="1"/>
    <row r="3550" s="21" customFormat="1" ht="18.5" customHeight="1"/>
    <row r="3551" s="21" customFormat="1" ht="18.5" customHeight="1"/>
    <row r="3552" s="21" customFormat="1" ht="18.5" customHeight="1"/>
    <row r="3553" s="21" customFormat="1" ht="18.5" customHeight="1"/>
    <row r="3554" s="21" customFormat="1" ht="18.5" customHeight="1"/>
    <row r="3555" s="21" customFormat="1" ht="18.5" customHeight="1"/>
    <row r="3556" s="21" customFormat="1" ht="18.5" customHeight="1"/>
    <row r="3557" s="21" customFormat="1" ht="18.5" customHeight="1"/>
    <row r="3558" s="21" customFormat="1" ht="18.5" customHeight="1"/>
    <row r="3559" s="21" customFormat="1" ht="18.5" customHeight="1"/>
    <row r="3560" s="21" customFormat="1" ht="18.5" customHeight="1"/>
    <row r="3561" s="21" customFormat="1" ht="18.5" customHeight="1"/>
    <row r="3562" s="21" customFormat="1" ht="18.5" customHeight="1"/>
    <row r="3563" s="21" customFormat="1" ht="18.5" customHeight="1"/>
    <row r="3564" s="21" customFormat="1" ht="18.5" customHeight="1"/>
    <row r="3565" s="21" customFormat="1" ht="18.5" customHeight="1"/>
    <row r="3566" s="21" customFormat="1" ht="18.5" customHeight="1"/>
    <row r="3567" s="21" customFormat="1" ht="18.5" customHeight="1"/>
    <row r="3568" s="21" customFormat="1" ht="18.5" customHeight="1"/>
    <row r="3569" s="21" customFormat="1" ht="18.5" customHeight="1"/>
    <row r="3570" s="21" customFormat="1" ht="18.5" customHeight="1"/>
    <row r="3571" s="21" customFormat="1" ht="18.5" customHeight="1"/>
    <row r="3572" s="21" customFormat="1" ht="18.5" customHeight="1"/>
    <row r="3573" s="21" customFormat="1" ht="18.5" customHeight="1"/>
    <row r="3574" s="21" customFormat="1" ht="18.5" customHeight="1"/>
    <row r="3575" s="21" customFormat="1" ht="18.5" customHeight="1"/>
    <row r="3576" s="21" customFormat="1" ht="18.5" customHeight="1"/>
    <row r="3577" s="21" customFormat="1" ht="18.5" customHeight="1"/>
    <row r="3578" s="21" customFormat="1" ht="18.5" customHeight="1"/>
    <row r="3579" s="21" customFormat="1" ht="18.5" customHeight="1"/>
    <row r="3580" s="21" customFormat="1" ht="18.5" customHeight="1"/>
    <row r="3581" s="21" customFormat="1" ht="18.5" customHeight="1"/>
    <row r="3582" s="21" customFormat="1" ht="18.5" customHeight="1"/>
    <row r="3583" s="21" customFormat="1" ht="18.5" customHeight="1"/>
    <row r="3584" s="21" customFormat="1" ht="18.5" customHeight="1"/>
    <row r="3585" s="21" customFormat="1" ht="18.5" customHeight="1"/>
    <row r="3586" s="21" customFormat="1" ht="18.5" customHeight="1"/>
    <row r="3587" s="21" customFormat="1" ht="18.5" customHeight="1"/>
    <row r="3588" s="21" customFormat="1" ht="18.5" customHeight="1"/>
    <row r="3589" s="21" customFormat="1" ht="18.5" customHeight="1"/>
    <row r="3590" s="21" customFormat="1" ht="18.5" customHeight="1"/>
    <row r="3591" s="21" customFormat="1" ht="18.5" customHeight="1"/>
    <row r="3592" s="21" customFormat="1" ht="18.5" customHeight="1"/>
    <row r="3593" s="21" customFormat="1" ht="18.5" customHeight="1"/>
    <row r="3594" s="21" customFormat="1" ht="18.5" customHeight="1"/>
    <row r="3595" s="21" customFormat="1" ht="18.5" customHeight="1"/>
    <row r="3596" s="21" customFormat="1" ht="18.5" customHeight="1"/>
    <row r="3597" s="21" customFormat="1" ht="18.5" customHeight="1"/>
    <row r="3598" s="21" customFormat="1" ht="18.5" customHeight="1"/>
    <row r="3599" s="21" customFormat="1" ht="18.5" customHeight="1"/>
    <row r="3600" s="21" customFormat="1" ht="18.5" customHeight="1"/>
    <row r="3601" s="21" customFormat="1" ht="18.5" customHeight="1"/>
    <row r="3602" s="21" customFormat="1" ht="18.5" customHeight="1"/>
    <row r="3603" s="21" customFormat="1" ht="18.5" customHeight="1"/>
    <row r="3604" s="21" customFormat="1" ht="18.5" customHeight="1"/>
    <row r="3605" s="21" customFormat="1" ht="18.5" customHeight="1"/>
    <row r="3606" s="21" customFormat="1" ht="18.5" customHeight="1"/>
    <row r="3607" s="21" customFormat="1" ht="18.5" customHeight="1"/>
    <row r="3608" s="21" customFormat="1" ht="18.5" customHeight="1"/>
    <row r="3609" s="21" customFormat="1" ht="18.5" customHeight="1"/>
    <row r="3610" s="21" customFormat="1" ht="18.5" customHeight="1"/>
    <row r="3611" s="21" customFormat="1" ht="18.5" customHeight="1"/>
    <row r="3612" s="21" customFormat="1" ht="18.5" customHeight="1"/>
    <row r="3613" s="21" customFormat="1" ht="18.5" customHeight="1"/>
    <row r="3614" s="21" customFormat="1" ht="18.5" customHeight="1"/>
    <row r="3615" s="21" customFormat="1" ht="18.5" customHeight="1"/>
    <row r="3616" s="21" customFormat="1" ht="18.5" customHeight="1"/>
    <row r="3617" s="21" customFormat="1" ht="18.5" customHeight="1"/>
    <row r="3618" s="21" customFormat="1" ht="18.5" customHeight="1"/>
    <row r="3619" s="21" customFormat="1" ht="18.5" customHeight="1"/>
    <row r="3620" s="21" customFormat="1" ht="18.5" customHeight="1"/>
    <row r="3621" s="21" customFormat="1" ht="18.5" customHeight="1"/>
    <row r="3622" s="21" customFormat="1" ht="18.5" customHeight="1"/>
    <row r="3623" s="21" customFormat="1" ht="18.5" customHeight="1"/>
    <row r="3624" s="21" customFormat="1" ht="18.5" customHeight="1"/>
    <row r="3625" s="21" customFormat="1" ht="18.5" customHeight="1"/>
    <row r="3626" s="21" customFormat="1" ht="18.5" customHeight="1"/>
    <row r="3627" s="21" customFormat="1" ht="18.5" customHeight="1"/>
    <row r="3628" s="21" customFormat="1" ht="18.5" customHeight="1"/>
    <row r="3629" s="21" customFormat="1" ht="18.5" customHeight="1"/>
    <row r="3630" s="21" customFormat="1" ht="18.5" customHeight="1"/>
    <row r="3631" s="21" customFormat="1" ht="18.5" customHeight="1"/>
    <row r="3632" s="21" customFormat="1" ht="18.5" customHeight="1"/>
    <row r="3633" s="21" customFormat="1" ht="18.5" customHeight="1"/>
    <row r="3634" s="21" customFormat="1" ht="18.5" customHeight="1"/>
    <row r="3635" s="21" customFormat="1" ht="18.5" customHeight="1"/>
    <row r="3636" s="21" customFormat="1" ht="18.5" customHeight="1"/>
    <row r="3637" s="21" customFormat="1" ht="18.5" customHeight="1"/>
    <row r="3638" s="21" customFormat="1" ht="18.5" customHeight="1"/>
    <row r="3639" s="21" customFormat="1" ht="18.5" customHeight="1"/>
    <row r="3640" s="21" customFormat="1" ht="18.5" customHeight="1"/>
    <row r="3641" s="21" customFormat="1" ht="18.5" customHeight="1"/>
    <row r="3642" s="21" customFormat="1" ht="18.5" customHeight="1"/>
    <row r="3643" s="21" customFormat="1" ht="18.5" customHeight="1"/>
    <row r="3644" s="21" customFormat="1" ht="18.5" customHeight="1"/>
    <row r="3645" s="21" customFormat="1" ht="18.5" customHeight="1"/>
    <row r="3646" s="21" customFormat="1" ht="18.5" customHeight="1"/>
    <row r="3647" s="21" customFormat="1" ht="18.5" customHeight="1"/>
    <row r="3648" s="21" customFormat="1" ht="18.5" customHeight="1"/>
    <row r="3649" s="21" customFormat="1" ht="18.5" customHeight="1"/>
    <row r="3650" s="21" customFormat="1" ht="18.5" customHeight="1"/>
    <row r="3651" s="21" customFormat="1" ht="18.5" customHeight="1"/>
    <row r="3652" s="21" customFormat="1" ht="18.5" customHeight="1"/>
    <row r="3653" s="21" customFormat="1" ht="18.5" customHeight="1"/>
    <row r="3654" s="21" customFormat="1" ht="18.5" customHeight="1"/>
    <row r="3655" s="21" customFormat="1" ht="18.5" customHeight="1"/>
    <row r="3656" s="21" customFormat="1" ht="18.5" customHeight="1"/>
    <row r="3657" s="21" customFormat="1" ht="18.5" customHeight="1"/>
    <row r="3658" s="21" customFormat="1" ht="18.5" customHeight="1"/>
    <row r="3659" s="21" customFormat="1" ht="18.5" customHeight="1"/>
    <row r="3660" s="21" customFormat="1" ht="18.5" customHeight="1"/>
    <row r="3661" s="21" customFormat="1" ht="18.5" customHeight="1"/>
    <row r="3662" s="21" customFormat="1" ht="18.5" customHeight="1"/>
    <row r="3663" s="21" customFormat="1" ht="18.5" customHeight="1"/>
    <row r="3664" s="21" customFormat="1" ht="18.5" customHeight="1"/>
    <row r="3665" s="21" customFormat="1" ht="18.5" customHeight="1"/>
    <row r="3666" s="21" customFormat="1" ht="18.5" customHeight="1"/>
    <row r="3667" s="21" customFormat="1" ht="18.5" customHeight="1"/>
    <row r="3668" s="21" customFormat="1" ht="18.5" customHeight="1"/>
    <row r="3669" s="21" customFormat="1" ht="18.5" customHeight="1"/>
    <row r="3670" s="21" customFormat="1" ht="18.5" customHeight="1"/>
    <row r="3671" s="21" customFormat="1" ht="18.5" customHeight="1"/>
    <row r="3672" s="21" customFormat="1" ht="18.5" customHeight="1"/>
    <row r="3673" s="21" customFormat="1" ht="18.5" customHeight="1"/>
    <row r="3674" s="21" customFormat="1" ht="18.5" customHeight="1"/>
    <row r="3675" s="21" customFormat="1" ht="18.5" customHeight="1"/>
    <row r="3676" s="21" customFormat="1" ht="18.5" customHeight="1"/>
    <row r="3677" s="21" customFormat="1" ht="18.5" customHeight="1"/>
    <row r="3678" s="21" customFormat="1" ht="18.5" customHeight="1"/>
    <row r="3679" s="21" customFormat="1" ht="18.5" customHeight="1"/>
    <row r="3680" s="21" customFormat="1" ht="18.5" customHeight="1"/>
    <row r="3681" s="21" customFormat="1" ht="18.5" customHeight="1"/>
    <row r="3682" s="21" customFormat="1" ht="18.5" customHeight="1"/>
    <row r="3683" s="21" customFormat="1" ht="18.5" customHeight="1"/>
    <row r="3684" s="21" customFormat="1" ht="18.5" customHeight="1"/>
    <row r="3685" s="21" customFormat="1" ht="18.5" customHeight="1"/>
    <row r="3686" s="21" customFormat="1" ht="18.5" customHeight="1"/>
    <row r="3687" s="21" customFormat="1" ht="18.5" customHeight="1"/>
    <row r="3688" s="21" customFormat="1" ht="18.5" customHeight="1"/>
    <row r="3689" s="21" customFormat="1" ht="18.5" customHeight="1"/>
    <row r="3690" s="21" customFormat="1" ht="18.5" customHeight="1"/>
    <row r="3691" s="21" customFormat="1" ht="18.5" customHeight="1"/>
    <row r="3692" s="21" customFormat="1" ht="18.5" customHeight="1"/>
    <row r="3693" s="21" customFormat="1" ht="18.5" customHeight="1"/>
    <row r="3694" s="21" customFormat="1" ht="18.5" customHeight="1"/>
    <row r="3695" s="21" customFormat="1" ht="18.5" customHeight="1"/>
    <row r="3696" s="21" customFormat="1" ht="18.5" customHeight="1"/>
    <row r="3697" s="21" customFormat="1" ht="18.5" customHeight="1"/>
    <row r="3698" s="21" customFormat="1" ht="18.5" customHeight="1"/>
    <row r="3699" s="21" customFormat="1" ht="18.5" customHeight="1"/>
    <row r="3700" s="21" customFormat="1" ht="18.5" customHeight="1"/>
    <row r="3701" s="21" customFormat="1" ht="18.5" customHeight="1"/>
    <row r="3702" s="21" customFormat="1" ht="18.5" customHeight="1"/>
    <row r="3703" s="21" customFormat="1" ht="18.5" customHeight="1"/>
    <row r="3704" s="21" customFormat="1" ht="18.5" customHeight="1"/>
    <row r="3705" s="21" customFormat="1" ht="18.5" customHeight="1"/>
    <row r="3706" s="21" customFormat="1" ht="18.5" customHeight="1"/>
    <row r="3707" s="21" customFormat="1" ht="18.5" customHeight="1"/>
    <row r="3708" s="21" customFormat="1" ht="18.5" customHeight="1"/>
    <row r="3709" s="21" customFormat="1" ht="18.5" customHeight="1"/>
    <row r="3710" s="21" customFormat="1" ht="18.5" customHeight="1"/>
    <row r="3711" s="21" customFormat="1" ht="18.5" customHeight="1"/>
    <row r="3712" s="21" customFormat="1" ht="18.5" customHeight="1"/>
    <row r="3713" s="21" customFormat="1" ht="18.5" customHeight="1"/>
    <row r="3714" s="21" customFormat="1" ht="18.5" customHeight="1"/>
    <row r="3715" s="21" customFormat="1" ht="18.5" customHeight="1"/>
    <row r="3716" s="21" customFormat="1" ht="18.5" customHeight="1"/>
    <row r="3717" s="21" customFormat="1" ht="18.5" customHeight="1"/>
    <row r="3718" s="21" customFormat="1" ht="18.5" customHeight="1"/>
    <row r="3719" s="21" customFormat="1" ht="18.5" customHeight="1"/>
    <row r="3720" s="21" customFormat="1" ht="18.5" customHeight="1"/>
    <row r="3721" s="21" customFormat="1" ht="18.5" customHeight="1"/>
    <row r="3722" s="21" customFormat="1" ht="18.5" customHeight="1"/>
    <row r="3723" s="21" customFormat="1" ht="18.5" customHeight="1"/>
    <row r="3724" s="21" customFormat="1" ht="18.5" customHeight="1"/>
    <row r="3725" s="21" customFormat="1" ht="18.5" customHeight="1"/>
    <row r="3726" s="21" customFormat="1" ht="18.5" customHeight="1"/>
    <row r="3727" s="21" customFormat="1" ht="18.5" customHeight="1"/>
    <row r="3728" s="21" customFormat="1" ht="18.5" customHeight="1"/>
    <row r="3729" s="21" customFormat="1" ht="18.5" customHeight="1"/>
    <row r="3730" s="21" customFormat="1" ht="18.5" customHeight="1"/>
    <row r="3731" s="21" customFormat="1" ht="18.5" customHeight="1"/>
    <row r="3732" s="21" customFormat="1" ht="18.5" customHeight="1"/>
    <row r="3733" s="21" customFormat="1" ht="18.5" customHeight="1"/>
    <row r="3734" s="21" customFormat="1" ht="18.5" customHeight="1"/>
    <row r="3735" s="21" customFormat="1" ht="18.5" customHeight="1"/>
    <row r="3736" s="21" customFormat="1" ht="18.5" customHeight="1"/>
    <row r="3737" s="21" customFormat="1" ht="18.5" customHeight="1"/>
    <row r="3738" s="21" customFormat="1" ht="18.5" customHeight="1"/>
    <row r="3739" s="21" customFormat="1" ht="18.5" customHeight="1"/>
    <row r="3740" s="21" customFormat="1" ht="18.5" customHeight="1"/>
    <row r="3741" s="21" customFormat="1" ht="18.5" customHeight="1"/>
    <row r="3742" s="21" customFormat="1" ht="18.5" customHeight="1"/>
    <row r="3743" s="21" customFormat="1" ht="18.5" customHeight="1"/>
    <row r="3744" s="21" customFormat="1" ht="18.5" customHeight="1"/>
    <row r="3745" s="21" customFormat="1" ht="18.5" customHeight="1"/>
    <row r="3746" s="21" customFormat="1" ht="18.5" customHeight="1"/>
    <row r="3747" s="21" customFormat="1" ht="18.5" customHeight="1"/>
    <row r="3748" s="21" customFormat="1" ht="18.5" customHeight="1"/>
    <row r="3749" s="21" customFormat="1" ht="18.5" customHeight="1"/>
    <row r="3750" s="21" customFormat="1" ht="18.5" customHeight="1"/>
    <row r="3751" s="21" customFormat="1" ht="18.5" customHeight="1"/>
    <row r="3752" s="21" customFormat="1" ht="18.5" customHeight="1"/>
    <row r="3753" s="21" customFormat="1" ht="18.5" customHeight="1"/>
    <row r="3754" s="21" customFormat="1" ht="18.5" customHeight="1"/>
    <row r="3755" s="21" customFormat="1" ht="18.5" customHeight="1"/>
    <row r="3756" s="21" customFormat="1" ht="18.5" customHeight="1"/>
    <row r="3757" s="21" customFormat="1" ht="18.5" customHeight="1"/>
    <row r="3758" s="21" customFormat="1" ht="18.5" customHeight="1"/>
    <row r="3759" s="21" customFormat="1" ht="18.5" customHeight="1"/>
    <row r="3760" s="21" customFormat="1" ht="18.5" customHeight="1"/>
    <row r="3761" s="21" customFormat="1" ht="18.5" customHeight="1"/>
    <row r="3762" s="21" customFormat="1" ht="18.5" customHeight="1"/>
    <row r="3763" s="21" customFormat="1" ht="18.5" customHeight="1"/>
    <row r="3764" s="21" customFormat="1" ht="18.5" customHeight="1"/>
    <row r="3765" s="21" customFormat="1" ht="18.5" customHeight="1"/>
    <row r="3766" s="21" customFormat="1" ht="18.5" customHeight="1"/>
    <row r="3767" s="21" customFormat="1" ht="18.5" customHeight="1"/>
    <row r="3768" s="21" customFormat="1" ht="18.5" customHeight="1"/>
    <row r="3769" s="21" customFormat="1" ht="18.5" customHeight="1"/>
    <row r="3770" s="21" customFormat="1" ht="18.5" customHeight="1"/>
    <row r="3771" s="21" customFormat="1" ht="18.5" customHeight="1"/>
    <row r="3772" s="21" customFormat="1" ht="18.5" customHeight="1"/>
    <row r="3773" s="21" customFormat="1" ht="18.5" customHeight="1"/>
    <row r="3774" s="21" customFormat="1" ht="18.5" customHeight="1"/>
    <row r="3775" s="21" customFormat="1" ht="18.5" customHeight="1"/>
    <row r="3776" s="21" customFormat="1" ht="18.5" customHeight="1"/>
    <row r="3777" s="21" customFormat="1" ht="18.5" customHeight="1"/>
    <row r="3778" s="21" customFormat="1" ht="18.5" customHeight="1"/>
    <row r="3779" s="21" customFormat="1" ht="18.5" customHeight="1"/>
    <row r="3780" s="21" customFormat="1" ht="18.5" customHeight="1"/>
    <row r="3781" s="21" customFormat="1" ht="18.5" customHeight="1"/>
    <row r="3782" s="21" customFormat="1" ht="18.5" customHeight="1"/>
    <row r="3783" s="21" customFormat="1" ht="18.5" customHeight="1"/>
    <row r="3784" s="21" customFormat="1" ht="18.5" customHeight="1"/>
    <row r="3785" s="21" customFormat="1" ht="18.5" customHeight="1"/>
    <row r="3786" s="21" customFormat="1" ht="18.5" customHeight="1"/>
    <row r="3787" s="21" customFormat="1" ht="18.5" customHeight="1"/>
    <row r="3788" s="21" customFormat="1" ht="18.5" customHeight="1"/>
    <row r="3789" s="21" customFormat="1" ht="18.5" customHeight="1"/>
    <row r="3790" s="21" customFormat="1" ht="18.5" customHeight="1"/>
    <row r="3791" s="21" customFormat="1" ht="18.5" customHeight="1"/>
    <row r="3792" s="21" customFormat="1" ht="18.5" customHeight="1"/>
    <row r="3793" s="21" customFormat="1" ht="18.5" customHeight="1"/>
    <row r="3794" s="21" customFormat="1" ht="18.5" customHeight="1"/>
    <row r="3795" s="21" customFormat="1" ht="18.5" customHeight="1"/>
    <row r="3796" s="21" customFormat="1" ht="18.5" customHeight="1"/>
    <row r="3797" s="21" customFormat="1" ht="18.5" customHeight="1"/>
    <row r="3798" s="21" customFormat="1" ht="18.5" customHeight="1"/>
    <row r="3799" s="21" customFormat="1" ht="18.5" customHeight="1"/>
    <row r="3800" s="21" customFormat="1" ht="18.5" customHeight="1"/>
    <row r="3801" s="21" customFormat="1" ht="18.5" customHeight="1"/>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zoomScale="70" zoomScaleNormal="70" workbookViewId="0">
      <selection activeCell="A9" sqref="A9"/>
    </sheetView>
  </sheetViews>
  <sheetFormatPr defaultColWidth="8.66666666666667" defaultRowHeight="14" outlineLevelRow="1"/>
  <cols>
    <col min="1" max="1" width="29.5083333333333" customWidth="1"/>
    <col min="2" max="2" width="23.8416666666667" style="20" customWidth="1"/>
    <col min="3" max="3" width="9.41666666666667"/>
    <col min="4" max="5" width="11.5833333333333"/>
    <col min="6" max="7" width="10.5"/>
    <col min="8" max="9" width="12.6666666666667"/>
  </cols>
  <sheetData>
    <row r="1" ht="24" spans="1:9">
      <c r="A1" s="21"/>
      <c r="B1" s="22" t="s">
        <v>14</v>
      </c>
      <c r="C1" s="22" t="s">
        <v>10</v>
      </c>
      <c r="D1" s="22" t="s">
        <v>13</v>
      </c>
      <c r="E1" s="22" t="s">
        <v>15</v>
      </c>
      <c r="F1" s="22" t="s">
        <v>16</v>
      </c>
      <c r="G1" s="22" t="s">
        <v>17</v>
      </c>
      <c r="H1" s="22" t="s">
        <v>11</v>
      </c>
      <c r="I1" s="22" t="s">
        <v>12</v>
      </c>
    </row>
    <row r="2" spans="1:9">
      <c r="A2" t="s">
        <v>84</v>
      </c>
      <c r="B2" s="20">
        <v>3411498.28</v>
      </c>
      <c r="C2">
        <v>583877.9</v>
      </c>
      <c r="D2">
        <v>1200843.31</v>
      </c>
      <c r="E2">
        <v>1407303.67</v>
      </c>
      <c r="F2">
        <v>1083346.6</v>
      </c>
      <c r="G2">
        <v>160334.26</v>
      </c>
      <c r="H2">
        <v>239555.1194</v>
      </c>
      <c r="I2">
        <v>557454.9941</v>
      </c>
    </row>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80" zoomScaleNormal="80" workbookViewId="0">
      <selection activeCell="D10" sqref="D10"/>
    </sheetView>
  </sheetViews>
  <sheetFormatPr defaultColWidth="8.66666666666667" defaultRowHeight="14"/>
  <cols>
    <col min="1" max="1" width="35.1833333333333" customWidth="1"/>
    <col min="2" max="2" width="21.5083333333333" customWidth="1"/>
    <col min="3" max="3" width="22.5583333333333" customWidth="1"/>
  </cols>
  <sheetData>
    <row r="1" ht="28" spans="1:9">
      <c r="A1" s="19"/>
      <c r="B1" s="19" t="s">
        <v>14</v>
      </c>
      <c r="C1" s="19" t="s">
        <v>10</v>
      </c>
      <c r="D1" s="19" t="s">
        <v>13</v>
      </c>
      <c r="E1" s="19" t="s">
        <v>15</v>
      </c>
      <c r="F1" s="19" t="s">
        <v>16</v>
      </c>
      <c r="G1" s="19" t="s">
        <v>17</v>
      </c>
      <c r="H1" s="19" t="s">
        <v>11</v>
      </c>
      <c r="I1" s="19" t="s">
        <v>12</v>
      </c>
    </row>
    <row r="2" spans="1:9">
      <c r="A2" s="19" t="s">
        <v>85</v>
      </c>
      <c r="B2">
        <v>9523</v>
      </c>
      <c r="C2">
        <v>1389</v>
      </c>
      <c r="D2">
        <v>1794</v>
      </c>
      <c r="E2">
        <v>1520</v>
      </c>
      <c r="F2">
        <v>1890</v>
      </c>
      <c r="G2">
        <v>482</v>
      </c>
      <c r="H2">
        <v>857</v>
      </c>
      <c r="I2">
        <v>1381</v>
      </c>
    </row>
    <row r="3" spans="1:9">
      <c r="A3" s="19" t="s">
        <v>86</v>
      </c>
      <c r="B3">
        <v>27.33</v>
      </c>
      <c r="C3">
        <v>4.66</v>
      </c>
      <c r="D3">
        <v>4.56</v>
      </c>
      <c r="E3">
        <v>5.44</v>
      </c>
      <c r="F3">
        <v>4.07</v>
      </c>
      <c r="G3">
        <v>4.28</v>
      </c>
      <c r="H3">
        <v>5.17</v>
      </c>
      <c r="I3">
        <v>5.07</v>
      </c>
    </row>
    <row r="4" spans="1:2">
      <c r="A4" s="19"/>
      <c r="B4" s="19"/>
    </row>
    <row r="11" spans="3:3">
      <c r="C11" s="19"/>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8"/>
  <sheetViews>
    <sheetView zoomScale="90" zoomScaleNormal="90" workbookViewId="0">
      <selection activeCell="H9" sqref="H9"/>
    </sheetView>
  </sheetViews>
  <sheetFormatPr defaultColWidth="8.66666666666667" defaultRowHeight="14"/>
  <sheetData>
    <row r="1" ht="18.5" customHeight="1"/>
    <row r="2" ht="18.5" customHeight="1"/>
    <row r="3" ht="18.5" customHeight="1"/>
    <row r="4" ht="18.5" customHeight="1"/>
    <row r="5" ht="18.5" customHeight="1"/>
    <row r="6" ht="18.5" customHeight="1"/>
    <row r="7" ht="18.5" customHeight="1"/>
    <row r="8" ht="18.5" customHeight="1"/>
    <row r="9" ht="18.5" customHeight="1"/>
    <row r="10" ht="18.5" customHeight="1"/>
    <row r="11" ht="18.5" customHeight="1"/>
    <row r="12" ht="18.5" customHeight="1"/>
    <row r="13" ht="18.5" customHeight="1"/>
    <row r="14" ht="18.5" customHeight="1"/>
    <row r="15" ht="18.5" customHeight="1"/>
    <row r="16" ht="18.5" customHeight="1"/>
    <row r="17" ht="18.5" customHeight="1"/>
    <row r="18" ht="18.5" customHeight="1"/>
    <row r="19" ht="18.5" customHeight="1"/>
    <row r="20" ht="18.5" customHeight="1"/>
    <row r="21" ht="18.5" customHeight="1"/>
    <row r="22" ht="18.5" customHeight="1"/>
    <row r="23" ht="18.5" customHeight="1"/>
    <row r="24" ht="18.5" customHeight="1"/>
    <row r="25" ht="18.5" customHeight="1"/>
    <row r="26" ht="18.5" customHeight="1"/>
    <row r="27" ht="18.5" customHeight="1"/>
    <row r="28" ht="18.5" customHeight="1"/>
    <row r="29" ht="18.5" customHeight="1"/>
    <row r="30" ht="18.5" customHeight="1"/>
    <row r="31" ht="18.5" customHeight="1"/>
    <row r="32" ht="18.5" customHeight="1"/>
    <row r="33" ht="18.5" customHeight="1"/>
    <row r="34" ht="18.5" customHeight="1"/>
    <row r="35" ht="18.5" customHeight="1"/>
    <row r="36" ht="18.5" customHeight="1"/>
    <row r="37" ht="18.5" customHeight="1"/>
    <row r="38" ht="18.5" customHeight="1"/>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zoomScale="80" zoomScaleNormal="80" workbookViewId="0">
      <selection activeCell="R10" sqref="R10"/>
    </sheetView>
  </sheetViews>
  <sheetFormatPr defaultColWidth="8.66666666666667" defaultRowHeight="14" outlineLevelCol="1"/>
  <cols>
    <col min="1" max="1" width="11.175" style="13" customWidth="1"/>
    <col min="2" max="2" width="11.3416666666667" customWidth="1"/>
  </cols>
  <sheetData>
    <row r="1" ht="22.5" customHeight="1" spans="1:2">
      <c r="A1" s="14" t="s">
        <v>87</v>
      </c>
      <c r="B1" s="6" t="s">
        <v>8</v>
      </c>
    </row>
    <row r="2" ht="22.5" customHeight="1" spans="1:2">
      <c r="A2" s="15">
        <v>0</v>
      </c>
      <c r="B2" s="8">
        <v>4635</v>
      </c>
    </row>
    <row r="3" ht="22.5" customHeight="1" spans="1:2">
      <c r="A3" s="16">
        <v>1</v>
      </c>
      <c r="B3" s="10">
        <v>3781</v>
      </c>
    </row>
    <row r="4" ht="22.5" customHeight="1" spans="1:2">
      <c r="A4" s="16">
        <v>2</v>
      </c>
      <c r="B4" s="10">
        <v>2923</v>
      </c>
    </row>
    <row r="5" ht="22.5" customHeight="1" spans="1:2">
      <c r="A5" s="16">
        <v>3</v>
      </c>
      <c r="B5" s="10">
        <v>2174</v>
      </c>
    </row>
    <row r="6" ht="22.5" customHeight="1" spans="1:2">
      <c r="A6" s="16">
        <v>4</v>
      </c>
      <c r="B6" s="10">
        <v>1543</v>
      </c>
    </row>
    <row r="7" ht="22.5" customHeight="1" spans="1:2">
      <c r="A7" s="16">
        <v>5</v>
      </c>
      <c r="B7" s="10">
        <v>1176</v>
      </c>
    </row>
    <row r="8" ht="22.5" customHeight="1" spans="1:2">
      <c r="A8" s="16">
        <v>6</v>
      </c>
      <c r="B8" s="10">
        <v>884</v>
      </c>
    </row>
    <row r="9" ht="22.5" customHeight="1" spans="1:2">
      <c r="A9" s="16">
        <v>7</v>
      </c>
      <c r="B9" s="10">
        <v>612</v>
      </c>
    </row>
    <row r="10" ht="22.5" customHeight="1" spans="1:2">
      <c r="A10" s="16">
        <v>8</v>
      </c>
      <c r="B10" s="10">
        <v>529</v>
      </c>
    </row>
    <row r="11" ht="22.5" customHeight="1" spans="1:2">
      <c r="A11" s="16">
        <v>9</v>
      </c>
      <c r="B11" s="10">
        <v>402</v>
      </c>
    </row>
    <row r="12" ht="22.5" customHeight="1" spans="1:2">
      <c r="A12" s="16">
        <v>10</v>
      </c>
      <c r="B12" s="10">
        <v>323</v>
      </c>
    </row>
    <row r="13" ht="22.5" customHeight="1" spans="1:2">
      <c r="A13" s="17" t="s">
        <v>88</v>
      </c>
      <c r="B13" s="10">
        <v>933</v>
      </c>
    </row>
    <row r="14" ht="22.5" customHeight="1" spans="1:2">
      <c r="A14" s="16" t="s">
        <v>89</v>
      </c>
      <c r="B14" s="10">
        <v>765</v>
      </c>
    </row>
    <row r="15" ht="22.5" customHeight="1" spans="1:2">
      <c r="A15" s="16" t="s">
        <v>90</v>
      </c>
      <c r="B15" s="10">
        <v>351</v>
      </c>
    </row>
    <row r="16" ht="22.5" customHeight="1" spans="1:2">
      <c r="A16" s="16" t="s">
        <v>91</v>
      </c>
      <c r="B16" s="10">
        <v>44</v>
      </c>
    </row>
    <row r="17" ht="22.5" customHeight="1" spans="1:2">
      <c r="A17" s="18" t="s">
        <v>3</v>
      </c>
      <c r="B17" s="12">
        <v>21075</v>
      </c>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8"/>
  <sheetViews>
    <sheetView zoomScale="80" zoomScaleNormal="80" workbookViewId="0">
      <selection activeCell="F22" sqref="F22"/>
    </sheetView>
  </sheetViews>
  <sheetFormatPr defaultColWidth="8" defaultRowHeight="14" outlineLevelCol="5"/>
  <cols>
    <col min="1" max="1" width="10.5083333333333" style="1" customWidth="1"/>
    <col min="2" max="2" width="11.3416666666667" style="1" customWidth="1"/>
    <col min="3" max="4" width="8" style="1"/>
    <col min="5" max="5" width="11.175" style="1" customWidth="1"/>
    <col min="6" max="6" width="11.3416666666667" style="1" customWidth="1"/>
    <col min="7" max="16384" width="8" style="1"/>
  </cols>
  <sheetData>
    <row r="1" s="1" customFormat="1" ht="22.5" customHeight="1" spans="1:6">
      <c r="A1" s="5" t="s">
        <v>87</v>
      </c>
      <c r="B1" s="6" t="s">
        <v>8</v>
      </c>
      <c r="E1" s="5" t="s">
        <v>87</v>
      </c>
      <c r="F1" s="6" t="s">
        <v>8</v>
      </c>
    </row>
    <row r="2" s="1" customFormat="1" ht="22.5" customHeight="1" spans="1:6">
      <c r="A2" s="7">
        <v>0</v>
      </c>
      <c r="B2" s="8">
        <v>119632</v>
      </c>
      <c r="E2" s="7">
        <v>0</v>
      </c>
      <c r="F2" s="8">
        <v>119632</v>
      </c>
    </row>
    <row r="3" s="1" customFormat="1" ht="22.5" customHeight="1" spans="1:6">
      <c r="A3" s="9">
        <v>1</v>
      </c>
      <c r="B3" s="10">
        <v>244664</v>
      </c>
      <c r="E3" s="9">
        <v>1</v>
      </c>
      <c r="F3" s="10">
        <v>244664</v>
      </c>
    </row>
    <row r="4" s="1" customFormat="1" ht="22.5" customHeight="1" spans="1:6">
      <c r="A4" s="9">
        <v>2</v>
      </c>
      <c r="B4" s="10">
        <v>70129</v>
      </c>
      <c r="E4" s="9">
        <v>2</v>
      </c>
      <c r="F4" s="10">
        <v>70129</v>
      </c>
    </row>
    <row r="5" s="1" customFormat="1" ht="22.5" customHeight="1" spans="1:6">
      <c r="A5" s="9">
        <v>3</v>
      </c>
      <c r="B5" s="10">
        <v>23775</v>
      </c>
      <c r="E5" s="9">
        <v>3</v>
      </c>
      <c r="F5" s="10">
        <v>23775</v>
      </c>
    </row>
    <row r="6" s="1" customFormat="1" ht="22.5" customHeight="1" spans="1:6">
      <c r="A6" s="9">
        <v>4</v>
      </c>
      <c r="B6" s="10">
        <v>12471</v>
      </c>
      <c r="E6" s="9">
        <v>4</v>
      </c>
      <c r="F6" s="10">
        <v>12471</v>
      </c>
    </row>
    <row r="7" s="1" customFormat="1" ht="22.5" customHeight="1" spans="1:6">
      <c r="A7" s="9">
        <v>5</v>
      </c>
      <c r="B7" s="10">
        <v>7873</v>
      </c>
      <c r="E7" s="9">
        <v>5</v>
      </c>
      <c r="F7" s="10">
        <v>7873</v>
      </c>
    </row>
    <row r="8" s="1" customFormat="1" ht="22.5" customHeight="1" spans="1:6">
      <c r="A8" s="9">
        <v>6</v>
      </c>
      <c r="B8" s="10">
        <v>5522</v>
      </c>
      <c r="E8" s="9" t="s">
        <v>92</v>
      </c>
      <c r="F8" s="10">
        <f>SUM(B8:B12)</f>
        <v>17684</v>
      </c>
    </row>
    <row r="9" s="1" customFormat="1" ht="22.5" customHeight="1" spans="1:6">
      <c r="A9" s="9">
        <v>7</v>
      </c>
      <c r="B9" s="10">
        <v>4150</v>
      </c>
      <c r="E9" s="9" t="s">
        <v>93</v>
      </c>
      <c r="F9" s="10">
        <f>SUM(B13:B32)</f>
        <v>14645</v>
      </c>
    </row>
    <row r="10" s="1" customFormat="1" ht="22.5" customHeight="1" spans="1:6">
      <c r="A10" s="9">
        <v>8</v>
      </c>
      <c r="B10" s="10">
        <v>3216</v>
      </c>
      <c r="E10" s="9" t="s">
        <v>90</v>
      </c>
      <c r="F10" s="10">
        <f>SUM(B33:B102)</f>
        <v>4836</v>
      </c>
    </row>
    <row r="11" s="1" customFormat="1" ht="22.5" customHeight="1" spans="1:6">
      <c r="A11" s="9">
        <v>9</v>
      </c>
      <c r="B11" s="10">
        <v>2642</v>
      </c>
      <c r="E11" s="11" t="s">
        <v>91</v>
      </c>
      <c r="F11" s="12">
        <f>SUM(B103:B457)</f>
        <v>1003</v>
      </c>
    </row>
    <row r="12" s="1" customFormat="1" ht="22.5" customHeight="1" spans="1:2">
      <c r="A12" s="9">
        <v>10</v>
      </c>
      <c r="B12" s="10">
        <v>2154</v>
      </c>
    </row>
    <row r="13" s="1" customFormat="1" ht="22.5" customHeight="1" spans="1:2">
      <c r="A13" s="9">
        <v>11</v>
      </c>
      <c r="B13" s="10">
        <v>1780</v>
      </c>
    </row>
    <row r="14" s="1" customFormat="1" ht="22.5" customHeight="1" spans="1:2">
      <c r="A14" s="9">
        <v>12</v>
      </c>
      <c r="B14" s="10">
        <v>1577</v>
      </c>
    </row>
    <row r="15" s="1" customFormat="1" ht="22.5" customHeight="1" spans="1:2">
      <c r="A15" s="9">
        <v>13</v>
      </c>
      <c r="B15" s="10">
        <v>1378</v>
      </c>
    </row>
    <row r="16" s="1" customFormat="1" ht="22.5" customHeight="1" spans="1:2">
      <c r="A16" s="9">
        <v>14</v>
      </c>
      <c r="B16" s="10">
        <v>1196</v>
      </c>
    </row>
    <row r="17" s="1" customFormat="1" ht="22.5" customHeight="1" spans="1:2">
      <c r="A17" s="9">
        <v>15</v>
      </c>
      <c r="B17" s="10">
        <v>1022</v>
      </c>
    </row>
    <row r="18" s="1" customFormat="1" ht="22.5" customHeight="1" spans="1:2">
      <c r="A18" s="9">
        <v>16</v>
      </c>
      <c r="B18" s="10">
        <v>932</v>
      </c>
    </row>
    <row r="19" s="1" customFormat="1" ht="22.5" customHeight="1" spans="1:2">
      <c r="A19" s="9">
        <v>17</v>
      </c>
      <c r="B19" s="10">
        <v>783</v>
      </c>
    </row>
    <row r="20" s="1" customFormat="1" ht="22.5" customHeight="1" spans="1:2">
      <c r="A20" s="9">
        <v>18</v>
      </c>
      <c r="B20" s="10">
        <v>727</v>
      </c>
    </row>
    <row r="21" s="1" customFormat="1" ht="22.5" customHeight="1" spans="1:2">
      <c r="A21" s="9">
        <v>19</v>
      </c>
      <c r="B21" s="10">
        <v>652</v>
      </c>
    </row>
    <row r="22" s="1" customFormat="1" ht="22.5" customHeight="1" spans="1:2">
      <c r="A22" s="9">
        <v>20</v>
      </c>
      <c r="B22" s="10">
        <v>647</v>
      </c>
    </row>
    <row r="23" s="1" customFormat="1" ht="22.5" customHeight="1" spans="1:2">
      <c r="A23" s="9">
        <v>21</v>
      </c>
      <c r="B23" s="10">
        <v>551</v>
      </c>
    </row>
    <row r="24" s="1" customFormat="1" ht="22.5" customHeight="1" spans="1:2">
      <c r="A24" s="9">
        <v>22</v>
      </c>
      <c r="B24" s="10">
        <v>484</v>
      </c>
    </row>
    <row r="25" s="1" customFormat="1" ht="22.5" customHeight="1" spans="1:2">
      <c r="A25" s="9">
        <v>23</v>
      </c>
      <c r="B25" s="10">
        <v>490</v>
      </c>
    </row>
    <row r="26" s="1" customFormat="1" ht="22.5" customHeight="1" spans="1:2">
      <c r="A26" s="9">
        <v>24</v>
      </c>
      <c r="B26" s="10">
        <v>461</v>
      </c>
    </row>
    <row r="27" s="1" customFormat="1" ht="22.5" customHeight="1" spans="1:2">
      <c r="A27" s="9">
        <v>25</v>
      </c>
      <c r="B27" s="10">
        <v>394</v>
      </c>
    </row>
    <row r="28" s="1" customFormat="1" ht="22.5" customHeight="1" spans="1:2">
      <c r="A28" s="9">
        <v>26</v>
      </c>
      <c r="B28" s="10">
        <v>379</v>
      </c>
    </row>
    <row r="29" s="1" customFormat="1" ht="22.5" customHeight="1" spans="1:2">
      <c r="A29" s="9">
        <v>27</v>
      </c>
      <c r="B29" s="10">
        <v>329</v>
      </c>
    </row>
    <row r="30" s="1" customFormat="1" ht="22.5" customHeight="1" spans="1:2">
      <c r="A30" s="9">
        <v>28</v>
      </c>
      <c r="B30" s="10">
        <v>323</v>
      </c>
    </row>
    <row r="31" s="1" customFormat="1" ht="22.5" customHeight="1" spans="1:2">
      <c r="A31" s="9">
        <v>29</v>
      </c>
      <c r="B31" s="10">
        <v>293</v>
      </c>
    </row>
    <row r="32" s="1" customFormat="1" ht="22.5" customHeight="1" spans="1:2">
      <c r="A32" s="9">
        <v>30</v>
      </c>
      <c r="B32" s="10">
        <v>247</v>
      </c>
    </row>
    <row r="33" s="1" customFormat="1" ht="22.5" customHeight="1" spans="1:2">
      <c r="A33" s="9">
        <v>31</v>
      </c>
      <c r="B33" s="10">
        <v>273</v>
      </c>
    </row>
    <row r="34" s="1" customFormat="1" ht="22.5" customHeight="1" spans="1:2">
      <c r="A34" s="9">
        <v>32</v>
      </c>
      <c r="B34" s="10">
        <v>222</v>
      </c>
    </row>
    <row r="35" s="1" customFormat="1" ht="22.5" customHeight="1" spans="1:2">
      <c r="A35" s="9">
        <v>33</v>
      </c>
      <c r="B35" s="10">
        <v>196</v>
      </c>
    </row>
    <row r="36" s="1" customFormat="1" ht="22.5" customHeight="1" spans="1:2">
      <c r="A36" s="9">
        <v>34</v>
      </c>
      <c r="B36" s="10">
        <v>205</v>
      </c>
    </row>
    <row r="37" s="1" customFormat="1" ht="22.5" customHeight="1" spans="1:2">
      <c r="A37" s="9">
        <v>35</v>
      </c>
      <c r="B37" s="10">
        <v>196</v>
      </c>
    </row>
    <row r="38" s="1" customFormat="1" ht="22.5" customHeight="1" spans="1:2">
      <c r="A38" s="9">
        <v>36</v>
      </c>
      <c r="B38" s="10">
        <v>184</v>
      </c>
    </row>
    <row r="39" s="1" customFormat="1" ht="22.5" customHeight="1" spans="1:2">
      <c r="A39" s="9">
        <v>37</v>
      </c>
      <c r="B39" s="10">
        <v>172</v>
      </c>
    </row>
    <row r="40" s="1" customFormat="1" ht="22.5" customHeight="1" spans="1:2">
      <c r="A40" s="9">
        <v>38</v>
      </c>
      <c r="B40" s="10">
        <v>179</v>
      </c>
    </row>
    <row r="41" s="1" customFormat="1" ht="22.5" customHeight="1" spans="1:2">
      <c r="A41" s="9">
        <v>39</v>
      </c>
      <c r="B41" s="10">
        <v>144</v>
      </c>
    </row>
    <row r="42" s="1" customFormat="1" ht="22.5" customHeight="1" spans="1:2">
      <c r="A42" s="9">
        <v>40</v>
      </c>
      <c r="B42" s="10">
        <v>137</v>
      </c>
    </row>
    <row r="43" s="1" customFormat="1" ht="22.5" customHeight="1" spans="1:2">
      <c r="A43" s="9">
        <v>41</v>
      </c>
      <c r="B43" s="10">
        <v>130</v>
      </c>
    </row>
    <row r="44" s="1" customFormat="1" ht="22.5" customHeight="1" spans="1:2">
      <c r="A44" s="9">
        <v>42</v>
      </c>
      <c r="B44" s="10">
        <v>128</v>
      </c>
    </row>
    <row r="45" s="1" customFormat="1" ht="22.5" customHeight="1" spans="1:2">
      <c r="A45" s="9">
        <v>43</v>
      </c>
      <c r="B45" s="10">
        <v>126</v>
      </c>
    </row>
    <row r="46" s="1" customFormat="1" ht="22.5" customHeight="1" spans="1:2">
      <c r="A46" s="9">
        <v>44</v>
      </c>
      <c r="B46" s="10">
        <v>123</v>
      </c>
    </row>
    <row r="47" s="1" customFormat="1" ht="22.5" customHeight="1" spans="1:2">
      <c r="A47" s="9">
        <v>45</v>
      </c>
      <c r="B47" s="10">
        <v>98</v>
      </c>
    </row>
    <row r="48" s="1" customFormat="1" ht="22.5" customHeight="1" spans="1:2">
      <c r="A48" s="9">
        <v>46</v>
      </c>
      <c r="B48" s="10">
        <v>96</v>
      </c>
    </row>
    <row r="49" s="1" customFormat="1" ht="22.5" customHeight="1" spans="1:2">
      <c r="A49" s="9">
        <v>47</v>
      </c>
      <c r="B49" s="10">
        <v>97</v>
      </c>
    </row>
    <row r="50" s="1" customFormat="1" ht="22.5" customHeight="1" spans="1:2">
      <c r="A50" s="9">
        <v>48</v>
      </c>
      <c r="B50" s="10">
        <v>94</v>
      </c>
    </row>
    <row r="51" s="1" customFormat="1" ht="22.5" customHeight="1" spans="1:2">
      <c r="A51" s="9">
        <v>49</v>
      </c>
      <c r="B51" s="10">
        <v>114</v>
      </c>
    </row>
    <row r="52" s="1" customFormat="1" ht="22.5" customHeight="1" spans="1:2">
      <c r="A52" s="9">
        <v>50</v>
      </c>
      <c r="B52" s="10">
        <v>89</v>
      </c>
    </row>
    <row r="53" s="1" customFormat="1" ht="22.5" customHeight="1" spans="1:2">
      <c r="A53" s="9">
        <v>51</v>
      </c>
      <c r="B53" s="10">
        <v>74</v>
      </c>
    </row>
    <row r="54" s="1" customFormat="1" ht="22.5" customHeight="1" spans="1:2">
      <c r="A54" s="9">
        <v>52</v>
      </c>
      <c r="B54" s="10">
        <v>85</v>
      </c>
    </row>
    <row r="55" s="1" customFormat="1" ht="22.5" customHeight="1" spans="1:2">
      <c r="A55" s="9">
        <v>53</v>
      </c>
      <c r="B55" s="10">
        <v>72</v>
      </c>
    </row>
    <row r="56" s="1" customFormat="1" ht="22.5" customHeight="1" spans="1:2">
      <c r="A56" s="9">
        <v>54</v>
      </c>
      <c r="B56" s="10">
        <v>64</v>
      </c>
    </row>
    <row r="57" s="1" customFormat="1" ht="22.5" customHeight="1" spans="1:2">
      <c r="A57" s="9">
        <v>55</v>
      </c>
      <c r="B57" s="10">
        <v>66</v>
      </c>
    </row>
    <row r="58" s="1" customFormat="1" ht="22.5" customHeight="1" spans="1:2">
      <c r="A58" s="9">
        <v>56</v>
      </c>
      <c r="B58" s="10">
        <v>73</v>
      </c>
    </row>
    <row r="59" s="1" customFormat="1" ht="22.5" customHeight="1" spans="1:2">
      <c r="A59" s="9">
        <v>57</v>
      </c>
      <c r="B59" s="10">
        <v>62</v>
      </c>
    </row>
    <row r="60" s="1" customFormat="1" ht="22.5" customHeight="1" spans="1:2">
      <c r="A60" s="9">
        <v>58</v>
      </c>
      <c r="B60" s="10">
        <v>53</v>
      </c>
    </row>
    <row r="61" s="1" customFormat="1" ht="22.5" customHeight="1" spans="1:2">
      <c r="A61" s="9">
        <v>59</v>
      </c>
      <c r="B61" s="10">
        <v>67</v>
      </c>
    </row>
    <row r="62" s="1" customFormat="1" ht="22.5" customHeight="1" spans="1:2">
      <c r="A62" s="9">
        <v>60</v>
      </c>
      <c r="B62" s="10">
        <v>61</v>
      </c>
    </row>
    <row r="63" s="1" customFormat="1" ht="22.5" customHeight="1" spans="1:2">
      <c r="A63" s="9">
        <v>61</v>
      </c>
      <c r="B63" s="10">
        <v>67</v>
      </c>
    </row>
    <row r="64" s="1" customFormat="1" ht="22.5" customHeight="1" spans="1:2">
      <c r="A64" s="9">
        <v>62</v>
      </c>
      <c r="B64" s="10">
        <v>52</v>
      </c>
    </row>
    <row r="65" s="1" customFormat="1" ht="22.5" customHeight="1" spans="1:2">
      <c r="A65" s="9">
        <v>63</v>
      </c>
      <c r="B65" s="10">
        <v>45</v>
      </c>
    </row>
    <row r="66" s="1" customFormat="1" ht="22.5" customHeight="1" spans="1:2">
      <c r="A66" s="9">
        <v>64</v>
      </c>
      <c r="B66" s="10">
        <v>38</v>
      </c>
    </row>
    <row r="67" s="1" customFormat="1" ht="22.5" customHeight="1" spans="1:2">
      <c r="A67" s="9">
        <v>65</v>
      </c>
      <c r="B67" s="10">
        <v>34</v>
      </c>
    </row>
    <row r="68" s="1" customFormat="1" ht="22.5" customHeight="1" spans="1:2">
      <c r="A68" s="9">
        <v>66</v>
      </c>
      <c r="B68" s="10">
        <v>43</v>
      </c>
    </row>
    <row r="69" s="1" customFormat="1" ht="22.5" customHeight="1" spans="1:2">
      <c r="A69" s="9">
        <v>67</v>
      </c>
      <c r="B69" s="10">
        <v>41</v>
      </c>
    </row>
    <row r="70" s="1" customFormat="1" ht="22.5" customHeight="1" spans="1:2">
      <c r="A70" s="9">
        <v>68</v>
      </c>
      <c r="B70" s="10">
        <v>33</v>
      </c>
    </row>
    <row r="71" s="1" customFormat="1" ht="22.5" customHeight="1" spans="1:2">
      <c r="A71" s="9">
        <v>69</v>
      </c>
      <c r="B71" s="10">
        <v>29</v>
      </c>
    </row>
    <row r="72" s="1" customFormat="1" ht="22.5" customHeight="1" spans="1:2">
      <c r="A72" s="9">
        <v>70</v>
      </c>
      <c r="B72" s="10">
        <v>44</v>
      </c>
    </row>
    <row r="73" s="1" customFormat="1" ht="22.5" customHeight="1" spans="1:2">
      <c r="A73" s="9">
        <v>71</v>
      </c>
      <c r="B73" s="10">
        <v>33</v>
      </c>
    </row>
    <row r="74" s="1" customFormat="1" ht="22.5" customHeight="1" spans="1:2">
      <c r="A74" s="9">
        <v>72</v>
      </c>
      <c r="B74" s="10">
        <v>46</v>
      </c>
    </row>
    <row r="75" s="1" customFormat="1" ht="22.5" customHeight="1" spans="1:2">
      <c r="A75" s="9">
        <v>73</v>
      </c>
      <c r="B75" s="10">
        <v>42</v>
      </c>
    </row>
    <row r="76" s="1" customFormat="1" ht="22.5" customHeight="1" spans="1:2">
      <c r="A76" s="9">
        <v>74</v>
      </c>
      <c r="B76" s="10">
        <v>30</v>
      </c>
    </row>
    <row r="77" s="1" customFormat="1" ht="22.5" customHeight="1" spans="1:2">
      <c r="A77" s="9">
        <v>75</v>
      </c>
      <c r="B77" s="10">
        <v>26</v>
      </c>
    </row>
    <row r="78" s="1" customFormat="1" ht="22.5" customHeight="1" spans="1:2">
      <c r="A78" s="9">
        <v>76</v>
      </c>
      <c r="B78" s="10">
        <v>34</v>
      </c>
    </row>
    <row r="79" s="1" customFormat="1" ht="22.5" customHeight="1" spans="1:2">
      <c r="A79" s="9">
        <v>77</v>
      </c>
      <c r="B79" s="10">
        <v>27</v>
      </c>
    </row>
    <row r="80" s="1" customFormat="1" ht="22.5" customHeight="1" spans="1:2">
      <c r="A80" s="9">
        <v>78</v>
      </c>
      <c r="B80" s="10">
        <v>34</v>
      </c>
    </row>
    <row r="81" s="1" customFormat="1" ht="22.5" customHeight="1" spans="1:2">
      <c r="A81" s="9">
        <v>79</v>
      </c>
      <c r="B81" s="10">
        <v>29</v>
      </c>
    </row>
    <row r="82" s="1" customFormat="1" ht="22.5" customHeight="1" spans="1:2">
      <c r="A82" s="9">
        <v>80</v>
      </c>
      <c r="B82" s="10">
        <v>24</v>
      </c>
    </row>
    <row r="83" s="1" customFormat="1" ht="22.5" customHeight="1" spans="1:2">
      <c r="A83" s="9">
        <v>81</v>
      </c>
      <c r="B83" s="10">
        <v>23</v>
      </c>
    </row>
    <row r="84" s="1" customFormat="1" ht="22.5" customHeight="1" spans="1:2">
      <c r="A84" s="9">
        <v>82</v>
      </c>
      <c r="B84" s="10">
        <v>16</v>
      </c>
    </row>
    <row r="85" s="1" customFormat="1" ht="22.5" customHeight="1" spans="1:2">
      <c r="A85" s="9">
        <v>83</v>
      </c>
      <c r="B85" s="10">
        <v>22</v>
      </c>
    </row>
    <row r="86" s="1" customFormat="1" ht="22.5" customHeight="1" spans="1:2">
      <c r="A86" s="9">
        <v>84</v>
      </c>
      <c r="B86" s="10">
        <v>16</v>
      </c>
    </row>
    <row r="87" s="1" customFormat="1" ht="22.5" customHeight="1" spans="1:2">
      <c r="A87" s="9">
        <v>85</v>
      </c>
      <c r="B87" s="10">
        <v>28</v>
      </c>
    </row>
    <row r="88" s="1" customFormat="1" ht="22.5" customHeight="1" spans="1:2">
      <c r="A88" s="9">
        <v>86</v>
      </c>
      <c r="B88" s="10">
        <v>29</v>
      </c>
    </row>
    <row r="89" s="1" customFormat="1" ht="22.5" customHeight="1" spans="1:2">
      <c r="A89" s="9">
        <v>87</v>
      </c>
      <c r="B89" s="10">
        <v>27</v>
      </c>
    </row>
    <row r="90" s="1" customFormat="1" ht="22.5" customHeight="1" spans="1:2">
      <c r="A90" s="9">
        <v>88</v>
      </c>
      <c r="B90" s="10">
        <v>22</v>
      </c>
    </row>
    <row r="91" s="1" customFormat="1" ht="22.5" customHeight="1" spans="1:2">
      <c r="A91" s="9">
        <v>89</v>
      </c>
      <c r="B91" s="10">
        <v>19</v>
      </c>
    </row>
    <row r="92" s="1" customFormat="1" ht="22.5" customHeight="1" spans="1:2">
      <c r="A92" s="9">
        <v>90</v>
      </c>
      <c r="B92" s="10">
        <v>24</v>
      </c>
    </row>
    <row r="93" s="1" customFormat="1" ht="22.5" customHeight="1" spans="1:2">
      <c r="A93" s="9">
        <v>91</v>
      </c>
      <c r="B93" s="10">
        <v>21</v>
      </c>
    </row>
    <row r="94" s="1" customFormat="1" ht="22.5" customHeight="1" spans="1:2">
      <c r="A94" s="9">
        <v>92</v>
      </c>
      <c r="B94" s="10">
        <v>17</v>
      </c>
    </row>
    <row r="95" s="1" customFormat="1" ht="22.5" customHeight="1" spans="1:2">
      <c r="A95" s="9">
        <v>93</v>
      </c>
      <c r="B95" s="10">
        <v>16</v>
      </c>
    </row>
    <row r="96" s="1" customFormat="1" ht="22.5" customHeight="1" spans="1:2">
      <c r="A96" s="9">
        <v>94</v>
      </c>
      <c r="B96" s="10">
        <v>16</v>
      </c>
    </row>
    <row r="97" s="1" customFormat="1" ht="22.5" customHeight="1" spans="1:2">
      <c r="A97" s="9">
        <v>95</v>
      </c>
      <c r="B97" s="10">
        <v>18</v>
      </c>
    </row>
    <row r="98" s="1" customFormat="1" ht="22.5" customHeight="1" spans="1:2">
      <c r="A98" s="9">
        <v>96</v>
      </c>
      <c r="B98" s="10">
        <v>19</v>
      </c>
    </row>
    <row r="99" s="1" customFormat="1" ht="22.5" customHeight="1" spans="1:2">
      <c r="A99" s="9">
        <v>97</v>
      </c>
      <c r="B99" s="10">
        <v>17</v>
      </c>
    </row>
    <row r="100" s="1" customFormat="1" ht="22.5" customHeight="1" spans="1:2">
      <c r="A100" s="9">
        <v>98</v>
      </c>
      <c r="B100" s="10">
        <v>20</v>
      </c>
    </row>
    <row r="101" s="1" customFormat="1" ht="22.5" customHeight="1" spans="1:2">
      <c r="A101" s="9">
        <v>99</v>
      </c>
      <c r="B101" s="10">
        <v>19</v>
      </c>
    </row>
    <row r="102" s="1" customFormat="1" ht="22.5" customHeight="1" spans="1:2">
      <c r="A102" s="9">
        <v>100</v>
      </c>
      <c r="B102" s="10">
        <v>16</v>
      </c>
    </row>
    <row r="103" s="1" customFormat="1" ht="22.5" customHeight="1" spans="1:2">
      <c r="A103" s="9">
        <v>101</v>
      </c>
      <c r="B103" s="10">
        <v>10</v>
      </c>
    </row>
    <row r="104" s="1" customFormat="1" ht="22.5" customHeight="1" spans="1:2">
      <c r="A104" s="9">
        <v>102</v>
      </c>
      <c r="B104" s="10">
        <v>14</v>
      </c>
    </row>
    <row r="105" s="1" customFormat="1" ht="22.5" customHeight="1" spans="1:2">
      <c r="A105" s="9">
        <v>103</v>
      </c>
      <c r="B105" s="10">
        <v>13</v>
      </c>
    </row>
    <row r="106" s="1" customFormat="1" ht="22.5" customHeight="1" spans="1:2">
      <c r="A106" s="9">
        <v>104</v>
      </c>
      <c r="B106" s="10">
        <v>22</v>
      </c>
    </row>
    <row r="107" s="1" customFormat="1" ht="22.5" customHeight="1" spans="1:2">
      <c r="A107" s="9">
        <v>105</v>
      </c>
      <c r="B107" s="10">
        <v>14</v>
      </c>
    </row>
    <row r="108" s="1" customFormat="1" ht="22.5" customHeight="1" spans="1:2">
      <c r="A108" s="9">
        <v>106</v>
      </c>
      <c r="B108" s="10">
        <v>6</v>
      </c>
    </row>
    <row r="109" s="1" customFormat="1" ht="22.5" customHeight="1" spans="1:2">
      <c r="A109" s="9">
        <v>107</v>
      </c>
      <c r="B109" s="10">
        <v>16</v>
      </c>
    </row>
    <row r="110" s="1" customFormat="1" ht="22.5" customHeight="1" spans="1:2">
      <c r="A110" s="9">
        <v>108</v>
      </c>
      <c r="B110" s="10">
        <v>10</v>
      </c>
    </row>
    <row r="111" s="1" customFormat="1" ht="22.5" customHeight="1" spans="1:2">
      <c r="A111" s="9">
        <v>109</v>
      </c>
      <c r="B111" s="10">
        <v>18</v>
      </c>
    </row>
    <row r="112" s="1" customFormat="1" ht="22.5" customHeight="1" spans="1:2">
      <c r="A112" s="9">
        <v>110</v>
      </c>
      <c r="B112" s="10">
        <v>12</v>
      </c>
    </row>
    <row r="113" s="1" customFormat="1" ht="22.5" customHeight="1" spans="1:2">
      <c r="A113" s="9">
        <v>111</v>
      </c>
      <c r="B113" s="10">
        <v>13</v>
      </c>
    </row>
    <row r="114" s="1" customFormat="1" ht="22.5" customHeight="1" spans="1:2">
      <c r="A114" s="9">
        <v>112</v>
      </c>
      <c r="B114" s="10">
        <v>11</v>
      </c>
    </row>
    <row r="115" s="1" customFormat="1" ht="22.5" customHeight="1" spans="1:2">
      <c r="A115" s="9">
        <v>113</v>
      </c>
      <c r="B115" s="10">
        <v>16</v>
      </c>
    </row>
    <row r="116" s="1" customFormat="1" ht="22.5" customHeight="1" spans="1:2">
      <c r="A116" s="9">
        <v>114</v>
      </c>
      <c r="B116" s="10">
        <v>19</v>
      </c>
    </row>
    <row r="117" s="1" customFormat="1" ht="22.5" customHeight="1" spans="1:2">
      <c r="A117" s="9">
        <v>115</v>
      </c>
      <c r="B117" s="10">
        <v>10</v>
      </c>
    </row>
    <row r="118" s="1" customFormat="1" ht="22.5" customHeight="1" spans="1:2">
      <c r="A118" s="9">
        <v>116</v>
      </c>
      <c r="B118" s="10">
        <v>16</v>
      </c>
    </row>
    <row r="119" s="1" customFormat="1" ht="22.5" customHeight="1" spans="1:2">
      <c r="A119" s="9">
        <v>117</v>
      </c>
      <c r="B119" s="10">
        <v>13</v>
      </c>
    </row>
    <row r="120" s="1" customFormat="1" ht="22.5" customHeight="1" spans="1:2">
      <c r="A120" s="9">
        <v>118</v>
      </c>
      <c r="B120" s="10">
        <v>5</v>
      </c>
    </row>
    <row r="121" s="1" customFormat="1" ht="22.5" customHeight="1" spans="1:2">
      <c r="A121" s="9">
        <v>119</v>
      </c>
      <c r="B121" s="10">
        <v>11</v>
      </c>
    </row>
    <row r="122" s="1" customFormat="1" ht="22.5" customHeight="1" spans="1:2">
      <c r="A122" s="9">
        <v>120</v>
      </c>
      <c r="B122" s="10">
        <v>4</v>
      </c>
    </row>
    <row r="123" s="1" customFormat="1" ht="22.5" customHeight="1" spans="1:2">
      <c r="A123" s="9">
        <v>121</v>
      </c>
      <c r="B123" s="10">
        <v>4</v>
      </c>
    </row>
    <row r="124" s="1" customFormat="1" ht="22.5" customHeight="1" spans="1:2">
      <c r="A124" s="9">
        <v>122</v>
      </c>
      <c r="B124" s="10">
        <v>6</v>
      </c>
    </row>
    <row r="125" s="1" customFormat="1" ht="22.5" customHeight="1" spans="1:2">
      <c r="A125" s="9">
        <v>123</v>
      </c>
      <c r="B125" s="10">
        <v>13</v>
      </c>
    </row>
    <row r="126" s="1" customFormat="1" ht="22.5" customHeight="1" spans="1:2">
      <c r="A126" s="9">
        <v>124</v>
      </c>
      <c r="B126" s="10">
        <v>10</v>
      </c>
    </row>
    <row r="127" s="1" customFormat="1" ht="22.5" customHeight="1" spans="1:2">
      <c r="A127" s="9">
        <v>125</v>
      </c>
      <c r="B127" s="10">
        <v>8</v>
      </c>
    </row>
    <row r="128" s="1" customFormat="1" ht="22.5" customHeight="1" spans="1:2">
      <c r="A128" s="9">
        <v>126</v>
      </c>
      <c r="B128" s="10">
        <v>8</v>
      </c>
    </row>
    <row r="129" s="1" customFormat="1" ht="22.5" customHeight="1" spans="1:2">
      <c r="A129" s="9">
        <v>127</v>
      </c>
      <c r="B129" s="10">
        <v>8</v>
      </c>
    </row>
    <row r="130" s="1" customFormat="1" ht="22.5" customHeight="1" spans="1:2">
      <c r="A130" s="9">
        <v>128</v>
      </c>
      <c r="B130" s="10">
        <v>6</v>
      </c>
    </row>
    <row r="131" s="1" customFormat="1" ht="22.5" customHeight="1" spans="1:2">
      <c r="A131" s="9">
        <v>129</v>
      </c>
      <c r="B131" s="10">
        <v>9</v>
      </c>
    </row>
    <row r="132" s="1" customFormat="1" ht="22.5" customHeight="1" spans="1:2">
      <c r="A132" s="9">
        <v>130</v>
      </c>
      <c r="B132" s="10">
        <v>6</v>
      </c>
    </row>
    <row r="133" s="1" customFormat="1" ht="22.5" customHeight="1" spans="1:2">
      <c r="A133" s="9">
        <v>131</v>
      </c>
      <c r="B133" s="10">
        <v>4</v>
      </c>
    </row>
    <row r="134" s="1" customFormat="1" ht="22.5" customHeight="1" spans="1:2">
      <c r="A134" s="9">
        <v>132</v>
      </c>
      <c r="B134" s="10">
        <v>7</v>
      </c>
    </row>
    <row r="135" s="1" customFormat="1" ht="22.5" customHeight="1" spans="1:2">
      <c r="A135" s="9">
        <v>133</v>
      </c>
      <c r="B135" s="10">
        <v>8</v>
      </c>
    </row>
    <row r="136" s="1" customFormat="1" ht="22.5" customHeight="1" spans="1:2">
      <c r="A136" s="9">
        <v>134</v>
      </c>
      <c r="B136" s="10">
        <v>9</v>
      </c>
    </row>
    <row r="137" s="1" customFormat="1" ht="22.5" customHeight="1" spans="1:2">
      <c r="A137" s="9">
        <v>135</v>
      </c>
      <c r="B137" s="10">
        <v>11</v>
      </c>
    </row>
    <row r="138" s="1" customFormat="1" ht="22.5" customHeight="1" spans="1:2">
      <c r="A138" s="9">
        <v>136</v>
      </c>
      <c r="B138" s="10">
        <v>7</v>
      </c>
    </row>
    <row r="139" s="1" customFormat="1" ht="22.5" customHeight="1" spans="1:2">
      <c r="A139" s="9">
        <v>137</v>
      </c>
      <c r="B139" s="10">
        <v>6</v>
      </c>
    </row>
    <row r="140" s="1" customFormat="1" ht="22.5" customHeight="1" spans="1:2">
      <c r="A140" s="9">
        <v>138</v>
      </c>
      <c r="B140" s="10">
        <v>6</v>
      </c>
    </row>
    <row r="141" s="1" customFormat="1" ht="22.5" customHeight="1" spans="1:2">
      <c r="A141" s="9">
        <v>139</v>
      </c>
      <c r="B141" s="10">
        <v>9</v>
      </c>
    </row>
    <row r="142" s="1" customFormat="1" ht="22.5" customHeight="1" spans="1:2">
      <c r="A142" s="9">
        <v>140</v>
      </c>
      <c r="B142" s="10">
        <v>8</v>
      </c>
    </row>
    <row r="143" s="1" customFormat="1" ht="22.5" customHeight="1" spans="1:2">
      <c r="A143" s="9">
        <v>141</v>
      </c>
      <c r="B143" s="10">
        <v>5</v>
      </c>
    </row>
    <row r="144" s="1" customFormat="1" ht="22.5" customHeight="1" spans="1:2">
      <c r="A144" s="9">
        <v>142</v>
      </c>
      <c r="B144" s="10">
        <v>3</v>
      </c>
    </row>
    <row r="145" s="1" customFormat="1" ht="22.5" customHeight="1" spans="1:2">
      <c r="A145" s="9">
        <v>143</v>
      </c>
      <c r="B145" s="10">
        <v>3</v>
      </c>
    </row>
    <row r="146" s="1" customFormat="1" ht="22.5" customHeight="1" spans="1:2">
      <c r="A146" s="9">
        <v>144</v>
      </c>
      <c r="B146" s="10">
        <v>8</v>
      </c>
    </row>
    <row r="147" s="1" customFormat="1" ht="22.5" customHeight="1" spans="1:2">
      <c r="A147" s="9">
        <v>145</v>
      </c>
      <c r="B147" s="10">
        <v>11</v>
      </c>
    </row>
    <row r="148" s="1" customFormat="1" ht="22.5" customHeight="1" spans="1:2">
      <c r="A148" s="9">
        <v>146</v>
      </c>
      <c r="B148" s="10">
        <v>7</v>
      </c>
    </row>
    <row r="149" s="1" customFormat="1" ht="22.5" customHeight="1" spans="1:2">
      <c r="A149" s="9">
        <v>147</v>
      </c>
      <c r="B149" s="10">
        <v>4</v>
      </c>
    </row>
    <row r="150" s="1" customFormat="1" ht="22.5" customHeight="1" spans="1:2">
      <c r="A150" s="9">
        <v>148</v>
      </c>
      <c r="B150" s="10">
        <v>6</v>
      </c>
    </row>
    <row r="151" s="1" customFormat="1" ht="22.5" customHeight="1" spans="1:2">
      <c r="A151" s="9">
        <v>149</v>
      </c>
      <c r="B151" s="10">
        <v>7</v>
      </c>
    </row>
    <row r="152" s="1" customFormat="1" ht="22.5" customHeight="1" spans="1:2">
      <c r="A152" s="9">
        <v>150</v>
      </c>
      <c r="B152" s="10">
        <v>5</v>
      </c>
    </row>
    <row r="153" s="1" customFormat="1" ht="22.5" customHeight="1" spans="1:2">
      <c r="A153" s="9">
        <v>151</v>
      </c>
      <c r="B153" s="10">
        <v>4</v>
      </c>
    </row>
    <row r="154" s="1" customFormat="1" ht="22.5" customHeight="1" spans="1:2">
      <c r="A154" s="9">
        <v>152</v>
      </c>
      <c r="B154" s="10">
        <v>3</v>
      </c>
    </row>
    <row r="155" s="1" customFormat="1" ht="22.5" customHeight="1" spans="1:2">
      <c r="A155" s="9">
        <v>153</v>
      </c>
      <c r="B155" s="10">
        <v>5</v>
      </c>
    </row>
    <row r="156" s="1" customFormat="1" ht="22.5" customHeight="1" spans="1:2">
      <c r="A156" s="9">
        <v>154</v>
      </c>
      <c r="B156" s="10">
        <v>7</v>
      </c>
    </row>
    <row r="157" s="1" customFormat="1" ht="22.5" customHeight="1" spans="1:2">
      <c r="A157" s="9">
        <v>155</v>
      </c>
      <c r="B157" s="10">
        <v>2</v>
      </c>
    </row>
    <row r="158" s="1" customFormat="1" ht="22.5" customHeight="1" spans="1:2">
      <c r="A158" s="9">
        <v>156</v>
      </c>
      <c r="B158" s="10">
        <v>1</v>
      </c>
    </row>
    <row r="159" s="1" customFormat="1" ht="22.5" customHeight="1" spans="1:2">
      <c r="A159" s="9">
        <v>157</v>
      </c>
      <c r="B159" s="10">
        <v>6</v>
      </c>
    </row>
    <row r="160" s="1" customFormat="1" ht="22.5" customHeight="1" spans="1:2">
      <c r="A160" s="9">
        <v>158</v>
      </c>
      <c r="B160" s="10">
        <v>6</v>
      </c>
    </row>
    <row r="161" s="1" customFormat="1" ht="22.5" customHeight="1" spans="1:2">
      <c r="A161" s="9">
        <v>159</v>
      </c>
      <c r="B161" s="10">
        <v>4</v>
      </c>
    </row>
    <row r="162" s="1" customFormat="1" ht="22.5" customHeight="1" spans="1:2">
      <c r="A162" s="9">
        <v>160</v>
      </c>
      <c r="B162" s="10">
        <v>4</v>
      </c>
    </row>
    <row r="163" s="1" customFormat="1" ht="22.5" customHeight="1" spans="1:2">
      <c r="A163" s="9">
        <v>161</v>
      </c>
      <c r="B163" s="10">
        <v>4</v>
      </c>
    </row>
    <row r="164" s="1" customFormat="1" ht="22.5" customHeight="1" spans="1:2">
      <c r="A164" s="9">
        <v>162</v>
      </c>
      <c r="B164" s="10">
        <v>2</v>
      </c>
    </row>
    <row r="165" s="1" customFormat="1" ht="22.5" customHeight="1" spans="1:2">
      <c r="A165" s="9">
        <v>163</v>
      </c>
      <c r="B165" s="10">
        <v>8</v>
      </c>
    </row>
    <row r="166" s="1" customFormat="1" ht="22.5" customHeight="1" spans="1:2">
      <c r="A166" s="9">
        <v>164</v>
      </c>
      <c r="B166" s="10">
        <v>4</v>
      </c>
    </row>
    <row r="167" s="1" customFormat="1" ht="22.5" customHeight="1" spans="1:2">
      <c r="A167" s="9">
        <v>165</v>
      </c>
      <c r="B167" s="10">
        <v>6</v>
      </c>
    </row>
    <row r="168" s="1" customFormat="1" ht="22.5" customHeight="1" spans="1:2">
      <c r="A168" s="9">
        <v>166</v>
      </c>
      <c r="B168" s="10">
        <v>5</v>
      </c>
    </row>
    <row r="169" s="1" customFormat="1" ht="22.5" customHeight="1" spans="1:2">
      <c r="A169" s="9">
        <v>168</v>
      </c>
      <c r="B169" s="10">
        <v>4</v>
      </c>
    </row>
    <row r="170" s="1" customFormat="1" ht="22.5" customHeight="1" spans="1:2">
      <c r="A170" s="9">
        <v>169</v>
      </c>
      <c r="B170" s="10">
        <v>1</v>
      </c>
    </row>
    <row r="171" s="1" customFormat="1" ht="22.5" customHeight="1" spans="1:2">
      <c r="A171" s="9">
        <v>170</v>
      </c>
      <c r="B171" s="10">
        <v>4</v>
      </c>
    </row>
    <row r="172" s="1" customFormat="1" ht="22.5" customHeight="1" spans="1:2">
      <c r="A172" s="9">
        <v>171</v>
      </c>
      <c r="B172" s="10">
        <v>3</v>
      </c>
    </row>
    <row r="173" s="1" customFormat="1" ht="22.5" customHeight="1" spans="1:2">
      <c r="A173" s="9">
        <v>172</v>
      </c>
      <c r="B173" s="10">
        <v>3</v>
      </c>
    </row>
    <row r="174" s="1" customFormat="1" ht="22.5" customHeight="1" spans="1:2">
      <c r="A174" s="9">
        <v>173</v>
      </c>
      <c r="B174" s="10">
        <v>4</v>
      </c>
    </row>
    <row r="175" s="1" customFormat="1" ht="22.5" customHeight="1" spans="1:2">
      <c r="A175" s="9">
        <v>174</v>
      </c>
      <c r="B175" s="10">
        <v>2</v>
      </c>
    </row>
    <row r="176" s="1" customFormat="1" ht="22.5" customHeight="1" spans="1:2">
      <c r="A176" s="9">
        <v>175</v>
      </c>
      <c r="B176" s="10">
        <v>3</v>
      </c>
    </row>
    <row r="177" s="1" customFormat="1" ht="22.5" customHeight="1" spans="1:2">
      <c r="A177" s="9">
        <v>176</v>
      </c>
      <c r="B177" s="10">
        <v>3</v>
      </c>
    </row>
    <row r="178" s="1" customFormat="1" ht="22.5" customHeight="1" spans="1:2">
      <c r="A178" s="9">
        <v>177</v>
      </c>
      <c r="B178" s="10">
        <v>2</v>
      </c>
    </row>
    <row r="179" s="1" customFormat="1" ht="22.5" customHeight="1" spans="1:2">
      <c r="A179" s="9">
        <v>178</v>
      </c>
      <c r="B179" s="10">
        <v>3</v>
      </c>
    </row>
    <row r="180" s="1" customFormat="1" ht="22.5" customHeight="1" spans="1:2">
      <c r="A180" s="9">
        <v>179</v>
      </c>
      <c r="B180" s="10">
        <v>3</v>
      </c>
    </row>
    <row r="181" s="1" customFormat="1" ht="22.5" customHeight="1" spans="1:2">
      <c r="A181" s="9">
        <v>180</v>
      </c>
      <c r="B181" s="10">
        <v>4</v>
      </c>
    </row>
    <row r="182" s="1" customFormat="1" ht="22.5" customHeight="1" spans="1:2">
      <c r="A182" s="9">
        <v>181</v>
      </c>
      <c r="B182" s="10">
        <v>2</v>
      </c>
    </row>
    <row r="183" s="1" customFormat="1" ht="22.5" customHeight="1" spans="1:2">
      <c r="A183" s="9">
        <v>182</v>
      </c>
      <c r="B183" s="10">
        <v>4</v>
      </c>
    </row>
    <row r="184" s="1" customFormat="1" ht="22.5" customHeight="1" spans="1:2">
      <c r="A184" s="9">
        <v>183</v>
      </c>
      <c r="B184" s="10">
        <v>4</v>
      </c>
    </row>
    <row r="185" s="1" customFormat="1" ht="22.5" customHeight="1" spans="1:2">
      <c r="A185" s="9">
        <v>185</v>
      </c>
      <c r="B185" s="10">
        <v>5</v>
      </c>
    </row>
    <row r="186" s="1" customFormat="1" ht="22.5" customHeight="1" spans="1:2">
      <c r="A186" s="9">
        <v>186</v>
      </c>
      <c r="B186" s="10">
        <v>4</v>
      </c>
    </row>
    <row r="187" s="1" customFormat="1" ht="22.5" customHeight="1" spans="1:2">
      <c r="A187" s="9">
        <v>187</v>
      </c>
      <c r="B187" s="10">
        <v>2</v>
      </c>
    </row>
    <row r="188" s="1" customFormat="1" ht="22.5" customHeight="1" spans="1:2">
      <c r="A188" s="9">
        <v>188</v>
      </c>
      <c r="B188" s="10">
        <v>1</v>
      </c>
    </row>
    <row r="189" s="1" customFormat="1" ht="22.5" customHeight="1" spans="1:2">
      <c r="A189" s="9">
        <v>189</v>
      </c>
      <c r="B189" s="10">
        <v>4</v>
      </c>
    </row>
    <row r="190" s="1" customFormat="1" ht="22.5" customHeight="1" spans="1:2">
      <c r="A190" s="9">
        <v>190</v>
      </c>
      <c r="B190" s="10">
        <v>5</v>
      </c>
    </row>
    <row r="191" s="1" customFormat="1" ht="22.5" customHeight="1" spans="1:2">
      <c r="A191" s="9">
        <v>191</v>
      </c>
      <c r="B191" s="10">
        <v>2</v>
      </c>
    </row>
    <row r="192" s="1" customFormat="1" ht="22.5" customHeight="1" spans="1:2">
      <c r="A192" s="9">
        <v>192</v>
      </c>
      <c r="B192" s="10">
        <v>2</v>
      </c>
    </row>
    <row r="193" s="1" customFormat="1" ht="22.5" customHeight="1" spans="1:2">
      <c r="A193" s="9">
        <v>193</v>
      </c>
      <c r="B193" s="10">
        <v>4</v>
      </c>
    </row>
    <row r="194" s="1" customFormat="1" ht="22.5" customHeight="1" spans="1:2">
      <c r="A194" s="9">
        <v>194</v>
      </c>
      <c r="B194" s="10">
        <v>3</v>
      </c>
    </row>
    <row r="195" s="1" customFormat="1" ht="22.5" customHeight="1" spans="1:2">
      <c r="A195" s="9">
        <v>195</v>
      </c>
      <c r="B195" s="10">
        <v>5</v>
      </c>
    </row>
    <row r="196" s="1" customFormat="1" ht="22.5" customHeight="1" spans="1:2">
      <c r="A196" s="9">
        <v>196</v>
      </c>
      <c r="B196" s="10">
        <v>1</v>
      </c>
    </row>
    <row r="197" s="1" customFormat="1" ht="22.5" customHeight="1" spans="1:2">
      <c r="A197" s="9">
        <v>197</v>
      </c>
      <c r="B197" s="10">
        <v>3</v>
      </c>
    </row>
    <row r="198" s="1" customFormat="1" ht="22.5" customHeight="1" spans="1:2">
      <c r="A198" s="9">
        <v>198</v>
      </c>
      <c r="B198" s="10">
        <v>1</v>
      </c>
    </row>
    <row r="199" s="1" customFormat="1" ht="22.5" customHeight="1" spans="1:2">
      <c r="A199" s="9">
        <v>199</v>
      </c>
      <c r="B199" s="10">
        <v>2</v>
      </c>
    </row>
    <row r="200" s="1" customFormat="1" ht="22.5" customHeight="1" spans="1:2">
      <c r="A200" s="9">
        <v>200</v>
      </c>
      <c r="B200" s="10">
        <v>4</v>
      </c>
    </row>
    <row r="201" s="1" customFormat="1" ht="22.5" customHeight="1" spans="1:2">
      <c r="A201" s="9">
        <v>201</v>
      </c>
      <c r="B201" s="10">
        <v>3</v>
      </c>
    </row>
    <row r="202" s="1" customFormat="1" ht="22.5" customHeight="1" spans="1:2">
      <c r="A202" s="9">
        <v>203</v>
      </c>
      <c r="B202" s="10">
        <v>2</v>
      </c>
    </row>
    <row r="203" s="1" customFormat="1" ht="22.5" customHeight="1" spans="1:2">
      <c r="A203" s="9">
        <v>204</v>
      </c>
      <c r="B203" s="10">
        <v>4</v>
      </c>
    </row>
    <row r="204" s="1" customFormat="1" ht="22.5" customHeight="1" spans="1:2">
      <c r="A204" s="9">
        <v>205</v>
      </c>
      <c r="B204" s="10">
        <v>1</v>
      </c>
    </row>
    <row r="205" s="1" customFormat="1" ht="22.5" customHeight="1" spans="1:2">
      <c r="A205" s="9">
        <v>206</v>
      </c>
      <c r="B205" s="10">
        <v>3</v>
      </c>
    </row>
    <row r="206" s="1" customFormat="1" ht="22.5" customHeight="1" spans="1:2">
      <c r="A206" s="9">
        <v>208</v>
      </c>
      <c r="B206" s="10">
        <v>5</v>
      </c>
    </row>
    <row r="207" s="1" customFormat="1" ht="22.5" customHeight="1" spans="1:2">
      <c r="A207" s="9">
        <v>209</v>
      </c>
      <c r="B207" s="10">
        <v>4</v>
      </c>
    </row>
    <row r="208" s="1" customFormat="1" ht="22.5" customHeight="1" spans="1:2">
      <c r="A208" s="9">
        <v>210</v>
      </c>
      <c r="B208" s="10">
        <v>2</v>
      </c>
    </row>
    <row r="209" s="1" customFormat="1" ht="22.5" customHeight="1" spans="1:2">
      <c r="A209" s="9">
        <v>211</v>
      </c>
      <c r="B209" s="10">
        <v>2</v>
      </c>
    </row>
    <row r="210" s="1" customFormat="1" ht="22.5" customHeight="1" spans="1:2">
      <c r="A210" s="9">
        <v>212</v>
      </c>
      <c r="B210" s="10">
        <v>1</v>
      </c>
    </row>
    <row r="211" s="1" customFormat="1" ht="22.5" customHeight="1" spans="1:2">
      <c r="A211" s="9">
        <v>213</v>
      </c>
      <c r="B211" s="10">
        <v>4</v>
      </c>
    </row>
    <row r="212" s="1" customFormat="1" ht="22.5" customHeight="1" spans="1:2">
      <c r="A212" s="9">
        <v>214</v>
      </c>
      <c r="B212" s="10">
        <v>2</v>
      </c>
    </row>
    <row r="213" s="1" customFormat="1" ht="22.5" customHeight="1" spans="1:2">
      <c r="A213" s="9">
        <v>215</v>
      </c>
      <c r="B213" s="10">
        <v>1</v>
      </c>
    </row>
    <row r="214" s="1" customFormat="1" ht="22.5" customHeight="1" spans="1:2">
      <c r="A214" s="9">
        <v>216</v>
      </c>
      <c r="B214" s="10">
        <v>2</v>
      </c>
    </row>
    <row r="215" s="1" customFormat="1" ht="22.5" customHeight="1" spans="1:2">
      <c r="A215" s="9">
        <v>217</v>
      </c>
      <c r="B215" s="10">
        <v>1</v>
      </c>
    </row>
    <row r="216" s="1" customFormat="1" ht="22.5" customHeight="1" spans="1:2">
      <c r="A216" s="9">
        <v>218</v>
      </c>
      <c r="B216" s="10">
        <v>3</v>
      </c>
    </row>
    <row r="217" s="1" customFormat="1" ht="22.5" customHeight="1" spans="1:2">
      <c r="A217" s="9">
        <v>219</v>
      </c>
      <c r="B217" s="10">
        <v>1</v>
      </c>
    </row>
    <row r="218" s="1" customFormat="1" ht="22.5" customHeight="1" spans="1:2">
      <c r="A218" s="9">
        <v>220</v>
      </c>
      <c r="B218" s="10">
        <v>5</v>
      </c>
    </row>
    <row r="219" s="1" customFormat="1" ht="22.5" customHeight="1" spans="1:2">
      <c r="A219" s="9">
        <v>221</v>
      </c>
      <c r="B219" s="10">
        <v>4</v>
      </c>
    </row>
    <row r="220" s="1" customFormat="1" ht="22.5" customHeight="1" spans="1:2">
      <c r="A220" s="9">
        <v>222</v>
      </c>
      <c r="B220" s="10">
        <v>3</v>
      </c>
    </row>
    <row r="221" s="1" customFormat="1" ht="22.5" customHeight="1" spans="1:2">
      <c r="A221" s="9">
        <v>223</v>
      </c>
      <c r="B221" s="10">
        <v>2</v>
      </c>
    </row>
    <row r="222" s="1" customFormat="1" ht="22.5" customHeight="1" spans="1:2">
      <c r="A222" s="9">
        <v>224</v>
      </c>
      <c r="B222" s="10">
        <v>6</v>
      </c>
    </row>
    <row r="223" s="1" customFormat="1" ht="22.5" customHeight="1" spans="1:2">
      <c r="A223" s="9">
        <v>225</v>
      </c>
      <c r="B223" s="10">
        <v>3</v>
      </c>
    </row>
    <row r="224" s="1" customFormat="1" ht="22.5" customHeight="1" spans="1:2">
      <c r="A224" s="9">
        <v>226</v>
      </c>
      <c r="B224" s="10">
        <v>2</v>
      </c>
    </row>
    <row r="225" s="1" customFormat="1" ht="22.5" customHeight="1" spans="1:2">
      <c r="A225" s="9">
        <v>227</v>
      </c>
      <c r="B225" s="10">
        <v>1</v>
      </c>
    </row>
    <row r="226" s="1" customFormat="1" ht="22.5" customHeight="1" spans="1:2">
      <c r="A226" s="9">
        <v>228</v>
      </c>
      <c r="B226" s="10">
        <v>4</v>
      </c>
    </row>
    <row r="227" s="1" customFormat="1" ht="22.5" customHeight="1" spans="1:2">
      <c r="A227" s="9">
        <v>229</v>
      </c>
      <c r="B227" s="10">
        <v>3</v>
      </c>
    </row>
    <row r="228" s="1" customFormat="1" ht="22.5" customHeight="1" spans="1:2">
      <c r="A228" s="9">
        <v>230</v>
      </c>
      <c r="B228" s="10">
        <v>2</v>
      </c>
    </row>
    <row r="229" s="1" customFormat="1" ht="22.5" customHeight="1" spans="1:2">
      <c r="A229" s="9">
        <v>231</v>
      </c>
      <c r="B229" s="10">
        <v>2</v>
      </c>
    </row>
    <row r="230" s="1" customFormat="1" ht="22.5" customHeight="1" spans="1:2">
      <c r="A230" s="9">
        <v>233</v>
      </c>
      <c r="B230" s="10">
        <v>4</v>
      </c>
    </row>
    <row r="231" s="1" customFormat="1" ht="22.5" customHeight="1" spans="1:2">
      <c r="A231" s="9">
        <v>234</v>
      </c>
      <c r="B231" s="10">
        <v>3</v>
      </c>
    </row>
    <row r="232" s="1" customFormat="1" ht="22.5" customHeight="1" spans="1:2">
      <c r="A232" s="9">
        <v>235</v>
      </c>
      <c r="B232" s="10">
        <v>1</v>
      </c>
    </row>
    <row r="233" s="1" customFormat="1" ht="22.5" customHeight="1" spans="1:2">
      <c r="A233" s="9">
        <v>237</v>
      </c>
      <c r="B233" s="10">
        <v>3</v>
      </c>
    </row>
    <row r="234" s="1" customFormat="1" ht="22.5" customHeight="1" spans="1:2">
      <c r="A234" s="9">
        <v>238</v>
      </c>
      <c r="B234" s="10">
        <v>3</v>
      </c>
    </row>
    <row r="235" s="1" customFormat="1" ht="22.5" customHeight="1" spans="1:2">
      <c r="A235" s="9">
        <v>239</v>
      </c>
      <c r="B235" s="10">
        <v>2</v>
      </c>
    </row>
    <row r="236" s="1" customFormat="1" ht="22.5" customHeight="1" spans="1:2">
      <c r="A236" s="9">
        <v>240</v>
      </c>
      <c r="B236" s="10">
        <v>1</v>
      </c>
    </row>
    <row r="237" s="1" customFormat="1" ht="22.5" customHeight="1" spans="1:2">
      <c r="A237" s="9">
        <v>242</v>
      </c>
      <c r="B237" s="10">
        <v>1</v>
      </c>
    </row>
    <row r="238" s="1" customFormat="1" ht="22.5" customHeight="1" spans="1:2">
      <c r="A238" s="9">
        <v>243</v>
      </c>
      <c r="B238" s="10">
        <v>5</v>
      </c>
    </row>
    <row r="239" s="1" customFormat="1" ht="22.5" customHeight="1" spans="1:2">
      <c r="A239" s="9">
        <v>244</v>
      </c>
      <c r="B239" s="10">
        <v>1</v>
      </c>
    </row>
    <row r="240" s="1" customFormat="1" ht="22.5" customHeight="1" spans="1:2">
      <c r="A240" s="9">
        <v>245</v>
      </c>
      <c r="B240" s="10">
        <v>3</v>
      </c>
    </row>
    <row r="241" s="1" customFormat="1" ht="22.5" customHeight="1" spans="1:2">
      <c r="A241" s="9">
        <v>247</v>
      </c>
      <c r="B241" s="10">
        <v>1</v>
      </c>
    </row>
    <row r="242" s="1" customFormat="1" ht="22.5" customHeight="1" spans="1:2">
      <c r="A242" s="9">
        <v>249</v>
      </c>
      <c r="B242" s="10">
        <v>3</v>
      </c>
    </row>
    <row r="243" s="1" customFormat="1" ht="22.5" customHeight="1" spans="1:2">
      <c r="A243" s="9">
        <v>250</v>
      </c>
      <c r="B243" s="10">
        <v>2</v>
      </c>
    </row>
    <row r="244" s="1" customFormat="1" ht="22.5" customHeight="1" spans="1:2">
      <c r="A244" s="9">
        <v>251</v>
      </c>
      <c r="B244" s="10">
        <v>2</v>
      </c>
    </row>
    <row r="245" s="1" customFormat="1" ht="22.5" customHeight="1" spans="1:2">
      <c r="A245" s="9">
        <v>252</v>
      </c>
      <c r="B245" s="10">
        <v>1</v>
      </c>
    </row>
    <row r="246" s="1" customFormat="1" ht="22.5" customHeight="1" spans="1:2">
      <c r="A246" s="9">
        <v>253</v>
      </c>
      <c r="B246" s="10">
        <v>1</v>
      </c>
    </row>
    <row r="247" s="1" customFormat="1" ht="22.5" customHeight="1" spans="1:2">
      <c r="A247" s="9">
        <v>254</v>
      </c>
      <c r="B247" s="10">
        <v>3</v>
      </c>
    </row>
    <row r="248" s="1" customFormat="1" ht="22.5" customHeight="1" spans="1:2">
      <c r="A248" s="9">
        <v>255</v>
      </c>
      <c r="B248" s="10">
        <v>2</v>
      </c>
    </row>
    <row r="249" s="1" customFormat="1" ht="22.5" customHeight="1" spans="1:2">
      <c r="A249" s="9">
        <v>257</v>
      </c>
      <c r="B249" s="10">
        <v>2</v>
      </c>
    </row>
    <row r="250" s="1" customFormat="1" ht="22.5" customHeight="1" spans="1:2">
      <c r="A250" s="9">
        <v>258</v>
      </c>
      <c r="B250" s="10">
        <v>1</v>
      </c>
    </row>
    <row r="251" s="1" customFormat="1" ht="22.5" customHeight="1" spans="1:2">
      <c r="A251" s="9">
        <v>260</v>
      </c>
      <c r="B251" s="10">
        <v>1</v>
      </c>
    </row>
    <row r="252" s="1" customFormat="1" ht="22.5" customHeight="1" spans="1:2">
      <c r="A252" s="9">
        <v>261</v>
      </c>
      <c r="B252" s="10">
        <v>1</v>
      </c>
    </row>
    <row r="253" s="1" customFormat="1" ht="22.5" customHeight="1" spans="1:2">
      <c r="A253" s="9">
        <v>262</v>
      </c>
      <c r="B253" s="10">
        <v>1</v>
      </c>
    </row>
    <row r="254" s="1" customFormat="1" ht="22.5" customHeight="1" spans="1:2">
      <c r="A254" s="9">
        <v>263</v>
      </c>
      <c r="B254" s="10">
        <v>1</v>
      </c>
    </row>
    <row r="255" s="1" customFormat="1" ht="22.5" customHeight="1" spans="1:2">
      <c r="A255" s="9">
        <v>264</v>
      </c>
      <c r="B255" s="10">
        <v>1</v>
      </c>
    </row>
    <row r="256" s="1" customFormat="1" ht="22.5" customHeight="1" spans="1:2">
      <c r="A256" s="9">
        <v>265</v>
      </c>
      <c r="B256" s="10">
        <v>3</v>
      </c>
    </row>
    <row r="257" s="1" customFormat="1" ht="22.5" customHeight="1" spans="1:2">
      <c r="A257" s="9">
        <v>266</v>
      </c>
      <c r="B257" s="10">
        <v>3</v>
      </c>
    </row>
    <row r="258" s="1" customFormat="1" ht="22.5" customHeight="1" spans="1:2">
      <c r="A258" s="9">
        <v>267</v>
      </c>
      <c r="B258" s="10">
        <v>1</v>
      </c>
    </row>
    <row r="259" s="1" customFormat="1" ht="22.5" customHeight="1" spans="1:2">
      <c r="A259" s="9">
        <v>268</v>
      </c>
      <c r="B259" s="10">
        <v>1</v>
      </c>
    </row>
    <row r="260" s="1" customFormat="1" ht="22.5" customHeight="1" spans="1:2">
      <c r="A260" s="9">
        <v>269</v>
      </c>
      <c r="B260" s="10">
        <v>2</v>
      </c>
    </row>
    <row r="261" s="1" customFormat="1" ht="22.5" customHeight="1" spans="1:2">
      <c r="A261" s="9">
        <v>270</v>
      </c>
      <c r="B261" s="10">
        <v>1</v>
      </c>
    </row>
    <row r="262" s="1" customFormat="1" ht="22.5" customHeight="1" spans="1:2">
      <c r="A262" s="9">
        <v>271</v>
      </c>
      <c r="B262" s="10">
        <v>2</v>
      </c>
    </row>
    <row r="263" s="1" customFormat="1" ht="22.5" customHeight="1" spans="1:2">
      <c r="A263" s="9">
        <v>272</v>
      </c>
      <c r="B263" s="10">
        <v>3</v>
      </c>
    </row>
    <row r="264" s="1" customFormat="1" ht="22.5" customHeight="1" spans="1:2">
      <c r="A264" s="9">
        <v>273</v>
      </c>
      <c r="B264" s="10">
        <v>3</v>
      </c>
    </row>
    <row r="265" s="1" customFormat="1" ht="22.5" customHeight="1" spans="1:2">
      <c r="A265" s="9">
        <v>276</v>
      </c>
      <c r="B265" s="10">
        <v>1</v>
      </c>
    </row>
    <row r="266" s="1" customFormat="1" ht="22.5" customHeight="1" spans="1:2">
      <c r="A266" s="9">
        <v>277</v>
      </c>
      <c r="B266" s="10">
        <v>1</v>
      </c>
    </row>
    <row r="267" s="1" customFormat="1" ht="22.5" customHeight="1" spans="1:2">
      <c r="A267" s="9">
        <v>278</v>
      </c>
      <c r="B267" s="10">
        <v>1</v>
      </c>
    </row>
    <row r="268" s="1" customFormat="1" ht="22.5" customHeight="1" spans="1:2">
      <c r="A268" s="9">
        <v>279</v>
      </c>
      <c r="B268" s="10">
        <v>2</v>
      </c>
    </row>
    <row r="269" s="1" customFormat="1" ht="22.5" customHeight="1" spans="1:2">
      <c r="A269" s="9">
        <v>280</v>
      </c>
      <c r="B269" s="10">
        <v>1</v>
      </c>
    </row>
    <row r="270" s="1" customFormat="1" ht="22.5" customHeight="1" spans="1:2">
      <c r="A270" s="9">
        <v>282</v>
      </c>
      <c r="B270" s="10">
        <v>1</v>
      </c>
    </row>
    <row r="271" s="1" customFormat="1" ht="22.5" customHeight="1" spans="1:2">
      <c r="A271" s="9">
        <v>286</v>
      </c>
      <c r="B271" s="10">
        <v>1</v>
      </c>
    </row>
    <row r="272" s="1" customFormat="1" ht="22.5" customHeight="1" spans="1:2">
      <c r="A272" s="9">
        <v>287</v>
      </c>
      <c r="B272" s="10">
        <v>1</v>
      </c>
    </row>
    <row r="273" s="1" customFormat="1" ht="22.5" customHeight="1" spans="1:2">
      <c r="A273" s="9">
        <v>288</v>
      </c>
      <c r="B273" s="10">
        <v>1</v>
      </c>
    </row>
    <row r="274" s="1" customFormat="1" ht="22.5" customHeight="1" spans="1:2">
      <c r="A274" s="9">
        <v>289</v>
      </c>
      <c r="B274" s="10">
        <v>1</v>
      </c>
    </row>
    <row r="275" s="1" customFormat="1" ht="22.5" customHeight="1" spans="1:2">
      <c r="A275" s="9">
        <v>290</v>
      </c>
      <c r="B275" s="10">
        <v>1</v>
      </c>
    </row>
    <row r="276" s="1" customFormat="1" ht="22.5" customHeight="1" spans="1:2">
      <c r="A276" s="9">
        <v>292</v>
      </c>
      <c r="B276" s="10">
        <v>1</v>
      </c>
    </row>
    <row r="277" s="1" customFormat="1" ht="22.5" customHeight="1" spans="1:2">
      <c r="A277" s="9">
        <v>294</v>
      </c>
      <c r="B277" s="10">
        <v>1</v>
      </c>
    </row>
    <row r="278" s="1" customFormat="1" ht="22.5" customHeight="1" spans="1:2">
      <c r="A278" s="9">
        <v>295</v>
      </c>
      <c r="B278" s="10">
        <v>1</v>
      </c>
    </row>
    <row r="279" s="1" customFormat="1" ht="22.5" customHeight="1" spans="1:2">
      <c r="A279" s="9">
        <v>296</v>
      </c>
      <c r="B279" s="10">
        <v>1</v>
      </c>
    </row>
    <row r="280" s="1" customFormat="1" ht="22.5" customHeight="1" spans="1:2">
      <c r="A280" s="9">
        <v>297</v>
      </c>
      <c r="B280" s="10">
        <v>3</v>
      </c>
    </row>
    <row r="281" s="1" customFormat="1" ht="22.5" customHeight="1" spans="1:2">
      <c r="A281" s="9">
        <v>298</v>
      </c>
      <c r="B281" s="10">
        <v>1</v>
      </c>
    </row>
    <row r="282" s="1" customFormat="1" ht="22.5" customHeight="1" spans="1:2">
      <c r="A282" s="9">
        <v>300</v>
      </c>
      <c r="B282" s="10">
        <v>1</v>
      </c>
    </row>
    <row r="283" s="1" customFormat="1" ht="22.5" customHeight="1" spans="1:2">
      <c r="A283" s="9">
        <v>301</v>
      </c>
      <c r="B283" s="10">
        <v>1</v>
      </c>
    </row>
    <row r="284" s="1" customFormat="1" ht="22.5" customHeight="1" spans="1:2">
      <c r="A284" s="9">
        <v>304</v>
      </c>
      <c r="B284" s="10">
        <v>1</v>
      </c>
    </row>
    <row r="285" s="1" customFormat="1" ht="22.5" customHeight="1" spans="1:2">
      <c r="A285" s="9">
        <v>306</v>
      </c>
      <c r="B285" s="10">
        <v>1</v>
      </c>
    </row>
    <row r="286" s="1" customFormat="1" ht="22.5" customHeight="1" spans="1:2">
      <c r="A286" s="9">
        <v>307</v>
      </c>
      <c r="B286" s="10">
        <v>1</v>
      </c>
    </row>
    <row r="287" s="1" customFormat="1" ht="22.5" customHeight="1" spans="1:2">
      <c r="A287" s="9">
        <v>310</v>
      </c>
      <c r="B287" s="10">
        <v>1</v>
      </c>
    </row>
    <row r="288" s="1" customFormat="1" ht="22.5" customHeight="1" spans="1:2">
      <c r="A288" s="9">
        <v>313</v>
      </c>
      <c r="B288" s="10">
        <v>2</v>
      </c>
    </row>
    <row r="289" s="1" customFormat="1" ht="22.5" customHeight="1" spans="1:2">
      <c r="A289" s="9">
        <v>316</v>
      </c>
      <c r="B289" s="10">
        <v>3</v>
      </c>
    </row>
    <row r="290" s="1" customFormat="1" ht="22.5" customHeight="1" spans="1:2">
      <c r="A290" s="9">
        <v>318</v>
      </c>
      <c r="B290" s="10">
        <v>1</v>
      </c>
    </row>
    <row r="291" s="1" customFormat="1" ht="22.5" customHeight="1" spans="1:2">
      <c r="A291" s="9">
        <v>319</v>
      </c>
      <c r="B291" s="10">
        <v>2</v>
      </c>
    </row>
    <row r="292" s="1" customFormat="1" ht="22.5" customHeight="1" spans="1:2">
      <c r="A292" s="9">
        <v>320</v>
      </c>
      <c r="B292" s="10">
        <v>2</v>
      </c>
    </row>
    <row r="293" s="1" customFormat="1" ht="22.5" customHeight="1" spans="1:2">
      <c r="A293" s="9">
        <v>321</v>
      </c>
      <c r="B293" s="10">
        <v>1</v>
      </c>
    </row>
    <row r="294" s="1" customFormat="1" ht="22.5" customHeight="1" spans="1:2">
      <c r="A294" s="9">
        <v>323</v>
      </c>
      <c r="B294" s="10">
        <v>3</v>
      </c>
    </row>
    <row r="295" s="1" customFormat="1" ht="22.5" customHeight="1" spans="1:2">
      <c r="A295" s="9">
        <v>325</v>
      </c>
      <c r="B295" s="10">
        <v>2</v>
      </c>
    </row>
    <row r="296" s="1" customFormat="1" ht="22.5" customHeight="1" spans="1:2">
      <c r="A296" s="9">
        <v>327</v>
      </c>
      <c r="B296" s="10">
        <v>1</v>
      </c>
    </row>
    <row r="297" s="1" customFormat="1" ht="22.5" customHeight="1" spans="1:2">
      <c r="A297" s="9">
        <v>331</v>
      </c>
      <c r="B297" s="10">
        <v>1</v>
      </c>
    </row>
    <row r="298" s="1" customFormat="1" ht="22.5" customHeight="1" spans="1:2">
      <c r="A298" s="9">
        <v>332</v>
      </c>
      <c r="B298" s="10">
        <v>1</v>
      </c>
    </row>
    <row r="299" s="1" customFormat="1" ht="22.5" customHeight="1" spans="1:2">
      <c r="A299" s="9">
        <v>333</v>
      </c>
      <c r="B299" s="10">
        <v>1</v>
      </c>
    </row>
    <row r="300" s="1" customFormat="1" ht="22.5" customHeight="1" spans="1:2">
      <c r="A300" s="9">
        <v>334</v>
      </c>
      <c r="B300" s="10">
        <v>3</v>
      </c>
    </row>
    <row r="301" s="1" customFormat="1" ht="22.5" customHeight="1" spans="1:2">
      <c r="A301" s="9">
        <v>335</v>
      </c>
      <c r="B301" s="10">
        <v>1</v>
      </c>
    </row>
    <row r="302" s="1" customFormat="1" ht="22.5" customHeight="1" spans="1:2">
      <c r="A302" s="9">
        <v>337</v>
      </c>
      <c r="B302" s="10">
        <v>1</v>
      </c>
    </row>
    <row r="303" s="1" customFormat="1" ht="22.5" customHeight="1" spans="1:2">
      <c r="A303" s="9">
        <v>340</v>
      </c>
      <c r="B303" s="10">
        <v>1</v>
      </c>
    </row>
    <row r="304" s="1" customFormat="1" ht="22.5" customHeight="1" spans="1:2">
      <c r="A304" s="9">
        <v>342</v>
      </c>
      <c r="B304" s="10">
        <v>1</v>
      </c>
    </row>
    <row r="305" s="1" customFormat="1" ht="22.5" customHeight="1" spans="1:2">
      <c r="A305" s="9">
        <v>343</v>
      </c>
      <c r="B305" s="10">
        <v>1</v>
      </c>
    </row>
    <row r="306" s="1" customFormat="1" ht="22.5" customHeight="1" spans="1:2">
      <c r="A306" s="9">
        <v>344</v>
      </c>
      <c r="B306" s="10">
        <v>2</v>
      </c>
    </row>
    <row r="307" s="1" customFormat="1" ht="22.5" customHeight="1" spans="1:2">
      <c r="A307" s="9">
        <v>345</v>
      </c>
      <c r="B307" s="10">
        <v>1</v>
      </c>
    </row>
    <row r="308" s="1" customFormat="1" ht="22.5" customHeight="1" spans="1:2">
      <c r="A308" s="9">
        <v>347</v>
      </c>
      <c r="B308" s="10">
        <v>1</v>
      </c>
    </row>
    <row r="309" s="1" customFormat="1" ht="22.5" customHeight="1" spans="1:2">
      <c r="A309" s="9">
        <v>350</v>
      </c>
      <c r="B309" s="10">
        <v>1</v>
      </c>
    </row>
    <row r="310" s="1" customFormat="1" ht="22.5" customHeight="1" spans="1:2">
      <c r="A310" s="9">
        <v>351</v>
      </c>
      <c r="B310" s="10">
        <v>1</v>
      </c>
    </row>
    <row r="311" s="1" customFormat="1" ht="22.5" customHeight="1" spans="1:2">
      <c r="A311" s="9">
        <v>354</v>
      </c>
      <c r="B311" s="10">
        <v>2</v>
      </c>
    </row>
    <row r="312" s="1" customFormat="1" ht="22.5" customHeight="1" spans="1:2">
      <c r="A312" s="9">
        <v>355</v>
      </c>
      <c r="B312" s="10">
        <v>3</v>
      </c>
    </row>
    <row r="313" s="1" customFormat="1" ht="22.5" customHeight="1" spans="1:2">
      <c r="A313" s="9">
        <v>356</v>
      </c>
      <c r="B313" s="10">
        <v>1</v>
      </c>
    </row>
    <row r="314" s="1" customFormat="1" ht="22.5" customHeight="1" spans="1:2">
      <c r="A314" s="9">
        <v>360</v>
      </c>
      <c r="B314" s="10">
        <v>1</v>
      </c>
    </row>
    <row r="315" s="1" customFormat="1" ht="22.5" customHeight="1" spans="1:2">
      <c r="A315" s="9">
        <v>362</v>
      </c>
      <c r="B315" s="10">
        <v>1</v>
      </c>
    </row>
    <row r="316" s="1" customFormat="1" ht="22.5" customHeight="1" spans="1:2">
      <c r="A316" s="9">
        <v>363</v>
      </c>
      <c r="B316" s="10">
        <v>1</v>
      </c>
    </row>
    <row r="317" s="1" customFormat="1" ht="22.5" customHeight="1" spans="1:2">
      <c r="A317" s="9">
        <v>364</v>
      </c>
      <c r="B317" s="10">
        <v>1</v>
      </c>
    </row>
    <row r="318" s="1" customFormat="1" ht="22.5" customHeight="1" spans="1:2">
      <c r="A318" s="9">
        <v>365</v>
      </c>
      <c r="B318" s="10">
        <v>1</v>
      </c>
    </row>
    <row r="319" s="1" customFormat="1" ht="22.5" customHeight="1" spans="1:2">
      <c r="A319" s="9">
        <v>366</v>
      </c>
      <c r="B319" s="10">
        <v>1</v>
      </c>
    </row>
    <row r="320" s="1" customFormat="1" ht="22.5" customHeight="1" spans="1:2">
      <c r="A320" s="9">
        <v>368</v>
      </c>
      <c r="B320" s="10">
        <v>1</v>
      </c>
    </row>
    <row r="321" s="1" customFormat="1" ht="22.5" customHeight="1" spans="1:2">
      <c r="A321" s="9">
        <v>369</v>
      </c>
      <c r="B321" s="10">
        <v>3</v>
      </c>
    </row>
    <row r="322" s="1" customFormat="1" ht="22.5" customHeight="1" spans="1:2">
      <c r="A322" s="9">
        <v>373</v>
      </c>
      <c r="B322" s="10">
        <v>2</v>
      </c>
    </row>
    <row r="323" s="1" customFormat="1" ht="22.5" customHeight="1" spans="1:2">
      <c r="A323" s="9">
        <v>375</v>
      </c>
      <c r="B323" s="10">
        <v>2</v>
      </c>
    </row>
    <row r="324" s="1" customFormat="1" ht="22.5" customHeight="1" spans="1:2">
      <c r="A324" s="9">
        <v>380</v>
      </c>
      <c r="B324" s="10">
        <v>1</v>
      </c>
    </row>
    <row r="325" s="1" customFormat="1" ht="22.5" customHeight="1" spans="1:2">
      <c r="A325" s="9">
        <v>381</v>
      </c>
      <c r="B325" s="10">
        <v>1</v>
      </c>
    </row>
    <row r="326" s="1" customFormat="1" ht="22.5" customHeight="1" spans="1:2">
      <c r="A326" s="9">
        <v>382</v>
      </c>
      <c r="B326" s="10">
        <v>1</v>
      </c>
    </row>
    <row r="327" s="1" customFormat="1" ht="22.5" customHeight="1" spans="1:2">
      <c r="A327" s="9">
        <v>384</v>
      </c>
      <c r="B327" s="10">
        <v>1</v>
      </c>
    </row>
    <row r="328" s="1" customFormat="1" ht="22.5" customHeight="1" spans="1:2">
      <c r="A328" s="9">
        <v>385</v>
      </c>
      <c r="B328" s="10">
        <v>1</v>
      </c>
    </row>
    <row r="329" s="1" customFormat="1" ht="22.5" customHeight="1" spans="1:2">
      <c r="A329" s="9">
        <v>386</v>
      </c>
      <c r="B329" s="10">
        <v>3</v>
      </c>
    </row>
    <row r="330" s="1" customFormat="1" ht="22.5" customHeight="1" spans="1:2">
      <c r="A330" s="9">
        <v>388</v>
      </c>
      <c r="B330" s="10">
        <v>1</v>
      </c>
    </row>
    <row r="331" s="1" customFormat="1" ht="22.5" customHeight="1" spans="1:2">
      <c r="A331" s="9">
        <v>392</v>
      </c>
      <c r="B331" s="10">
        <v>1</v>
      </c>
    </row>
    <row r="332" s="1" customFormat="1" ht="22.5" customHeight="1" spans="1:2">
      <c r="A332" s="9">
        <v>396</v>
      </c>
      <c r="B332" s="10">
        <v>1</v>
      </c>
    </row>
    <row r="333" s="1" customFormat="1" ht="22.5" customHeight="1" spans="1:2">
      <c r="A333" s="9">
        <v>399</v>
      </c>
      <c r="B333" s="10">
        <v>1</v>
      </c>
    </row>
    <row r="334" s="1" customFormat="1" ht="22.5" customHeight="1" spans="1:2">
      <c r="A334" s="9">
        <v>402</v>
      </c>
      <c r="B334" s="10">
        <v>1</v>
      </c>
    </row>
    <row r="335" s="1" customFormat="1" ht="22.5" customHeight="1" spans="1:2">
      <c r="A335" s="9">
        <v>405</v>
      </c>
      <c r="B335" s="10">
        <v>1</v>
      </c>
    </row>
    <row r="336" s="1" customFormat="1" ht="22.5" customHeight="1" spans="1:2">
      <c r="A336" s="9">
        <v>407</v>
      </c>
      <c r="B336" s="10">
        <v>1</v>
      </c>
    </row>
    <row r="337" s="1" customFormat="1" ht="22.5" customHeight="1" spans="1:2">
      <c r="A337" s="9">
        <v>414</v>
      </c>
      <c r="B337" s="10">
        <v>1</v>
      </c>
    </row>
    <row r="338" s="1" customFormat="1" ht="22.5" customHeight="1" spans="1:2">
      <c r="A338" s="9">
        <v>417</v>
      </c>
      <c r="B338" s="10">
        <v>1</v>
      </c>
    </row>
    <row r="339" s="1" customFormat="1" ht="22.5" customHeight="1" spans="1:2">
      <c r="A339" s="9">
        <v>418</v>
      </c>
      <c r="B339" s="10">
        <v>1</v>
      </c>
    </row>
    <row r="340" s="1" customFormat="1" ht="22.5" customHeight="1" spans="1:2">
      <c r="A340" s="9">
        <v>420</v>
      </c>
      <c r="B340" s="10">
        <v>1</v>
      </c>
    </row>
    <row r="341" s="1" customFormat="1" ht="22.5" customHeight="1" spans="1:2">
      <c r="A341" s="9">
        <v>426</v>
      </c>
      <c r="B341" s="10">
        <v>1</v>
      </c>
    </row>
    <row r="342" s="1" customFormat="1" ht="22.5" customHeight="1" spans="1:2">
      <c r="A342" s="9">
        <v>427</v>
      </c>
      <c r="B342" s="10">
        <v>1</v>
      </c>
    </row>
    <row r="343" s="1" customFormat="1" ht="22.5" customHeight="1" spans="1:2">
      <c r="A343" s="9">
        <v>430</v>
      </c>
      <c r="B343" s="10">
        <v>1</v>
      </c>
    </row>
    <row r="344" s="1" customFormat="1" ht="22.5" customHeight="1" spans="1:2">
      <c r="A344" s="9">
        <v>431</v>
      </c>
      <c r="B344" s="10">
        <v>1</v>
      </c>
    </row>
    <row r="345" s="1" customFormat="1" ht="22.5" customHeight="1" spans="1:2">
      <c r="A345" s="9">
        <v>432</v>
      </c>
      <c r="B345" s="10">
        <v>1</v>
      </c>
    </row>
    <row r="346" s="1" customFormat="1" ht="22.5" customHeight="1" spans="1:2">
      <c r="A346" s="9">
        <v>449</v>
      </c>
      <c r="B346" s="10">
        <v>1</v>
      </c>
    </row>
    <row r="347" s="1" customFormat="1" ht="22.5" customHeight="1" spans="1:2">
      <c r="A347" s="9">
        <v>450</v>
      </c>
      <c r="B347" s="10">
        <v>1</v>
      </c>
    </row>
    <row r="348" s="1" customFormat="1" ht="22.5" customHeight="1" spans="1:2">
      <c r="A348" s="9">
        <v>454</v>
      </c>
      <c r="B348" s="10">
        <v>2</v>
      </c>
    </row>
    <row r="349" s="1" customFormat="1" ht="22.5" customHeight="1" spans="1:2">
      <c r="A349" s="9">
        <v>455</v>
      </c>
      <c r="B349" s="10">
        <v>2</v>
      </c>
    </row>
    <row r="350" s="1" customFormat="1" ht="22.5" customHeight="1" spans="1:2">
      <c r="A350" s="9">
        <v>456</v>
      </c>
      <c r="B350" s="10">
        <v>1</v>
      </c>
    </row>
    <row r="351" s="1" customFormat="1" ht="22.5" customHeight="1" spans="1:2">
      <c r="A351" s="9">
        <v>458</v>
      </c>
      <c r="B351" s="10">
        <v>1</v>
      </c>
    </row>
    <row r="352" s="1" customFormat="1" ht="22.5" customHeight="1" spans="1:2">
      <c r="A352" s="9">
        <v>466</v>
      </c>
      <c r="B352" s="10">
        <v>1</v>
      </c>
    </row>
    <row r="353" s="1" customFormat="1" ht="22.5" customHeight="1" spans="1:2">
      <c r="A353" s="9">
        <v>467</v>
      </c>
      <c r="B353" s="10">
        <v>1</v>
      </c>
    </row>
    <row r="354" s="1" customFormat="1" ht="22.5" customHeight="1" spans="1:2">
      <c r="A354" s="9">
        <v>471</v>
      </c>
      <c r="B354" s="10">
        <v>1</v>
      </c>
    </row>
    <row r="355" s="1" customFormat="1" ht="22.5" customHeight="1" spans="1:2">
      <c r="A355" s="9">
        <v>483</v>
      </c>
      <c r="B355" s="10">
        <v>1</v>
      </c>
    </row>
    <row r="356" s="1" customFormat="1" ht="22.5" customHeight="1" spans="1:2">
      <c r="A356" s="9">
        <v>486</v>
      </c>
      <c r="B356" s="10">
        <v>2</v>
      </c>
    </row>
    <row r="357" s="1" customFormat="1" ht="22.5" customHeight="1" spans="1:2">
      <c r="A357" s="9">
        <v>488</v>
      </c>
      <c r="B357" s="10">
        <v>1</v>
      </c>
    </row>
    <row r="358" s="1" customFormat="1" ht="22.5" customHeight="1" spans="1:2">
      <c r="A358" s="9">
        <v>494</v>
      </c>
      <c r="B358" s="10">
        <v>1</v>
      </c>
    </row>
    <row r="359" s="1" customFormat="1" ht="22.5" customHeight="1" spans="1:2">
      <c r="A359" s="9">
        <v>495</v>
      </c>
      <c r="B359" s="10">
        <v>2</v>
      </c>
    </row>
    <row r="360" s="1" customFormat="1" ht="22.5" customHeight="1" spans="1:2">
      <c r="A360" s="9">
        <v>500</v>
      </c>
      <c r="B360" s="10">
        <v>1</v>
      </c>
    </row>
    <row r="361" s="1" customFormat="1" ht="22.5" customHeight="1" spans="1:2">
      <c r="A361" s="9">
        <v>512</v>
      </c>
      <c r="B361" s="10">
        <v>1</v>
      </c>
    </row>
    <row r="362" s="1" customFormat="1" ht="22.5" customHeight="1" spans="1:2">
      <c r="A362" s="9">
        <v>515</v>
      </c>
      <c r="B362" s="10">
        <v>1</v>
      </c>
    </row>
    <row r="363" s="1" customFormat="1" ht="22.5" customHeight="1" spans="1:2">
      <c r="A363" s="9">
        <v>516</v>
      </c>
      <c r="B363" s="10">
        <v>1</v>
      </c>
    </row>
    <row r="364" s="1" customFormat="1" ht="22.5" customHeight="1" spans="1:2">
      <c r="A364" s="9">
        <v>519</v>
      </c>
      <c r="B364" s="10">
        <v>1</v>
      </c>
    </row>
    <row r="365" s="1" customFormat="1" ht="22.5" customHeight="1" spans="1:2">
      <c r="A365" s="9">
        <v>522</v>
      </c>
      <c r="B365" s="10">
        <v>1</v>
      </c>
    </row>
    <row r="366" s="1" customFormat="1" ht="22.5" customHeight="1" spans="1:2">
      <c r="A366" s="9">
        <v>523</v>
      </c>
      <c r="B366" s="10">
        <v>1</v>
      </c>
    </row>
    <row r="367" s="1" customFormat="1" ht="22.5" customHeight="1" spans="1:2">
      <c r="A367" s="9">
        <v>525</v>
      </c>
      <c r="B367" s="10">
        <v>1</v>
      </c>
    </row>
    <row r="368" s="1" customFormat="1" ht="22.5" customHeight="1" spans="1:2">
      <c r="A368" s="9">
        <v>527</v>
      </c>
      <c r="B368" s="10">
        <v>1</v>
      </c>
    </row>
    <row r="369" s="1" customFormat="1" ht="22.5" customHeight="1" spans="1:2">
      <c r="A369" s="9">
        <v>529</v>
      </c>
      <c r="B369" s="10">
        <v>1</v>
      </c>
    </row>
    <row r="370" s="1" customFormat="1" ht="22.5" customHeight="1" spans="1:2">
      <c r="A370" s="9">
        <v>535</v>
      </c>
      <c r="B370" s="10">
        <v>1</v>
      </c>
    </row>
    <row r="371" s="1" customFormat="1" ht="22.5" customHeight="1" spans="1:2">
      <c r="A371" s="9">
        <v>539</v>
      </c>
      <c r="B371" s="10">
        <v>2</v>
      </c>
    </row>
    <row r="372" s="1" customFormat="1" ht="22.5" customHeight="1" spans="1:2">
      <c r="A372" s="9">
        <v>542</v>
      </c>
      <c r="B372" s="10">
        <v>1</v>
      </c>
    </row>
    <row r="373" s="1" customFormat="1" ht="22.5" customHeight="1" spans="1:2">
      <c r="A373" s="9">
        <v>544</v>
      </c>
      <c r="B373" s="10">
        <v>1</v>
      </c>
    </row>
    <row r="374" s="1" customFormat="1" ht="22.5" customHeight="1" spans="1:2">
      <c r="A374" s="9">
        <v>545</v>
      </c>
      <c r="B374" s="10">
        <v>1</v>
      </c>
    </row>
    <row r="375" s="1" customFormat="1" ht="22.5" customHeight="1" spans="1:2">
      <c r="A375" s="9">
        <v>548</v>
      </c>
      <c r="B375" s="10">
        <v>1</v>
      </c>
    </row>
    <row r="376" s="1" customFormat="1" ht="22.5" customHeight="1" spans="1:2">
      <c r="A376" s="9">
        <v>549</v>
      </c>
      <c r="B376" s="10">
        <v>1</v>
      </c>
    </row>
    <row r="377" s="1" customFormat="1" ht="22.5" customHeight="1" spans="1:2">
      <c r="A377" s="9">
        <v>550</v>
      </c>
      <c r="B377" s="10">
        <v>1</v>
      </c>
    </row>
    <row r="378" s="1" customFormat="1" ht="22.5" customHeight="1" spans="1:2">
      <c r="A378" s="9">
        <v>563</v>
      </c>
      <c r="B378" s="10">
        <v>2</v>
      </c>
    </row>
    <row r="379" s="1" customFormat="1" ht="22.5" customHeight="1" spans="1:2">
      <c r="A379" s="9">
        <v>565</v>
      </c>
      <c r="B379" s="10">
        <v>1</v>
      </c>
    </row>
    <row r="380" s="1" customFormat="1" ht="22.5" customHeight="1" spans="1:2">
      <c r="A380" s="9">
        <v>566</v>
      </c>
      <c r="B380" s="10">
        <v>1</v>
      </c>
    </row>
    <row r="381" s="1" customFormat="1" ht="22.5" customHeight="1" spans="1:2">
      <c r="A381" s="9">
        <v>581</v>
      </c>
      <c r="B381" s="10">
        <v>1</v>
      </c>
    </row>
    <row r="382" s="1" customFormat="1" ht="22.5" customHeight="1" spans="1:2">
      <c r="A382" s="9">
        <v>582</v>
      </c>
      <c r="B382" s="10">
        <v>1</v>
      </c>
    </row>
    <row r="383" s="1" customFormat="1" ht="22.5" customHeight="1" spans="1:2">
      <c r="A383" s="9">
        <v>583</v>
      </c>
      <c r="B383" s="10">
        <v>1</v>
      </c>
    </row>
    <row r="384" s="1" customFormat="1" ht="22.5" customHeight="1" spans="1:2">
      <c r="A384" s="9">
        <v>590</v>
      </c>
      <c r="B384" s="10">
        <v>1</v>
      </c>
    </row>
    <row r="385" s="1" customFormat="1" ht="22.5" customHeight="1" spans="1:2">
      <c r="A385" s="9">
        <v>595</v>
      </c>
      <c r="B385" s="10">
        <v>1</v>
      </c>
    </row>
    <row r="386" s="1" customFormat="1" ht="22.5" customHeight="1" spans="1:2">
      <c r="A386" s="9">
        <v>598</v>
      </c>
      <c r="B386" s="10">
        <v>1</v>
      </c>
    </row>
    <row r="387" s="1" customFormat="1" ht="22.5" customHeight="1" spans="1:2">
      <c r="A387" s="9">
        <v>628</v>
      </c>
      <c r="B387" s="10">
        <v>1</v>
      </c>
    </row>
    <row r="388" s="1" customFormat="1" ht="22.5" customHeight="1" spans="1:2">
      <c r="A388" s="9">
        <v>630</v>
      </c>
      <c r="B388" s="10">
        <v>1</v>
      </c>
    </row>
    <row r="389" s="1" customFormat="1" ht="22.5" customHeight="1" spans="1:2">
      <c r="A389" s="9">
        <v>645</v>
      </c>
      <c r="B389" s="10">
        <v>1</v>
      </c>
    </row>
    <row r="390" s="1" customFormat="1" ht="22.5" customHeight="1" spans="1:2">
      <c r="A390" s="9">
        <v>647</v>
      </c>
      <c r="B390" s="10">
        <v>1</v>
      </c>
    </row>
    <row r="391" s="1" customFormat="1" ht="22.5" customHeight="1" spans="1:2">
      <c r="A391" s="9">
        <v>669</v>
      </c>
      <c r="B391" s="10">
        <v>1</v>
      </c>
    </row>
    <row r="392" s="1" customFormat="1" ht="22.5" customHeight="1" spans="1:2">
      <c r="A392" s="9">
        <v>671</v>
      </c>
      <c r="B392" s="10">
        <v>1</v>
      </c>
    </row>
    <row r="393" s="1" customFormat="1" ht="22.5" customHeight="1" spans="1:2">
      <c r="A393" s="9">
        <v>685</v>
      </c>
      <c r="B393" s="10">
        <v>1</v>
      </c>
    </row>
    <row r="394" s="1" customFormat="1" ht="22.5" customHeight="1" spans="1:2">
      <c r="A394" s="9">
        <v>713</v>
      </c>
      <c r="B394" s="10">
        <v>1</v>
      </c>
    </row>
    <row r="395" s="1" customFormat="1" ht="22.5" customHeight="1" spans="1:2">
      <c r="A395" s="9">
        <v>714</v>
      </c>
      <c r="B395" s="10">
        <v>2</v>
      </c>
    </row>
    <row r="396" s="1" customFormat="1" ht="22.5" customHeight="1" spans="1:2">
      <c r="A396" s="9">
        <v>725</v>
      </c>
      <c r="B396" s="10">
        <v>1</v>
      </c>
    </row>
    <row r="397" s="1" customFormat="1" ht="22.5" customHeight="1" spans="1:2">
      <c r="A397" s="9">
        <v>730</v>
      </c>
      <c r="B397" s="10">
        <v>1</v>
      </c>
    </row>
    <row r="398" s="1" customFormat="1" ht="22.5" customHeight="1" spans="1:2">
      <c r="A398" s="9">
        <v>745</v>
      </c>
      <c r="B398" s="10">
        <v>1</v>
      </c>
    </row>
    <row r="399" s="1" customFormat="1" ht="22.5" customHeight="1" spans="1:2">
      <c r="A399" s="9">
        <v>765</v>
      </c>
      <c r="B399" s="10">
        <v>1</v>
      </c>
    </row>
    <row r="400" s="1" customFormat="1" ht="22.5" customHeight="1" spans="1:2">
      <c r="A400" s="9">
        <v>766</v>
      </c>
      <c r="B400" s="10">
        <v>1</v>
      </c>
    </row>
    <row r="401" s="1" customFormat="1" ht="22.5" customHeight="1" spans="1:2">
      <c r="A401" s="9">
        <v>792</v>
      </c>
      <c r="B401" s="10">
        <v>1</v>
      </c>
    </row>
    <row r="402" s="1" customFormat="1" ht="22.5" customHeight="1" spans="1:2">
      <c r="A402" s="9">
        <v>799</v>
      </c>
      <c r="B402" s="10">
        <v>1</v>
      </c>
    </row>
    <row r="403" s="1" customFormat="1" ht="22.5" customHeight="1" spans="1:2">
      <c r="A403" s="9">
        <v>817</v>
      </c>
      <c r="B403" s="10">
        <v>1</v>
      </c>
    </row>
    <row r="404" s="1" customFormat="1" ht="22.5" customHeight="1" spans="1:2">
      <c r="A404" s="9">
        <v>818</v>
      </c>
      <c r="B404" s="10">
        <v>1</v>
      </c>
    </row>
    <row r="405" s="1" customFormat="1" ht="22.5" customHeight="1" spans="1:2">
      <c r="A405" s="9">
        <v>823</v>
      </c>
      <c r="B405" s="10">
        <v>1</v>
      </c>
    </row>
    <row r="406" s="1" customFormat="1" ht="22.5" customHeight="1" spans="1:2">
      <c r="A406" s="9">
        <v>828</v>
      </c>
      <c r="B406" s="10">
        <v>1</v>
      </c>
    </row>
    <row r="407" s="1" customFormat="1" ht="22.5" customHeight="1" spans="1:2">
      <c r="A407" s="9">
        <v>843</v>
      </c>
      <c r="B407" s="10">
        <v>1</v>
      </c>
    </row>
    <row r="408" s="1" customFormat="1" ht="22.5" customHeight="1" spans="1:2">
      <c r="A408" s="9">
        <v>851</v>
      </c>
      <c r="B408" s="10">
        <v>1</v>
      </c>
    </row>
    <row r="409" s="1" customFormat="1" ht="22.5" customHeight="1" spans="1:2">
      <c r="A409" s="9">
        <v>852</v>
      </c>
      <c r="B409" s="10">
        <v>1</v>
      </c>
    </row>
    <row r="410" s="1" customFormat="1" ht="22.5" customHeight="1" spans="1:2">
      <c r="A410" s="9">
        <v>859</v>
      </c>
      <c r="B410" s="10">
        <v>1</v>
      </c>
    </row>
    <row r="411" s="1" customFormat="1" ht="22.5" customHeight="1" spans="1:2">
      <c r="A411" s="9">
        <v>918</v>
      </c>
      <c r="B411" s="10">
        <v>1</v>
      </c>
    </row>
    <row r="412" s="1" customFormat="1" ht="22.5" customHeight="1" spans="1:2">
      <c r="A412" s="9">
        <v>923</v>
      </c>
      <c r="B412" s="10">
        <v>1</v>
      </c>
    </row>
    <row r="413" s="1" customFormat="1" ht="22.5" customHeight="1" spans="1:2">
      <c r="A413" s="9">
        <v>959</v>
      </c>
      <c r="B413" s="10">
        <v>1</v>
      </c>
    </row>
    <row r="414" s="1" customFormat="1" ht="22.5" customHeight="1" spans="1:2">
      <c r="A414" s="9">
        <v>979</v>
      </c>
      <c r="B414" s="10">
        <v>1</v>
      </c>
    </row>
    <row r="415" s="1" customFormat="1" ht="22.5" customHeight="1" spans="1:2">
      <c r="A415" s="9">
        <v>986</v>
      </c>
      <c r="B415" s="10">
        <v>1</v>
      </c>
    </row>
    <row r="416" s="1" customFormat="1" ht="22.5" customHeight="1" spans="1:2">
      <c r="A416" s="9">
        <v>990</v>
      </c>
      <c r="B416" s="10">
        <v>1</v>
      </c>
    </row>
    <row r="417" s="1" customFormat="1" ht="22.5" customHeight="1" spans="1:2">
      <c r="A417" s="9">
        <v>993</v>
      </c>
      <c r="B417" s="10">
        <v>1</v>
      </c>
    </row>
    <row r="418" s="1" customFormat="1" ht="22.5" customHeight="1" spans="1:2">
      <c r="A418" s="9">
        <v>1059</v>
      </c>
      <c r="B418" s="10">
        <v>1</v>
      </c>
    </row>
    <row r="419" s="1" customFormat="1" ht="22.5" customHeight="1" spans="1:2">
      <c r="A419" s="9">
        <v>1099</v>
      </c>
      <c r="B419" s="10">
        <v>1</v>
      </c>
    </row>
    <row r="420" s="1" customFormat="1" ht="22.5" customHeight="1" spans="1:2">
      <c r="A420" s="9">
        <v>1116</v>
      </c>
      <c r="B420" s="10">
        <v>1</v>
      </c>
    </row>
    <row r="421" s="1" customFormat="1" ht="22.5" customHeight="1" spans="1:2">
      <c r="A421" s="9">
        <v>1124</v>
      </c>
      <c r="B421" s="10">
        <v>1</v>
      </c>
    </row>
    <row r="422" s="1" customFormat="1" ht="22.5" customHeight="1" spans="1:2">
      <c r="A422" s="9">
        <v>1143</v>
      </c>
      <c r="B422" s="10">
        <v>1</v>
      </c>
    </row>
    <row r="423" s="1" customFormat="1" ht="22.5" customHeight="1" spans="1:2">
      <c r="A423" s="9">
        <v>1174</v>
      </c>
      <c r="B423" s="10">
        <v>1</v>
      </c>
    </row>
    <row r="424" s="1" customFormat="1" ht="22.5" customHeight="1" spans="1:2">
      <c r="A424" s="9">
        <v>1208</v>
      </c>
      <c r="B424" s="10">
        <v>1</v>
      </c>
    </row>
    <row r="425" s="1" customFormat="1" ht="22.5" customHeight="1" spans="1:2">
      <c r="A425" s="9">
        <v>1228</v>
      </c>
      <c r="B425" s="10">
        <v>1</v>
      </c>
    </row>
    <row r="426" s="1" customFormat="1" ht="22.5" customHeight="1" spans="1:2">
      <c r="A426" s="9">
        <v>1365</v>
      </c>
      <c r="B426" s="10">
        <v>1</v>
      </c>
    </row>
    <row r="427" s="1" customFormat="1" ht="22.5" customHeight="1" spans="1:2">
      <c r="A427" s="9">
        <v>1379</v>
      </c>
      <c r="B427" s="10">
        <v>1</v>
      </c>
    </row>
    <row r="428" s="1" customFormat="1" ht="22.5" customHeight="1" spans="1:2">
      <c r="A428" s="9">
        <v>1383</v>
      </c>
      <c r="B428" s="10">
        <v>1</v>
      </c>
    </row>
    <row r="429" s="1" customFormat="1" ht="22.5" customHeight="1" spans="1:2">
      <c r="A429" s="9">
        <v>1399</v>
      </c>
      <c r="B429" s="10">
        <v>1</v>
      </c>
    </row>
    <row r="430" s="1" customFormat="1" ht="22.5" customHeight="1" spans="1:2">
      <c r="A430" s="9">
        <v>1438</v>
      </c>
      <c r="B430" s="10">
        <v>1</v>
      </c>
    </row>
    <row r="431" s="1" customFormat="1" ht="22.5" customHeight="1" spans="1:2">
      <c r="A431" s="9">
        <v>1501</v>
      </c>
      <c r="B431" s="10">
        <v>1</v>
      </c>
    </row>
    <row r="432" s="1" customFormat="1" ht="22.5" customHeight="1" spans="1:2">
      <c r="A432" s="9">
        <v>1534</v>
      </c>
      <c r="B432" s="10">
        <v>1</v>
      </c>
    </row>
    <row r="433" s="1" customFormat="1" ht="22.5" customHeight="1" spans="1:2">
      <c r="A433" s="9">
        <v>1552</v>
      </c>
      <c r="B433" s="10">
        <v>1</v>
      </c>
    </row>
    <row r="434" s="1" customFormat="1" ht="22.5" customHeight="1" spans="1:2">
      <c r="A434" s="9">
        <v>1570</v>
      </c>
      <c r="B434" s="10">
        <v>1</v>
      </c>
    </row>
    <row r="435" s="1" customFormat="1" ht="22.5" customHeight="1" spans="1:2">
      <c r="A435" s="9">
        <v>1593</v>
      </c>
      <c r="B435" s="10">
        <v>1</v>
      </c>
    </row>
    <row r="436" s="1" customFormat="1" ht="22.5" customHeight="1" spans="1:2">
      <c r="A436" s="9">
        <v>1638</v>
      </c>
      <c r="B436" s="10">
        <v>1</v>
      </c>
    </row>
    <row r="437" s="1" customFormat="1" ht="22.5" customHeight="1" spans="1:2">
      <c r="A437" s="9">
        <v>1886</v>
      </c>
      <c r="B437" s="10">
        <v>1</v>
      </c>
    </row>
    <row r="438" s="1" customFormat="1" ht="22.5" customHeight="1" spans="1:2">
      <c r="A438" s="9">
        <v>2040</v>
      </c>
      <c r="B438" s="10">
        <v>1</v>
      </c>
    </row>
    <row r="439" s="1" customFormat="1" ht="22.5" customHeight="1" spans="1:2">
      <c r="A439" s="9">
        <v>2659</v>
      </c>
      <c r="B439" s="10">
        <v>1</v>
      </c>
    </row>
    <row r="440" s="1" customFormat="1" ht="22.5" customHeight="1" spans="1:2">
      <c r="A440" s="9">
        <v>2694</v>
      </c>
      <c r="B440" s="10">
        <v>1</v>
      </c>
    </row>
    <row r="441" s="1" customFormat="1" ht="22.5" customHeight="1" spans="1:2">
      <c r="A441" s="9">
        <v>2762</v>
      </c>
      <c r="B441" s="10">
        <v>1</v>
      </c>
    </row>
    <row r="442" s="1" customFormat="1" ht="22.5" customHeight="1" spans="1:2">
      <c r="A442" s="9">
        <v>2833</v>
      </c>
      <c r="B442" s="10">
        <v>1</v>
      </c>
    </row>
    <row r="443" s="1" customFormat="1" ht="22.5" customHeight="1" spans="1:2">
      <c r="A443" s="9">
        <v>3048</v>
      </c>
      <c r="B443" s="10">
        <v>1</v>
      </c>
    </row>
    <row r="444" s="1" customFormat="1" ht="22.5" customHeight="1" spans="1:2">
      <c r="A444" s="9">
        <v>3687</v>
      </c>
      <c r="B444" s="10">
        <v>1</v>
      </c>
    </row>
    <row r="445" s="1" customFormat="1" ht="22.5" customHeight="1" spans="1:2">
      <c r="A445" s="9">
        <v>4430</v>
      </c>
      <c r="B445" s="10">
        <v>1</v>
      </c>
    </row>
    <row r="446" s="1" customFormat="1" ht="22.5" customHeight="1" spans="1:2">
      <c r="A446" s="9">
        <v>4817</v>
      </c>
      <c r="B446" s="10">
        <v>1</v>
      </c>
    </row>
    <row r="447" s="1" customFormat="1" ht="22.5" customHeight="1" spans="1:2">
      <c r="A447" s="9">
        <v>5222</v>
      </c>
      <c r="B447" s="10">
        <v>1</v>
      </c>
    </row>
    <row r="448" s="1" customFormat="1" ht="22.5" customHeight="1" spans="1:2">
      <c r="A448" s="9">
        <v>5852</v>
      </c>
      <c r="B448" s="10">
        <v>1</v>
      </c>
    </row>
    <row r="449" s="1" customFormat="1" ht="22.5" customHeight="1" spans="1:2">
      <c r="A449" s="9">
        <v>7347</v>
      </c>
      <c r="B449" s="10">
        <v>1</v>
      </c>
    </row>
    <row r="450" s="1" customFormat="1" ht="22.5" customHeight="1" spans="1:2">
      <c r="A450" s="9">
        <v>7768</v>
      </c>
      <c r="B450" s="10">
        <v>1</v>
      </c>
    </row>
    <row r="451" s="1" customFormat="1" ht="22.5" customHeight="1" spans="1:2">
      <c r="A451" s="9">
        <v>8092</v>
      </c>
      <c r="B451" s="10">
        <v>1</v>
      </c>
    </row>
    <row r="452" s="1" customFormat="1" ht="22.5" customHeight="1" spans="1:2">
      <c r="A452" s="9">
        <v>9383</v>
      </c>
      <c r="B452" s="10">
        <v>1</v>
      </c>
    </row>
    <row r="453" s="1" customFormat="1" ht="22.5" customHeight="1" spans="1:2">
      <c r="A453" s="9">
        <v>10407</v>
      </c>
      <c r="B453" s="10">
        <v>1</v>
      </c>
    </row>
    <row r="454" s="1" customFormat="1" ht="22.5" customHeight="1" spans="1:2">
      <c r="A454" s="9">
        <v>11809</v>
      </c>
      <c r="B454" s="10">
        <v>1</v>
      </c>
    </row>
    <row r="455" s="1" customFormat="1" ht="22.5" customHeight="1" spans="1:2">
      <c r="A455" s="9">
        <v>12057</v>
      </c>
      <c r="B455" s="10">
        <v>1</v>
      </c>
    </row>
    <row r="456" s="1" customFormat="1" ht="22.5" customHeight="1" spans="1:2">
      <c r="A456" s="9">
        <v>15308</v>
      </c>
      <c r="B456" s="10">
        <v>1</v>
      </c>
    </row>
    <row r="457" s="1" customFormat="1" ht="22.5" customHeight="1" spans="1:2">
      <c r="A457" s="9">
        <v>19004</v>
      </c>
      <c r="B457" s="10">
        <v>1</v>
      </c>
    </row>
    <row r="458" s="1" customFormat="1" ht="22.5" customHeight="1" spans="1:2">
      <c r="A458" s="11" t="s">
        <v>3</v>
      </c>
      <c r="B458" s="12">
        <v>516712</v>
      </c>
    </row>
  </sheetData>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04"/>
  <sheetViews>
    <sheetView tabSelected="1" zoomScale="70" zoomScaleNormal="70" workbookViewId="0">
      <selection activeCell="F24" sqref="F24"/>
    </sheetView>
  </sheetViews>
  <sheetFormatPr defaultColWidth="8" defaultRowHeight="14" outlineLevelCol="4"/>
  <cols>
    <col min="1" max="1" width="14.0083333333333" style="1" customWidth="1"/>
    <col min="2" max="2" width="11.3416666666667" style="1" customWidth="1"/>
    <col min="3" max="3" width="8" style="1"/>
    <col min="4" max="4" width="14.0083333333333" style="1" customWidth="1"/>
    <col min="5" max="5" width="11.3416666666667" style="1" customWidth="1"/>
    <col min="6" max="16384" width="8" style="1"/>
  </cols>
  <sheetData>
    <row r="1" s="1" customFormat="1" ht="22.5" customHeight="1" spans="1:5">
      <c r="A1" s="2" t="s">
        <v>94</v>
      </c>
      <c r="B1" s="2" t="s">
        <v>8</v>
      </c>
      <c r="D1" s="2" t="s">
        <v>94</v>
      </c>
      <c r="E1" s="2" t="s">
        <v>8</v>
      </c>
    </row>
    <row r="2" s="1" customFormat="1" ht="22.5" customHeight="1" spans="1:5">
      <c r="A2" s="3">
        <v>0</v>
      </c>
      <c r="B2" s="4">
        <v>146963</v>
      </c>
      <c r="D2" s="3">
        <v>0</v>
      </c>
      <c r="E2" s="4">
        <v>146963</v>
      </c>
    </row>
    <row r="3" s="1" customFormat="1" ht="22.5" customHeight="1" spans="1:5">
      <c r="A3" s="3">
        <v>1</v>
      </c>
      <c r="B3" s="4">
        <v>57625</v>
      </c>
      <c r="D3" s="3">
        <v>1</v>
      </c>
      <c r="E3" s="4">
        <v>57625</v>
      </c>
    </row>
    <row r="4" s="1" customFormat="1" ht="22.5" customHeight="1" spans="1:5">
      <c r="A4" s="3">
        <v>2</v>
      </c>
      <c r="B4" s="4">
        <v>47310</v>
      </c>
      <c r="D4" s="3">
        <v>2</v>
      </c>
      <c r="E4" s="4">
        <v>47310</v>
      </c>
    </row>
    <row r="5" s="1" customFormat="1" ht="22.5" customHeight="1" spans="1:5">
      <c r="A5" s="3">
        <v>3</v>
      </c>
      <c r="B5" s="4">
        <v>38863</v>
      </c>
      <c r="D5" s="3">
        <v>3</v>
      </c>
      <c r="E5" s="4">
        <v>38863</v>
      </c>
    </row>
    <row r="6" s="1" customFormat="1" ht="22.5" customHeight="1" spans="1:5">
      <c r="A6" s="3">
        <v>4</v>
      </c>
      <c r="B6" s="4">
        <v>22654</v>
      </c>
      <c r="D6" s="3">
        <v>4</v>
      </c>
      <c r="E6" s="4">
        <v>22654</v>
      </c>
    </row>
    <row r="7" s="1" customFormat="1" ht="22.5" customHeight="1" spans="1:5">
      <c r="A7" s="3">
        <v>5</v>
      </c>
      <c r="B7" s="4">
        <v>21184</v>
      </c>
      <c r="D7" s="3">
        <v>5</v>
      </c>
      <c r="E7" s="4">
        <v>21184</v>
      </c>
    </row>
    <row r="8" s="1" customFormat="1" ht="22.5" customHeight="1" spans="1:5">
      <c r="A8" s="3">
        <v>6</v>
      </c>
      <c r="B8" s="4">
        <v>17691</v>
      </c>
      <c r="D8" s="3">
        <v>6</v>
      </c>
      <c r="E8" s="4">
        <v>17691</v>
      </c>
    </row>
    <row r="9" s="1" customFormat="1" ht="22.5" customHeight="1" spans="1:5">
      <c r="A9" s="3">
        <v>7</v>
      </c>
      <c r="B9" s="4">
        <v>13506</v>
      </c>
      <c r="D9" s="3">
        <v>7</v>
      </c>
      <c r="E9" s="4">
        <v>13506</v>
      </c>
    </row>
    <row r="10" s="1" customFormat="1" ht="22.5" customHeight="1" spans="1:5">
      <c r="A10" s="3">
        <v>8</v>
      </c>
      <c r="B10" s="4">
        <v>11354</v>
      </c>
      <c r="D10" s="3">
        <v>8</v>
      </c>
      <c r="E10" s="4">
        <v>11354</v>
      </c>
    </row>
    <row r="11" s="1" customFormat="1" ht="22.5" customHeight="1" spans="1:5">
      <c r="A11" s="3">
        <v>9</v>
      </c>
      <c r="B11" s="4">
        <v>10006</v>
      </c>
      <c r="D11" s="3">
        <v>9</v>
      </c>
      <c r="E11" s="4">
        <v>10006</v>
      </c>
    </row>
    <row r="12" s="1" customFormat="1" ht="22.5" customHeight="1" spans="1:5">
      <c r="A12" s="3">
        <v>10</v>
      </c>
      <c r="B12" s="4">
        <v>9156</v>
      </c>
      <c r="D12" s="3">
        <v>10</v>
      </c>
      <c r="E12" s="4">
        <v>9156</v>
      </c>
    </row>
    <row r="13" s="1" customFormat="1" ht="22.5" customHeight="1" spans="1:5">
      <c r="A13" s="3">
        <v>11</v>
      </c>
      <c r="B13" s="4">
        <v>7998</v>
      </c>
      <c r="D13" s="4" t="s">
        <v>95</v>
      </c>
      <c r="E13" s="4">
        <f>B13+B14</f>
        <v>14857</v>
      </c>
    </row>
    <row r="14" s="1" customFormat="1" ht="22.5" customHeight="1" spans="1:5">
      <c r="A14" s="3">
        <v>12</v>
      </c>
      <c r="B14" s="4">
        <v>6859</v>
      </c>
      <c r="D14" s="4" t="s">
        <v>96</v>
      </c>
      <c r="E14" s="4">
        <f>B15+B16+B17</f>
        <v>17230</v>
      </c>
    </row>
    <row r="15" s="1" customFormat="1" ht="22.5" customHeight="1" spans="1:5">
      <c r="A15" s="3">
        <v>13</v>
      </c>
      <c r="B15" s="4">
        <v>6697</v>
      </c>
      <c r="D15" s="4" t="s">
        <v>97</v>
      </c>
      <c r="E15" s="4">
        <f>SUM(B18:B22)</f>
        <v>19389</v>
      </c>
    </row>
    <row r="16" s="1" customFormat="1" ht="22.5" customHeight="1" spans="1:5">
      <c r="A16" s="3">
        <v>14</v>
      </c>
      <c r="B16" s="4">
        <v>5519</v>
      </c>
      <c r="D16" s="4" t="s">
        <v>98</v>
      </c>
      <c r="E16" s="4">
        <f>SUM(B23:B32)</f>
        <v>20466</v>
      </c>
    </row>
    <row r="17" s="1" customFormat="1" ht="22.5" customHeight="1" spans="1:5">
      <c r="A17" s="3">
        <v>15</v>
      </c>
      <c r="B17" s="4">
        <v>5014</v>
      </c>
      <c r="D17" s="4" t="s">
        <v>99</v>
      </c>
      <c r="E17" s="4">
        <f>SUM(B33:B52)</f>
        <v>18156</v>
      </c>
    </row>
    <row r="18" s="1" customFormat="1" ht="22.5" customHeight="1" spans="1:5">
      <c r="A18" s="3">
        <v>16</v>
      </c>
      <c r="B18" s="4">
        <v>4690</v>
      </c>
      <c r="D18" s="4" t="s">
        <v>100</v>
      </c>
      <c r="E18" s="4">
        <f>SUM(B53:B102)</f>
        <v>15302</v>
      </c>
    </row>
    <row r="19" s="1" customFormat="1" ht="22.5" customHeight="1" spans="1:5">
      <c r="A19" s="3">
        <v>17</v>
      </c>
      <c r="B19" s="4">
        <v>4117</v>
      </c>
      <c r="D19" s="4" t="s">
        <v>91</v>
      </c>
      <c r="E19" s="4">
        <f>SUM(B103:B1403)</f>
        <v>15000</v>
      </c>
    </row>
    <row r="20" s="1" customFormat="1" ht="22.5" customHeight="1" spans="1:2">
      <c r="A20" s="3">
        <v>18</v>
      </c>
      <c r="B20" s="4">
        <v>3665</v>
      </c>
    </row>
    <row r="21" s="1" customFormat="1" ht="22.5" customHeight="1" spans="1:2">
      <c r="A21" s="3">
        <v>19</v>
      </c>
      <c r="B21" s="4">
        <v>3484</v>
      </c>
    </row>
    <row r="22" s="1" customFormat="1" ht="22.5" customHeight="1" spans="1:2">
      <c r="A22" s="3">
        <v>20</v>
      </c>
      <c r="B22" s="4">
        <v>3433</v>
      </c>
    </row>
    <row r="23" s="1" customFormat="1" ht="22.5" customHeight="1" spans="1:2">
      <c r="A23" s="3">
        <v>21</v>
      </c>
      <c r="B23" s="4">
        <v>3084</v>
      </c>
    </row>
    <row r="24" s="1" customFormat="1" ht="22.5" customHeight="1" spans="1:2">
      <c r="A24" s="3">
        <v>22</v>
      </c>
      <c r="B24" s="4">
        <v>2749</v>
      </c>
    </row>
    <row r="25" s="1" customFormat="1" ht="22.5" customHeight="1" spans="1:2">
      <c r="A25" s="3">
        <v>23</v>
      </c>
      <c r="B25" s="4">
        <v>2271</v>
      </c>
    </row>
    <row r="26" s="1" customFormat="1" ht="22.5" customHeight="1" spans="1:2">
      <c r="A26" s="3">
        <v>24</v>
      </c>
      <c r="B26" s="4">
        <v>2135</v>
      </c>
    </row>
    <row r="27" s="1" customFormat="1" ht="22.5" customHeight="1" spans="1:2">
      <c r="A27" s="3">
        <v>25</v>
      </c>
      <c r="B27" s="4">
        <v>2040</v>
      </c>
    </row>
    <row r="28" s="1" customFormat="1" ht="22.5" customHeight="1" spans="1:2">
      <c r="A28" s="3">
        <v>26</v>
      </c>
      <c r="B28" s="4">
        <v>1914</v>
      </c>
    </row>
    <row r="29" s="1" customFormat="1" ht="22.5" customHeight="1" spans="1:2">
      <c r="A29" s="3">
        <v>27</v>
      </c>
      <c r="B29" s="4">
        <v>1788</v>
      </c>
    </row>
    <row r="30" s="1" customFormat="1" ht="22.5" customHeight="1" spans="1:2">
      <c r="A30" s="3">
        <v>28</v>
      </c>
      <c r="B30" s="4">
        <v>1635</v>
      </c>
    </row>
    <row r="31" s="1" customFormat="1" ht="22.5" customHeight="1" spans="1:2">
      <c r="A31" s="3">
        <v>29</v>
      </c>
      <c r="B31" s="4">
        <v>1456</v>
      </c>
    </row>
    <row r="32" s="1" customFormat="1" ht="22.5" customHeight="1" spans="1:2">
      <c r="A32" s="3">
        <v>30</v>
      </c>
      <c r="B32" s="4">
        <v>1394</v>
      </c>
    </row>
    <row r="33" s="1" customFormat="1" ht="22.5" customHeight="1" spans="1:2">
      <c r="A33" s="3">
        <v>31</v>
      </c>
      <c r="B33" s="4">
        <v>1328</v>
      </c>
    </row>
    <row r="34" s="1" customFormat="1" ht="22.5" customHeight="1" spans="1:2">
      <c r="A34" s="3">
        <v>32</v>
      </c>
      <c r="B34" s="4">
        <v>1300</v>
      </c>
    </row>
    <row r="35" s="1" customFormat="1" ht="22.5" customHeight="1" spans="1:2">
      <c r="A35" s="3">
        <v>33</v>
      </c>
      <c r="B35" s="4">
        <v>1257</v>
      </c>
    </row>
    <row r="36" s="1" customFormat="1" ht="22.5" customHeight="1" spans="1:2">
      <c r="A36" s="3">
        <v>34</v>
      </c>
      <c r="B36" s="4">
        <v>1177</v>
      </c>
    </row>
    <row r="37" s="1" customFormat="1" ht="22.5" customHeight="1" spans="1:2">
      <c r="A37" s="3">
        <v>35</v>
      </c>
      <c r="B37" s="4">
        <v>1083</v>
      </c>
    </row>
    <row r="38" s="1" customFormat="1" ht="22.5" customHeight="1" spans="1:2">
      <c r="A38" s="3">
        <v>36</v>
      </c>
      <c r="B38" s="4">
        <v>1129</v>
      </c>
    </row>
    <row r="39" s="1" customFormat="1" ht="22.5" customHeight="1" spans="1:2">
      <c r="A39" s="3">
        <v>37</v>
      </c>
      <c r="B39" s="4">
        <v>1011</v>
      </c>
    </row>
    <row r="40" s="1" customFormat="1" ht="22.5" customHeight="1" spans="1:2">
      <c r="A40" s="3">
        <v>38</v>
      </c>
      <c r="B40" s="4">
        <v>953</v>
      </c>
    </row>
    <row r="41" s="1" customFormat="1" ht="22.5" customHeight="1" spans="1:2">
      <c r="A41" s="3">
        <v>39</v>
      </c>
      <c r="B41" s="4">
        <v>935</v>
      </c>
    </row>
    <row r="42" s="1" customFormat="1" ht="22.5" customHeight="1" spans="1:2">
      <c r="A42" s="3">
        <v>40</v>
      </c>
      <c r="B42" s="4">
        <v>865</v>
      </c>
    </row>
    <row r="43" s="1" customFormat="1" ht="22.5" customHeight="1" spans="1:2">
      <c r="A43" s="3">
        <v>41</v>
      </c>
      <c r="B43" s="4">
        <v>880</v>
      </c>
    </row>
    <row r="44" s="1" customFormat="1" ht="22.5" customHeight="1" spans="1:2">
      <c r="A44" s="3">
        <v>42</v>
      </c>
      <c r="B44" s="4">
        <v>792</v>
      </c>
    </row>
    <row r="45" s="1" customFormat="1" ht="22.5" customHeight="1" spans="1:2">
      <c r="A45" s="3">
        <v>43</v>
      </c>
      <c r="B45" s="4">
        <v>766</v>
      </c>
    </row>
    <row r="46" s="1" customFormat="1" ht="22.5" customHeight="1" spans="1:2">
      <c r="A46" s="3">
        <v>44</v>
      </c>
      <c r="B46" s="4">
        <v>718</v>
      </c>
    </row>
    <row r="47" s="1" customFormat="1" ht="22.5" customHeight="1" spans="1:2">
      <c r="A47" s="3">
        <v>45</v>
      </c>
      <c r="B47" s="4">
        <v>759</v>
      </c>
    </row>
    <row r="48" s="1" customFormat="1" ht="22.5" customHeight="1" spans="1:2">
      <c r="A48" s="3">
        <v>46</v>
      </c>
      <c r="B48" s="4">
        <v>646</v>
      </c>
    </row>
    <row r="49" s="1" customFormat="1" ht="22.5" customHeight="1" spans="1:2">
      <c r="A49" s="3">
        <v>47</v>
      </c>
      <c r="B49" s="4">
        <v>665</v>
      </c>
    </row>
    <row r="50" s="1" customFormat="1" ht="22.5" customHeight="1" spans="1:2">
      <c r="A50" s="3">
        <v>48</v>
      </c>
      <c r="B50" s="4">
        <v>628</v>
      </c>
    </row>
    <row r="51" s="1" customFormat="1" ht="22.5" customHeight="1" spans="1:2">
      <c r="A51" s="3">
        <v>49</v>
      </c>
      <c r="B51" s="4">
        <v>648</v>
      </c>
    </row>
    <row r="52" s="1" customFormat="1" ht="22.5" customHeight="1" spans="1:2">
      <c r="A52" s="3">
        <v>50</v>
      </c>
      <c r="B52" s="4">
        <v>616</v>
      </c>
    </row>
    <row r="53" s="1" customFormat="1" ht="22.5" customHeight="1" spans="1:2">
      <c r="A53" s="3">
        <v>51</v>
      </c>
      <c r="B53" s="4">
        <v>574</v>
      </c>
    </row>
    <row r="54" s="1" customFormat="1" ht="22.5" customHeight="1" spans="1:2">
      <c r="A54" s="3">
        <v>52</v>
      </c>
      <c r="B54" s="4">
        <v>520</v>
      </c>
    </row>
    <row r="55" s="1" customFormat="1" ht="22.5" customHeight="1" spans="1:2">
      <c r="A55" s="3">
        <v>53</v>
      </c>
      <c r="B55" s="4">
        <v>520</v>
      </c>
    </row>
    <row r="56" s="1" customFormat="1" ht="22.5" customHeight="1" spans="1:2">
      <c r="A56" s="3">
        <v>54</v>
      </c>
      <c r="B56" s="4">
        <v>510</v>
      </c>
    </row>
    <row r="57" s="1" customFormat="1" ht="22.5" customHeight="1" spans="1:2">
      <c r="A57" s="3">
        <v>55</v>
      </c>
      <c r="B57" s="4">
        <v>491</v>
      </c>
    </row>
    <row r="58" s="1" customFormat="1" ht="22.5" customHeight="1" spans="1:2">
      <c r="A58" s="3">
        <v>56</v>
      </c>
      <c r="B58" s="4">
        <v>477</v>
      </c>
    </row>
    <row r="59" s="1" customFormat="1" ht="22.5" customHeight="1" spans="1:2">
      <c r="A59" s="3">
        <v>57</v>
      </c>
      <c r="B59" s="4">
        <v>465</v>
      </c>
    </row>
    <row r="60" s="1" customFormat="1" ht="22.5" customHeight="1" spans="1:2">
      <c r="A60" s="3">
        <v>58</v>
      </c>
      <c r="B60" s="4">
        <v>457</v>
      </c>
    </row>
    <row r="61" s="1" customFormat="1" ht="22.5" customHeight="1" spans="1:2">
      <c r="A61" s="3">
        <v>59</v>
      </c>
      <c r="B61" s="4">
        <v>456</v>
      </c>
    </row>
    <row r="62" s="1" customFormat="1" ht="22.5" customHeight="1" spans="1:2">
      <c r="A62" s="3">
        <v>60</v>
      </c>
      <c r="B62" s="4">
        <v>444</v>
      </c>
    </row>
    <row r="63" s="1" customFormat="1" ht="22.5" customHeight="1" spans="1:2">
      <c r="A63" s="3">
        <v>61</v>
      </c>
      <c r="B63" s="4">
        <v>372</v>
      </c>
    </row>
    <row r="64" s="1" customFormat="1" ht="22.5" customHeight="1" spans="1:2">
      <c r="A64" s="3">
        <v>62</v>
      </c>
      <c r="B64" s="4">
        <v>390</v>
      </c>
    </row>
    <row r="65" s="1" customFormat="1" ht="22.5" customHeight="1" spans="1:2">
      <c r="A65" s="3">
        <v>63</v>
      </c>
      <c r="B65" s="4">
        <v>387</v>
      </c>
    </row>
    <row r="66" s="1" customFormat="1" ht="22.5" customHeight="1" spans="1:2">
      <c r="A66" s="3">
        <v>64</v>
      </c>
      <c r="B66" s="4">
        <v>411</v>
      </c>
    </row>
    <row r="67" s="1" customFormat="1" ht="22.5" customHeight="1" spans="1:2">
      <c r="A67" s="3">
        <v>65</v>
      </c>
      <c r="B67" s="4">
        <v>417</v>
      </c>
    </row>
    <row r="68" s="1" customFormat="1" ht="22.5" customHeight="1" spans="1:2">
      <c r="A68" s="3">
        <v>66</v>
      </c>
      <c r="B68" s="4">
        <v>343</v>
      </c>
    </row>
    <row r="69" s="1" customFormat="1" ht="22.5" customHeight="1" spans="1:2">
      <c r="A69" s="3">
        <v>67</v>
      </c>
      <c r="B69" s="4">
        <v>367</v>
      </c>
    </row>
    <row r="70" s="1" customFormat="1" ht="22.5" customHeight="1" spans="1:2">
      <c r="A70" s="3">
        <v>68</v>
      </c>
      <c r="B70" s="4">
        <v>301</v>
      </c>
    </row>
    <row r="71" s="1" customFormat="1" ht="22.5" customHeight="1" spans="1:2">
      <c r="A71" s="3">
        <v>69</v>
      </c>
      <c r="B71" s="4">
        <v>320</v>
      </c>
    </row>
    <row r="72" s="1" customFormat="1" ht="22.5" customHeight="1" spans="1:2">
      <c r="A72" s="3">
        <v>70</v>
      </c>
      <c r="B72" s="4">
        <v>314</v>
      </c>
    </row>
    <row r="73" s="1" customFormat="1" ht="22.5" customHeight="1" spans="1:2">
      <c r="A73" s="3">
        <v>71</v>
      </c>
      <c r="B73" s="4">
        <v>338</v>
      </c>
    </row>
    <row r="74" s="1" customFormat="1" ht="22.5" customHeight="1" spans="1:2">
      <c r="A74" s="3">
        <v>72</v>
      </c>
      <c r="B74" s="4">
        <v>309</v>
      </c>
    </row>
    <row r="75" s="1" customFormat="1" ht="22.5" customHeight="1" spans="1:2">
      <c r="A75" s="3">
        <v>73</v>
      </c>
      <c r="B75" s="4">
        <v>292</v>
      </c>
    </row>
    <row r="76" s="1" customFormat="1" ht="22.5" customHeight="1" spans="1:2">
      <c r="A76" s="3">
        <v>74</v>
      </c>
      <c r="B76" s="4">
        <v>272</v>
      </c>
    </row>
    <row r="77" s="1" customFormat="1" ht="22.5" customHeight="1" spans="1:2">
      <c r="A77" s="3">
        <v>75</v>
      </c>
      <c r="B77" s="4">
        <v>314</v>
      </c>
    </row>
    <row r="78" s="1" customFormat="1" ht="22.5" customHeight="1" spans="1:2">
      <c r="A78" s="3">
        <v>76</v>
      </c>
      <c r="B78" s="4">
        <v>268</v>
      </c>
    </row>
    <row r="79" s="1" customFormat="1" ht="22.5" customHeight="1" spans="1:2">
      <c r="A79" s="3">
        <v>77</v>
      </c>
      <c r="B79" s="4">
        <v>236</v>
      </c>
    </row>
    <row r="80" s="1" customFormat="1" ht="22.5" customHeight="1" spans="1:2">
      <c r="A80" s="3">
        <v>78</v>
      </c>
      <c r="B80" s="4">
        <v>253</v>
      </c>
    </row>
    <row r="81" s="1" customFormat="1" ht="22.5" customHeight="1" spans="1:2">
      <c r="A81" s="3">
        <v>79</v>
      </c>
      <c r="B81" s="4">
        <v>213</v>
      </c>
    </row>
    <row r="82" s="1" customFormat="1" ht="22.5" customHeight="1" spans="1:2">
      <c r="A82" s="3">
        <v>80</v>
      </c>
      <c r="B82" s="4">
        <v>247</v>
      </c>
    </row>
    <row r="83" s="1" customFormat="1" ht="22.5" customHeight="1" spans="1:2">
      <c r="A83" s="3">
        <v>81</v>
      </c>
      <c r="B83" s="4">
        <v>218</v>
      </c>
    </row>
    <row r="84" s="1" customFormat="1" ht="22.5" customHeight="1" spans="1:2">
      <c r="A84" s="3">
        <v>82</v>
      </c>
      <c r="B84" s="4">
        <v>244</v>
      </c>
    </row>
    <row r="85" s="1" customFormat="1" ht="22.5" customHeight="1" spans="1:2">
      <c r="A85" s="3">
        <v>83</v>
      </c>
      <c r="B85" s="4">
        <v>221</v>
      </c>
    </row>
    <row r="86" s="1" customFormat="1" ht="22.5" customHeight="1" spans="1:2">
      <c r="A86" s="3">
        <v>84</v>
      </c>
      <c r="B86" s="4">
        <v>213</v>
      </c>
    </row>
    <row r="87" s="1" customFormat="1" ht="22.5" customHeight="1" spans="1:2">
      <c r="A87" s="3">
        <v>85</v>
      </c>
      <c r="B87" s="4">
        <v>236</v>
      </c>
    </row>
    <row r="88" s="1" customFormat="1" ht="22.5" customHeight="1" spans="1:2">
      <c r="A88" s="3">
        <v>86</v>
      </c>
      <c r="B88" s="4">
        <v>206</v>
      </c>
    </row>
    <row r="89" s="1" customFormat="1" ht="22.5" customHeight="1" spans="1:2">
      <c r="A89" s="3">
        <v>87</v>
      </c>
      <c r="B89" s="4">
        <v>202</v>
      </c>
    </row>
    <row r="90" s="1" customFormat="1" ht="22.5" customHeight="1" spans="1:2">
      <c r="A90" s="3">
        <v>88</v>
      </c>
      <c r="B90" s="4">
        <v>207</v>
      </c>
    </row>
    <row r="91" s="1" customFormat="1" ht="22.5" customHeight="1" spans="1:2">
      <c r="A91" s="3">
        <v>89</v>
      </c>
      <c r="B91" s="4">
        <v>211</v>
      </c>
    </row>
    <row r="92" s="1" customFormat="1" ht="22.5" customHeight="1" spans="1:2">
      <c r="A92" s="3">
        <v>90</v>
      </c>
      <c r="B92" s="4">
        <v>207</v>
      </c>
    </row>
    <row r="93" s="1" customFormat="1" ht="22.5" customHeight="1" spans="1:2">
      <c r="A93" s="3">
        <v>91</v>
      </c>
      <c r="B93" s="4">
        <v>213</v>
      </c>
    </row>
    <row r="94" s="1" customFormat="1" ht="22.5" customHeight="1" spans="1:2">
      <c r="A94" s="3">
        <v>92</v>
      </c>
      <c r="B94" s="4">
        <v>216</v>
      </c>
    </row>
    <row r="95" s="1" customFormat="1" ht="22.5" customHeight="1" spans="1:2">
      <c r="A95" s="3">
        <v>93</v>
      </c>
      <c r="B95" s="4">
        <v>201</v>
      </c>
    </row>
    <row r="96" s="1" customFormat="1" ht="22.5" customHeight="1" spans="1:2">
      <c r="A96" s="3">
        <v>94</v>
      </c>
      <c r="B96" s="4">
        <v>218</v>
      </c>
    </row>
    <row r="97" s="1" customFormat="1" ht="22.5" customHeight="1" spans="1:2">
      <c r="A97" s="3">
        <v>95</v>
      </c>
      <c r="B97" s="4">
        <v>164</v>
      </c>
    </row>
    <row r="98" s="1" customFormat="1" ht="22.5" customHeight="1" spans="1:2">
      <c r="A98" s="3">
        <v>96</v>
      </c>
      <c r="B98" s="4">
        <v>171</v>
      </c>
    </row>
    <row r="99" s="1" customFormat="1" ht="22.5" customHeight="1" spans="1:2">
      <c r="A99" s="3">
        <v>97</v>
      </c>
      <c r="B99" s="4">
        <v>170</v>
      </c>
    </row>
    <row r="100" s="1" customFormat="1" ht="22.5" customHeight="1" spans="1:2">
      <c r="A100" s="3">
        <v>98</v>
      </c>
      <c r="B100" s="4">
        <v>183</v>
      </c>
    </row>
    <row r="101" s="1" customFormat="1" ht="22.5" customHeight="1" spans="1:2">
      <c r="A101" s="3">
        <v>99</v>
      </c>
      <c r="B101" s="4">
        <v>159</v>
      </c>
    </row>
    <row r="102" s="1" customFormat="1" ht="22.5" customHeight="1" spans="1:2">
      <c r="A102" s="3">
        <v>100</v>
      </c>
      <c r="B102" s="4">
        <v>164</v>
      </c>
    </row>
    <row r="103" s="1" customFormat="1" ht="22.5" customHeight="1" spans="1:2">
      <c r="A103" s="3">
        <v>101</v>
      </c>
      <c r="B103" s="4">
        <v>137</v>
      </c>
    </row>
    <row r="104" s="1" customFormat="1" ht="22.5" customHeight="1" spans="1:2">
      <c r="A104" s="3">
        <v>102</v>
      </c>
      <c r="B104" s="4">
        <v>152</v>
      </c>
    </row>
    <row r="105" s="1" customFormat="1" ht="22.5" customHeight="1" spans="1:2">
      <c r="A105" s="3">
        <v>103</v>
      </c>
      <c r="B105" s="4">
        <v>159</v>
      </c>
    </row>
    <row r="106" s="1" customFormat="1" ht="22.5" customHeight="1" spans="1:2">
      <c r="A106" s="3">
        <v>104</v>
      </c>
      <c r="B106" s="4">
        <v>163</v>
      </c>
    </row>
    <row r="107" s="1" customFormat="1" ht="22.5" customHeight="1" spans="1:2">
      <c r="A107" s="3">
        <v>105</v>
      </c>
      <c r="B107" s="4">
        <v>166</v>
      </c>
    </row>
    <row r="108" s="1" customFormat="1" ht="22.5" customHeight="1" spans="1:2">
      <c r="A108" s="3">
        <v>106</v>
      </c>
      <c r="B108" s="4">
        <v>142</v>
      </c>
    </row>
    <row r="109" s="1" customFormat="1" ht="22.5" customHeight="1" spans="1:2">
      <c r="A109" s="3">
        <v>107</v>
      </c>
      <c r="B109" s="4">
        <v>154</v>
      </c>
    </row>
    <row r="110" s="1" customFormat="1" ht="22.5" customHeight="1" spans="1:2">
      <c r="A110" s="3">
        <v>108</v>
      </c>
      <c r="B110" s="4">
        <v>164</v>
      </c>
    </row>
    <row r="111" s="1" customFormat="1" ht="22.5" customHeight="1" spans="1:2">
      <c r="A111" s="3">
        <v>109</v>
      </c>
      <c r="B111" s="4">
        <v>143</v>
      </c>
    </row>
    <row r="112" s="1" customFormat="1" ht="22.5" customHeight="1" spans="1:2">
      <c r="A112" s="3">
        <v>110</v>
      </c>
      <c r="B112" s="4">
        <v>139</v>
      </c>
    </row>
    <row r="113" s="1" customFormat="1" ht="22.5" customHeight="1" spans="1:2">
      <c r="A113" s="3">
        <v>111</v>
      </c>
      <c r="B113" s="4">
        <v>128</v>
      </c>
    </row>
    <row r="114" s="1" customFormat="1" ht="22.5" customHeight="1" spans="1:2">
      <c r="A114" s="3">
        <v>112</v>
      </c>
      <c r="B114" s="4">
        <v>159</v>
      </c>
    </row>
    <row r="115" s="1" customFormat="1" ht="22.5" customHeight="1" spans="1:2">
      <c r="A115" s="3">
        <v>113</v>
      </c>
      <c r="B115" s="4">
        <v>136</v>
      </c>
    </row>
    <row r="116" s="1" customFormat="1" ht="22.5" customHeight="1" spans="1:2">
      <c r="A116" s="3">
        <v>114</v>
      </c>
      <c r="B116" s="4">
        <v>130</v>
      </c>
    </row>
    <row r="117" s="1" customFormat="1" ht="22.5" customHeight="1" spans="1:2">
      <c r="A117" s="3">
        <v>115</v>
      </c>
      <c r="B117" s="4">
        <v>129</v>
      </c>
    </row>
    <row r="118" s="1" customFormat="1" ht="22.5" customHeight="1" spans="1:2">
      <c r="A118" s="3">
        <v>116</v>
      </c>
      <c r="B118" s="4">
        <v>128</v>
      </c>
    </row>
    <row r="119" s="1" customFormat="1" ht="22.5" customHeight="1" spans="1:2">
      <c r="A119" s="3">
        <v>117</v>
      </c>
      <c r="B119" s="4">
        <v>137</v>
      </c>
    </row>
    <row r="120" s="1" customFormat="1" ht="22.5" customHeight="1" spans="1:2">
      <c r="A120" s="3">
        <v>118</v>
      </c>
      <c r="B120" s="4">
        <v>139</v>
      </c>
    </row>
    <row r="121" s="1" customFormat="1" ht="22.5" customHeight="1" spans="1:2">
      <c r="A121" s="3">
        <v>119</v>
      </c>
      <c r="B121" s="4">
        <v>120</v>
      </c>
    </row>
    <row r="122" s="1" customFormat="1" ht="22.5" customHeight="1" spans="1:2">
      <c r="A122" s="3">
        <v>120</v>
      </c>
      <c r="B122" s="4">
        <v>130</v>
      </c>
    </row>
    <row r="123" s="1" customFormat="1" ht="22.5" customHeight="1" spans="1:2">
      <c r="A123" s="3">
        <v>121</v>
      </c>
      <c r="B123" s="4">
        <v>110</v>
      </c>
    </row>
    <row r="124" s="1" customFormat="1" ht="22.5" customHeight="1" spans="1:2">
      <c r="A124" s="3">
        <v>122</v>
      </c>
      <c r="B124" s="4">
        <v>113</v>
      </c>
    </row>
    <row r="125" s="1" customFormat="1" ht="22.5" customHeight="1" spans="1:2">
      <c r="A125" s="3">
        <v>123</v>
      </c>
      <c r="B125" s="4">
        <v>111</v>
      </c>
    </row>
    <row r="126" s="1" customFormat="1" ht="22.5" customHeight="1" spans="1:2">
      <c r="A126" s="3">
        <v>124</v>
      </c>
      <c r="B126" s="4">
        <v>122</v>
      </c>
    </row>
    <row r="127" s="1" customFormat="1" ht="22.5" customHeight="1" spans="1:2">
      <c r="A127" s="3">
        <v>125</v>
      </c>
      <c r="B127" s="4">
        <v>111</v>
      </c>
    </row>
    <row r="128" s="1" customFormat="1" ht="22.5" customHeight="1" spans="1:2">
      <c r="A128" s="3">
        <v>126</v>
      </c>
      <c r="B128" s="4">
        <v>103</v>
      </c>
    </row>
    <row r="129" s="1" customFormat="1" ht="22.5" customHeight="1" spans="1:2">
      <c r="A129" s="3">
        <v>127</v>
      </c>
      <c r="B129" s="4">
        <v>110</v>
      </c>
    </row>
    <row r="130" s="1" customFormat="1" ht="22.5" customHeight="1" spans="1:2">
      <c r="A130" s="3">
        <v>128</v>
      </c>
      <c r="B130" s="4">
        <v>97</v>
      </c>
    </row>
    <row r="131" s="1" customFormat="1" ht="22.5" customHeight="1" spans="1:2">
      <c r="A131" s="3">
        <v>129</v>
      </c>
      <c r="B131" s="4">
        <v>99</v>
      </c>
    </row>
    <row r="132" s="1" customFormat="1" ht="22.5" customHeight="1" spans="1:2">
      <c r="A132" s="3">
        <v>130</v>
      </c>
      <c r="B132" s="4">
        <v>114</v>
      </c>
    </row>
    <row r="133" s="1" customFormat="1" ht="22.5" customHeight="1" spans="1:2">
      <c r="A133" s="3">
        <v>131</v>
      </c>
      <c r="B133" s="4">
        <v>103</v>
      </c>
    </row>
    <row r="134" s="1" customFormat="1" ht="22.5" customHeight="1" spans="1:2">
      <c r="A134" s="3">
        <v>132</v>
      </c>
      <c r="B134" s="4">
        <v>100</v>
      </c>
    </row>
    <row r="135" s="1" customFormat="1" ht="22.5" customHeight="1" spans="1:2">
      <c r="A135" s="3">
        <v>133</v>
      </c>
      <c r="B135" s="4">
        <v>90</v>
      </c>
    </row>
    <row r="136" s="1" customFormat="1" ht="22.5" customHeight="1" spans="1:2">
      <c r="A136" s="3">
        <v>134</v>
      </c>
      <c r="B136" s="4">
        <v>87</v>
      </c>
    </row>
    <row r="137" s="1" customFormat="1" ht="22.5" customHeight="1" spans="1:2">
      <c r="A137" s="3">
        <v>135</v>
      </c>
      <c r="B137" s="4">
        <v>90</v>
      </c>
    </row>
    <row r="138" s="1" customFormat="1" ht="22.5" customHeight="1" spans="1:2">
      <c r="A138" s="3">
        <v>136</v>
      </c>
      <c r="B138" s="4">
        <v>103</v>
      </c>
    </row>
    <row r="139" s="1" customFormat="1" ht="22.5" customHeight="1" spans="1:2">
      <c r="A139" s="3">
        <v>137</v>
      </c>
      <c r="B139" s="4">
        <v>96</v>
      </c>
    </row>
    <row r="140" s="1" customFormat="1" ht="22.5" customHeight="1" spans="1:2">
      <c r="A140" s="3">
        <v>138</v>
      </c>
      <c r="B140" s="4">
        <v>96</v>
      </c>
    </row>
    <row r="141" s="1" customFormat="1" ht="22.5" customHeight="1" spans="1:2">
      <c r="A141" s="3">
        <v>139</v>
      </c>
      <c r="B141" s="4">
        <v>87</v>
      </c>
    </row>
    <row r="142" s="1" customFormat="1" ht="22.5" customHeight="1" spans="1:2">
      <c r="A142" s="3">
        <v>140</v>
      </c>
      <c r="B142" s="4">
        <v>88</v>
      </c>
    </row>
    <row r="143" s="1" customFormat="1" ht="22.5" customHeight="1" spans="1:2">
      <c r="A143" s="3">
        <v>141</v>
      </c>
      <c r="B143" s="4">
        <v>83</v>
      </c>
    </row>
    <row r="144" s="1" customFormat="1" ht="22.5" customHeight="1" spans="1:2">
      <c r="A144" s="3">
        <v>142</v>
      </c>
      <c r="B144" s="4">
        <v>103</v>
      </c>
    </row>
    <row r="145" s="1" customFormat="1" ht="22.5" customHeight="1" spans="1:2">
      <c r="A145" s="3">
        <v>143</v>
      </c>
      <c r="B145" s="4">
        <v>85</v>
      </c>
    </row>
    <row r="146" s="1" customFormat="1" ht="22.5" customHeight="1" spans="1:2">
      <c r="A146" s="3">
        <v>144</v>
      </c>
      <c r="B146" s="4">
        <v>83</v>
      </c>
    </row>
    <row r="147" s="1" customFormat="1" ht="22.5" customHeight="1" spans="1:2">
      <c r="A147" s="3">
        <v>145</v>
      </c>
      <c r="B147" s="4">
        <v>79</v>
      </c>
    </row>
    <row r="148" s="1" customFormat="1" ht="22.5" customHeight="1" spans="1:2">
      <c r="A148" s="3">
        <v>146</v>
      </c>
      <c r="B148" s="4">
        <v>86</v>
      </c>
    </row>
    <row r="149" s="1" customFormat="1" ht="22.5" customHeight="1" spans="1:2">
      <c r="A149" s="3">
        <v>147</v>
      </c>
      <c r="B149" s="4">
        <v>78</v>
      </c>
    </row>
    <row r="150" s="1" customFormat="1" ht="22.5" customHeight="1" spans="1:2">
      <c r="A150" s="3">
        <v>148</v>
      </c>
      <c r="B150" s="4">
        <v>81</v>
      </c>
    </row>
    <row r="151" s="1" customFormat="1" ht="22.5" customHeight="1" spans="1:2">
      <c r="A151" s="3">
        <v>149</v>
      </c>
      <c r="B151" s="4">
        <v>85</v>
      </c>
    </row>
    <row r="152" s="1" customFormat="1" ht="22.5" customHeight="1" spans="1:2">
      <c r="A152" s="3">
        <v>150</v>
      </c>
      <c r="B152" s="4">
        <v>84</v>
      </c>
    </row>
    <row r="153" s="1" customFormat="1" ht="22.5" customHeight="1" spans="1:2">
      <c r="A153" s="3">
        <v>151</v>
      </c>
      <c r="B153" s="4">
        <v>92</v>
      </c>
    </row>
    <row r="154" s="1" customFormat="1" ht="22.5" customHeight="1" spans="1:2">
      <c r="A154" s="3">
        <v>152</v>
      </c>
      <c r="B154" s="4">
        <v>74</v>
      </c>
    </row>
    <row r="155" s="1" customFormat="1" ht="22.5" customHeight="1" spans="1:2">
      <c r="A155" s="3">
        <v>153</v>
      </c>
      <c r="B155" s="4">
        <v>62</v>
      </c>
    </row>
    <row r="156" s="1" customFormat="1" ht="22.5" customHeight="1" spans="1:2">
      <c r="A156" s="3">
        <v>154</v>
      </c>
      <c r="B156" s="4">
        <v>67</v>
      </c>
    </row>
    <row r="157" s="1" customFormat="1" ht="22.5" customHeight="1" spans="1:2">
      <c r="A157" s="3">
        <v>155</v>
      </c>
      <c r="B157" s="4">
        <v>77</v>
      </c>
    </row>
    <row r="158" s="1" customFormat="1" ht="22.5" customHeight="1" spans="1:2">
      <c r="A158" s="3">
        <v>156</v>
      </c>
      <c r="B158" s="4">
        <v>89</v>
      </c>
    </row>
    <row r="159" s="1" customFormat="1" ht="22.5" customHeight="1" spans="1:2">
      <c r="A159" s="3">
        <v>157</v>
      </c>
      <c r="B159" s="4">
        <v>56</v>
      </c>
    </row>
    <row r="160" s="1" customFormat="1" ht="22.5" customHeight="1" spans="1:2">
      <c r="A160" s="3">
        <v>158</v>
      </c>
      <c r="B160" s="4">
        <v>72</v>
      </c>
    </row>
    <row r="161" s="1" customFormat="1" ht="22.5" customHeight="1" spans="1:2">
      <c r="A161" s="3">
        <v>159</v>
      </c>
      <c r="B161" s="4">
        <v>70</v>
      </c>
    </row>
    <row r="162" s="1" customFormat="1" ht="22.5" customHeight="1" spans="1:2">
      <c r="A162" s="3">
        <v>160</v>
      </c>
      <c r="B162" s="4">
        <v>64</v>
      </c>
    </row>
    <row r="163" s="1" customFormat="1" ht="22.5" customHeight="1" spans="1:2">
      <c r="A163" s="3">
        <v>161</v>
      </c>
      <c r="B163" s="4">
        <v>60</v>
      </c>
    </row>
    <row r="164" s="1" customFormat="1" ht="22.5" customHeight="1" spans="1:2">
      <c r="A164" s="3">
        <v>162</v>
      </c>
      <c r="B164" s="4">
        <v>68</v>
      </c>
    </row>
    <row r="165" s="1" customFormat="1" ht="22.5" customHeight="1" spans="1:2">
      <c r="A165" s="3">
        <v>163</v>
      </c>
      <c r="B165" s="4">
        <v>67</v>
      </c>
    </row>
    <row r="166" s="1" customFormat="1" ht="22.5" customHeight="1" spans="1:2">
      <c r="A166" s="3">
        <v>164</v>
      </c>
      <c r="B166" s="4">
        <v>58</v>
      </c>
    </row>
    <row r="167" s="1" customFormat="1" ht="22.5" customHeight="1" spans="1:2">
      <c r="A167" s="3">
        <v>165</v>
      </c>
      <c r="B167" s="4">
        <v>69</v>
      </c>
    </row>
    <row r="168" s="1" customFormat="1" ht="22.5" customHeight="1" spans="1:2">
      <c r="A168" s="3">
        <v>166</v>
      </c>
      <c r="B168" s="4">
        <v>67</v>
      </c>
    </row>
    <row r="169" s="1" customFormat="1" ht="22.5" customHeight="1" spans="1:2">
      <c r="A169" s="3">
        <v>167</v>
      </c>
      <c r="B169" s="4">
        <v>63</v>
      </c>
    </row>
    <row r="170" s="1" customFormat="1" ht="22.5" customHeight="1" spans="1:2">
      <c r="A170" s="3">
        <v>168</v>
      </c>
      <c r="B170" s="4">
        <v>78</v>
      </c>
    </row>
    <row r="171" s="1" customFormat="1" ht="22.5" customHeight="1" spans="1:2">
      <c r="A171" s="3">
        <v>169</v>
      </c>
      <c r="B171" s="4">
        <v>67</v>
      </c>
    </row>
    <row r="172" s="1" customFormat="1" ht="22.5" customHeight="1" spans="1:2">
      <c r="A172" s="3">
        <v>170</v>
      </c>
      <c r="B172" s="4">
        <v>59</v>
      </c>
    </row>
    <row r="173" s="1" customFormat="1" ht="22.5" customHeight="1" spans="1:2">
      <c r="A173" s="3">
        <v>171</v>
      </c>
      <c r="B173" s="4">
        <v>49</v>
      </c>
    </row>
    <row r="174" s="1" customFormat="1" ht="22.5" customHeight="1" spans="1:2">
      <c r="A174" s="3">
        <v>172</v>
      </c>
      <c r="B174" s="4">
        <v>49</v>
      </c>
    </row>
    <row r="175" s="1" customFormat="1" ht="22.5" customHeight="1" spans="1:2">
      <c r="A175" s="3">
        <v>173</v>
      </c>
      <c r="B175" s="4">
        <v>57</v>
      </c>
    </row>
    <row r="176" s="1" customFormat="1" ht="22.5" customHeight="1" spans="1:2">
      <c r="A176" s="3">
        <v>174</v>
      </c>
      <c r="B176" s="4">
        <v>66</v>
      </c>
    </row>
    <row r="177" s="1" customFormat="1" ht="22.5" customHeight="1" spans="1:2">
      <c r="A177" s="3">
        <v>175</v>
      </c>
      <c r="B177" s="4">
        <v>66</v>
      </c>
    </row>
    <row r="178" s="1" customFormat="1" ht="22.5" customHeight="1" spans="1:2">
      <c r="A178" s="3">
        <v>176</v>
      </c>
      <c r="B178" s="4">
        <v>55</v>
      </c>
    </row>
    <row r="179" s="1" customFormat="1" ht="22.5" customHeight="1" spans="1:2">
      <c r="A179" s="3">
        <v>177</v>
      </c>
      <c r="B179" s="4">
        <v>59</v>
      </c>
    </row>
    <row r="180" s="1" customFormat="1" ht="22.5" customHeight="1" spans="1:2">
      <c r="A180" s="3">
        <v>178</v>
      </c>
      <c r="B180" s="4">
        <v>68</v>
      </c>
    </row>
    <row r="181" s="1" customFormat="1" ht="22.5" customHeight="1" spans="1:2">
      <c r="A181" s="3">
        <v>179</v>
      </c>
      <c r="B181" s="4">
        <v>51</v>
      </c>
    </row>
    <row r="182" s="1" customFormat="1" ht="22.5" customHeight="1" spans="1:2">
      <c r="A182" s="3">
        <v>180</v>
      </c>
      <c r="B182" s="4">
        <v>43</v>
      </c>
    </row>
    <row r="183" s="1" customFormat="1" ht="22.5" customHeight="1" spans="1:2">
      <c r="A183" s="3">
        <v>181</v>
      </c>
      <c r="B183" s="4">
        <v>48</v>
      </c>
    </row>
    <row r="184" s="1" customFormat="1" ht="22.5" customHeight="1" spans="1:2">
      <c r="A184" s="3">
        <v>182</v>
      </c>
      <c r="B184" s="4">
        <v>50</v>
      </c>
    </row>
    <row r="185" s="1" customFormat="1" ht="22.5" customHeight="1" spans="1:2">
      <c r="A185" s="3">
        <v>183</v>
      </c>
      <c r="B185" s="4">
        <v>49</v>
      </c>
    </row>
    <row r="186" s="1" customFormat="1" ht="22.5" customHeight="1" spans="1:2">
      <c r="A186" s="3">
        <v>184</v>
      </c>
      <c r="B186" s="4">
        <v>52</v>
      </c>
    </row>
    <row r="187" s="1" customFormat="1" ht="22.5" customHeight="1" spans="1:2">
      <c r="A187" s="3">
        <v>185</v>
      </c>
      <c r="B187" s="4">
        <v>49</v>
      </c>
    </row>
    <row r="188" s="1" customFormat="1" ht="22.5" customHeight="1" spans="1:2">
      <c r="A188" s="3">
        <v>186</v>
      </c>
      <c r="B188" s="4">
        <v>44</v>
      </c>
    </row>
    <row r="189" s="1" customFormat="1" ht="22.5" customHeight="1" spans="1:2">
      <c r="A189" s="3">
        <v>187</v>
      </c>
      <c r="B189" s="4">
        <v>50</v>
      </c>
    </row>
    <row r="190" s="1" customFormat="1" ht="22.5" customHeight="1" spans="1:2">
      <c r="A190" s="3">
        <v>188</v>
      </c>
      <c r="B190" s="4">
        <v>44</v>
      </c>
    </row>
    <row r="191" s="1" customFormat="1" ht="22.5" customHeight="1" spans="1:2">
      <c r="A191" s="3">
        <v>189</v>
      </c>
      <c r="B191" s="4">
        <v>55</v>
      </c>
    </row>
    <row r="192" s="1" customFormat="1" ht="22.5" customHeight="1" spans="1:2">
      <c r="A192" s="3">
        <v>190</v>
      </c>
      <c r="B192" s="4">
        <v>59</v>
      </c>
    </row>
    <row r="193" s="1" customFormat="1" ht="22.5" customHeight="1" spans="1:2">
      <c r="A193" s="3">
        <v>191</v>
      </c>
      <c r="B193" s="4">
        <v>53</v>
      </c>
    </row>
    <row r="194" s="1" customFormat="1" ht="22.5" customHeight="1" spans="1:2">
      <c r="A194" s="3">
        <v>192</v>
      </c>
      <c r="B194" s="4">
        <v>43</v>
      </c>
    </row>
    <row r="195" s="1" customFormat="1" ht="22.5" customHeight="1" spans="1:2">
      <c r="A195" s="3">
        <v>193</v>
      </c>
      <c r="B195" s="4">
        <v>49</v>
      </c>
    </row>
    <row r="196" s="1" customFormat="1" ht="22.5" customHeight="1" spans="1:2">
      <c r="A196" s="3">
        <v>194</v>
      </c>
      <c r="B196" s="4">
        <v>45</v>
      </c>
    </row>
    <row r="197" s="1" customFormat="1" ht="22.5" customHeight="1" spans="1:2">
      <c r="A197" s="3">
        <v>195</v>
      </c>
      <c r="B197" s="4">
        <v>50</v>
      </c>
    </row>
    <row r="198" s="1" customFormat="1" ht="22.5" customHeight="1" spans="1:2">
      <c r="A198" s="3">
        <v>196</v>
      </c>
      <c r="B198" s="4">
        <v>37</v>
      </c>
    </row>
    <row r="199" s="1" customFormat="1" ht="22.5" customHeight="1" spans="1:2">
      <c r="A199" s="3">
        <v>197</v>
      </c>
      <c r="B199" s="4">
        <v>40</v>
      </c>
    </row>
    <row r="200" s="1" customFormat="1" ht="22.5" customHeight="1" spans="1:2">
      <c r="A200" s="3">
        <v>198</v>
      </c>
      <c r="B200" s="4">
        <v>37</v>
      </c>
    </row>
    <row r="201" s="1" customFormat="1" ht="22.5" customHeight="1" spans="1:2">
      <c r="A201" s="3">
        <v>199</v>
      </c>
      <c r="B201" s="4">
        <v>38</v>
      </c>
    </row>
    <row r="202" s="1" customFormat="1" ht="22.5" customHeight="1" spans="1:2">
      <c r="A202" s="3">
        <v>200</v>
      </c>
      <c r="B202" s="4">
        <v>36</v>
      </c>
    </row>
    <row r="203" s="1" customFormat="1" ht="22.5" customHeight="1" spans="1:2">
      <c r="A203" s="3">
        <v>201</v>
      </c>
      <c r="B203" s="4">
        <v>49</v>
      </c>
    </row>
    <row r="204" s="1" customFormat="1" ht="22.5" customHeight="1" spans="1:2">
      <c r="A204" s="3">
        <v>202</v>
      </c>
      <c r="B204" s="4">
        <v>45</v>
      </c>
    </row>
    <row r="205" s="1" customFormat="1" ht="22.5" customHeight="1" spans="1:2">
      <c r="A205" s="3">
        <v>203</v>
      </c>
      <c r="B205" s="4">
        <v>45</v>
      </c>
    </row>
    <row r="206" s="1" customFormat="1" ht="22.5" customHeight="1" spans="1:2">
      <c r="A206" s="3">
        <v>204</v>
      </c>
      <c r="B206" s="4">
        <v>34</v>
      </c>
    </row>
    <row r="207" s="1" customFormat="1" ht="22.5" customHeight="1" spans="1:2">
      <c r="A207" s="3">
        <v>205</v>
      </c>
      <c r="B207" s="4">
        <v>38</v>
      </c>
    </row>
    <row r="208" s="1" customFormat="1" ht="22.5" customHeight="1" spans="1:2">
      <c r="A208" s="3">
        <v>206</v>
      </c>
      <c r="B208" s="4">
        <v>42</v>
      </c>
    </row>
    <row r="209" s="1" customFormat="1" ht="22.5" customHeight="1" spans="1:2">
      <c r="A209" s="3">
        <v>207</v>
      </c>
      <c r="B209" s="4">
        <v>45</v>
      </c>
    </row>
    <row r="210" s="1" customFormat="1" ht="22.5" customHeight="1" spans="1:2">
      <c r="A210" s="3">
        <v>208</v>
      </c>
      <c r="B210" s="4">
        <v>50</v>
      </c>
    </row>
    <row r="211" s="1" customFormat="1" ht="22.5" customHeight="1" spans="1:2">
      <c r="A211" s="3">
        <v>209</v>
      </c>
      <c r="B211" s="4">
        <v>30</v>
      </c>
    </row>
    <row r="212" s="1" customFormat="1" ht="22.5" customHeight="1" spans="1:2">
      <c r="A212" s="3">
        <v>210</v>
      </c>
      <c r="B212" s="4">
        <v>31</v>
      </c>
    </row>
    <row r="213" s="1" customFormat="1" ht="22.5" customHeight="1" spans="1:2">
      <c r="A213" s="3">
        <v>211</v>
      </c>
      <c r="B213" s="4">
        <v>39</v>
      </c>
    </row>
    <row r="214" s="1" customFormat="1" ht="22.5" customHeight="1" spans="1:2">
      <c r="A214" s="3">
        <v>212</v>
      </c>
      <c r="B214" s="4">
        <v>39</v>
      </c>
    </row>
    <row r="215" s="1" customFormat="1" ht="22.5" customHeight="1" spans="1:2">
      <c r="A215" s="3">
        <v>213</v>
      </c>
      <c r="B215" s="4">
        <v>28</v>
      </c>
    </row>
    <row r="216" s="1" customFormat="1" ht="22.5" customHeight="1" spans="1:2">
      <c r="A216" s="3">
        <v>214</v>
      </c>
      <c r="B216" s="4">
        <v>41</v>
      </c>
    </row>
    <row r="217" s="1" customFormat="1" ht="22.5" customHeight="1" spans="1:2">
      <c r="A217" s="3">
        <v>215</v>
      </c>
      <c r="B217" s="4">
        <v>34</v>
      </c>
    </row>
    <row r="218" s="1" customFormat="1" ht="22.5" customHeight="1" spans="1:2">
      <c r="A218" s="3">
        <v>216</v>
      </c>
      <c r="B218" s="4">
        <v>29</v>
      </c>
    </row>
    <row r="219" s="1" customFormat="1" ht="22.5" customHeight="1" spans="1:2">
      <c r="A219" s="3">
        <v>217</v>
      </c>
      <c r="B219" s="4">
        <v>35</v>
      </c>
    </row>
    <row r="220" s="1" customFormat="1" ht="22.5" customHeight="1" spans="1:2">
      <c r="A220" s="3">
        <v>218</v>
      </c>
      <c r="B220" s="4">
        <v>40</v>
      </c>
    </row>
    <row r="221" s="1" customFormat="1" ht="22.5" customHeight="1" spans="1:2">
      <c r="A221" s="3">
        <v>219</v>
      </c>
      <c r="B221" s="4">
        <v>39</v>
      </c>
    </row>
    <row r="222" s="1" customFormat="1" ht="22.5" customHeight="1" spans="1:2">
      <c r="A222" s="3">
        <v>220</v>
      </c>
      <c r="B222" s="4">
        <v>41</v>
      </c>
    </row>
    <row r="223" s="1" customFormat="1" ht="22.5" customHeight="1" spans="1:2">
      <c r="A223" s="3">
        <v>221</v>
      </c>
      <c r="B223" s="4">
        <v>41</v>
      </c>
    </row>
    <row r="224" s="1" customFormat="1" ht="22.5" customHeight="1" spans="1:2">
      <c r="A224" s="3">
        <v>222</v>
      </c>
      <c r="B224" s="4">
        <v>27</v>
      </c>
    </row>
    <row r="225" s="1" customFormat="1" ht="22.5" customHeight="1" spans="1:2">
      <c r="A225" s="3">
        <v>223</v>
      </c>
      <c r="B225" s="4">
        <v>31</v>
      </c>
    </row>
    <row r="226" s="1" customFormat="1" ht="22.5" customHeight="1" spans="1:2">
      <c r="A226" s="3">
        <v>224</v>
      </c>
      <c r="B226" s="4">
        <v>27</v>
      </c>
    </row>
    <row r="227" s="1" customFormat="1" ht="22.5" customHeight="1" spans="1:2">
      <c r="A227" s="3">
        <v>225</v>
      </c>
      <c r="B227" s="4">
        <v>35</v>
      </c>
    </row>
    <row r="228" s="1" customFormat="1" ht="22.5" customHeight="1" spans="1:2">
      <c r="A228" s="3">
        <v>226</v>
      </c>
      <c r="B228" s="4">
        <v>26</v>
      </c>
    </row>
    <row r="229" s="1" customFormat="1" ht="22.5" customHeight="1" spans="1:2">
      <c r="A229" s="3">
        <v>227</v>
      </c>
      <c r="B229" s="4">
        <v>40</v>
      </c>
    </row>
    <row r="230" s="1" customFormat="1" ht="22.5" customHeight="1" spans="1:2">
      <c r="A230" s="3">
        <v>228</v>
      </c>
      <c r="B230" s="4">
        <v>24</v>
      </c>
    </row>
    <row r="231" s="1" customFormat="1" ht="22.5" customHeight="1" spans="1:2">
      <c r="A231" s="3">
        <v>229</v>
      </c>
      <c r="B231" s="4">
        <v>31</v>
      </c>
    </row>
    <row r="232" s="1" customFormat="1" ht="22.5" customHeight="1" spans="1:2">
      <c r="A232" s="3">
        <v>230</v>
      </c>
      <c r="B232" s="4">
        <v>23</v>
      </c>
    </row>
    <row r="233" s="1" customFormat="1" ht="22.5" customHeight="1" spans="1:2">
      <c r="A233" s="3">
        <v>231</v>
      </c>
      <c r="B233" s="4">
        <v>41</v>
      </c>
    </row>
    <row r="234" s="1" customFormat="1" ht="22.5" customHeight="1" spans="1:2">
      <c r="A234" s="3">
        <v>232</v>
      </c>
      <c r="B234" s="4">
        <v>34</v>
      </c>
    </row>
    <row r="235" s="1" customFormat="1" ht="22.5" customHeight="1" spans="1:2">
      <c r="A235" s="3">
        <v>233</v>
      </c>
      <c r="B235" s="4">
        <v>24</v>
      </c>
    </row>
    <row r="236" s="1" customFormat="1" ht="22.5" customHeight="1" spans="1:2">
      <c r="A236" s="3">
        <v>234</v>
      </c>
      <c r="B236" s="4">
        <v>33</v>
      </c>
    </row>
    <row r="237" s="1" customFormat="1" ht="22.5" customHeight="1" spans="1:2">
      <c r="A237" s="3">
        <v>235</v>
      </c>
      <c r="B237" s="4">
        <v>38</v>
      </c>
    </row>
    <row r="238" s="1" customFormat="1" ht="22.5" customHeight="1" spans="1:2">
      <c r="A238" s="3">
        <v>236</v>
      </c>
      <c r="B238" s="4">
        <v>25</v>
      </c>
    </row>
    <row r="239" s="1" customFormat="1" ht="22.5" customHeight="1" spans="1:2">
      <c r="A239" s="3">
        <v>237</v>
      </c>
      <c r="B239" s="4">
        <v>35</v>
      </c>
    </row>
    <row r="240" s="1" customFormat="1" ht="22.5" customHeight="1" spans="1:2">
      <c r="A240" s="3">
        <v>238</v>
      </c>
      <c r="B240" s="4">
        <v>29</v>
      </c>
    </row>
    <row r="241" s="1" customFormat="1" ht="22.5" customHeight="1" spans="1:2">
      <c r="A241" s="3">
        <v>239</v>
      </c>
      <c r="B241" s="4">
        <v>23</v>
      </c>
    </row>
    <row r="242" s="1" customFormat="1" ht="22.5" customHeight="1" spans="1:2">
      <c r="A242" s="3">
        <v>240</v>
      </c>
      <c r="B242" s="4">
        <v>41</v>
      </c>
    </row>
    <row r="243" s="1" customFormat="1" ht="22.5" customHeight="1" spans="1:2">
      <c r="A243" s="3">
        <v>241</v>
      </c>
      <c r="B243" s="4">
        <v>19</v>
      </c>
    </row>
    <row r="244" s="1" customFormat="1" ht="22.5" customHeight="1" spans="1:2">
      <c r="A244" s="3">
        <v>242</v>
      </c>
      <c r="B244" s="4">
        <v>28</v>
      </c>
    </row>
    <row r="245" s="1" customFormat="1" ht="22.5" customHeight="1" spans="1:2">
      <c r="A245" s="3">
        <v>243</v>
      </c>
      <c r="B245" s="4">
        <v>39</v>
      </c>
    </row>
    <row r="246" s="1" customFormat="1" ht="22.5" customHeight="1" spans="1:2">
      <c r="A246" s="3">
        <v>244</v>
      </c>
      <c r="B246" s="4">
        <v>15</v>
      </c>
    </row>
    <row r="247" s="1" customFormat="1" ht="22.5" customHeight="1" spans="1:2">
      <c r="A247" s="3">
        <v>245</v>
      </c>
      <c r="B247" s="4">
        <v>33</v>
      </c>
    </row>
    <row r="248" s="1" customFormat="1" ht="22.5" customHeight="1" spans="1:2">
      <c r="A248" s="3">
        <v>246</v>
      </c>
      <c r="B248" s="4">
        <v>27</v>
      </c>
    </row>
    <row r="249" s="1" customFormat="1" ht="22.5" customHeight="1" spans="1:2">
      <c r="A249" s="3">
        <v>247</v>
      </c>
      <c r="B249" s="4">
        <v>28</v>
      </c>
    </row>
    <row r="250" s="1" customFormat="1" ht="22.5" customHeight="1" spans="1:2">
      <c r="A250" s="3">
        <v>248</v>
      </c>
      <c r="B250" s="4">
        <v>27</v>
      </c>
    </row>
    <row r="251" s="1" customFormat="1" ht="22.5" customHeight="1" spans="1:2">
      <c r="A251" s="3">
        <v>249</v>
      </c>
      <c r="B251" s="4">
        <v>28</v>
      </c>
    </row>
    <row r="252" s="1" customFormat="1" ht="22.5" customHeight="1" spans="1:2">
      <c r="A252" s="3">
        <v>250</v>
      </c>
      <c r="B252" s="4">
        <v>33</v>
      </c>
    </row>
    <row r="253" s="1" customFormat="1" ht="22.5" customHeight="1" spans="1:2">
      <c r="A253" s="3">
        <v>251</v>
      </c>
      <c r="B253" s="4">
        <v>26</v>
      </c>
    </row>
    <row r="254" s="1" customFormat="1" ht="22.5" customHeight="1" spans="1:2">
      <c r="A254" s="3">
        <v>252</v>
      </c>
      <c r="B254" s="4">
        <v>25</v>
      </c>
    </row>
    <row r="255" s="1" customFormat="1" ht="22.5" customHeight="1" spans="1:2">
      <c r="A255" s="3">
        <v>253</v>
      </c>
      <c r="B255" s="4">
        <v>23</v>
      </c>
    </row>
    <row r="256" s="1" customFormat="1" ht="22.5" customHeight="1" spans="1:2">
      <c r="A256" s="3">
        <v>254</v>
      </c>
      <c r="B256" s="4">
        <v>33</v>
      </c>
    </row>
    <row r="257" s="1" customFormat="1" ht="22.5" customHeight="1" spans="1:2">
      <c r="A257" s="3">
        <v>255</v>
      </c>
      <c r="B257" s="4">
        <v>33</v>
      </c>
    </row>
    <row r="258" s="1" customFormat="1" ht="22.5" customHeight="1" spans="1:2">
      <c r="A258" s="3">
        <v>256</v>
      </c>
      <c r="B258" s="4">
        <v>27</v>
      </c>
    </row>
    <row r="259" s="1" customFormat="1" ht="22.5" customHeight="1" spans="1:2">
      <c r="A259" s="3">
        <v>257</v>
      </c>
      <c r="B259" s="4">
        <v>28</v>
      </c>
    </row>
    <row r="260" s="1" customFormat="1" ht="22.5" customHeight="1" spans="1:2">
      <c r="A260" s="3">
        <v>258</v>
      </c>
      <c r="B260" s="4">
        <v>19</v>
      </c>
    </row>
    <row r="261" s="1" customFormat="1" ht="22.5" customHeight="1" spans="1:2">
      <c r="A261" s="3">
        <v>259</v>
      </c>
      <c r="B261" s="4">
        <v>17</v>
      </c>
    </row>
    <row r="262" s="1" customFormat="1" ht="22.5" customHeight="1" spans="1:2">
      <c r="A262" s="3">
        <v>260</v>
      </c>
      <c r="B262" s="4">
        <v>20</v>
      </c>
    </row>
    <row r="263" s="1" customFormat="1" ht="22.5" customHeight="1" spans="1:2">
      <c r="A263" s="3">
        <v>261</v>
      </c>
      <c r="B263" s="4">
        <v>16</v>
      </c>
    </row>
    <row r="264" s="1" customFormat="1" ht="22.5" customHeight="1" spans="1:2">
      <c r="A264" s="3">
        <v>262</v>
      </c>
      <c r="B264" s="4">
        <v>25</v>
      </c>
    </row>
    <row r="265" s="1" customFormat="1" ht="22.5" customHeight="1" spans="1:2">
      <c r="A265" s="3">
        <v>263</v>
      </c>
      <c r="B265" s="4">
        <v>23</v>
      </c>
    </row>
    <row r="266" s="1" customFormat="1" ht="22.5" customHeight="1" spans="1:2">
      <c r="A266" s="3">
        <v>264</v>
      </c>
      <c r="B266" s="4">
        <v>24</v>
      </c>
    </row>
    <row r="267" s="1" customFormat="1" ht="22.5" customHeight="1" spans="1:2">
      <c r="A267" s="3">
        <v>265</v>
      </c>
      <c r="B267" s="4">
        <v>11</v>
      </c>
    </row>
    <row r="268" s="1" customFormat="1" ht="22.5" customHeight="1" spans="1:2">
      <c r="A268" s="3">
        <v>266</v>
      </c>
      <c r="B268" s="4">
        <v>21</v>
      </c>
    </row>
    <row r="269" s="1" customFormat="1" ht="22.5" customHeight="1" spans="1:2">
      <c r="A269" s="3">
        <v>267</v>
      </c>
      <c r="B269" s="4">
        <v>21</v>
      </c>
    </row>
    <row r="270" s="1" customFormat="1" ht="22.5" customHeight="1" spans="1:2">
      <c r="A270" s="3">
        <v>268</v>
      </c>
      <c r="B270" s="4">
        <v>24</v>
      </c>
    </row>
    <row r="271" s="1" customFormat="1" ht="22.5" customHeight="1" spans="1:2">
      <c r="A271" s="3">
        <v>269</v>
      </c>
      <c r="B271" s="4">
        <v>26</v>
      </c>
    </row>
    <row r="272" s="1" customFormat="1" ht="22.5" customHeight="1" spans="1:2">
      <c r="A272" s="3">
        <v>270</v>
      </c>
      <c r="B272" s="4">
        <v>10</v>
      </c>
    </row>
    <row r="273" s="1" customFormat="1" ht="22.5" customHeight="1" spans="1:2">
      <c r="A273" s="3">
        <v>271</v>
      </c>
      <c r="B273" s="4">
        <v>25</v>
      </c>
    </row>
    <row r="274" s="1" customFormat="1" ht="22.5" customHeight="1" spans="1:2">
      <c r="A274" s="3">
        <v>272</v>
      </c>
      <c r="B274" s="4">
        <v>23</v>
      </c>
    </row>
    <row r="275" s="1" customFormat="1" ht="22.5" customHeight="1" spans="1:2">
      <c r="A275" s="3">
        <v>273</v>
      </c>
      <c r="B275" s="4">
        <v>26</v>
      </c>
    </row>
    <row r="276" s="1" customFormat="1" ht="22.5" customHeight="1" spans="1:2">
      <c r="A276" s="3">
        <v>274</v>
      </c>
      <c r="B276" s="4">
        <v>13</v>
      </c>
    </row>
    <row r="277" s="1" customFormat="1" ht="22.5" customHeight="1" spans="1:2">
      <c r="A277" s="3">
        <v>275</v>
      </c>
      <c r="B277" s="4">
        <v>28</v>
      </c>
    </row>
    <row r="278" s="1" customFormat="1" ht="22.5" customHeight="1" spans="1:2">
      <c r="A278" s="3">
        <v>276</v>
      </c>
      <c r="B278" s="4">
        <v>25</v>
      </c>
    </row>
    <row r="279" s="1" customFormat="1" ht="22.5" customHeight="1" spans="1:2">
      <c r="A279" s="3">
        <v>277</v>
      </c>
      <c r="B279" s="4">
        <v>22</v>
      </c>
    </row>
    <row r="280" s="1" customFormat="1" ht="22.5" customHeight="1" spans="1:2">
      <c r="A280" s="3">
        <v>278</v>
      </c>
      <c r="B280" s="4">
        <v>25</v>
      </c>
    </row>
    <row r="281" s="1" customFormat="1" ht="22.5" customHeight="1" spans="1:2">
      <c r="A281" s="3">
        <v>279</v>
      </c>
      <c r="B281" s="4">
        <v>17</v>
      </c>
    </row>
    <row r="282" s="1" customFormat="1" ht="22.5" customHeight="1" spans="1:2">
      <c r="A282" s="3">
        <v>280</v>
      </c>
      <c r="B282" s="4">
        <v>19</v>
      </c>
    </row>
    <row r="283" s="1" customFormat="1" ht="22.5" customHeight="1" spans="1:2">
      <c r="A283" s="3">
        <v>281</v>
      </c>
      <c r="B283" s="4">
        <v>24</v>
      </c>
    </row>
    <row r="284" s="1" customFormat="1" ht="22.5" customHeight="1" spans="1:2">
      <c r="A284" s="3">
        <v>282</v>
      </c>
      <c r="B284" s="4">
        <v>21</v>
      </c>
    </row>
    <row r="285" s="1" customFormat="1" ht="22.5" customHeight="1" spans="1:2">
      <c r="A285" s="3">
        <v>283</v>
      </c>
      <c r="B285" s="4">
        <v>16</v>
      </c>
    </row>
    <row r="286" s="1" customFormat="1" ht="22.5" customHeight="1" spans="1:2">
      <c r="A286" s="3">
        <v>284</v>
      </c>
      <c r="B286" s="4">
        <v>21</v>
      </c>
    </row>
    <row r="287" s="1" customFormat="1" ht="22.5" customHeight="1" spans="1:2">
      <c r="A287" s="3">
        <v>285</v>
      </c>
      <c r="B287" s="4">
        <v>22</v>
      </c>
    </row>
    <row r="288" s="1" customFormat="1" ht="22.5" customHeight="1" spans="1:2">
      <c r="A288" s="3">
        <v>286</v>
      </c>
      <c r="B288" s="4">
        <v>23</v>
      </c>
    </row>
    <row r="289" s="1" customFormat="1" ht="22.5" customHeight="1" spans="1:2">
      <c r="A289" s="3">
        <v>287</v>
      </c>
      <c r="B289" s="4">
        <v>16</v>
      </c>
    </row>
    <row r="290" s="1" customFormat="1" ht="22.5" customHeight="1" spans="1:2">
      <c r="A290" s="3">
        <v>288</v>
      </c>
      <c r="B290" s="4">
        <v>16</v>
      </c>
    </row>
    <row r="291" s="1" customFormat="1" ht="22.5" customHeight="1" spans="1:2">
      <c r="A291" s="3">
        <v>289</v>
      </c>
      <c r="B291" s="4">
        <v>27</v>
      </c>
    </row>
    <row r="292" s="1" customFormat="1" ht="22.5" customHeight="1" spans="1:2">
      <c r="A292" s="3">
        <v>290</v>
      </c>
      <c r="B292" s="4">
        <v>13</v>
      </c>
    </row>
    <row r="293" s="1" customFormat="1" ht="22.5" customHeight="1" spans="1:2">
      <c r="A293" s="3">
        <v>291</v>
      </c>
      <c r="B293" s="4">
        <v>15</v>
      </c>
    </row>
    <row r="294" s="1" customFormat="1" ht="22.5" customHeight="1" spans="1:2">
      <c r="A294" s="3">
        <v>292</v>
      </c>
      <c r="B294" s="4">
        <v>15</v>
      </c>
    </row>
    <row r="295" s="1" customFormat="1" ht="22.5" customHeight="1" spans="1:2">
      <c r="A295" s="3">
        <v>293</v>
      </c>
      <c r="B295" s="4">
        <v>20</v>
      </c>
    </row>
    <row r="296" s="1" customFormat="1" ht="22.5" customHeight="1" spans="1:2">
      <c r="A296" s="3">
        <v>294</v>
      </c>
      <c r="B296" s="4">
        <v>15</v>
      </c>
    </row>
    <row r="297" s="1" customFormat="1" ht="22.5" customHeight="1" spans="1:2">
      <c r="A297" s="3">
        <v>295</v>
      </c>
      <c r="B297" s="4">
        <v>15</v>
      </c>
    </row>
    <row r="298" s="1" customFormat="1" ht="22.5" customHeight="1" spans="1:2">
      <c r="A298" s="3">
        <v>296</v>
      </c>
      <c r="B298" s="4">
        <v>18</v>
      </c>
    </row>
    <row r="299" s="1" customFormat="1" ht="22.5" customHeight="1" spans="1:2">
      <c r="A299" s="3">
        <v>297</v>
      </c>
      <c r="B299" s="4">
        <v>24</v>
      </c>
    </row>
    <row r="300" s="1" customFormat="1" ht="22.5" customHeight="1" spans="1:2">
      <c r="A300" s="3">
        <v>298</v>
      </c>
      <c r="B300" s="4">
        <v>21</v>
      </c>
    </row>
    <row r="301" s="1" customFormat="1" ht="22.5" customHeight="1" spans="1:2">
      <c r="A301" s="3">
        <v>299</v>
      </c>
      <c r="B301" s="4">
        <v>15</v>
      </c>
    </row>
    <row r="302" s="1" customFormat="1" ht="22.5" customHeight="1" spans="1:2">
      <c r="A302" s="3">
        <v>300</v>
      </c>
      <c r="B302" s="4">
        <v>17</v>
      </c>
    </row>
    <row r="303" s="1" customFormat="1" ht="22.5" customHeight="1" spans="1:2">
      <c r="A303" s="3">
        <v>301</v>
      </c>
      <c r="B303" s="4">
        <v>19</v>
      </c>
    </row>
    <row r="304" s="1" customFormat="1" ht="22.5" customHeight="1" spans="1:2">
      <c r="A304" s="3">
        <v>302</v>
      </c>
      <c r="B304" s="4">
        <v>16</v>
      </c>
    </row>
    <row r="305" s="1" customFormat="1" ht="22.5" customHeight="1" spans="1:2">
      <c r="A305" s="3">
        <v>303</v>
      </c>
      <c r="B305" s="4">
        <v>16</v>
      </c>
    </row>
    <row r="306" s="1" customFormat="1" ht="22.5" customHeight="1" spans="1:2">
      <c r="A306" s="3">
        <v>304</v>
      </c>
      <c r="B306" s="4">
        <v>22</v>
      </c>
    </row>
    <row r="307" s="1" customFormat="1" ht="22.5" customHeight="1" spans="1:2">
      <c r="A307" s="3">
        <v>305</v>
      </c>
      <c r="B307" s="4">
        <v>19</v>
      </c>
    </row>
    <row r="308" s="1" customFormat="1" ht="22.5" customHeight="1" spans="1:2">
      <c r="A308" s="3">
        <v>306</v>
      </c>
      <c r="B308" s="4">
        <v>16</v>
      </c>
    </row>
    <row r="309" s="1" customFormat="1" ht="22.5" customHeight="1" spans="1:2">
      <c r="A309" s="3">
        <v>307</v>
      </c>
      <c r="B309" s="4">
        <v>16</v>
      </c>
    </row>
    <row r="310" s="1" customFormat="1" ht="22.5" customHeight="1" spans="1:2">
      <c r="A310" s="3">
        <v>308</v>
      </c>
      <c r="B310" s="4">
        <v>17</v>
      </c>
    </row>
    <row r="311" s="1" customFormat="1" ht="22.5" customHeight="1" spans="1:2">
      <c r="A311" s="3">
        <v>309</v>
      </c>
      <c r="B311" s="4">
        <v>18</v>
      </c>
    </row>
    <row r="312" s="1" customFormat="1" ht="22.5" customHeight="1" spans="1:2">
      <c r="A312" s="3">
        <v>310</v>
      </c>
      <c r="B312" s="4">
        <v>17</v>
      </c>
    </row>
    <row r="313" s="1" customFormat="1" ht="22.5" customHeight="1" spans="1:2">
      <c r="A313" s="3">
        <v>311</v>
      </c>
      <c r="B313" s="4">
        <v>15</v>
      </c>
    </row>
    <row r="314" s="1" customFormat="1" ht="22.5" customHeight="1" spans="1:2">
      <c r="A314" s="3">
        <v>312</v>
      </c>
      <c r="B314" s="4">
        <v>16</v>
      </c>
    </row>
    <row r="315" s="1" customFormat="1" ht="22.5" customHeight="1" spans="1:2">
      <c r="A315" s="3">
        <v>313</v>
      </c>
      <c r="B315" s="4">
        <v>17</v>
      </c>
    </row>
    <row r="316" s="1" customFormat="1" ht="22.5" customHeight="1" spans="1:2">
      <c r="A316" s="3">
        <v>314</v>
      </c>
      <c r="B316" s="4">
        <v>13</v>
      </c>
    </row>
    <row r="317" s="1" customFormat="1" ht="22.5" customHeight="1" spans="1:2">
      <c r="A317" s="3">
        <v>315</v>
      </c>
      <c r="B317" s="4">
        <v>19</v>
      </c>
    </row>
    <row r="318" s="1" customFormat="1" ht="22.5" customHeight="1" spans="1:2">
      <c r="A318" s="3">
        <v>316</v>
      </c>
      <c r="B318" s="4">
        <v>14</v>
      </c>
    </row>
    <row r="319" s="1" customFormat="1" ht="22.5" customHeight="1" spans="1:2">
      <c r="A319" s="3">
        <v>317</v>
      </c>
      <c r="B319" s="4">
        <v>17</v>
      </c>
    </row>
    <row r="320" s="1" customFormat="1" ht="22.5" customHeight="1" spans="1:2">
      <c r="A320" s="3">
        <v>318</v>
      </c>
      <c r="B320" s="4">
        <v>14</v>
      </c>
    </row>
    <row r="321" s="1" customFormat="1" ht="22.5" customHeight="1" spans="1:2">
      <c r="A321" s="3">
        <v>319</v>
      </c>
      <c r="B321" s="4">
        <v>12</v>
      </c>
    </row>
    <row r="322" s="1" customFormat="1" ht="22.5" customHeight="1" spans="1:2">
      <c r="A322" s="3">
        <v>320</v>
      </c>
      <c r="B322" s="4">
        <v>14</v>
      </c>
    </row>
    <row r="323" s="1" customFormat="1" ht="22.5" customHeight="1" spans="1:2">
      <c r="A323" s="3">
        <v>321</v>
      </c>
      <c r="B323" s="4">
        <v>12</v>
      </c>
    </row>
    <row r="324" s="1" customFormat="1" ht="22.5" customHeight="1" spans="1:2">
      <c r="A324" s="3">
        <v>322</v>
      </c>
      <c r="B324" s="4">
        <v>14</v>
      </c>
    </row>
    <row r="325" s="1" customFormat="1" ht="22.5" customHeight="1" spans="1:2">
      <c r="A325" s="3">
        <v>323</v>
      </c>
      <c r="B325" s="4">
        <v>19</v>
      </c>
    </row>
    <row r="326" s="1" customFormat="1" ht="22.5" customHeight="1" spans="1:2">
      <c r="A326" s="3">
        <v>324</v>
      </c>
      <c r="B326" s="4">
        <v>14</v>
      </c>
    </row>
    <row r="327" s="1" customFormat="1" ht="22.5" customHeight="1" spans="1:2">
      <c r="A327" s="3">
        <v>325</v>
      </c>
      <c r="B327" s="4">
        <v>10</v>
      </c>
    </row>
    <row r="328" s="1" customFormat="1" ht="22.5" customHeight="1" spans="1:2">
      <c r="A328" s="3">
        <v>326</v>
      </c>
      <c r="B328" s="4">
        <v>12</v>
      </c>
    </row>
    <row r="329" s="1" customFormat="1" ht="22.5" customHeight="1" spans="1:2">
      <c r="A329" s="3">
        <v>327</v>
      </c>
      <c r="B329" s="4">
        <v>17</v>
      </c>
    </row>
    <row r="330" s="1" customFormat="1" ht="22.5" customHeight="1" spans="1:2">
      <c r="A330" s="3">
        <v>328</v>
      </c>
      <c r="B330" s="4">
        <v>12</v>
      </c>
    </row>
    <row r="331" s="1" customFormat="1" ht="22.5" customHeight="1" spans="1:2">
      <c r="A331" s="3">
        <v>329</v>
      </c>
      <c r="B331" s="4">
        <v>14</v>
      </c>
    </row>
    <row r="332" s="1" customFormat="1" ht="22.5" customHeight="1" spans="1:2">
      <c r="A332" s="3">
        <v>330</v>
      </c>
      <c r="B332" s="4">
        <v>6</v>
      </c>
    </row>
    <row r="333" s="1" customFormat="1" ht="22.5" customHeight="1" spans="1:2">
      <c r="A333" s="3">
        <v>331</v>
      </c>
      <c r="B333" s="4">
        <v>11</v>
      </c>
    </row>
    <row r="334" s="1" customFormat="1" ht="22.5" customHeight="1" spans="1:2">
      <c r="A334" s="3">
        <v>332</v>
      </c>
      <c r="B334" s="4">
        <v>15</v>
      </c>
    </row>
    <row r="335" s="1" customFormat="1" ht="22.5" customHeight="1" spans="1:2">
      <c r="A335" s="3">
        <v>333</v>
      </c>
      <c r="B335" s="4">
        <v>16</v>
      </c>
    </row>
    <row r="336" s="1" customFormat="1" ht="22.5" customHeight="1" spans="1:2">
      <c r="A336" s="3">
        <v>334</v>
      </c>
      <c r="B336" s="4">
        <v>19</v>
      </c>
    </row>
    <row r="337" s="1" customFormat="1" ht="22.5" customHeight="1" spans="1:2">
      <c r="A337" s="3">
        <v>335</v>
      </c>
      <c r="B337" s="4">
        <v>21</v>
      </c>
    </row>
    <row r="338" s="1" customFormat="1" ht="22.5" customHeight="1" spans="1:2">
      <c r="A338" s="3">
        <v>336</v>
      </c>
      <c r="B338" s="4">
        <v>18</v>
      </c>
    </row>
    <row r="339" s="1" customFormat="1" ht="22.5" customHeight="1" spans="1:2">
      <c r="A339" s="3">
        <v>337</v>
      </c>
      <c r="B339" s="4">
        <v>11</v>
      </c>
    </row>
    <row r="340" s="1" customFormat="1" ht="22.5" customHeight="1" spans="1:2">
      <c r="A340" s="3">
        <v>338</v>
      </c>
      <c r="B340" s="4">
        <v>15</v>
      </c>
    </row>
    <row r="341" s="1" customFormat="1" ht="22.5" customHeight="1" spans="1:2">
      <c r="A341" s="3">
        <v>339</v>
      </c>
      <c r="B341" s="4">
        <v>17</v>
      </c>
    </row>
    <row r="342" s="1" customFormat="1" ht="22.5" customHeight="1" spans="1:2">
      <c r="A342" s="3">
        <v>340</v>
      </c>
      <c r="B342" s="4">
        <v>13</v>
      </c>
    </row>
    <row r="343" s="1" customFormat="1" ht="22.5" customHeight="1" spans="1:2">
      <c r="A343" s="3">
        <v>341</v>
      </c>
      <c r="B343" s="4">
        <v>11</v>
      </c>
    </row>
    <row r="344" s="1" customFormat="1" ht="22.5" customHeight="1" spans="1:2">
      <c r="A344" s="3">
        <v>342</v>
      </c>
      <c r="B344" s="4">
        <v>10</v>
      </c>
    </row>
    <row r="345" s="1" customFormat="1" ht="22.5" customHeight="1" spans="1:2">
      <c r="A345" s="3">
        <v>343</v>
      </c>
      <c r="B345" s="4">
        <v>12</v>
      </c>
    </row>
    <row r="346" s="1" customFormat="1" ht="22.5" customHeight="1" spans="1:2">
      <c r="A346" s="3">
        <v>344</v>
      </c>
      <c r="B346" s="4">
        <v>11</v>
      </c>
    </row>
    <row r="347" s="1" customFormat="1" ht="22.5" customHeight="1" spans="1:2">
      <c r="A347" s="3">
        <v>345</v>
      </c>
      <c r="B347" s="4">
        <v>17</v>
      </c>
    </row>
    <row r="348" s="1" customFormat="1" ht="22.5" customHeight="1" spans="1:2">
      <c r="A348" s="3">
        <v>346</v>
      </c>
      <c r="B348" s="4">
        <v>13</v>
      </c>
    </row>
    <row r="349" s="1" customFormat="1" ht="22.5" customHeight="1" spans="1:2">
      <c r="A349" s="3">
        <v>347</v>
      </c>
      <c r="B349" s="4">
        <v>9</v>
      </c>
    </row>
    <row r="350" s="1" customFormat="1" ht="22.5" customHeight="1" spans="1:2">
      <c r="A350" s="3">
        <v>348</v>
      </c>
      <c r="B350" s="4">
        <v>12</v>
      </c>
    </row>
    <row r="351" s="1" customFormat="1" ht="22.5" customHeight="1" spans="1:2">
      <c r="A351" s="3">
        <v>349</v>
      </c>
      <c r="B351" s="4">
        <v>8</v>
      </c>
    </row>
    <row r="352" s="1" customFormat="1" ht="22.5" customHeight="1" spans="1:2">
      <c r="A352" s="3">
        <v>350</v>
      </c>
      <c r="B352" s="4">
        <v>15</v>
      </c>
    </row>
    <row r="353" s="1" customFormat="1" ht="22.5" customHeight="1" spans="1:2">
      <c r="A353" s="3">
        <v>351</v>
      </c>
      <c r="B353" s="4">
        <v>10</v>
      </c>
    </row>
    <row r="354" s="1" customFormat="1" ht="22.5" customHeight="1" spans="1:2">
      <c r="A354" s="3">
        <v>352</v>
      </c>
      <c r="B354" s="4">
        <v>14</v>
      </c>
    </row>
    <row r="355" s="1" customFormat="1" ht="22.5" customHeight="1" spans="1:2">
      <c r="A355" s="3">
        <v>353</v>
      </c>
      <c r="B355" s="4">
        <v>10</v>
      </c>
    </row>
    <row r="356" s="1" customFormat="1" ht="22.5" customHeight="1" spans="1:2">
      <c r="A356" s="3">
        <v>354</v>
      </c>
      <c r="B356" s="4">
        <v>12</v>
      </c>
    </row>
    <row r="357" s="1" customFormat="1" ht="22.5" customHeight="1" spans="1:2">
      <c r="A357" s="3">
        <v>355</v>
      </c>
      <c r="B357" s="4">
        <v>11</v>
      </c>
    </row>
    <row r="358" s="1" customFormat="1" ht="22.5" customHeight="1" spans="1:2">
      <c r="A358" s="3">
        <v>356</v>
      </c>
      <c r="B358" s="4">
        <v>6</v>
      </c>
    </row>
    <row r="359" s="1" customFormat="1" ht="22.5" customHeight="1" spans="1:2">
      <c r="A359" s="3">
        <v>357</v>
      </c>
      <c r="B359" s="4">
        <v>10</v>
      </c>
    </row>
    <row r="360" s="1" customFormat="1" ht="22.5" customHeight="1" spans="1:2">
      <c r="A360" s="3">
        <v>358</v>
      </c>
      <c r="B360" s="4">
        <v>12</v>
      </c>
    </row>
    <row r="361" s="1" customFormat="1" ht="22.5" customHeight="1" spans="1:2">
      <c r="A361" s="3">
        <v>359</v>
      </c>
      <c r="B361" s="4">
        <v>11</v>
      </c>
    </row>
    <row r="362" s="1" customFormat="1" ht="22.5" customHeight="1" spans="1:2">
      <c r="A362" s="3">
        <v>360</v>
      </c>
      <c r="B362" s="4">
        <v>9</v>
      </c>
    </row>
    <row r="363" s="1" customFormat="1" ht="22.5" customHeight="1" spans="1:2">
      <c r="A363" s="3">
        <v>361</v>
      </c>
      <c r="B363" s="4">
        <v>8</v>
      </c>
    </row>
    <row r="364" s="1" customFormat="1" ht="22.5" customHeight="1" spans="1:2">
      <c r="A364" s="3">
        <v>362</v>
      </c>
      <c r="B364" s="4">
        <v>15</v>
      </c>
    </row>
    <row r="365" s="1" customFormat="1" ht="22.5" customHeight="1" spans="1:2">
      <c r="A365" s="3">
        <v>363</v>
      </c>
      <c r="B365" s="4">
        <v>10</v>
      </c>
    </row>
    <row r="366" s="1" customFormat="1" ht="22.5" customHeight="1" spans="1:2">
      <c r="A366" s="3">
        <v>364</v>
      </c>
      <c r="B366" s="4">
        <v>12</v>
      </c>
    </row>
    <row r="367" s="1" customFormat="1" ht="22.5" customHeight="1" spans="1:2">
      <c r="A367" s="3">
        <v>365</v>
      </c>
      <c r="B367" s="4">
        <v>11</v>
      </c>
    </row>
    <row r="368" s="1" customFormat="1" ht="22.5" customHeight="1" spans="1:2">
      <c r="A368" s="3">
        <v>366</v>
      </c>
      <c r="B368" s="4">
        <v>15</v>
      </c>
    </row>
    <row r="369" s="1" customFormat="1" ht="22.5" customHeight="1" spans="1:2">
      <c r="A369" s="3">
        <v>367</v>
      </c>
      <c r="B369" s="4">
        <v>11</v>
      </c>
    </row>
    <row r="370" s="1" customFormat="1" ht="22.5" customHeight="1" spans="1:2">
      <c r="A370" s="3">
        <v>368</v>
      </c>
      <c r="B370" s="4">
        <v>9</v>
      </c>
    </row>
    <row r="371" s="1" customFormat="1" ht="22.5" customHeight="1" spans="1:2">
      <c r="A371" s="3">
        <v>369</v>
      </c>
      <c r="B371" s="4">
        <v>12</v>
      </c>
    </row>
    <row r="372" s="1" customFormat="1" ht="22.5" customHeight="1" spans="1:2">
      <c r="A372" s="3">
        <v>370</v>
      </c>
      <c r="B372" s="4">
        <v>13</v>
      </c>
    </row>
    <row r="373" s="1" customFormat="1" ht="22.5" customHeight="1" spans="1:2">
      <c r="A373" s="3">
        <v>371</v>
      </c>
      <c r="B373" s="4">
        <v>14</v>
      </c>
    </row>
    <row r="374" s="1" customFormat="1" ht="22.5" customHeight="1" spans="1:2">
      <c r="A374" s="3">
        <v>372</v>
      </c>
      <c r="B374" s="4">
        <v>12</v>
      </c>
    </row>
    <row r="375" s="1" customFormat="1" ht="22.5" customHeight="1" spans="1:2">
      <c r="A375" s="3">
        <v>373</v>
      </c>
      <c r="B375" s="4">
        <v>12</v>
      </c>
    </row>
    <row r="376" s="1" customFormat="1" ht="22.5" customHeight="1" spans="1:2">
      <c r="A376" s="3">
        <v>374</v>
      </c>
      <c r="B376" s="4">
        <v>9</v>
      </c>
    </row>
    <row r="377" s="1" customFormat="1" ht="22.5" customHeight="1" spans="1:2">
      <c r="A377" s="3">
        <v>375</v>
      </c>
      <c r="B377" s="4">
        <v>10</v>
      </c>
    </row>
    <row r="378" s="1" customFormat="1" ht="22.5" customHeight="1" spans="1:2">
      <c r="A378" s="3">
        <v>376</v>
      </c>
      <c r="B378" s="4">
        <v>21</v>
      </c>
    </row>
    <row r="379" s="1" customFormat="1" ht="22.5" customHeight="1" spans="1:2">
      <c r="A379" s="3">
        <v>377</v>
      </c>
      <c r="B379" s="4">
        <v>12</v>
      </c>
    </row>
    <row r="380" s="1" customFormat="1" ht="22.5" customHeight="1" spans="1:2">
      <c r="A380" s="3">
        <v>378</v>
      </c>
      <c r="B380" s="4">
        <v>11</v>
      </c>
    </row>
    <row r="381" s="1" customFormat="1" ht="22.5" customHeight="1" spans="1:2">
      <c r="A381" s="3">
        <v>379</v>
      </c>
      <c r="B381" s="4">
        <v>9</v>
      </c>
    </row>
    <row r="382" s="1" customFormat="1" ht="22.5" customHeight="1" spans="1:2">
      <c r="A382" s="3">
        <v>380</v>
      </c>
      <c r="B382" s="4">
        <v>7</v>
      </c>
    </row>
    <row r="383" s="1" customFormat="1" ht="22.5" customHeight="1" spans="1:2">
      <c r="A383" s="3">
        <v>381</v>
      </c>
      <c r="B383" s="4">
        <v>6</v>
      </c>
    </row>
    <row r="384" s="1" customFormat="1" ht="22.5" customHeight="1" spans="1:2">
      <c r="A384" s="3">
        <v>382</v>
      </c>
      <c r="B384" s="4">
        <v>8</v>
      </c>
    </row>
    <row r="385" s="1" customFormat="1" ht="22.5" customHeight="1" spans="1:2">
      <c r="A385" s="3">
        <v>383</v>
      </c>
      <c r="B385" s="4">
        <v>9</v>
      </c>
    </row>
    <row r="386" s="1" customFormat="1" ht="22.5" customHeight="1" spans="1:2">
      <c r="A386" s="3">
        <v>384</v>
      </c>
      <c r="B386" s="4">
        <v>8</v>
      </c>
    </row>
    <row r="387" s="1" customFormat="1" ht="22.5" customHeight="1" spans="1:2">
      <c r="A387" s="3">
        <v>385</v>
      </c>
      <c r="B387" s="4">
        <v>12</v>
      </c>
    </row>
    <row r="388" s="1" customFormat="1" ht="22.5" customHeight="1" spans="1:2">
      <c r="A388" s="3">
        <v>386</v>
      </c>
      <c r="B388" s="4">
        <v>13</v>
      </c>
    </row>
    <row r="389" s="1" customFormat="1" ht="22.5" customHeight="1" spans="1:2">
      <c r="A389" s="3">
        <v>387</v>
      </c>
      <c r="B389" s="4">
        <v>11</v>
      </c>
    </row>
    <row r="390" s="1" customFormat="1" ht="22.5" customHeight="1" spans="1:2">
      <c r="A390" s="3">
        <v>388</v>
      </c>
      <c r="B390" s="4">
        <v>14</v>
      </c>
    </row>
    <row r="391" s="1" customFormat="1" ht="22.5" customHeight="1" spans="1:2">
      <c r="A391" s="3">
        <v>389</v>
      </c>
      <c r="B391" s="4">
        <v>4</v>
      </c>
    </row>
    <row r="392" s="1" customFormat="1" ht="22.5" customHeight="1" spans="1:2">
      <c r="A392" s="3">
        <v>390</v>
      </c>
      <c r="B392" s="4">
        <v>9</v>
      </c>
    </row>
    <row r="393" s="1" customFormat="1" ht="22.5" customHeight="1" spans="1:2">
      <c r="A393" s="3">
        <v>391</v>
      </c>
      <c r="B393" s="4">
        <v>12</v>
      </c>
    </row>
    <row r="394" s="1" customFormat="1" ht="22.5" customHeight="1" spans="1:2">
      <c r="A394" s="3">
        <v>392</v>
      </c>
      <c r="B394" s="4">
        <v>16</v>
      </c>
    </row>
    <row r="395" s="1" customFormat="1" ht="22.5" customHeight="1" spans="1:2">
      <c r="A395" s="3">
        <v>393</v>
      </c>
      <c r="B395" s="4">
        <v>7</v>
      </c>
    </row>
    <row r="396" s="1" customFormat="1" ht="22.5" customHeight="1" spans="1:2">
      <c r="A396" s="3">
        <v>394</v>
      </c>
      <c r="B396" s="4">
        <v>14</v>
      </c>
    </row>
    <row r="397" s="1" customFormat="1" ht="22.5" customHeight="1" spans="1:2">
      <c r="A397" s="3">
        <v>395</v>
      </c>
      <c r="B397" s="4">
        <v>14</v>
      </c>
    </row>
    <row r="398" s="1" customFormat="1" ht="22.5" customHeight="1" spans="1:2">
      <c r="A398" s="3">
        <v>396</v>
      </c>
      <c r="B398" s="4">
        <v>16</v>
      </c>
    </row>
    <row r="399" s="1" customFormat="1" ht="22.5" customHeight="1" spans="1:2">
      <c r="A399" s="3">
        <v>397</v>
      </c>
      <c r="B399" s="4">
        <v>8</v>
      </c>
    </row>
    <row r="400" s="1" customFormat="1" ht="22.5" customHeight="1" spans="1:2">
      <c r="A400" s="3">
        <v>398</v>
      </c>
      <c r="B400" s="4">
        <v>10</v>
      </c>
    </row>
    <row r="401" s="1" customFormat="1" ht="22.5" customHeight="1" spans="1:2">
      <c r="A401" s="3">
        <v>399</v>
      </c>
      <c r="B401" s="4">
        <v>8</v>
      </c>
    </row>
    <row r="402" s="1" customFormat="1" ht="22.5" customHeight="1" spans="1:2">
      <c r="A402" s="3">
        <v>400</v>
      </c>
      <c r="B402" s="4">
        <v>3</v>
      </c>
    </row>
    <row r="403" s="1" customFormat="1" ht="22.5" customHeight="1" spans="1:2">
      <c r="A403" s="3">
        <v>401</v>
      </c>
      <c r="B403" s="4">
        <v>11</v>
      </c>
    </row>
    <row r="404" s="1" customFormat="1" ht="22.5" customHeight="1" spans="1:2">
      <c r="A404" s="3">
        <v>402</v>
      </c>
      <c r="B404" s="4">
        <v>11</v>
      </c>
    </row>
    <row r="405" s="1" customFormat="1" ht="22.5" customHeight="1" spans="1:2">
      <c r="A405" s="3">
        <v>403</v>
      </c>
      <c r="B405" s="4">
        <v>6</v>
      </c>
    </row>
    <row r="406" s="1" customFormat="1" ht="22.5" customHeight="1" spans="1:2">
      <c r="A406" s="3">
        <v>404</v>
      </c>
      <c r="B406" s="4">
        <v>9</v>
      </c>
    </row>
    <row r="407" s="1" customFormat="1" ht="22.5" customHeight="1" spans="1:2">
      <c r="A407" s="3">
        <v>405</v>
      </c>
      <c r="B407" s="4">
        <v>14</v>
      </c>
    </row>
    <row r="408" s="1" customFormat="1" ht="22.5" customHeight="1" spans="1:2">
      <c r="A408" s="3">
        <v>406</v>
      </c>
      <c r="B408" s="4">
        <v>5</v>
      </c>
    </row>
    <row r="409" s="1" customFormat="1" ht="22.5" customHeight="1" spans="1:2">
      <c r="A409" s="3">
        <v>407</v>
      </c>
      <c r="B409" s="4">
        <v>7</v>
      </c>
    </row>
    <row r="410" s="1" customFormat="1" ht="22.5" customHeight="1" spans="1:2">
      <c r="A410" s="3">
        <v>408</v>
      </c>
      <c r="B410" s="4">
        <v>14</v>
      </c>
    </row>
    <row r="411" s="1" customFormat="1" ht="22.5" customHeight="1" spans="1:2">
      <c r="A411" s="3">
        <v>409</v>
      </c>
      <c r="B411" s="4">
        <v>7</v>
      </c>
    </row>
    <row r="412" s="1" customFormat="1" ht="22.5" customHeight="1" spans="1:2">
      <c r="A412" s="3">
        <v>410</v>
      </c>
      <c r="B412" s="4">
        <v>7</v>
      </c>
    </row>
    <row r="413" s="1" customFormat="1" ht="22.5" customHeight="1" spans="1:2">
      <c r="A413" s="3">
        <v>411</v>
      </c>
      <c r="B413" s="4">
        <v>15</v>
      </c>
    </row>
    <row r="414" s="1" customFormat="1" ht="22.5" customHeight="1" spans="1:2">
      <c r="A414" s="3">
        <v>412</v>
      </c>
      <c r="B414" s="4">
        <v>9</v>
      </c>
    </row>
    <row r="415" s="1" customFormat="1" ht="22.5" customHeight="1" spans="1:2">
      <c r="A415" s="3">
        <v>413</v>
      </c>
      <c r="B415" s="4">
        <v>4</v>
      </c>
    </row>
    <row r="416" s="1" customFormat="1" ht="22.5" customHeight="1" spans="1:2">
      <c r="A416" s="3">
        <v>414</v>
      </c>
      <c r="B416" s="4">
        <v>5</v>
      </c>
    </row>
    <row r="417" s="1" customFormat="1" ht="22.5" customHeight="1" spans="1:2">
      <c r="A417" s="3">
        <v>415</v>
      </c>
      <c r="B417" s="4">
        <v>11</v>
      </c>
    </row>
    <row r="418" s="1" customFormat="1" ht="22.5" customHeight="1" spans="1:2">
      <c r="A418" s="3">
        <v>416</v>
      </c>
      <c r="B418" s="4">
        <v>6</v>
      </c>
    </row>
    <row r="419" s="1" customFormat="1" ht="22.5" customHeight="1" spans="1:2">
      <c r="A419" s="3">
        <v>417</v>
      </c>
      <c r="B419" s="4">
        <v>10</v>
      </c>
    </row>
    <row r="420" s="1" customFormat="1" ht="22.5" customHeight="1" spans="1:2">
      <c r="A420" s="3">
        <v>418</v>
      </c>
      <c r="B420" s="4">
        <v>8</v>
      </c>
    </row>
    <row r="421" s="1" customFormat="1" ht="22.5" customHeight="1" spans="1:2">
      <c r="A421" s="3">
        <v>419</v>
      </c>
      <c r="B421" s="4">
        <v>2</v>
      </c>
    </row>
    <row r="422" s="1" customFormat="1" ht="22.5" customHeight="1" spans="1:2">
      <c r="A422" s="3">
        <v>420</v>
      </c>
      <c r="B422" s="4">
        <v>10</v>
      </c>
    </row>
    <row r="423" s="1" customFormat="1" ht="22.5" customHeight="1" spans="1:2">
      <c r="A423" s="3">
        <v>421</v>
      </c>
      <c r="B423" s="4">
        <v>4</v>
      </c>
    </row>
    <row r="424" s="1" customFormat="1" ht="22.5" customHeight="1" spans="1:2">
      <c r="A424" s="3">
        <v>422</v>
      </c>
      <c r="B424" s="4">
        <v>7</v>
      </c>
    </row>
    <row r="425" s="1" customFormat="1" ht="22.5" customHeight="1" spans="1:2">
      <c r="A425" s="3">
        <v>423</v>
      </c>
      <c r="B425" s="4">
        <v>7</v>
      </c>
    </row>
    <row r="426" s="1" customFormat="1" ht="22.5" customHeight="1" spans="1:2">
      <c r="A426" s="3">
        <v>424</v>
      </c>
      <c r="B426" s="4">
        <v>9</v>
      </c>
    </row>
    <row r="427" s="1" customFormat="1" ht="22.5" customHeight="1" spans="1:2">
      <c r="A427" s="3">
        <v>425</v>
      </c>
      <c r="B427" s="4">
        <v>10</v>
      </c>
    </row>
    <row r="428" s="1" customFormat="1" ht="22.5" customHeight="1" spans="1:2">
      <c r="A428" s="3">
        <v>426</v>
      </c>
      <c r="B428" s="4">
        <v>6</v>
      </c>
    </row>
    <row r="429" s="1" customFormat="1" ht="22.5" customHeight="1" spans="1:2">
      <c r="A429" s="3">
        <v>427</v>
      </c>
      <c r="B429" s="4">
        <v>11</v>
      </c>
    </row>
    <row r="430" s="1" customFormat="1" ht="22.5" customHeight="1" spans="1:2">
      <c r="A430" s="3">
        <v>428</v>
      </c>
      <c r="B430" s="4">
        <v>9</v>
      </c>
    </row>
    <row r="431" s="1" customFormat="1" ht="22.5" customHeight="1" spans="1:2">
      <c r="A431" s="3">
        <v>429</v>
      </c>
      <c r="B431" s="4">
        <v>10</v>
      </c>
    </row>
    <row r="432" s="1" customFormat="1" ht="22.5" customHeight="1" spans="1:2">
      <c r="A432" s="3">
        <v>430</v>
      </c>
      <c r="B432" s="4">
        <v>11</v>
      </c>
    </row>
    <row r="433" s="1" customFormat="1" ht="22.5" customHeight="1" spans="1:2">
      <c r="A433" s="3">
        <v>431</v>
      </c>
      <c r="B433" s="4">
        <v>4</v>
      </c>
    </row>
    <row r="434" s="1" customFormat="1" ht="22.5" customHeight="1" spans="1:2">
      <c r="A434" s="3">
        <v>432</v>
      </c>
      <c r="B434" s="4">
        <v>10</v>
      </c>
    </row>
    <row r="435" s="1" customFormat="1" ht="22.5" customHeight="1" spans="1:2">
      <c r="A435" s="3">
        <v>433</v>
      </c>
      <c r="B435" s="4">
        <v>10</v>
      </c>
    </row>
    <row r="436" s="1" customFormat="1" ht="22.5" customHeight="1" spans="1:2">
      <c r="A436" s="3">
        <v>434</v>
      </c>
      <c r="B436" s="4">
        <v>8</v>
      </c>
    </row>
    <row r="437" s="1" customFormat="1" ht="22.5" customHeight="1" spans="1:2">
      <c r="A437" s="3">
        <v>435</v>
      </c>
      <c r="B437" s="4">
        <v>7</v>
      </c>
    </row>
    <row r="438" s="1" customFormat="1" ht="22.5" customHeight="1" spans="1:2">
      <c r="A438" s="3">
        <v>436</v>
      </c>
      <c r="B438" s="4">
        <v>7</v>
      </c>
    </row>
    <row r="439" s="1" customFormat="1" ht="22.5" customHeight="1" spans="1:2">
      <c r="A439" s="3">
        <v>437</v>
      </c>
      <c r="B439" s="4">
        <v>11</v>
      </c>
    </row>
    <row r="440" s="1" customFormat="1" ht="22.5" customHeight="1" spans="1:2">
      <c r="A440" s="3">
        <v>438</v>
      </c>
      <c r="B440" s="4">
        <v>10</v>
      </c>
    </row>
    <row r="441" s="1" customFormat="1" ht="22.5" customHeight="1" spans="1:2">
      <c r="A441" s="3">
        <v>439</v>
      </c>
      <c r="B441" s="4">
        <v>7</v>
      </c>
    </row>
    <row r="442" s="1" customFormat="1" ht="22.5" customHeight="1" spans="1:2">
      <c r="A442" s="3">
        <v>440</v>
      </c>
      <c r="B442" s="4">
        <v>12</v>
      </c>
    </row>
    <row r="443" s="1" customFormat="1" ht="22.5" customHeight="1" spans="1:2">
      <c r="A443" s="3">
        <v>441</v>
      </c>
      <c r="B443" s="4">
        <v>10</v>
      </c>
    </row>
    <row r="444" s="1" customFormat="1" ht="22.5" customHeight="1" spans="1:2">
      <c r="A444" s="3">
        <v>442</v>
      </c>
      <c r="B444" s="4">
        <v>6</v>
      </c>
    </row>
    <row r="445" s="1" customFormat="1" ht="22.5" customHeight="1" spans="1:2">
      <c r="A445" s="3">
        <v>443</v>
      </c>
      <c r="B445" s="4">
        <v>13</v>
      </c>
    </row>
    <row r="446" s="1" customFormat="1" ht="22.5" customHeight="1" spans="1:2">
      <c r="A446" s="3">
        <v>444</v>
      </c>
      <c r="B446" s="4">
        <v>5</v>
      </c>
    </row>
    <row r="447" s="1" customFormat="1" ht="22.5" customHeight="1" spans="1:2">
      <c r="A447" s="3">
        <v>445</v>
      </c>
      <c r="B447" s="4">
        <v>8</v>
      </c>
    </row>
    <row r="448" s="1" customFormat="1" ht="22.5" customHeight="1" spans="1:2">
      <c r="A448" s="3">
        <v>446</v>
      </c>
      <c r="B448" s="4">
        <v>13</v>
      </c>
    </row>
    <row r="449" s="1" customFormat="1" ht="22.5" customHeight="1" spans="1:2">
      <c r="A449" s="3">
        <v>447</v>
      </c>
      <c r="B449" s="4">
        <v>3</v>
      </c>
    </row>
    <row r="450" s="1" customFormat="1" ht="22.5" customHeight="1" spans="1:2">
      <c r="A450" s="3">
        <v>448</v>
      </c>
      <c r="B450" s="4">
        <v>15</v>
      </c>
    </row>
    <row r="451" s="1" customFormat="1" ht="22.5" customHeight="1" spans="1:2">
      <c r="A451" s="3">
        <v>449</v>
      </c>
      <c r="B451" s="4">
        <v>5</v>
      </c>
    </row>
    <row r="452" s="1" customFormat="1" ht="22.5" customHeight="1" spans="1:2">
      <c r="A452" s="3">
        <v>450</v>
      </c>
      <c r="B452" s="4">
        <v>12</v>
      </c>
    </row>
    <row r="453" s="1" customFormat="1" ht="22.5" customHeight="1" spans="1:2">
      <c r="A453" s="3">
        <v>451</v>
      </c>
      <c r="B453" s="4">
        <v>4</v>
      </c>
    </row>
    <row r="454" s="1" customFormat="1" ht="22.5" customHeight="1" spans="1:2">
      <c r="A454" s="3">
        <v>452</v>
      </c>
      <c r="B454" s="4">
        <v>9</v>
      </c>
    </row>
    <row r="455" s="1" customFormat="1" ht="22.5" customHeight="1" spans="1:2">
      <c r="A455" s="3">
        <v>453</v>
      </c>
      <c r="B455" s="4">
        <v>2</v>
      </c>
    </row>
    <row r="456" s="1" customFormat="1" ht="22.5" customHeight="1" spans="1:2">
      <c r="A456" s="3">
        <v>454</v>
      </c>
      <c r="B456" s="4">
        <v>4</v>
      </c>
    </row>
    <row r="457" s="1" customFormat="1" ht="22.5" customHeight="1" spans="1:2">
      <c r="A457" s="3">
        <v>455</v>
      </c>
      <c r="B457" s="4">
        <v>3</v>
      </c>
    </row>
    <row r="458" s="1" customFormat="1" ht="22.5" customHeight="1" spans="1:2">
      <c r="A458" s="3">
        <v>456</v>
      </c>
      <c r="B458" s="4">
        <v>5</v>
      </c>
    </row>
    <row r="459" s="1" customFormat="1" ht="22.5" customHeight="1" spans="1:2">
      <c r="A459" s="3">
        <v>457</v>
      </c>
      <c r="B459" s="4">
        <v>7</v>
      </c>
    </row>
    <row r="460" s="1" customFormat="1" ht="22.5" customHeight="1" spans="1:2">
      <c r="A460" s="3">
        <v>458</v>
      </c>
      <c r="B460" s="4">
        <v>9</v>
      </c>
    </row>
    <row r="461" s="1" customFormat="1" ht="22.5" customHeight="1" spans="1:2">
      <c r="A461" s="3">
        <v>459</v>
      </c>
      <c r="B461" s="4">
        <v>5</v>
      </c>
    </row>
    <row r="462" s="1" customFormat="1" ht="22.5" customHeight="1" spans="1:2">
      <c r="A462" s="3">
        <v>460</v>
      </c>
      <c r="B462" s="4">
        <v>3</v>
      </c>
    </row>
    <row r="463" s="1" customFormat="1" ht="22.5" customHeight="1" spans="1:2">
      <c r="A463" s="3">
        <v>461</v>
      </c>
      <c r="B463" s="4">
        <v>3</v>
      </c>
    </row>
    <row r="464" s="1" customFormat="1" ht="22.5" customHeight="1" spans="1:2">
      <c r="A464" s="3">
        <v>462</v>
      </c>
      <c r="B464" s="4">
        <v>4</v>
      </c>
    </row>
    <row r="465" s="1" customFormat="1" ht="22.5" customHeight="1" spans="1:2">
      <c r="A465" s="3">
        <v>463</v>
      </c>
      <c r="B465" s="4">
        <v>7</v>
      </c>
    </row>
    <row r="466" s="1" customFormat="1" ht="22.5" customHeight="1" spans="1:2">
      <c r="A466" s="3">
        <v>464</v>
      </c>
      <c r="B466" s="4">
        <v>5</v>
      </c>
    </row>
    <row r="467" s="1" customFormat="1" ht="22.5" customHeight="1" spans="1:2">
      <c r="A467" s="3">
        <v>465</v>
      </c>
      <c r="B467" s="4">
        <v>8</v>
      </c>
    </row>
    <row r="468" s="1" customFormat="1" ht="22.5" customHeight="1" spans="1:2">
      <c r="A468" s="3">
        <v>466</v>
      </c>
      <c r="B468" s="4">
        <v>8</v>
      </c>
    </row>
    <row r="469" s="1" customFormat="1" ht="22.5" customHeight="1" spans="1:2">
      <c r="A469" s="3">
        <v>467</v>
      </c>
      <c r="B469" s="4">
        <v>3</v>
      </c>
    </row>
    <row r="470" s="1" customFormat="1" ht="22.5" customHeight="1" spans="1:2">
      <c r="A470" s="3">
        <v>468</v>
      </c>
      <c r="B470" s="4">
        <v>5</v>
      </c>
    </row>
    <row r="471" s="1" customFormat="1" ht="22.5" customHeight="1" spans="1:2">
      <c r="A471" s="3">
        <v>469</v>
      </c>
      <c r="B471" s="4">
        <v>5</v>
      </c>
    </row>
    <row r="472" s="1" customFormat="1" ht="22.5" customHeight="1" spans="1:2">
      <c r="A472" s="3">
        <v>470</v>
      </c>
      <c r="B472" s="4">
        <v>5</v>
      </c>
    </row>
    <row r="473" s="1" customFormat="1" ht="22.5" customHeight="1" spans="1:2">
      <c r="A473" s="3">
        <v>471</v>
      </c>
      <c r="B473" s="4">
        <v>10</v>
      </c>
    </row>
    <row r="474" s="1" customFormat="1" ht="22.5" customHeight="1" spans="1:2">
      <c r="A474" s="3">
        <v>472</v>
      </c>
      <c r="B474" s="4">
        <v>8</v>
      </c>
    </row>
    <row r="475" s="1" customFormat="1" ht="22.5" customHeight="1" spans="1:2">
      <c r="A475" s="3">
        <v>473</v>
      </c>
      <c r="B475" s="4">
        <v>5</v>
      </c>
    </row>
    <row r="476" s="1" customFormat="1" ht="22.5" customHeight="1" spans="1:2">
      <c r="A476" s="3">
        <v>474</v>
      </c>
      <c r="B476" s="4">
        <v>8</v>
      </c>
    </row>
    <row r="477" s="1" customFormat="1" ht="22.5" customHeight="1" spans="1:2">
      <c r="A477" s="3">
        <v>475</v>
      </c>
      <c r="B477" s="4">
        <v>3</v>
      </c>
    </row>
    <row r="478" s="1" customFormat="1" ht="22.5" customHeight="1" spans="1:2">
      <c r="A478" s="3">
        <v>476</v>
      </c>
      <c r="B478" s="4">
        <v>9</v>
      </c>
    </row>
    <row r="479" s="1" customFormat="1" ht="22.5" customHeight="1" spans="1:2">
      <c r="A479" s="3">
        <v>477</v>
      </c>
      <c r="B479" s="4">
        <v>7</v>
      </c>
    </row>
    <row r="480" s="1" customFormat="1" ht="22.5" customHeight="1" spans="1:2">
      <c r="A480" s="3">
        <v>478</v>
      </c>
      <c r="B480" s="4">
        <v>8</v>
      </c>
    </row>
    <row r="481" s="1" customFormat="1" ht="22.5" customHeight="1" spans="1:2">
      <c r="A481" s="3">
        <v>479</v>
      </c>
      <c r="B481" s="4">
        <v>5</v>
      </c>
    </row>
    <row r="482" s="1" customFormat="1" ht="22.5" customHeight="1" spans="1:2">
      <c r="A482" s="3">
        <v>480</v>
      </c>
      <c r="B482" s="4">
        <v>4</v>
      </c>
    </row>
    <row r="483" s="1" customFormat="1" ht="22.5" customHeight="1" spans="1:2">
      <c r="A483" s="3">
        <v>481</v>
      </c>
      <c r="B483" s="4">
        <v>4</v>
      </c>
    </row>
    <row r="484" s="1" customFormat="1" ht="22.5" customHeight="1" spans="1:2">
      <c r="A484" s="3">
        <v>482</v>
      </c>
      <c r="B484" s="4">
        <v>4</v>
      </c>
    </row>
    <row r="485" s="1" customFormat="1" ht="22.5" customHeight="1" spans="1:2">
      <c r="A485" s="3">
        <v>483</v>
      </c>
      <c r="B485" s="4">
        <v>9</v>
      </c>
    </row>
    <row r="486" s="1" customFormat="1" ht="22.5" customHeight="1" spans="1:2">
      <c r="A486" s="3">
        <v>484</v>
      </c>
      <c r="B486" s="4">
        <v>5</v>
      </c>
    </row>
    <row r="487" s="1" customFormat="1" ht="22.5" customHeight="1" spans="1:2">
      <c r="A487" s="3">
        <v>485</v>
      </c>
      <c r="B487" s="4">
        <v>8</v>
      </c>
    </row>
    <row r="488" s="1" customFormat="1" ht="22.5" customHeight="1" spans="1:2">
      <c r="A488" s="3">
        <v>486</v>
      </c>
      <c r="B488" s="4">
        <v>4</v>
      </c>
    </row>
    <row r="489" s="1" customFormat="1" ht="22.5" customHeight="1" spans="1:2">
      <c r="A489" s="3">
        <v>487</v>
      </c>
      <c r="B489" s="4">
        <v>5</v>
      </c>
    </row>
    <row r="490" s="1" customFormat="1" ht="22.5" customHeight="1" spans="1:2">
      <c r="A490" s="3">
        <v>488</v>
      </c>
      <c r="B490" s="4">
        <v>5</v>
      </c>
    </row>
    <row r="491" s="1" customFormat="1" ht="22.5" customHeight="1" spans="1:2">
      <c r="A491" s="3">
        <v>489</v>
      </c>
      <c r="B491" s="4">
        <v>6</v>
      </c>
    </row>
    <row r="492" s="1" customFormat="1" ht="22.5" customHeight="1" spans="1:2">
      <c r="A492" s="3">
        <v>490</v>
      </c>
      <c r="B492" s="4">
        <v>3</v>
      </c>
    </row>
    <row r="493" s="1" customFormat="1" ht="22.5" customHeight="1" spans="1:2">
      <c r="A493" s="3">
        <v>491</v>
      </c>
      <c r="B493" s="4">
        <v>6</v>
      </c>
    </row>
    <row r="494" s="1" customFormat="1" ht="22.5" customHeight="1" spans="1:2">
      <c r="A494" s="3">
        <v>492</v>
      </c>
      <c r="B494" s="4">
        <v>6</v>
      </c>
    </row>
    <row r="495" s="1" customFormat="1" ht="22.5" customHeight="1" spans="1:2">
      <c r="A495" s="3">
        <v>493</v>
      </c>
      <c r="B495" s="4">
        <v>5</v>
      </c>
    </row>
    <row r="496" s="1" customFormat="1" ht="22.5" customHeight="1" spans="1:2">
      <c r="A496" s="3">
        <v>494</v>
      </c>
      <c r="B496" s="4">
        <v>2</v>
      </c>
    </row>
    <row r="497" s="1" customFormat="1" ht="22.5" customHeight="1" spans="1:2">
      <c r="A497" s="3">
        <v>495</v>
      </c>
      <c r="B497" s="4">
        <v>4</v>
      </c>
    </row>
    <row r="498" s="1" customFormat="1" ht="22.5" customHeight="1" spans="1:2">
      <c r="A498" s="3">
        <v>496</v>
      </c>
      <c r="B498" s="4">
        <v>4</v>
      </c>
    </row>
    <row r="499" s="1" customFormat="1" ht="22.5" customHeight="1" spans="1:2">
      <c r="A499" s="3">
        <v>497</v>
      </c>
      <c r="B499" s="4">
        <v>4</v>
      </c>
    </row>
    <row r="500" s="1" customFormat="1" ht="22.5" customHeight="1" spans="1:2">
      <c r="A500" s="3">
        <v>498</v>
      </c>
      <c r="B500" s="4">
        <v>6</v>
      </c>
    </row>
    <row r="501" s="1" customFormat="1" ht="22.5" customHeight="1" spans="1:2">
      <c r="A501" s="3">
        <v>499</v>
      </c>
      <c r="B501" s="4">
        <v>4</v>
      </c>
    </row>
    <row r="502" s="1" customFormat="1" ht="22.5" customHeight="1" spans="1:2">
      <c r="A502" s="3">
        <v>500</v>
      </c>
      <c r="B502" s="4">
        <v>6</v>
      </c>
    </row>
    <row r="503" s="1" customFormat="1" ht="22.5" customHeight="1" spans="1:2">
      <c r="A503" s="3">
        <v>501</v>
      </c>
      <c r="B503" s="4">
        <v>2</v>
      </c>
    </row>
    <row r="504" s="1" customFormat="1" ht="22.5" customHeight="1" spans="1:2">
      <c r="A504" s="3">
        <v>502</v>
      </c>
      <c r="B504" s="4">
        <v>3</v>
      </c>
    </row>
    <row r="505" s="1" customFormat="1" ht="22.5" customHeight="1" spans="1:2">
      <c r="A505" s="3">
        <v>503</v>
      </c>
      <c r="B505" s="4">
        <v>7</v>
      </c>
    </row>
    <row r="506" s="1" customFormat="1" ht="22.5" customHeight="1" spans="1:2">
      <c r="A506" s="3">
        <v>504</v>
      </c>
      <c r="B506" s="4">
        <v>7</v>
      </c>
    </row>
    <row r="507" s="1" customFormat="1" ht="22.5" customHeight="1" spans="1:2">
      <c r="A507" s="3">
        <v>505</v>
      </c>
      <c r="B507" s="4">
        <v>5</v>
      </c>
    </row>
    <row r="508" s="1" customFormat="1" ht="22.5" customHeight="1" spans="1:2">
      <c r="A508" s="3">
        <v>506</v>
      </c>
      <c r="B508" s="4">
        <v>6</v>
      </c>
    </row>
    <row r="509" s="1" customFormat="1" ht="22.5" customHeight="1" spans="1:2">
      <c r="A509" s="3">
        <v>507</v>
      </c>
      <c r="B509" s="4">
        <v>6</v>
      </c>
    </row>
    <row r="510" s="1" customFormat="1" ht="22.5" customHeight="1" spans="1:2">
      <c r="A510" s="3">
        <v>508</v>
      </c>
      <c r="B510" s="4">
        <v>5</v>
      </c>
    </row>
    <row r="511" s="1" customFormat="1" ht="22.5" customHeight="1" spans="1:2">
      <c r="A511" s="3">
        <v>509</v>
      </c>
      <c r="B511" s="4">
        <v>4</v>
      </c>
    </row>
    <row r="512" s="1" customFormat="1" ht="22.5" customHeight="1" spans="1:2">
      <c r="A512" s="3">
        <v>510</v>
      </c>
      <c r="B512" s="4">
        <v>8</v>
      </c>
    </row>
    <row r="513" s="1" customFormat="1" ht="22.5" customHeight="1" spans="1:2">
      <c r="A513" s="3">
        <v>511</v>
      </c>
      <c r="B513" s="4">
        <v>6</v>
      </c>
    </row>
    <row r="514" s="1" customFormat="1" ht="22.5" customHeight="1" spans="1:2">
      <c r="A514" s="3">
        <v>512</v>
      </c>
      <c r="B514" s="4">
        <v>4</v>
      </c>
    </row>
    <row r="515" s="1" customFormat="1" ht="22.5" customHeight="1" spans="1:2">
      <c r="A515" s="3">
        <v>513</v>
      </c>
      <c r="B515" s="4">
        <v>1</v>
      </c>
    </row>
    <row r="516" s="1" customFormat="1" ht="22.5" customHeight="1" spans="1:2">
      <c r="A516" s="3">
        <v>514</v>
      </c>
      <c r="B516" s="4">
        <v>4</v>
      </c>
    </row>
    <row r="517" s="1" customFormat="1" ht="22.5" customHeight="1" spans="1:2">
      <c r="A517" s="3">
        <v>515</v>
      </c>
      <c r="B517" s="4">
        <v>5</v>
      </c>
    </row>
    <row r="518" s="1" customFormat="1" ht="22.5" customHeight="1" spans="1:2">
      <c r="A518" s="3">
        <v>516</v>
      </c>
      <c r="B518" s="4">
        <v>8</v>
      </c>
    </row>
    <row r="519" s="1" customFormat="1" ht="22.5" customHeight="1" spans="1:2">
      <c r="A519" s="3">
        <v>517</v>
      </c>
      <c r="B519" s="4">
        <v>6</v>
      </c>
    </row>
    <row r="520" s="1" customFormat="1" ht="22.5" customHeight="1" spans="1:2">
      <c r="A520" s="3">
        <v>518</v>
      </c>
      <c r="B520" s="4">
        <v>4</v>
      </c>
    </row>
    <row r="521" s="1" customFormat="1" ht="22.5" customHeight="1" spans="1:2">
      <c r="A521" s="3">
        <v>519</v>
      </c>
      <c r="B521" s="4">
        <v>4</v>
      </c>
    </row>
    <row r="522" s="1" customFormat="1" ht="22.5" customHeight="1" spans="1:2">
      <c r="A522" s="3">
        <v>520</v>
      </c>
      <c r="B522" s="4">
        <v>12</v>
      </c>
    </row>
    <row r="523" s="1" customFormat="1" ht="22.5" customHeight="1" spans="1:2">
      <c r="A523" s="3">
        <v>521</v>
      </c>
      <c r="B523" s="4">
        <v>7</v>
      </c>
    </row>
    <row r="524" s="1" customFormat="1" ht="22.5" customHeight="1" spans="1:2">
      <c r="A524" s="3">
        <v>522</v>
      </c>
      <c r="B524" s="4">
        <v>3</v>
      </c>
    </row>
    <row r="525" s="1" customFormat="1" ht="22.5" customHeight="1" spans="1:2">
      <c r="A525" s="3">
        <v>523</v>
      </c>
      <c r="B525" s="4">
        <v>5</v>
      </c>
    </row>
    <row r="526" s="1" customFormat="1" ht="22.5" customHeight="1" spans="1:2">
      <c r="A526" s="3">
        <v>524</v>
      </c>
      <c r="B526" s="4">
        <v>3</v>
      </c>
    </row>
    <row r="527" s="1" customFormat="1" ht="22.5" customHeight="1" spans="1:2">
      <c r="A527" s="3">
        <v>525</v>
      </c>
      <c r="B527" s="4">
        <v>2</v>
      </c>
    </row>
    <row r="528" s="1" customFormat="1" ht="22.5" customHeight="1" spans="1:2">
      <c r="A528" s="3">
        <v>526</v>
      </c>
      <c r="B528" s="4">
        <v>6</v>
      </c>
    </row>
    <row r="529" s="1" customFormat="1" ht="22.5" customHeight="1" spans="1:2">
      <c r="A529" s="3">
        <v>527</v>
      </c>
      <c r="B529" s="4">
        <v>3</v>
      </c>
    </row>
    <row r="530" s="1" customFormat="1" ht="22.5" customHeight="1" spans="1:2">
      <c r="A530" s="3">
        <v>528</v>
      </c>
      <c r="B530" s="4">
        <v>6</v>
      </c>
    </row>
    <row r="531" s="1" customFormat="1" ht="22.5" customHeight="1" spans="1:2">
      <c r="A531" s="3">
        <v>529</v>
      </c>
      <c r="B531" s="4">
        <v>4</v>
      </c>
    </row>
    <row r="532" s="1" customFormat="1" ht="22.5" customHeight="1" spans="1:2">
      <c r="A532" s="3">
        <v>530</v>
      </c>
      <c r="B532" s="4">
        <v>2</v>
      </c>
    </row>
    <row r="533" s="1" customFormat="1" ht="22.5" customHeight="1" spans="1:2">
      <c r="A533" s="3">
        <v>531</v>
      </c>
      <c r="B533" s="4">
        <v>3</v>
      </c>
    </row>
    <row r="534" s="1" customFormat="1" ht="22.5" customHeight="1" spans="1:2">
      <c r="A534" s="3">
        <v>532</v>
      </c>
      <c r="B534" s="4">
        <v>6</v>
      </c>
    </row>
    <row r="535" s="1" customFormat="1" ht="22.5" customHeight="1" spans="1:2">
      <c r="A535" s="3">
        <v>533</v>
      </c>
      <c r="B535" s="4">
        <v>4</v>
      </c>
    </row>
    <row r="536" s="1" customFormat="1" ht="22.5" customHeight="1" spans="1:2">
      <c r="A536" s="3">
        <v>534</v>
      </c>
      <c r="B536" s="4">
        <v>4</v>
      </c>
    </row>
    <row r="537" s="1" customFormat="1" ht="22.5" customHeight="1" spans="1:2">
      <c r="A537" s="3">
        <v>535</v>
      </c>
      <c r="B537" s="4">
        <v>4</v>
      </c>
    </row>
    <row r="538" s="1" customFormat="1" ht="22.5" customHeight="1" spans="1:2">
      <c r="A538" s="3">
        <v>536</v>
      </c>
      <c r="B538" s="4">
        <v>4</v>
      </c>
    </row>
    <row r="539" s="1" customFormat="1" ht="22.5" customHeight="1" spans="1:2">
      <c r="A539" s="3">
        <v>537</v>
      </c>
      <c r="B539" s="4">
        <v>2</v>
      </c>
    </row>
    <row r="540" s="1" customFormat="1" ht="22.5" customHeight="1" spans="1:2">
      <c r="A540" s="3">
        <v>538</v>
      </c>
      <c r="B540" s="4">
        <v>2</v>
      </c>
    </row>
    <row r="541" s="1" customFormat="1" ht="22.5" customHeight="1" spans="1:2">
      <c r="A541" s="3">
        <v>540</v>
      </c>
      <c r="B541" s="4">
        <v>5</v>
      </c>
    </row>
    <row r="542" s="1" customFormat="1" ht="22.5" customHeight="1" spans="1:2">
      <c r="A542" s="3">
        <v>541</v>
      </c>
      <c r="B542" s="4">
        <v>1</v>
      </c>
    </row>
    <row r="543" s="1" customFormat="1" ht="22.5" customHeight="1" spans="1:2">
      <c r="A543" s="3">
        <v>542</v>
      </c>
      <c r="B543" s="4">
        <v>5</v>
      </c>
    </row>
    <row r="544" s="1" customFormat="1" ht="22.5" customHeight="1" spans="1:2">
      <c r="A544" s="3">
        <v>543</v>
      </c>
      <c r="B544" s="4">
        <v>2</v>
      </c>
    </row>
    <row r="545" s="1" customFormat="1" ht="22.5" customHeight="1" spans="1:2">
      <c r="A545" s="3">
        <v>544</v>
      </c>
      <c r="B545" s="4">
        <v>7</v>
      </c>
    </row>
    <row r="546" s="1" customFormat="1" ht="22.5" customHeight="1" spans="1:2">
      <c r="A546" s="3">
        <v>545</v>
      </c>
      <c r="B546" s="4">
        <v>4</v>
      </c>
    </row>
    <row r="547" s="1" customFormat="1" ht="22.5" customHeight="1" spans="1:2">
      <c r="A547" s="3">
        <v>546</v>
      </c>
      <c r="B547" s="4">
        <v>2</v>
      </c>
    </row>
    <row r="548" s="1" customFormat="1" ht="22.5" customHeight="1" spans="1:2">
      <c r="A548" s="3">
        <v>547</v>
      </c>
      <c r="B548" s="4">
        <v>5</v>
      </c>
    </row>
    <row r="549" s="1" customFormat="1" ht="22.5" customHeight="1" spans="1:2">
      <c r="A549" s="3">
        <v>548</v>
      </c>
      <c r="B549" s="4">
        <v>3</v>
      </c>
    </row>
    <row r="550" s="1" customFormat="1" ht="22.5" customHeight="1" spans="1:2">
      <c r="A550" s="3">
        <v>549</v>
      </c>
      <c r="B550" s="4">
        <v>3</v>
      </c>
    </row>
    <row r="551" s="1" customFormat="1" ht="22.5" customHeight="1" spans="1:2">
      <c r="A551" s="3">
        <v>550</v>
      </c>
      <c r="B551" s="4">
        <v>2</v>
      </c>
    </row>
    <row r="552" s="1" customFormat="1" ht="22.5" customHeight="1" spans="1:2">
      <c r="A552" s="3">
        <v>551</v>
      </c>
      <c r="B552" s="4">
        <v>3</v>
      </c>
    </row>
    <row r="553" s="1" customFormat="1" ht="22.5" customHeight="1" spans="1:2">
      <c r="A553" s="3">
        <v>552</v>
      </c>
      <c r="B553" s="4">
        <v>5</v>
      </c>
    </row>
    <row r="554" s="1" customFormat="1" ht="22.5" customHeight="1" spans="1:2">
      <c r="A554" s="3">
        <v>553</v>
      </c>
      <c r="B554" s="4">
        <v>9</v>
      </c>
    </row>
    <row r="555" s="1" customFormat="1" ht="22.5" customHeight="1" spans="1:2">
      <c r="A555" s="3">
        <v>554</v>
      </c>
      <c r="B555" s="4">
        <v>2</v>
      </c>
    </row>
    <row r="556" s="1" customFormat="1" ht="22.5" customHeight="1" spans="1:2">
      <c r="A556" s="3">
        <v>555</v>
      </c>
      <c r="B556" s="4">
        <v>7</v>
      </c>
    </row>
    <row r="557" s="1" customFormat="1" ht="22.5" customHeight="1" spans="1:2">
      <c r="A557" s="3">
        <v>556</v>
      </c>
      <c r="B557" s="4">
        <v>6</v>
      </c>
    </row>
    <row r="558" s="1" customFormat="1" ht="22.5" customHeight="1" spans="1:2">
      <c r="A558" s="3">
        <v>557</v>
      </c>
      <c r="B558" s="4">
        <v>4</v>
      </c>
    </row>
    <row r="559" s="1" customFormat="1" ht="22.5" customHeight="1" spans="1:2">
      <c r="A559" s="3">
        <v>558</v>
      </c>
      <c r="B559" s="4">
        <v>4</v>
      </c>
    </row>
    <row r="560" s="1" customFormat="1" ht="22.5" customHeight="1" spans="1:2">
      <c r="A560" s="3">
        <v>559</v>
      </c>
      <c r="B560" s="4">
        <v>3</v>
      </c>
    </row>
    <row r="561" s="1" customFormat="1" ht="22.5" customHeight="1" spans="1:2">
      <c r="A561" s="3">
        <v>560</v>
      </c>
      <c r="B561" s="4">
        <v>5</v>
      </c>
    </row>
    <row r="562" s="1" customFormat="1" ht="22.5" customHeight="1" spans="1:2">
      <c r="A562" s="3">
        <v>561</v>
      </c>
      <c r="B562" s="4">
        <v>6</v>
      </c>
    </row>
    <row r="563" s="1" customFormat="1" ht="22.5" customHeight="1" spans="1:2">
      <c r="A563" s="3">
        <v>562</v>
      </c>
      <c r="B563" s="4">
        <v>4</v>
      </c>
    </row>
    <row r="564" s="1" customFormat="1" ht="22.5" customHeight="1" spans="1:2">
      <c r="A564" s="3">
        <v>563</v>
      </c>
      <c r="B564" s="4">
        <v>9</v>
      </c>
    </row>
    <row r="565" s="1" customFormat="1" ht="22.5" customHeight="1" spans="1:2">
      <c r="A565" s="3">
        <v>564</v>
      </c>
      <c r="B565" s="4">
        <v>5</v>
      </c>
    </row>
    <row r="566" s="1" customFormat="1" ht="22.5" customHeight="1" spans="1:2">
      <c r="A566" s="3">
        <v>565</v>
      </c>
      <c r="B566" s="4">
        <v>5</v>
      </c>
    </row>
    <row r="567" s="1" customFormat="1" ht="22.5" customHeight="1" spans="1:2">
      <c r="A567" s="3">
        <v>566</v>
      </c>
      <c r="B567" s="4">
        <v>5</v>
      </c>
    </row>
    <row r="568" s="1" customFormat="1" ht="22.5" customHeight="1" spans="1:2">
      <c r="A568" s="3">
        <v>567</v>
      </c>
      <c r="B568" s="4">
        <v>4</v>
      </c>
    </row>
    <row r="569" s="1" customFormat="1" ht="22.5" customHeight="1" spans="1:2">
      <c r="A569" s="3">
        <v>568</v>
      </c>
      <c r="B569" s="4">
        <v>5</v>
      </c>
    </row>
    <row r="570" s="1" customFormat="1" ht="22.5" customHeight="1" spans="1:2">
      <c r="A570" s="3">
        <v>569</v>
      </c>
      <c r="B570" s="4">
        <v>5</v>
      </c>
    </row>
    <row r="571" s="1" customFormat="1" ht="22.5" customHeight="1" spans="1:2">
      <c r="A571" s="3">
        <v>570</v>
      </c>
      <c r="B571" s="4">
        <v>8</v>
      </c>
    </row>
    <row r="572" s="1" customFormat="1" ht="22.5" customHeight="1" spans="1:2">
      <c r="A572" s="3">
        <v>572</v>
      </c>
      <c r="B572" s="4">
        <v>2</v>
      </c>
    </row>
    <row r="573" s="1" customFormat="1" ht="22.5" customHeight="1" spans="1:2">
      <c r="A573" s="3">
        <v>573</v>
      </c>
      <c r="B573" s="4">
        <v>5</v>
      </c>
    </row>
    <row r="574" s="1" customFormat="1" ht="22.5" customHeight="1" spans="1:2">
      <c r="A574" s="3">
        <v>574</v>
      </c>
      <c r="B574" s="4">
        <v>3</v>
      </c>
    </row>
    <row r="575" s="1" customFormat="1" ht="22.5" customHeight="1" spans="1:2">
      <c r="A575" s="3">
        <v>575</v>
      </c>
      <c r="B575" s="4">
        <v>1</v>
      </c>
    </row>
    <row r="576" s="1" customFormat="1" ht="22.5" customHeight="1" spans="1:2">
      <c r="A576" s="3">
        <v>576</v>
      </c>
      <c r="B576" s="4">
        <v>7</v>
      </c>
    </row>
    <row r="577" s="1" customFormat="1" ht="22.5" customHeight="1" spans="1:2">
      <c r="A577" s="3">
        <v>577</v>
      </c>
      <c r="B577" s="4">
        <v>10</v>
      </c>
    </row>
    <row r="578" s="1" customFormat="1" ht="22.5" customHeight="1" spans="1:2">
      <c r="A578" s="3">
        <v>578</v>
      </c>
      <c r="B578" s="4">
        <v>4</v>
      </c>
    </row>
    <row r="579" s="1" customFormat="1" ht="22.5" customHeight="1" spans="1:2">
      <c r="A579" s="3">
        <v>579</v>
      </c>
      <c r="B579" s="4">
        <v>1</v>
      </c>
    </row>
    <row r="580" s="1" customFormat="1" ht="22.5" customHeight="1" spans="1:2">
      <c r="A580" s="3">
        <v>580</v>
      </c>
      <c r="B580" s="4">
        <v>3</v>
      </c>
    </row>
    <row r="581" s="1" customFormat="1" ht="22.5" customHeight="1" spans="1:2">
      <c r="A581" s="3">
        <v>581</v>
      </c>
      <c r="B581" s="4">
        <v>5</v>
      </c>
    </row>
    <row r="582" s="1" customFormat="1" ht="22.5" customHeight="1" spans="1:2">
      <c r="A582" s="3">
        <v>582</v>
      </c>
      <c r="B582" s="4">
        <v>4</v>
      </c>
    </row>
    <row r="583" s="1" customFormat="1" ht="22.5" customHeight="1" spans="1:2">
      <c r="A583" s="3">
        <v>584</v>
      </c>
      <c r="B583" s="4">
        <v>8</v>
      </c>
    </row>
    <row r="584" s="1" customFormat="1" ht="22.5" customHeight="1" spans="1:2">
      <c r="A584" s="3">
        <v>585</v>
      </c>
      <c r="B584" s="4">
        <v>12</v>
      </c>
    </row>
    <row r="585" s="1" customFormat="1" ht="22.5" customHeight="1" spans="1:2">
      <c r="A585" s="3">
        <v>586</v>
      </c>
      <c r="B585" s="4">
        <v>4</v>
      </c>
    </row>
    <row r="586" s="1" customFormat="1" ht="22.5" customHeight="1" spans="1:2">
      <c r="A586" s="3">
        <v>587</v>
      </c>
      <c r="B586" s="4">
        <v>3</v>
      </c>
    </row>
    <row r="587" s="1" customFormat="1" ht="22.5" customHeight="1" spans="1:2">
      <c r="A587" s="3">
        <v>588</v>
      </c>
      <c r="B587" s="4">
        <v>4</v>
      </c>
    </row>
    <row r="588" s="1" customFormat="1" ht="22.5" customHeight="1" spans="1:2">
      <c r="A588" s="3">
        <v>589</v>
      </c>
      <c r="B588" s="4">
        <v>6</v>
      </c>
    </row>
    <row r="589" s="1" customFormat="1" ht="22.5" customHeight="1" spans="1:2">
      <c r="A589" s="3">
        <v>590</v>
      </c>
      <c r="B589" s="4">
        <v>4</v>
      </c>
    </row>
    <row r="590" s="1" customFormat="1" ht="22.5" customHeight="1" spans="1:2">
      <c r="A590" s="3">
        <v>591</v>
      </c>
      <c r="B590" s="4">
        <v>3</v>
      </c>
    </row>
    <row r="591" s="1" customFormat="1" ht="22.5" customHeight="1" spans="1:2">
      <c r="A591" s="3">
        <v>592</v>
      </c>
      <c r="B591" s="4">
        <v>5</v>
      </c>
    </row>
    <row r="592" s="1" customFormat="1" ht="22.5" customHeight="1" spans="1:2">
      <c r="A592" s="3">
        <v>593</v>
      </c>
      <c r="B592" s="4">
        <v>3</v>
      </c>
    </row>
    <row r="593" s="1" customFormat="1" ht="22.5" customHeight="1" spans="1:2">
      <c r="A593" s="3">
        <v>594</v>
      </c>
      <c r="B593" s="4">
        <v>1</v>
      </c>
    </row>
    <row r="594" s="1" customFormat="1" ht="22.5" customHeight="1" spans="1:2">
      <c r="A594" s="3">
        <v>595</v>
      </c>
      <c r="B594" s="4">
        <v>4</v>
      </c>
    </row>
    <row r="595" s="1" customFormat="1" ht="22.5" customHeight="1" spans="1:2">
      <c r="A595" s="3">
        <v>596</v>
      </c>
      <c r="B595" s="4">
        <v>2</v>
      </c>
    </row>
    <row r="596" s="1" customFormat="1" ht="22.5" customHeight="1" spans="1:2">
      <c r="A596" s="3">
        <v>597</v>
      </c>
      <c r="B596" s="4">
        <v>1</v>
      </c>
    </row>
    <row r="597" s="1" customFormat="1" ht="22.5" customHeight="1" spans="1:2">
      <c r="A597" s="3">
        <v>598</v>
      </c>
      <c r="B597" s="4">
        <v>5</v>
      </c>
    </row>
    <row r="598" s="1" customFormat="1" ht="22.5" customHeight="1" spans="1:2">
      <c r="A598" s="3">
        <v>601</v>
      </c>
      <c r="B598" s="4">
        <v>2</v>
      </c>
    </row>
    <row r="599" s="1" customFormat="1" ht="22.5" customHeight="1" spans="1:2">
      <c r="A599" s="3">
        <v>602</v>
      </c>
      <c r="B599" s="4">
        <v>5</v>
      </c>
    </row>
    <row r="600" s="1" customFormat="1" ht="22.5" customHeight="1" spans="1:2">
      <c r="A600" s="3">
        <v>603</v>
      </c>
      <c r="B600" s="4">
        <v>3</v>
      </c>
    </row>
    <row r="601" s="1" customFormat="1" ht="22.5" customHeight="1" spans="1:2">
      <c r="A601" s="3">
        <v>604</v>
      </c>
      <c r="B601" s="4">
        <v>2</v>
      </c>
    </row>
    <row r="602" s="1" customFormat="1" ht="22.5" customHeight="1" spans="1:2">
      <c r="A602" s="3">
        <v>605</v>
      </c>
      <c r="B602" s="4">
        <v>3</v>
      </c>
    </row>
    <row r="603" s="1" customFormat="1" ht="22.5" customHeight="1" spans="1:2">
      <c r="A603" s="3">
        <v>606</v>
      </c>
      <c r="B603" s="4">
        <v>1</v>
      </c>
    </row>
    <row r="604" s="1" customFormat="1" ht="22.5" customHeight="1" spans="1:2">
      <c r="A604" s="3">
        <v>607</v>
      </c>
      <c r="B604" s="4">
        <v>1</v>
      </c>
    </row>
    <row r="605" s="1" customFormat="1" ht="22.5" customHeight="1" spans="1:2">
      <c r="A605" s="3">
        <v>608</v>
      </c>
      <c r="B605" s="4">
        <v>1</v>
      </c>
    </row>
    <row r="606" s="1" customFormat="1" ht="22.5" customHeight="1" spans="1:2">
      <c r="A606" s="3">
        <v>609</v>
      </c>
      <c r="B606" s="4">
        <v>3</v>
      </c>
    </row>
    <row r="607" s="1" customFormat="1" ht="22.5" customHeight="1" spans="1:2">
      <c r="A607" s="3">
        <v>610</v>
      </c>
      <c r="B607" s="4">
        <v>4</v>
      </c>
    </row>
    <row r="608" s="1" customFormat="1" ht="22.5" customHeight="1" spans="1:2">
      <c r="A608" s="3">
        <v>611</v>
      </c>
      <c r="B608" s="4">
        <v>6</v>
      </c>
    </row>
    <row r="609" s="1" customFormat="1" ht="22.5" customHeight="1" spans="1:2">
      <c r="A609" s="3">
        <v>612</v>
      </c>
      <c r="B609" s="4">
        <v>2</v>
      </c>
    </row>
    <row r="610" s="1" customFormat="1" ht="22.5" customHeight="1" spans="1:2">
      <c r="A610" s="3">
        <v>613</v>
      </c>
      <c r="B610" s="4">
        <v>1</v>
      </c>
    </row>
    <row r="611" s="1" customFormat="1" ht="22.5" customHeight="1" spans="1:2">
      <c r="A611" s="3">
        <v>614</v>
      </c>
      <c r="B611" s="4">
        <v>1</v>
      </c>
    </row>
    <row r="612" s="1" customFormat="1" ht="22.5" customHeight="1" spans="1:2">
      <c r="A612" s="3">
        <v>615</v>
      </c>
      <c r="B612" s="4">
        <v>1</v>
      </c>
    </row>
    <row r="613" s="1" customFormat="1" ht="22.5" customHeight="1" spans="1:2">
      <c r="A613" s="3">
        <v>616</v>
      </c>
      <c r="B613" s="4">
        <v>2</v>
      </c>
    </row>
    <row r="614" s="1" customFormat="1" ht="22.5" customHeight="1" spans="1:2">
      <c r="A614" s="3">
        <v>617</v>
      </c>
      <c r="B614" s="4">
        <v>4</v>
      </c>
    </row>
    <row r="615" s="1" customFormat="1" ht="22.5" customHeight="1" spans="1:2">
      <c r="A615" s="3">
        <v>618</v>
      </c>
      <c r="B615" s="4">
        <v>2</v>
      </c>
    </row>
    <row r="616" s="1" customFormat="1" ht="22.5" customHeight="1" spans="1:2">
      <c r="A616" s="3">
        <v>619</v>
      </c>
      <c r="B616" s="4">
        <v>3</v>
      </c>
    </row>
    <row r="617" s="1" customFormat="1" ht="22.5" customHeight="1" spans="1:2">
      <c r="A617" s="3">
        <v>620</v>
      </c>
      <c r="B617" s="4">
        <v>2</v>
      </c>
    </row>
    <row r="618" s="1" customFormat="1" ht="22.5" customHeight="1" spans="1:2">
      <c r="A618" s="3">
        <v>621</v>
      </c>
      <c r="B618" s="4">
        <v>4</v>
      </c>
    </row>
    <row r="619" s="1" customFormat="1" ht="22.5" customHeight="1" spans="1:2">
      <c r="A619" s="3">
        <v>622</v>
      </c>
      <c r="B619" s="4">
        <v>2</v>
      </c>
    </row>
    <row r="620" s="1" customFormat="1" ht="22.5" customHeight="1" spans="1:2">
      <c r="A620" s="3">
        <v>623</v>
      </c>
      <c r="B620" s="4">
        <v>4</v>
      </c>
    </row>
    <row r="621" s="1" customFormat="1" ht="22.5" customHeight="1" spans="1:2">
      <c r="A621" s="3">
        <v>624</v>
      </c>
      <c r="B621" s="4">
        <v>5</v>
      </c>
    </row>
    <row r="622" s="1" customFormat="1" ht="22.5" customHeight="1" spans="1:2">
      <c r="A622" s="3">
        <v>625</v>
      </c>
      <c r="B622" s="4">
        <v>2</v>
      </c>
    </row>
    <row r="623" s="1" customFormat="1" ht="22.5" customHeight="1" spans="1:2">
      <c r="A623" s="3">
        <v>626</v>
      </c>
      <c r="B623" s="4">
        <v>7</v>
      </c>
    </row>
    <row r="624" s="1" customFormat="1" ht="22.5" customHeight="1" spans="1:2">
      <c r="A624" s="3">
        <v>627</v>
      </c>
      <c r="B624" s="4">
        <v>6</v>
      </c>
    </row>
    <row r="625" s="1" customFormat="1" ht="22.5" customHeight="1" spans="1:2">
      <c r="A625" s="3">
        <v>628</v>
      </c>
      <c r="B625" s="4">
        <v>1</v>
      </c>
    </row>
    <row r="626" s="1" customFormat="1" ht="22.5" customHeight="1" spans="1:2">
      <c r="A626" s="3">
        <v>629</v>
      </c>
      <c r="B626" s="4">
        <v>1</v>
      </c>
    </row>
    <row r="627" s="1" customFormat="1" ht="22.5" customHeight="1" spans="1:2">
      <c r="A627" s="3">
        <v>630</v>
      </c>
      <c r="B627" s="4">
        <v>5</v>
      </c>
    </row>
    <row r="628" s="1" customFormat="1" ht="22.5" customHeight="1" spans="1:2">
      <c r="A628" s="3">
        <v>631</v>
      </c>
      <c r="B628" s="4">
        <v>5</v>
      </c>
    </row>
    <row r="629" s="1" customFormat="1" ht="22.5" customHeight="1" spans="1:2">
      <c r="A629" s="3">
        <v>632</v>
      </c>
      <c r="B629" s="4">
        <v>1</v>
      </c>
    </row>
    <row r="630" s="1" customFormat="1" ht="22.5" customHeight="1" spans="1:2">
      <c r="A630" s="3">
        <v>633</v>
      </c>
      <c r="B630" s="4">
        <v>4</v>
      </c>
    </row>
    <row r="631" s="1" customFormat="1" ht="22.5" customHeight="1" spans="1:2">
      <c r="A631" s="3">
        <v>634</v>
      </c>
      <c r="B631" s="4">
        <v>3</v>
      </c>
    </row>
    <row r="632" s="1" customFormat="1" ht="22.5" customHeight="1" spans="1:2">
      <c r="A632" s="3">
        <v>635</v>
      </c>
      <c r="B632" s="4">
        <v>9</v>
      </c>
    </row>
    <row r="633" s="1" customFormat="1" ht="22.5" customHeight="1" spans="1:2">
      <c r="A633" s="3">
        <v>636</v>
      </c>
      <c r="B633" s="4">
        <v>4</v>
      </c>
    </row>
    <row r="634" s="1" customFormat="1" ht="22.5" customHeight="1" spans="1:2">
      <c r="A634" s="3">
        <v>637</v>
      </c>
      <c r="B634" s="4">
        <v>6</v>
      </c>
    </row>
    <row r="635" s="1" customFormat="1" ht="22.5" customHeight="1" spans="1:2">
      <c r="A635" s="3">
        <v>638</v>
      </c>
      <c r="B635" s="4">
        <v>2</v>
      </c>
    </row>
    <row r="636" s="1" customFormat="1" ht="22.5" customHeight="1" spans="1:2">
      <c r="A636" s="3">
        <v>639</v>
      </c>
      <c r="B636" s="4">
        <v>1</v>
      </c>
    </row>
    <row r="637" s="1" customFormat="1" ht="22.5" customHeight="1" spans="1:2">
      <c r="A637" s="3">
        <v>640</v>
      </c>
      <c r="B637" s="4">
        <v>5</v>
      </c>
    </row>
    <row r="638" s="1" customFormat="1" ht="22.5" customHeight="1" spans="1:2">
      <c r="A638" s="3">
        <v>641</v>
      </c>
      <c r="B638" s="4">
        <v>4</v>
      </c>
    </row>
    <row r="639" s="1" customFormat="1" ht="22.5" customHeight="1" spans="1:2">
      <c r="A639" s="3">
        <v>642</v>
      </c>
      <c r="B639" s="4">
        <v>3</v>
      </c>
    </row>
    <row r="640" s="1" customFormat="1" ht="22.5" customHeight="1" spans="1:2">
      <c r="A640" s="3">
        <v>643</v>
      </c>
      <c r="B640" s="4">
        <v>3</v>
      </c>
    </row>
    <row r="641" s="1" customFormat="1" ht="22.5" customHeight="1" spans="1:2">
      <c r="A641" s="3">
        <v>644</v>
      </c>
      <c r="B641" s="4">
        <v>1</v>
      </c>
    </row>
    <row r="642" s="1" customFormat="1" ht="22.5" customHeight="1" spans="1:2">
      <c r="A642" s="3">
        <v>645</v>
      </c>
      <c r="B642" s="4">
        <v>2</v>
      </c>
    </row>
    <row r="643" s="1" customFormat="1" ht="22.5" customHeight="1" spans="1:2">
      <c r="A643" s="3">
        <v>646</v>
      </c>
      <c r="B643" s="4">
        <v>4</v>
      </c>
    </row>
    <row r="644" s="1" customFormat="1" ht="22.5" customHeight="1" spans="1:2">
      <c r="A644" s="3">
        <v>647</v>
      </c>
      <c r="B644" s="4">
        <v>3</v>
      </c>
    </row>
    <row r="645" s="1" customFormat="1" ht="22.5" customHeight="1" spans="1:2">
      <c r="A645" s="3">
        <v>648</v>
      </c>
      <c r="B645" s="4">
        <v>2</v>
      </c>
    </row>
    <row r="646" s="1" customFormat="1" ht="22.5" customHeight="1" spans="1:2">
      <c r="A646" s="3">
        <v>649</v>
      </c>
      <c r="B646" s="4">
        <v>2</v>
      </c>
    </row>
    <row r="647" s="1" customFormat="1" ht="22.5" customHeight="1" spans="1:2">
      <c r="A647" s="3">
        <v>650</v>
      </c>
      <c r="B647" s="4">
        <v>4</v>
      </c>
    </row>
    <row r="648" s="1" customFormat="1" ht="22.5" customHeight="1" spans="1:2">
      <c r="A648" s="3">
        <v>651</v>
      </c>
      <c r="B648" s="4">
        <v>2</v>
      </c>
    </row>
    <row r="649" s="1" customFormat="1" ht="22.5" customHeight="1" spans="1:2">
      <c r="A649" s="3">
        <v>652</v>
      </c>
      <c r="B649" s="4">
        <v>3</v>
      </c>
    </row>
    <row r="650" s="1" customFormat="1" ht="22.5" customHeight="1" spans="1:2">
      <c r="A650" s="3">
        <v>653</v>
      </c>
      <c r="B650" s="4">
        <v>2</v>
      </c>
    </row>
    <row r="651" s="1" customFormat="1" ht="22.5" customHeight="1" spans="1:2">
      <c r="A651" s="3">
        <v>654</v>
      </c>
      <c r="B651" s="4">
        <v>4</v>
      </c>
    </row>
    <row r="652" s="1" customFormat="1" ht="22.5" customHeight="1" spans="1:2">
      <c r="A652" s="3">
        <v>655</v>
      </c>
      <c r="B652" s="4">
        <v>1</v>
      </c>
    </row>
    <row r="653" s="1" customFormat="1" ht="22.5" customHeight="1" spans="1:2">
      <c r="A653" s="3">
        <v>656</v>
      </c>
      <c r="B653" s="4">
        <v>1</v>
      </c>
    </row>
    <row r="654" s="1" customFormat="1" ht="22.5" customHeight="1" spans="1:2">
      <c r="A654" s="3">
        <v>657</v>
      </c>
      <c r="B654" s="4">
        <v>1</v>
      </c>
    </row>
    <row r="655" s="1" customFormat="1" ht="22.5" customHeight="1" spans="1:2">
      <c r="A655" s="3">
        <v>658</v>
      </c>
      <c r="B655" s="4">
        <v>5</v>
      </c>
    </row>
    <row r="656" s="1" customFormat="1" ht="22.5" customHeight="1" spans="1:2">
      <c r="A656" s="3">
        <v>659</v>
      </c>
      <c r="B656" s="4">
        <v>4</v>
      </c>
    </row>
    <row r="657" s="1" customFormat="1" ht="22.5" customHeight="1" spans="1:2">
      <c r="A657" s="3">
        <v>660</v>
      </c>
      <c r="B657" s="4">
        <v>3</v>
      </c>
    </row>
    <row r="658" s="1" customFormat="1" ht="22.5" customHeight="1" spans="1:2">
      <c r="A658" s="3">
        <v>661</v>
      </c>
      <c r="B658" s="4">
        <v>1</v>
      </c>
    </row>
    <row r="659" s="1" customFormat="1" ht="22.5" customHeight="1" spans="1:2">
      <c r="A659" s="3">
        <v>662</v>
      </c>
      <c r="B659" s="4">
        <v>2</v>
      </c>
    </row>
    <row r="660" s="1" customFormat="1" ht="22.5" customHeight="1" spans="1:2">
      <c r="A660" s="3">
        <v>663</v>
      </c>
      <c r="B660" s="4">
        <v>2</v>
      </c>
    </row>
    <row r="661" s="1" customFormat="1" ht="22.5" customHeight="1" spans="1:2">
      <c r="A661" s="3">
        <v>664</v>
      </c>
      <c r="B661" s="4">
        <v>1</v>
      </c>
    </row>
    <row r="662" s="1" customFormat="1" ht="22.5" customHeight="1" spans="1:2">
      <c r="A662" s="3">
        <v>665</v>
      </c>
      <c r="B662" s="4">
        <v>4</v>
      </c>
    </row>
    <row r="663" s="1" customFormat="1" ht="22.5" customHeight="1" spans="1:2">
      <c r="A663" s="3">
        <v>666</v>
      </c>
      <c r="B663" s="4">
        <v>4</v>
      </c>
    </row>
    <row r="664" s="1" customFormat="1" ht="22.5" customHeight="1" spans="1:2">
      <c r="A664" s="3">
        <v>667</v>
      </c>
      <c r="B664" s="4">
        <v>3</v>
      </c>
    </row>
    <row r="665" s="1" customFormat="1" ht="22.5" customHeight="1" spans="1:2">
      <c r="A665" s="3">
        <v>668</v>
      </c>
      <c r="B665" s="4">
        <v>2</v>
      </c>
    </row>
    <row r="666" s="1" customFormat="1" ht="22.5" customHeight="1" spans="1:2">
      <c r="A666" s="3">
        <v>669</v>
      </c>
      <c r="B666" s="4">
        <v>1</v>
      </c>
    </row>
    <row r="667" s="1" customFormat="1" ht="22.5" customHeight="1" spans="1:2">
      <c r="A667" s="3">
        <v>670</v>
      </c>
      <c r="B667" s="4">
        <v>2</v>
      </c>
    </row>
    <row r="668" s="1" customFormat="1" ht="22.5" customHeight="1" spans="1:2">
      <c r="A668" s="3">
        <v>671</v>
      </c>
      <c r="B668" s="4">
        <v>4</v>
      </c>
    </row>
    <row r="669" s="1" customFormat="1" ht="22.5" customHeight="1" spans="1:2">
      <c r="A669" s="3">
        <v>672</v>
      </c>
      <c r="B669" s="4">
        <v>4</v>
      </c>
    </row>
    <row r="670" s="1" customFormat="1" ht="22.5" customHeight="1" spans="1:2">
      <c r="A670" s="3">
        <v>673</v>
      </c>
      <c r="B670" s="4">
        <v>2</v>
      </c>
    </row>
    <row r="671" s="1" customFormat="1" ht="22.5" customHeight="1" spans="1:2">
      <c r="A671" s="3">
        <v>674</v>
      </c>
      <c r="B671" s="4">
        <v>2</v>
      </c>
    </row>
    <row r="672" s="1" customFormat="1" ht="22.5" customHeight="1" spans="1:2">
      <c r="A672" s="3">
        <v>675</v>
      </c>
      <c r="B672" s="4">
        <v>2</v>
      </c>
    </row>
    <row r="673" s="1" customFormat="1" ht="22.5" customHeight="1" spans="1:2">
      <c r="A673" s="3">
        <v>676</v>
      </c>
      <c r="B673" s="4">
        <v>1</v>
      </c>
    </row>
    <row r="674" s="1" customFormat="1" ht="22.5" customHeight="1" spans="1:2">
      <c r="A674" s="3">
        <v>677</v>
      </c>
      <c r="B674" s="4">
        <v>3</v>
      </c>
    </row>
    <row r="675" s="1" customFormat="1" ht="22.5" customHeight="1" spans="1:2">
      <c r="A675" s="3">
        <v>678</v>
      </c>
      <c r="B675" s="4">
        <v>3</v>
      </c>
    </row>
    <row r="676" s="1" customFormat="1" ht="22.5" customHeight="1" spans="1:2">
      <c r="A676" s="3">
        <v>679</v>
      </c>
      <c r="B676" s="4">
        <v>3</v>
      </c>
    </row>
    <row r="677" s="1" customFormat="1" ht="22.5" customHeight="1" spans="1:2">
      <c r="A677" s="3">
        <v>680</v>
      </c>
      <c r="B677" s="4">
        <v>1</v>
      </c>
    </row>
    <row r="678" s="1" customFormat="1" ht="22.5" customHeight="1" spans="1:2">
      <c r="A678" s="3">
        <v>681</v>
      </c>
      <c r="B678" s="4">
        <v>3</v>
      </c>
    </row>
    <row r="679" s="1" customFormat="1" ht="22.5" customHeight="1" spans="1:2">
      <c r="A679" s="3">
        <v>682</v>
      </c>
      <c r="B679" s="4">
        <v>5</v>
      </c>
    </row>
    <row r="680" s="1" customFormat="1" ht="22.5" customHeight="1" spans="1:2">
      <c r="A680" s="3">
        <v>683</v>
      </c>
      <c r="B680" s="4">
        <v>5</v>
      </c>
    </row>
    <row r="681" s="1" customFormat="1" ht="22.5" customHeight="1" spans="1:2">
      <c r="A681" s="3">
        <v>684</v>
      </c>
      <c r="B681" s="4">
        <v>4</v>
      </c>
    </row>
    <row r="682" s="1" customFormat="1" ht="22.5" customHeight="1" spans="1:2">
      <c r="A682" s="3">
        <v>685</v>
      </c>
      <c r="B682" s="4">
        <v>1</v>
      </c>
    </row>
    <row r="683" s="1" customFormat="1" ht="22.5" customHeight="1" spans="1:2">
      <c r="A683" s="3">
        <v>686</v>
      </c>
      <c r="B683" s="4">
        <v>1</v>
      </c>
    </row>
    <row r="684" s="1" customFormat="1" ht="22.5" customHeight="1" spans="1:2">
      <c r="A684" s="3">
        <v>687</v>
      </c>
      <c r="B684" s="4">
        <v>5</v>
      </c>
    </row>
    <row r="685" s="1" customFormat="1" ht="22.5" customHeight="1" spans="1:2">
      <c r="A685" s="3">
        <v>688</v>
      </c>
      <c r="B685" s="4">
        <v>5</v>
      </c>
    </row>
    <row r="686" s="1" customFormat="1" ht="22.5" customHeight="1" spans="1:2">
      <c r="A686" s="3">
        <v>689</v>
      </c>
      <c r="B686" s="4">
        <v>4</v>
      </c>
    </row>
    <row r="687" s="1" customFormat="1" ht="22.5" customHeight="1" spans="1:2">
      <c r="A687" s="3">
        <v>690</v>
      </c>
      <c r="B687" s="4">
        <v>1</v>
      </c>
    </row>
    <row r="688" s="1" customFormat="1" ht="22.5" customHeight="1" spans="1:2">
      <c r="A688" s="3">
        <v>691</v>
      </c>
      <c r="B688" s="4">
        <v>3</v>
      </c>
    </row>
    <row r="689" s="1" customFormat="1" ht="22.5" customHeight="1" spans="1:2">
      <c r="A689" s="3">
        <v>692</v>
      </c>
      <c r="B689" s="4">
        <v>3</v>
      </c>
    </row>
    <row r="690" s="1" customFormat="1" ht="22.5" customHeight="1" spans="1:2">
      <c r="A690" s="3">
        <v>693</v>
      </c>
      <c r="B690" s="4">
        <v>3</v>
      </c>
    </row>
    <row r="691" s="1" customFormat="1" ht="22.5" customHeight="1" spans="1:2">
      <c r="A691" s="3">
        <v>694</v>
      </c>
      <c r="B691" s="4">
        <v>3</v>
      </c>
    </row>
    <row r="692" s="1" customFormat="1" ht="22.5" customHeight="1" spans="1:2">
      <c r="A692" s="3">
        <v>695</v>
      </c>
      <c r="B692" s="4">
        <v>4</v>
      </c>
    </row>
    <row r="693" s="1" customFormat="1" ht="22.5" customHeight="1" spans="1:2">
      <c r="A693" s="3">
        <v>697</v>
      </c>
      <c r="B693" s="4">
        <v>2</v>
      </c>
    </row>
    <row r="694" s="1" customFormat="1" ht="22.5" customHeight="1" spans="1:2">
      <c r="A694" s="3">
        <v>698</v>
      </c>
      <c r="B694" s="4">
        <v>2</v>
      </c>
    </row>
    <row r="695" s="1" customFormat="1" ht="22.5" customHeight="1" spans="1:2">
      <c r="A695" s="3">
        <v>699</v>
      </c>
      <c r="B695" s="4">
        <v>3</v>
      </c>
    </row>
    <row r="696" s="1" customFormat="1" ht="22.5" customHeight="1" spans="1:2">
      <c r="A696" s="3">
        <v>700</v>
      </c>
      <c r="B696" s="4">
        <v>4</v>
      </c>
    </row>
    <row r="697" s="1" customFormat="1" ht="22.5" customHeight="1" spans="1:2">
      <c r="A697" s="3">
        <v>701</v>
      </c>
      <c r="B697" s="4">
        <v>3</v>
      </c>
    </row>
    <row r="698" s="1" customFormat="1" ht="22.5" customHeight="1" spans="1:2">
      <c r="A698" s="3">
        <v>703</v>
      </c>
      <c r="B698" s="4">
        <v>4</v>
      </c>
    </row>
    <row r="699" s="1" customFormat="1" ht="22.5" customHeight="1" spans="1:2">
      <c r="A699" s="3">
        <v>704</v>
      </c>
      <c r="B699" s="4">
        <v>2</v>
      </c>
    </row>
    <row r="700" s="1" customFormat="1" ht="22.5" customHeight="1" spans="1:2">
      <c r="A700" s="3">
        <v>705</v>
      </c>
      <c r="B700" s="4">
        <v>3</v>
      </c>
    </row>
    <row r="701" s="1" customFormat="1" ht="22.5" customHeight="1" spans="1:2">
      <c r="A701" s="3">
        <v>706</v>
      </c>
      <c r="B701" s="4">
        <v>4</v>
      </c>
    </row>
    <row r="702" s="1" customFormat="1" ht="22.5" customHeight="1" spans="1:2">
      <c r="A702" s="3">
        <v>707</v>
      </c>
      <c r="B702" s="4">
        <v>1</v>
      </c>
    </row>
    <row r="703" s="1" customFormat="1" ht="22.5" customHeight="1" spans="1:2">
      <c r="A703" s="3">
        <v>708</v>
      </c>
      <c r="B703" s="4">
        <v>7</v>
      </c>
    </row>
    <row r="704" s="1" customFormat="1" ht="22.5" customHeight="1" spans="1:2">
      <c r="A704" s="3">
        <v>709</v>
      </c>
      <c r="B704" s="4">
        <v>1</v>
      </c>
    </row>
    <row r="705" s="1" customFormat="1" ht="22.5" customHeight="1" spans="1:2">
      <c r="A705" s="3">
        <v>710</v>
      </c>
      <c r="B705" s="4">
        <v>1</v>
      </c>
    </row>
    <row r="706" s="1" customFormat="1" ht="22.5" customHeight="1" spans="1:2">
      <c r="A706" s="3">
        <v>711</v>
      </c>
      <c r="B706" s="4">
        <v>1</v>
      </c>
    </row>
    <row r="707" s="1" customFormat="1" ht="22.5" customHeight="1" spans="1:2">
      <c r="A707" s="3">
        <v>712</v>
      </c>
      <c r="B707" s="4">
        <v>4</v>
      </c>
    </row>
    <row r="708" s="1" customFormat="1" ht="22.5" customHeight="1" spans="1:2">
      <c r="A708" s="3">
        <v>713</v>
      </c>
      <c r="B708" s="4">
        <v>1</v>
      </c>
    </row>
    <row r="709" s="1" customFormat="1" ht="22.5" customHeight="1" spans="1:2">
      <c r="A709" s="3">
        <v>714</v>
      </c>
      <c r="B709" s="4">
        <v>2</v>
      </c>
    </row>
    <row r="710" s="1" customFormat="1" ht="22.5" customHeight="1" spans="1:2">
      <c r="A710" s="3">
        <v>715</v>
      </c>
      <c r="B710" s="4">
        <v>1</v>
      </c>
    </row>
    <row r="711" s="1" customFormat="1" ht="22.5" customHeight="1" spans="1:2">
      <c r="A711" s="3">
        <v>716</v>
      </c>
      <c r="B711" s="4">
        <v>2</v>
      </c>
    </row>
    <row r="712" s="1" customFormat="1" ht="22.5" customHeight="1" spans="1:2">
      <c r="A712" s="3">
        <v>717</v>
      </c>
      <c r="B712" s="4">
        <v>2</v>
      </c>
    </row>
    <row r="713" s="1" customFormat="1" ht="22.5" customHeight="1" spans="1:2">
      <c r="A713" s="3">
        <v>718</v>
      </c>
      <c r="B713" s="4">
        <v>3</v>
      </c>
    </row>
    <row r="714" s="1" customFormat="1" ht="22.5" customHeight="1" spans="1:2">
      <c r="A714" s="3">
        <v>719</v>
      </c>
      <c r="B714" s="4">
        <v>2</v>
      </c>
    </row>
    <row r="715" s="1" customFormat="1" ht="22.5" customHeight="1" spans="1:2">
      <c r="A715" s="3">
        <v>721</v>
      </c>
      <c r="B715" s="4">
        <v>2</v>
      </c>
    </row>
    <row r="716" s="1" customFormat="1" ht="22.5" customHeight="1" spans="1:2">
      <c r="A716" s="3">
        <v>722</v>
      </c>
      <c r="B716" s="4">
        <v>2</v>
      </c>
    </row>
    <row r="717" s="1" customFormat="1" ht="22.5" customHeight="1" spans="1:2">
      <c r="A717" s="3">
        <v>723</v>
      </c>
      <c r="B717" s="4">
        <v>2</v>
      </c>
    </row>
    <row r="718" s="1" customFormat="1" ht="22.5" customHeight="1" spans="1:2">
      <c r="A718" s="3">
        <v>724</v>
      </c>
      <c r="B718" s="4">
        <v>2</v>
      </c>
    </row>
    <row r="719" s="1" customFormat="1" ht="22.5" customHeight="1" spans="1:2">
      <c r="A719" s="3">
        <v>726</v>
      </c>
      <c r="B719" s="4">
        <v>2</v>
      </c>
    </row>
    <row r="720" s="1" customFormat="1" ht="22.5" customHeight="1" spans="1:2">
      <c r="A720" s="3">
        <v>727</v>
      </c>
      <c r="B720" s="4">
        <v>3</v>
      </c>
    </row>
    <row r="721" s="1" customFormat="1" ht="22.5" customHeight="1" spans="1:2">
      <c r="A721" s="3">
        <v>729</v>
      </c>
      <c r="B721" s="4">
        <v>3</v>
      </c>
    </row>
    <row r="722" s="1" customFormat="1" ht="22.5" customHeight="1" spans="1:2">
      <c r="A722" s="3">
        <v>730</v>
      </c>
      <c r="B722" s="4">
        <v>1</v>
      </c>
    </row>
    <row r="723" s="1" customFormat="1" ht="22.5" customHeight="1" spans="1:2">
      <c r="A723" s="3">
        <v>731</v>
      </c>
      <c r="B723" s="4">
        <v>4</v>
      </c>
    </row>
    <row r="724" s="1" customFormat="1" ht="22.5" customHeight="1" spans="1:2">
      <c r="A724" s="3">
        <v>732</v>
      </c>
      <c r="B724" s="4">
        <v>5</v>
      </c>
    </row>
    <row r="725" s="1" customFormat="1" ht="22.5" customHeight="1" spans="1:2">
      <c r="A725" s="3">
        <v>733</v>
      </c>
      <c r="B725" s="4">
        <v>3</v>
      </c>
    </row>
    <row r="726" s="1" customFormat="1" ht="22.5" customHeight="1" spans="1:2">
      <c r="A726" s="3">
        <v>735</v>
      </c>
      <c r="B726" s="4">
        <v>2</v>
      </c>
    </row>
    <row r="727" s="1" customFormat="1" ht="22.5" customHeight="1" spans="1:2">
      <c r="A727" s="3">
        <v>736</v>
      </c>
      <c r="B727" s="4">
        <v>1</v>
      </c>
    </row>
    <row r="728" s="1" customFormat="1" ht="22.5" customHeight="1" spans="1:2">
      <c r="A728" s="3">
        <v>739</v>
      </c>
      <c r="B728" s="4">
        <v>1</v>
      </c>
    </row>
    <row r="729" s="1" customFormat="1" ht="22.5" customHeight="1" spans="1:2">
      <c r="A729" s="3">
        <v>740</v>
      </c>
      <c r="B729" s="4">
        <v>3</v>
      </c>
    </row>
    <row r="730" s="1" customFormat="1" ht="22.5" customHeight="1" spans="1:2">
      <c r="A730" s="3">
        <v>741</v>
      </c>
      <c r="B730" s="4">
        <v>1</v>
      </c>
    </row>
    <row r="731" s="1" customFormat="1" ht="22.5" customHeight="1" spans="1:2">
      <c r="A731" s="3">
        <v>742</v>
      </c>
      <c r="B731" s="4">
        <v>1</v>
      </c>
    </row>
    <row r="732" s="1" customFormat="1" ht="22.5" customHeight="1" spans="1:2">
      <c r="A732" s="3">
        <v>743</v>
      </c>
      <c r="B732" s="4">
        <v>2</v>
      </c>
    </row>
    <row r="733" s="1" customFormat="1" ht="22.5" customHeight="1" spans="1:2">
      <c r="A733" s="3">
        <v>744</v>
      </c>
      <c r="B733" s="4">
        <v>3</v>
      </c>
    </row>
    <row r="734" s="1" customFormat="1" ht="22.5" customHeight="1" spans="1:2">
      <c r="A734" s="3">
        <v>745</v>
      </c>
      <c r="B734" s="4">
        <v>4</v>
      </c>
    </row>
    <row r="735" s="1" customFormat="1" ht="22.5" customHeight="1" spans="1:2">
      <c r="A735" s="3">
        <v>746</v>
      </c>
      <c r="B735" s="4">
        <v>3</v>
      </c>
    </row>
    <row r="736" s="1" customFormat="1" ht="22.5" customHeight="1" spans="1:2">
      <c r="A736" s="3">
        <v>748</v>
      </c>
      <c r="B736" s="4">
        <v>6</v>
      </c>
    </row>
    <row r="737" s="1" customFormat="1" ht="22.5" customHeight="1" spans="1:2">
      <c r="A737" s="3">
        <v>749</v>
      </c>
      <c r="B737" s="4">
        <v>4</v>
      </c>
    </row>
    <row r="738" s="1" customFormat="1" ht="22.5" customHeight="1" spans="1:2">
      <c r="A738" s="3">
        <v>750</v>
      </c>
      <c r="B738" s="4">
        <v>2</v>
      </c>
    </row>
    <row r="739" s="1" customFormat="1" ht="22.5" customHeight="1" spans="1:2">
      <c r="A739" s="3">
        <v>751</v>
      </c>
      <c r="B739" s="4">
        <v>2</v>
      </c>
    </row>
    <row r="740" s="1" customFormat="1" ht="22.5" customHeight="1" spans="1:2">
      <c r="A740" s="3">
        <v>752</v>
      </c>
      <c r="B740" s="4">
        <v>2</v>
      </c>
    </row>
    <row r="741" s="1" customFormat="1" ht="22.5" customHeight="1" spans="1:2">
      <c r="A741" s="3">
        <v>753</v>
      </c>
      <c r="B741" s="4">
        <v>2</v>
      </c>
    </row>
    <row r="742" s="1" customFormat="1" ht="22.5" customHeight="1" spans="1:2">
      <c r="A742" s="3">
        <v>755</v>
      </c>
      <c r="B742" s="4">
        <v>1</v>
      </c>
    </row>
    <row r="743" s="1" customFormat="1" ht="22.5" customHeight="1" spans="1:2">
      <c r="A743" s="3">
        <v>756</v>
      </c>
      <c r="B743" s="4">
        <v>4</v>
      </c>
    </row>
    <row r="744" s="1" customFormat="1" ht="22.5" customHeight="1" spans="1:2">
      <c r="A744" s="3">
        <v>757</v>
      </c>
      <c r="B744" s="4">
        <v>3</v>
      </c>
    </row>
    <row r="745" s="1" customFormat="1" ht="22.5" customHeight="1" spans="1:2">
      <c r="A745" s="3">
        <v>758</v>
      </c>
      <c r="B745" s="4">
        <v>1</v>
      </c>
    </row>
    <row r="746" s="1" customFormat="1" ht="22.5" customHeight="1" spans="1:2">
      <c r="A746" s="3">
        <v>759</v>
      </c>
      <c r="B746" s="4">
        <v>1</v>
      </c>
    </row>
    <row r="747" s="1" customFormat="1" ht="22.5" customHeight="1" spans="1:2">
      <c r="A747" s="3">
        <v>761</v>
      </c>
      <c r="B747" s="4">
        <v>1</v>
      </c>
    </row>
    <row r="748" s="1" customFormat="1" ht="22.5" customHeight="1" spans="1:2">
      <c r="A748" s="3">
        <v>762</v>
      </c>
      <c r="B748" s="4">
        <v>1</v>
      </c>
    </row>
    <row r="749" s="1" customFormat="1" ht="22.5" customHeight="1" spans="1:2">
      <c r="A749" s="3">
        <v>763</v>
      </c>
      <c r="B749" s="4">
        <v>1</v>
      </c>
    </row>
    <row r="750" s="1" customFormat="1" ht="22.5" customHeight="1" spans="1:2">
      <c r="A750" s="3">
        <v>764</v>
      </c>
      <c r="B750" s="4">
        <v>3</v>
      </c>
    </row>
    <row r="751" s="1" customFormat="1" ht="22.5" customHeight="1" spans="1:2">
      <c r="A751" s="3">
        <v>765</v>
      </c>
      <c r="B751" s="4">
        <v>3</v>
      </c>
    </row>
    <row r="752" s="1" customFormat="1" ht="22.5" customHeight="1" spans="1:2">
      <c r="A752" s="3">
        <v>766</v>
      </c>
      <c r="B752" s="4">
        <v>1</v>
      </c>
    </row>
    <row r="753" s="1" customFormat="1" ht="22.5" customHeight="1" spans="1:2">
      <c r="A753" s="3">
        <v>767</v>
      </c>
      <c r="B753" s="4">
        <v>2</v>
      </c>
    </row>
    <row r="754" s="1" customFormat="1" ht="22.5" customHeight="1" spans="1:2">
      <c r="A754" s="3">
        <v>768</v>
      </c>
      <c r="B754" s="4">
        <v>1</v>
      </c>
    </row>
    <row r="755" s="1" customFormat="1" ht="22.5" customHeight="1" spans="1:2">
      <c r="A755" s="3">
        <v>771</v>
      </c>
      <c r="B755" s="4">
        <v>3</v>
      </c>
    </row>
    <row r="756" s="1" customFormat="1" ht="22.5" customHeight="1" spans="1:2">
      <c r="A756" s="3">
        <v>772</v>
      </c>
      <c r="B756" s="4">
        <v>3</v>
      </c>
    </row>
    <row r="757" s="1" customFormat="1" ht="22.5" customHeight="1" spans="1:2">
      <c r="A757" s="3">
        <v>777</v>
      </c>
      <c r="B757" s="4">
        <v>2</v>
      </c>
    </row>
    <row r="758" s="1" customFormat="1" ht="22.5" customHeight="1" spans="1:2">
      <c r="A758" s="3">
        <v>779</v>
      </c>
      <c r="B758" s="4">
        <v>1</v>
      </c>
    </row>
    <row r="759" s="1" customFormat="1" ht="22.5" customHeight="1" spans="1:2">
      <c r="A759" s="3">
        <v>780</v>
      </c>
      <c r="B759" s="4">
        <v>2</v>
      </c>
    </row>
    <row r="760" s="1" customFormat="1" ht="22.5" customHeight="1" spans="1:2">
      <c r="A760" s="3">
        <v>781</v>
      </c>
      <c r="B760" s="4">
        <v>2</v>
      </c>
    </row>
    <row r="761" s="1" customFormat="1" ht="22.5" customHeight="1" spans="1:2">
      <c r="A761" s="3">
        <v>782</v>
      </c>
      <c r="B761" s="4">
        <v>2</v>
      </c>
    </row>
    <row r="762" s="1" customFormat="1" ht="22.5" customHeight="1" spans="1:2">
      <c r="A762" s="3">
        <v>784</v>
      </c>
      <c r="B762" s="4">
        <v>3</v>
      </c>
    </row>
    <row r="763" s="1" customFormat="1" ht="22.5" customHeight="1" spans="1:2">
      <c r="A763" s="3">
        <v>786</v>
      </c>
      <c r="B763" s="4">
        <v>4</v>
      </c>
    </row>
    <row r="764" s="1" customFormat="1" ht="22.5" customHeight="1" spans="1:2">
      <c r="A764" s="3">
        <v>787</v>
      </c>
      <c r="B764" s="4">
        <v>4</v>
      </c>
    </row>
    <row r="765" s="1" customFormat="1" ht="22.5" customHeight="1" spans="1:2">
      <c r="A765" s="3">
        <v>788</v>
      </c>
      <c r="B765" s="4">
        <v>2</v>
      </c>
    </row>
    <row r="766" s="1" customFormat="1" ht="22.5" customHeight="1" spans="1:2">
      <c r="A766" s="3">
        <v>789</v>
      </c>
      <c r="B766" s="4">
        <v>1</v>
      </c>
    </row>
    <row r="767" s="1" customFormat="1" ht="22.5" customHeight="1" spans="1:2">
      <c r="A767" s="3">
        <v>790</v>
      </c>
      <c r="B767" s="4">
        <v>2</v>
      </c>
    </row>
    <row r="768" s="1" customFormat="1" ht="22.5" customHeight="1" spans="1:2">
      <c r="A768" s="3">
        <v>792</v>
      </c>
      <c r="B768" s="4">
        <v>1</v>
      </c>
    </row>
    <row r="769" s="1" customFormat="1" ht="22.5" customHeight="1" spans="1:2">
      <c r="A769" s="3">
        <v>793</v>
      </c>
      <c r="B769" s="4">
        <v>2</v>
      </c>
    </row>
    <row r="770" s="1" customFormat="1" ht="22.5" customHeight="1" spans="1:2">
      <c r="A770" s="3">
        <v>794</v>
      </c>
      <c r="B770" s="4">
        <v>3</v>
      </c>
    </row>
    <row r="771" s="1" customFormat="1" ht="22.5" customHeight="1" spans="1:2">
      <c r="A771" s="3">
        <v>795</v>
      </c>
      <c r="B771" s="4">
        <v>2</v>
      </c>
    </row>
    <row r="772" s="1" customFormat="1" ht="22.5" customHeight="1" spans="1:2">
      <c r="A772" s="3">
        <v>796</v>
      </c>
      <c r="B772" s="4">
        <v>2</v>
      </c>
    </row>
    <row r="773" s="1" customFormat="1" ht="22.5" customHeight="1" spans="1:2">
      <c r="A773" s="3">
        <v>797</v>
      </c>
      <c r="B773" s="4">
        <v>3</v>
      </c>
    </row>
    <row r="774" s="1" customFormat="1" ht="22.5" customHeight="1" spans="1:2">
      <c r="A774" s="3">
        <v>798</v>
      </c>
      <c r="B774" s="4">
        <v>3</v>
      </c>
    </row>
    <row r="775" s="1" customFormat="1" ht="22.5" customHeight="1" spans="1:2">
      <c r="A775" s="3">
        <v>799</v>
      </c>
      <c r="B775" s="4">
        <v>1</v>
      </c>
    </row>
    <row r="776" s="1" customFormat="1" ht="22.5" customHeight="1" spans="1:2">
      <c r="A776" s="3">
        <v>801</v>
      </c>
      <c r="B776" s="4">
        <v>1</v>
      </c>
    </row>
    <row r="777" s="1" customFormat="1" ht="22.5" customHeight="1" spans="1:2">
      <c r="A777" s="3">
        <v>802</v>
      </c>
      <c r="B777" s="4">
        <v>4</v>
      </c>
    </row>
    <row r="778" s="1" customFormat="1" ht="22.5" customHeight="1" spans="1:2">
      <c r="A778" s="3">
        <v>803</v>
      </c>
      <c r="B778" s="4">
        <v>1</v>
      </c>
    </row>
    <row r="779" s="1" customFormat="1" ht="22.5" customHeight="1" spans="1:2">
      <c r="A779" s="3">
        <v>804</v>
      </c>
      <c r="B779" s="4">
        <v>3</v>
      </c>
    </row>
    <row r="780" s="1" customFormat="1" ht="22.5" customHeight="1" spans="1:2">
      <c r="A780" s="3">
        <v>805</v>
      </c>
      <c r="B780" s="4">
        <v>1</v>
      </c>
    </row>
    <row r="781" s="1" customFormat="1" ht="22.5" customHeight="1" spans="1:2">
      <c r="A781" s="3">
        <v>806</v>
      </c>
      <c r="B781" s="4">
        <v>5</v>
      </c>
    </row>
    <row r="782" s="1" customFormat="1" ht="22.5" customHeight="1" spans="1:2">
      <c r="A782" s="3">
        <v>807</v>
      </c>
      <c r="B782" s="4">
        <v>1</v>
      </c>
    </row>
    <row r="783" s="1" customFormat="1" ht="22.5" customHeight="1" spans="1:2">
      <c r="A783" s="3">
        <v>808</v>
      </c>
      <c r="B783" s="4">
        <v>2</v>
      </c>
    </row>
    <row r="784" s="1" customFormat="1" ht="22.5" customHeight="1" spans="1:2">
      <c r="A784" s="3">
        <v>809</v>
      </c>
      <c r="B784" s="4">
        <v>5</v>
      </c>
    </row>
    <row r="785" s="1" customFormat="1" ht="22.5" customHeight="1" spans="1:2">
      <c r="A785" s="3">
        <v>810</v>
      </c>
      <c r="B785" s="4">
        <v>2</v>
      </c>
    </row>
    <row r="786" s="1" customFormat="1" ht="22.5" customHeight="1" spans="1:2">
      <c r="A786" s="3">
        <v>811</v>
      </c>
      <c r="B786" s="4">
        <v>1</v>
      </c>
    </row>
    <row r="787" s="1" customFormat="1" ht="22.5" customHeight="1" spans="1:2">
      <c r="A787" s="3">
        <v>812</v>
      </c>
      <c r="B787" s="4">
        <v>2</v>
      </c>
    </row>
    <row r="788" s="1" customFormat="1" ht="22.5" customHeight="1" spans="1:2">
      <c r="A788" s="3">
        <v>814</v>
      </c>
      <c r="B788" s="4">
        <v>2</v>
      </c>
    </row>
    <row r="789" s="1" customFormat="1" ht="22.5" customHeight="1" spans="1:2">
      <c r="A789" s="3">
        <v>816</v>
      </c>
      <c r="B789" s="4">
        <v>1</v>
      </c>
    </row>
    <row r="790" s="1" customFormat="1" ht="22.5" customHeight="1" spans="1:2">
      <c r="A790" s="3">
        <v>818</v>
      </c>
      <c r="B790" s="4">
        <v>1</v>
      </c>
    </row>
    <row r="791" s="1" customFormat="1" ht="22.5" customHeight="1" spans="1:2">
      <c r="A791" s="3">
        <v>820</v>
      </c>
      <c r="B791" s="4">
        <v>1</v>
      </c>
    </row>
    <row r="792" s="1" customFormat="1" ht="22.5" customHeight="1" spans="1:2">
      <c r="A792" s="3">
        <v>821</v>
      </c>
      <c r="B792" s="4">
        <v>1</v>
      </c>
    </row>
    <row r="793" s="1" customFormat="1" ht="22.5" customHeight="1" spans="1:2">
      <c r="A793" s="3">
        <v>822</v>
      </c>
      <c r="B793" s="4">
        <v>3</v>
      </c>
    </row>
    <row r="794" s="1" customFormat="1" ht="22.5" customHeight="1" spans="1:2">
      <c r="A794" s="3">
        <v>823</v>
      </c>
      <c r="B794" s="4">
        <v>1</v>
      </c>
    </row>
    <row r="795" s="1" customFormat="1" ht="22.5" customHeight="1" spans="1:2">
      <c r="A795" s="3">
        <v>824</v>
      </c>
      <c r="B795" s="4">
        <v>1</v>
      </c>
    </row>
    <row r="796" s="1" customFormat="1" ht="22.5" customHeight="1" spans="1:2">
      <c r="A796" s="3">
        <v>825</v>
      </c>
      <c r="B796" s="4">
        <v>4</v>
      </c>
    </row>
    <row r="797" s="1" customFormat="1" ht="22.5" customHeight="1" spans="1:2">
      <c r="A797" s="3">
        <v>826</v>
      </c>
      <c r="B797" s="4">
        <v>1</v>
      </c>
    </row>
    <row r="798" s="1" customFormat="1" ht="22.5" customHeight="1" spans="1:2">
      <c r="A798" s="3">
        <v>828</v>
      </c>
      <c r="B798" s="4">
        <v>1</v>
      </c>
    </row>
    <row r="799" s="1" customFormat="1" ht="22.5" customHeight="1" spans="1:2">
      <c r="A799" s="3">
        <v>829</v>
      </c>
      <c r="B799" s="4">
        <v>1</v>
      </c>
    </row>
    <row r="800" s="1" customFormat="1" ht="22.5" customHeight="1" spans="1:2">
      <c r="A800" s="3">
        <v>830</v>
      </c>
      <c r="B800" s="4">
        <v>3</v>
      </c>
    </row>
    <row r="801" s="1" customFormat="1" ht="22.5" customHeight="1" spans="1:2">
      <c r="A801" s="3">
        <v>831</v>
      </c>
      <c r="B801" s="4">
        <v>1</v>
      </c>
    </row>
    <row r="802" s="1" customFormat="1" ht="22.5" customHeight="1" spans="1:2">
      <c r="A802" s="3">
        <v>833</v>
      </c>
      <c r="B802" s="4">
        <v>1</v>
      </c>
    </row>
    <row r="803" s="1" customFormat="1" ht="22.5" customHeight="1" spans="1:2">
      <c r="A803" s="3">
        <v>834</v>
      </c>
      <c r="B803" s="4">
        <v>1</v>
      </c>
    </row>
    <row r="804" s="1" customFormat="1" ht="22.5" customHeight="1" spans="1:2">
      <c r="A804" s="3">
        <v>835</v>
      </c>
      <c r="B804" s="4">
        <v>1</v>
      </c>
    </row>
    <row r="805" s="1" customFormat="1" ht="22.5" customHeight="1" spans="1:2">
      <c r="A805" s="3">
        <v>837</v>
      </c>
      <c r="B805" s="4">
        <v>2</v>
      </c>
    </row>
    <row r="806" s="1" customFormat="1" ht="22.5" customHeight="1" spans="1:2">
      <c r="A806" s="3">
        <v>838</v>
      </c>
      <c r="B806" s="4">
        <v>2</v>
      </c>
    </row>
    <row r="807" s="1" customFormat="1" ht="22.5" customHeight="1" spans="1:2">
      <c r="A807" s="3">
        <v>843</v>
      </c>
      <c r="B807" s="4">
        <v>3</v>
      </c>
    </row>
    <row r="808" s="1" customFormat="1" ht="22.5" customHeight="1" spans="1:2">
      <c r="A808" s="3">
        <v>844</v>
      </c>
      <c r="B808" s="4">
        <v>3</v>
      </c>
    </row>
    <row r="809" s="1" customFormat="1" ht="22.5" customHeight="1" spans="1:2">
      <c r="A809" s="3">
        <v>845</v>
      </c>
      <c r="B809" s="4">
        <v>1</v>
      </c>
    </row>
    <row r="810" s="1" customFormat="1" ht="22.5" customHeight="1" spans="1:2">
      <c r="A810" s="3">
        <v>846</v>
      </c>
      <c r="B810" s="4">
        <v>1</v>
      </c>
    </row>
    <row r="811" s="1" customFormat="1" ht="22.5" customHeight="1" spans="1:2">
      <c r="A811" s="3">
        <v>847</v>
      </c>
      <c r="B811" s="4">
        <v>2</v>
      </c>
    </row>
    <row r="812" s="1" customFormat="1" ht="22.5" customHeight="1" spans="1:2">
      <c r="A812" s="3">
        <v>849</v>
      </c>
      <c r="B812" s="4">
        <v>2</v>
      </c>
    </row>
    <row r="813" s="1" customFormat="1" ht="22.5" customHeight="1" spans="1:2">
      <c r="A813" s="3">
        <v>850</v>
      </c>
      <c r="B813" s="4">
        <v>3</v>
      </c>
    </row>
    <row r="814" s="1" customFormat="1" ht="22.5" customHeight="1" spans="1:2">
      <c r="A814" s="3">
        <v>851</v>
      </c>
      <c r="B814" s="4">
        <v>1</v>
      </c>
    </row>
    <row r="815" s="1" customFormat="1" ht="22.5" customHeight="1" spans="1:2">
      <c r="A815" s="3">
        <v>852</v>
      </c>
      <c r="B815" s="4">
        <v>3</v>
      </c>
    </row>
    <row r="816" s="1" customFormat="1" ht="22.5" customHeight="1" spans="1:2">
      <c r="A816" s="3">
        <v>853</v>
      </c>
      <c r="B816" s="4">
        <v>1</v>
      </c>
    </row>
    <row r="817" s="1" customFormat="1" ht="22.5" customHeight="1" spans="1:2">
      <c r="A817" s="3">
        <v>855</v>
      </c>
      <c r="B817" s="4">
        <v>2</v>
      </c>
    </row>
    <row r="818" s="1" customFormat="1" ht="22.5" customHeight="1" spans="1:2">
      <c r="A818" s="3">
        <v>856</v>
      </c>
      <c r="B818" s="4">
        <v>1</v>
      </c>
    </row>
    <row r="819" s="1" customFormat="1" ht="22.5" customHeight="1" spans="1:2">
      <c r="A819" s="3">
        <v>857</v>
      </c>
      <c r="B819" s="4">
        <v>1</v>
      </c>
    </row>
    <row r="820" s="1" customFormat="1" ht="22.5" customHeight="1" spans="1:2">
      <c r="A820" s="3">
        <v>858</v>
      </c>
      <c r="B820" s="4">
        <v>1</v>
      </c>
    </row>
    <row r="821" s="1" customFormat="1" ht="22.5" customHeight="1" spans="1:2">
      <c r="A821" s="3">
        <v>859</v>
      </c>
      <c r="B821" s="4">
        <v>3</v>
      </c>
    </row>
    <row r="822" s="1" customFormat="1" ht="22.5" customHeight="1" spans="1:2">
      <c r="A822" s="3">
        <v>860</v>
      </c>
      <c r="B822" s="4">
        <v>2</v>
      </c>
    </row>
    <row r="823" s="1" customFormat="1" ht="22.5" customHeight="1" spans="1:2">
      <c r="A823" s="3">
        <v>861</v>
      </c>
      <c r="B823" s="4">
        <v>1</v>
      </c>
    </row>
    <row r="824" s="1" customFormat="1" ht="22.5" customHeight="1" spans="1:2">
      <c r="A824" s="3">
        <v>862</v>
      </c>
      <c r="B824" s="4">
        <v>1</v>
      </c>
    </row>
    <row r="825" s="1" customFormat="1" ht="22.5" customHeight="1" spans="1:2">
      <c r="A825" s="3">
        <v>863</v>
      </c>
      <c r="B825" s="4">
        <v>2</v>
      </c>
    </row>
    <row r="826" s="1" customFormat="1" ht="22.5" customHeight="1" spans="1:2">
      <c r="A826" s="3">
        <v>864</v>
      </c>
      <c r="B826" s="4">
        <v>1</v>
      </c>
    </row>
    <row r="827" s="1" customFormat="1" ht="22.5" customHeight="1" spans="1:2">
      <c r="A827" s="3">
        <v>865</v>
      </c>
      <c r="B827" s="4">
        <v>2</v>
      </c>
    </row>
    <row r="828" s="1" customFormat="1" ht="22.5" customHeight="1" spans="1:2">
      <c r="A828" s="3">
        <v>867</v>
      </c>
      <c r="B828" s="4">
        <v>1</v>
      </c>
    </row>
    <row r="829" s="1" customFormat="1" ht="22.5" customHeight="1" spans="1:2">
      <c r="A829" s="3">
        <v>870</v>
      </c>
      <c r="B829" s="4">
        <v>1</v>
      </c>
    </row>
    <row r="830" s="1" customFormat="1" ht="22.5" customHeight="1" spans="1:2">
      <c r="A830" s="3">
        <v>871</v>
      </c>
      <c r="B830" s="4">
        <v>1</v>
      </c>
    </row>
    <row r="831" s="1" customFormat="1" ht="22.5" customHeight="1" spans="1:2">
      <c r="A831" s="3">
        <v>872</v>
      </c>
      <c r="B831" s="4">
        <v>1</v>
      </c>
    </row>
    <row r="832" s="1" customFormat="1" ht="22.5" customHeight="1" spans="1:2">
      <c r="A832" s="3">
        <v>873</v>
      </c>
      <c r="B832" s="4">
        <v>1</v>
      </c>
    </row>
    <row r="833" s="1" customFormat="1" ht="22.5" customHeight="1" spans="1:2">
      <c r="A833" s="3">
        <v>876</v>
      </c>
      <c r="B833" s="4">
        <v>1</v>
      </c>
    </row>
    <row r="834" s="1" customFormat="1" ht="22.5" customHeight="1" spans="1:2">
      <c r="A834" s="3">
        <v>877</v>
      </c>
      <c r="B834" s="4">
        <v>1</v>
      </c>
    </row>
    <row r="835" s="1" customFormat="1" ht="22.5" customHeight="1" spans="1:2">
      <c r="A835" s="3">
        <v>879</v>
      </c>
      <c r="B835" s="4">
        <v>1</v>
      </c>
    </row>
    <row r="836" s="1" customFormat="1" ht="22.5" customHeight="1" spans="1:2">
      <c r="A836" s="3">
        <v>880</v>
      </c>
      <c r="B836" s="4">
        <v>1</v>
      </c>
    </row>
    <row r="837" s="1" customFormat="1" ht="22.5" customHeight="1" spans="1:2">
      <c r="A837" s="3">
        <v>881</v>
      </c>
      <c r="B837" s="4">
        <v>1</v>
      </c>
    </row>
    <row r="838" s="1" customFormat="1" ht="22.5" customHeight="1" spans="1:2">
      <c r="A838" s="3">
        <v>882</v>
      </c>
      <c r="B838" s="4">
        <v>1</v>
      </c>
    </row>
    <row r="839" s="1" customFormat="1" ht="22.5" customHeight="1" spans="1:2">
      <c r="A839" s="3">
        <v>885</v>
      </c>
      <c r="B839" s="4">
        <v>1</v>
      </c>
    </row>
    <row r="840" s="1" customFormat="1" ht="22.5" customHeight="1" spans="1:2">
      <c r="A840" s="3">
        <v>887</v>
      </c>
      <c r="B840" s="4">
        <v>1</v>
      </c>
    </row>
    <row r="841" s="1" customFormat="1" ht="22.5" customHeight="1" spans="1:2">
      <c r="A841" s="3">
        <v>888</v>
      </c>
      <c r="B841" s="4">
        <v>2</v>
      </c>
    </row>
    <row r="842" s="1" customFormat="1" ht="22.5" customHeight="1" spans="1:2">
      <c r="A842" s="3">
        <v>889</v>
      </c>
      <c r="B842" s="4">
        <v>2</v>
      </c>
    </row>
    <row r="843" s="1" customFormat="1" ht="22.5" customHeight="1" spans="1:2">
      <c r="A843" s="3">
        <v>890</v>
      </c>
      <c r="B843" s="4">
        <v>2</v>
      </c>
    </row>
    <row r="844" s="1" customFormat="1" ht="22.5" customHeight="1" spans="1:2">
      <c r="A844" s="3">
        <v>892</v>
      </c>
      <c r="B844" s="4">
        <v>3</v>
      </c>
    </row>
    <row r="845" s="1" customFormat="1" ht="22.5" customHeight="1" spans="1:2">
      <c r="A845" s="3">
        <v>893</v>
      </c>
      <c r="B845" s="4">
        <v>1</v>
      </c>
    </row>
    <row r="846" s="1" customFormat="1" ht="22.5" customHeight="1" spans="1:2">
      <c r="A846" s="3">
        <v>896</v>
      </c>
      <c r="B846" s="4">
        <v>2</v>
      </c>
    </row>
    <row r="847" s="1" customFormat="1" ht="22.5" customHeight="1" spans="1:2">
      <c r="A847" s="3">
        <v>898</v>
      </c>
      <c r="B847" s="4">
        <v>2</v>
      </c>
    </row>
    <row r="848" s="1" customFormat="1" ht="22.5" customHeight="1" spans="1:2">
      <c r="A848" s="3">
        <v>899</v>
      </c>
      <c r="B848" s="4">
        <v>3</v>
      </c>
    </row>
    <row r="849" s="1" customFormat="1" ht="22.5" customHeight="1" spans="1:2">
      <c r="A849" s="3">
        <v>900</v>
      </c>
      <c r="B849" s="4">
        <v>1</v>
      </c>
    </row>
    <row r="850" s="1" customFormat="1" ht="22.5" customHeight="1" spans="1:2">
      <c r="A850" s="3">
        <v>901</v>
      </c>
      <c r="B850" s="4">
        <v>4</v>
      </c>
    </row>
    <row r="851" s="1" customFormat="1" ht="22.5" customHeight="1" spans="1:2">
      <c r="A851" s="3">
        <v>902</v>
      </c>
      <c r="B851" s="4">
        <v>1</v>
      </c>
    </row>
    <row r="852" s="1" customFormat="1" ht="22.5" customHeight="1" spans="1:2">
      <c r="A852" s="3">
        <v>903</v>
      </c>
      <c r="B852" s="4">
        <v>1</v>
      </c>
    </row>
    <row r="853" s="1" customFormat="1" ht="22.5" customHeight="1" spans="1:2">
      <c r="A853" s="3">
        <v>904</v>
      </c>
      <c r="B853" s="4">
        <v>3</v>
      </c>
    </row>
    <row r="854" s="1" customFormat="1" ht="22.5" customHeight="1" spans="1:2">
      <c r="A854" s="3">
        <v>905</v>
      </c>
      <c r="B854" s="4">
        <v>4</v>
      </c>
    </row>
    <row r="855" s="1" customFormat="1" ht="22.5" customHeight="1" spans="1:2">
      <c r="A855" s="3">
        <v>906</v>
      </c>
      <c r="B855" s="4">
        <v>1</v>
      </c>
    </row>
    <row r="856" s="1" customFormat="1" ht="22.5" customHeight="1" spans="1:2">
      <c r="A856" s="3">
        <v>907</v>
      </c>
      <c r="B856" s="4">
        <v>1</v>
      </c>
    </row>
    <row r="857" s="1" customFormat="1" ht="22.5" customHeight="1" spans="1:2">
      <c r="A857" s="3">
        <v>908</v>
      </c>
      <c r="B857" s="4">
        <v>1</v>
      </c>
    </row>
    <row r="858" s="1" customFormat="1" ht="22.5" customHeight="1" spans="1:2">
      <c r="A858" s="3">
        <v>909</v>
      </c>
      <c r="B858" s="4">
        <v>2</v>
      </c>
    </row>
    <row r="859" s="1" customFormat="1" ht="22.5" customHeight="1" spans="1:2">
      <c r="A859" s="3">
        <v>910</v>
      </c>
      <c r="B859" s="4">
        <v>3</v>
      </c>
    </row>
    <row r="860" s="1" customFormat="1" ht="22.5" customHeight="1" spans="1:2">
      <c r="A860" s="3">
        <v>911</v>
      </c>
      <c r="B860" s="4">
        <v>1</v>
      </c>
    </row>
    <row r="861" s="1" customFormat="1" ht="22.5" customHeight="1" spans="1:2">
      <c r="A861" s="3">
        <v>913</v>
      </c>
      <c r="B861" s="4">
        <v>4</v>
      </c>
    </row>
    <row r="862" s="1" customFormat="1" ht="22.5" customHeight="1" spans="1:2">
      <c r="A862" s="3">
        <v>914</v>
      </c>
      <c r="B862" s="4">
        <v>3</v>
      </c>
    </row>
    <row r="863" s="1" customFormat="1" ht="22.5" customHeight="1" spans="1:2">
      <c r="A863" s="3">
        <v>915</v>
      </c>
      <c r="B863" s="4">
        <v>1</v>
      </c>
    </row>
    <row r="864" s="1" customFormat="1" ht="22.5" customHeight="1" spans="1:2">
      <c r="A864" s="3">
        <v>917</v>
      </c>
      <c r="B864" s="4">
        <v>1</v>
      </c>
    </row>
    <row r="865" s="1" customFormat="1" ht="22.5" customHeight="1" spans="1:2">
      <c r="A865" s="3">
        <v>918</v>
      </c>
      <c r="B865" s="4">
        <v>1</v>
      </c>
    </row>
    <row r="866" s="1" customFormat="1" ht="22.5" customHeight="1" spans="1:2">
      <c r="A866" s="3">
        <v>919</v>
      </c>
      <c r="B866" s="4">
        <v>1</v>
      </c>
    </row>
    <row r="867" s="1" customFormat="1" ht="22.5" customHeight="1" spans="1:2">
      <c r="A867" s="3">
        <v>920</v>
      </c>
      <c r="B867" s="4">
        <v>1</v>
      </c>
    </row>
    <row r="868" s="1" customFormat="1" ht="22.5" customHeight="1" spans="1:2">
      <c r="A868" s="3">
        <v>922</v>
      </c>
      <c r="B868" s="4">
        <v>1</v>
      </c>
    </row>
    <row r="869" s="1" customFormat="1" ht="22.5" customHeight="1" spans="1:2">
      <c r="A869" s="3">
        <v>923</v>
      </c>
      <c r="B869" s="4">
        <v>1</v>
      </c>
    </row>
    <row r="870" s="1" customFormat="1" ht="22.5" customHeight="1" spans="1:2">
      <c r="A870" s="3">
        <v>926</v>
      </c>
      <c r="B870" s="4">
        <v>2</v>
      </c>
    </row>
    <row r="871" s="1" customFormat="1" ht="22.5" customHeight="1" spans="1:2">
      <c r="A871" s="3">
        <v>928</v>
      </c>
      <c r="B871" s="4">
        <v>1</v>
      </c>
    </row>
    <row r="872" s="1" customFormat="1" ht="22.5" customHeight="1" spans="1:2">
      <c r="A872" s="3">
        <v>930</v>
      </c>
      <c r="B872" s="4">
        <v>2</v>
      </c>
    </row>
    <row r="873" s="1" customFormat="1" ht="22.5" customHeight="1" spans="1:2">
      <c r="A873" s="3">
        <v>931</v>
      </c>
      <c r="B873" s="4">
        <v>1</v>
      </c>
    </row>
    <row r="874" s="1" customFormat="1" ht="22.5" customHeight="1" spans="1:2">
      <c r="A874" s="3">
        <v>932</v>
      </c>
      <c r="B874" s="4">
        <v>1</v>
      </c>
    </row>
    <row r="875" s="1" customFormat="1" ht="22.5" customHeight="1" spans="1:2">
      <c r="A875" s="3">
        <v>933</v>
      </c>
      <c r="B875" s="4">
        <v>2</v>
      </c>
    </row>
    <row r="876" s="1" customFormat="1" ht="22.5" customHeight="1" spans="1:2">
      <c r="A876" s="3">
        <v>934</v>
      </c>
      <c r="B876" s="4">
        <v>1</v>
      </c>
    </row>
    <row r="877" s="1" customFormat="1" ht="22.5" customHeight="1" spans="1:2">
      <c r="A877" s="3">
        <v>935</v>
      </c>
      <c r="B877" s="4">
        <v>1</v>
      </c>
    </row>
    <row r="878" s="1" customFormat="1" ht="22.5" customHeight="1" spans="1:2">
      <c r="A878" s="3">
        <v>936</v>
      </c>
      <c r="B878" s="4">
        <v>2</v>
      </c>
    </row>
    <row r="879" s="1" customFormat="1" ht="22.5" customHeight="1" spans="1:2">
      <c r="A879" s="3">
        <v>937</v>
      </c>
      <c r="B879" s="4">
        <v>1</v>
      </c>
    </row>
    <row r="880" s="1" customFormat="1" ht="22.5" customHeight="1" spans="1:2">
      <c r="A880" s="3">
        <v>939</v>
      </c>
      <c r="B880" s="4">
        <v>2</v>
      </c>
    </row>
    <row r="881" s="1" customFormat="1" ht="22.5" customHeight="1" spans="1:2">
      <c r="A881" s="3">
        <v>940</v>
      </c>
      <c r="B881" s="4">
        <v>1</v>
      </c>
    </row>
    <row r="882" s="1" customFormat="1" ht="22.5" customHeight="1" spans="1:2">
      <c r="A882" s="3">
        <v>941</v>
      </c>
      <c r="B882" s="4">
        <v>2</v>
      </c>
    </row>
    <row r="883" s="1" customFormat="1" ht="22.5" customHeight="1" spans="1:2">
      <c r="A883" s="3">
        <v>942</v>
      </c>
      <c r="B883" s="4">
        <v>2</v>
      </c>
    </row>
    <row r="884" s="1" customFormat="1" ht="22.5" customHeight="1" spans="1:2">
      <c r="A884" s="3">
        <v>944</v>
      </c>
      <c r="B884" s="4">
        <v>1</v>
      </c>
    </row>
    <row r="885" s="1" customFormat="1" ht="22.5" customHeight="1" spans="1:2">
      <c r="A885" s="3">
        <v>946</v>
      </c>
      <c r="B885" s="4">
        <v>1</v>
      </c>
    </row>
    <row r="886" s="1" customFormat="1" ht="22.5" customHeight="1" spans="1:2">
      <c r="A886" s="3">
        <v>947</v>
      </c>
      <c r="B886" s="4">
        <v>1</v>
      </c>
    </row>
    <row r="887" s="1" customFormat="1" ht="22.5" customHeight="1" spans="1:2">
      <c r="A887" s="3">
        <v>949</v>
      </c>
      <c r="B887" s="4">
        <v>1</v>
      </c>
    </row>
    <row r="888" s="1" customFormat="1" ht="22.5" customHeight="1" spans="1:2">
      <c r="A888" s="3">
        <v>950</v>
      </c>
      <c r="B888" s="4">
        <v>1</v>
      </c>
    </row>
    <row r="889" s="1" customFormat="1" ht="22.5" customHeight="1" spans="1:2">
      <c r="A889" s="3">
        <v>952</v>
      </c>
      <c r="B889" s="4">
        <v>1</v>
      </c>
    </row>
    <row r="890" s="1" customFormat="1" ht="22.5" customHeight="1" spans="1:2">
      <c r="A890" s="3">
        <v>953</v>
      </c>
      <c r="B890" s="4">
        <v>1</v>
      </c>
    </row>
    <row r="891" s="1" customFormat="1" ht="22.5" customHeight="1" spans="1:2">
      <c r="A891" s="3">
        <v>955</v>
      </c>
      <c r="B891" s="4">
        <v>1</v>
      </c>
    </row>
    <row r="892" s="1" customFormat="1" ht="22.5" customHeight="1" spans="1:2">
      <c r="A892" s="3">
        <v>957</v>
      </c>
      <c r="B892" s="4">
        <v>3</v>
      </c>
    </row>
    <row r="893" s="1" customFormat="1" ht="22.5" customHeight="1" spans="1:2">
      <c r="A893" s="3">
        <v>958</v>
      </c>
      <c r="B893" s="4">
        <v>1</v>
      </c>
    </row>
    <row r="894" s="1" customFormat="1" ht="22.5" customHeight="1" spans="1:2">
      <c r="A894" s="3">
        <v>960</v>
      </c>
      <c r="B894" s="4">
        <v>2</v>
      </c>
    </row>
    <row r="895" s="1" customFormat="1" ht="22.5" customHeight="1" spans="1:2">
      <c r="A895" s="3">
        <v>961</v>
      </c>
      <c r="B895" s="4">
        <v>1</v>
      </c>
    </row>
    <row r="896" s="1" customFormat="1" ht="22.5" customHeight="1" spans="1:2">
      <c r="A896" s="3">
        <v>964</v>
      </c>
      <c r="B896" s="4">
        <v>1</v>
      </c>
    </row>
    <row r="897" s="1" customFormat="1" ht="22.5" customHeight="1" spans="1:2">
      <c r="A897" s="3">
        <v>965</v>
      </c>
      <c r="B897" s="4">
        <v>1</v>
      </c>
    </row>
    <row r="898" s="1" customFormat="1" ht="22.5" customHeight="1" spans="1:2">
      <c r="A898" s="3">
        <v>968</v>
      </c>
      <c r="B898" s="4">
        <v>1</v>
      </c>
    </row>
    <row r="899" s="1" customFormat="1" ht="22.5" customHeight="1" spans="1:2">
      <c r="A899" s="3">
        <v>969</v>
      </c>
      <c r="B899" s="4">
        <v>3</v>
      </c>
    </row>
    <row r="900" s="1" customFormat="1" ht="22.5" customHeight="1" spans="1:2">
      <c r="A900" s="3">
        <v>973</v>
      </c>
      <c r="B900" s="4">
        <v>1</v>
      </c>
    </row>
    <row r="901" s="1" customFormat="1" ht="22.5" customHeight="1" spans="1:2">
      <c r="A901" s="3">
        <v>974</v>
      </c>
      <c r="B901" s="4">
        <v>1</v>
      </c>
    </row>
    <row r="902" s="1" customFormat="1" ht="22.5" customHeight="1" spans="1:2">
      <c r="A902" s="3">
        <v>975</v>
      </c>
      <c r="B902" s="4">
        <v>2</v>
      </c>
    </row>
    <row r="903" s="1" customFormat="1" ht="22.5" customHeight="1" spans="1:2">
      <c r="A903" s="3">
        <v>976</v>
      </c>
      <c r="B903" s="4">
        <v>3</v>
      </c>
    </row>
    <row r="904" s="1" customFormat="1" ht="22.5" customHeight="1" spans="1:2">
      <c r="A904" s="3">
        <v>977</v>
      </c>
      <c r="B904" s="4">
        <v>3</v>
      </c>
    </row>
    <row r="905" s="1" customFormat="1" ht="22.5" customHeight="1" spans="1:2">
      <c r="A905" s="3">
        <v>978</v>
      </c>
      <c r="B905" s="4">
        <v>3</v>
      </c>
    </row>
    <row r="906" s="1" customFormat="1" ht="22.5" customHeight="1" spans="1:2">
      <c r="A906" s="3">
        <v>980</v>
      </c>
      <c r="B906" s="4">
        <v>3</v>
      </c>
    </row>
    <row r="907" s="1" customFormat="1" ht="22.5" customHeight="1" spans="1:2">
      <c r="A907" s="3">
        <v>981</v>
      </c>
      <c r="B907" s="4">
        <v>2</v>
      </c>
    </row>
    <row r="908" s="1" customFormat="1" ht="22.5" customHeight="1" spans="1:2">
      <c r="A908" s="3">
        <v>982</v>
      </c>
      <c r="B908" s="4">
        <v>4</v>
      </c>
    </row>
    <row r="909" s="1" customFormat="1" ht="22.5" customHeight="1" spans="1:2">
      <c r="A909" s="3">
        <v>983</v>
      </c>
      <c r="B909" s="4">
        <v>4</v>
      </c>
    </row>
    <row r="910" s="1" customFormat="1" ht="22.5" customHeight="1" spans="1:2">
      <c r="A910" s="3">
        <v>984</v>
      </c>
      <c r="B910" s="4">
        <v>1</v>
      </c>
    </row>
    <row r="911" s="1" customFormat="1" ht="22.5" customHeight="1" spans="1:2">
      <c r="A911" s="3">
        <v>985</v>
      </c>
      <c r="B911" s="4">
        <v>1</v>
      </c>
    </row>
    <row r="912" s="1" customFormat="1" ht="22.5" customHeight="1" spans="1:2">
      <c r="A912" s="3">
        <v>986</v>
      </c>
      <c r="B912" s="4">
        <v>1</v>
      </c>
    </row>
    <row r="913" s="1" customFormat="1" ht="22.5" customHeight="1" spans="1:2">
      <c r="A913" s="3">
        <v>987</v>
      </c>
      <c r="B913" s="4">
        <v>2</v>
      </c>
    </row>
    <row r="914" s="1" customFormat="1" ht="22.5" customHeight="1" spans="1:2">
      <c r="A914" s="3">
        <v>988</v>
      </c>
      <c r="B914" s="4">
        <v>2</v>
      </c>
    </row>
    <row r="915" s="1" customFormat="1" ht="22.5" customHeight="1" spans="1:2">
      <c r="A915" s="3">
        <v>989</v>
      </c>
      <c r="B915" s="4">
        <v>1</v>
      </c>
    </row>
    <row r="916" s="1" customFormat="1" ht="22.5" customHeight="1" spans="1:2">
      <c r="A916" s="3">
        <v>990</v>
      </c>
      <c r="B916" s="4">
        <v>2</v>
      </c>
    </row>
    <row r="917" s="1" customFormat="1" ht="22.5" customHeight="1" spans="1:2">
      <c r="A917" s="3">
        <v>991</v>
      </c>
      <c r="B917" s="4">
        <v>1</v>
      </c>
    </row>
    <row r="918" s="1" customFormat="1" ht="22.5" customHeight="1" spans="1:2">
      <c r="A918" s="3">
        <v>992</v>
      </c>
      <c r="B918" s="4">
        <v>1</v>
      </c>
    </row>
    <row r="919" s="1" customFormat="1" ht="22.5" customHeight="1" spans="1:2">
      <c r="A919" s="3">
        <v>997</v>
      </c>
      <c r="B919" s="4">
        <v>1</v>
      </c>
    </row>
    <row r="920" s="1" customFormat="1" ht="22.5" customHeight="1" spans="1:2">
      <c r="A920" s="3">
        <v>1001</v>
      </c>
      <c r="B920" s="4">
        <v>2</v>
      </c>
    </row>
    <row r="921" s="1" customFormat="1" ht="22.5" customHeight="1" spans="1:2">
      <c r="A921" s="3">
        <v>1005</v>
      </c>
      <c r="B921" s="4">
        <v>3</v>
      </c>
    </row>
    <row r="922" s="1" customFormat="1" ht="22.5" customHeight="1" spans="1:2">
      <c r="A922" s="3">
        <v>1006</v>
      </c>
      <c r="B922" s="4">
        <v>1</v>
      </c>
    </row>
    <row r="923" s="1" customFormat="1" ht="22.5" customHeight="1" spans="1:2">
      <c r="A923" s="3">
        <v>1007</v>
      </c>
      <c r="B923" s="4">
        <v>1</v>
      </c>
    </row>
    <row r="924" s="1" customFormat="1" ht="22.5" customHeight="1" spans="1:2">
      <c r="A924" s="3">
        <v>1008</v>
      </c>
      <c r="B924" s="4">
        <v>1</v>
      </c>
    </row>
    <row r="925" s="1" customFormat="1" ht="22.5" customHeight="1" spans="1:2">
      <c r="A925" s="3">
        <v>1009</v>
      </c>
      <c r="B925" s="4">
        <v>1</v>
      </c>
    </row>
    <row r="926" s="1" customFormat="1" ht="22.5" customHeight="1" spans="1:2">
      <c r="A926" s="3">
        <v>1010</v>
      </c>
      <c r="B926" s="4">
        <v>2</v>
      </c>
    </row>
    <row r="927" s="1" customFormat="1" ht="22.5" customHeight="1" spans="1:2">
      <c r="A927" s="3">
        <v>1015</v>
      </c>
      <c r="B927" s="4">
        <v>1</v>
      </c>
    </row>
    <row r="928" s="1" customFormat="1" ht="22.5" customHeight="1" spans="1:2">
      <c r="A928" s="3">
        <v>1017</v>
      </c>
      <c r="B928" s="4">
        <v>3</v>
      </c>
    </row>
    <row r="929" s="1" customFormat="1" ht="22.5" customHeight="1" spans="1:2">
      <c r="A929" s="3">
        <v>1018</v>
      </c>
      <c r="B929" s="4">
        <v>1</v>
      </c>
    </row>
    <row r="930" s="1" customFormat="1" ht="22.5" customHeight="1" spans="1:2">
      <c r="A930" s="3">
        <v>1021</v>
      </c>
      <c r="B930" s="4">
        <v>2</v>
      </c>
    </row>
    <row r="931" s="1" customFormat="1" ht="22.5" customHeight="1" spans="1:2">
      <c r="A931" s="3">
        <v>1023</v>
      </c>
      <c r="B931" s="4">
        <v>1</v>
      </c>
    </row>
    <row r="932" s="1" customFormat="1" ht="22.5" customHeight="1" spans="1:2">
      <c r="A932" s="3">
        <v>1027</v>
      </c>
      <c r="B932" s="4">
        <v>1</v>
      </c>
    </row>
    <row r="933" s="1" customFormat="1" ht="22.5" customHeight="1" spans="1:2">
      <c r="A933" s="3">
        <v>1029</v>
      </c>
      <c r="B933" s="4">
        <v>2</v>
      </c>
    </row>
    <row r="934" s="1" customFormat="1" ht="22.5" customHeight="1" spans="1:2">
      <c r="A934" s="3">
        <v>1032</v>
      </c>
      <c r="B934" s="4">
        <v>1</v>
      </c>
    </row>
    <row r="935" s="1" customFormat="1" ht="22.5" customHeight="1" spans="1:2">
      <c r="A935" s="3">
        <v>1034</v>
      </c>
      <c r="B935" s="4">
        <v>2</v>
      </c>
    </row>
    <row r="936" s="1" customFormat="1" ht="22.5" customHeight="1" spans="1:2">
      <c r="A936" s="3">
        <v>1036</v>
      </c>
      <c r="B936" s="4">
        <v>2</v>
      </c>
    </row>
    <row r="937" s="1" customFormat="1" ht="22.5" customHeight="1" spans="1:2">
      <c r="A937" s="3">
        <v>1040</v>
      </c>
      <c r="B937" s="4">
        <v>2</v>
      </c>
    </row>
    <row r="938" s="1" customFormat="1" ht="22.5" customHeight="1" spans="1:2">
      <c r="A938" s="3">
        <v>1042</v>
      </c>
      <c r="B938" s="4">
        <v>2</v>
      </c>
    </row>
    <row r="939" s="1" customFormat="1" ht="22.5" customHeight="1" spans="1:2">
      <c r="A939" s="3">
        <v>1044</v>
      </c>
      <c r="B939" s="4">
        <v>2</v>
      </c>
    </row>
    <row r="940" s="1" customFormat="1" ht="22.5" customHeight="1" spans="1:2">
      <c r="A940" s="3">
        <v>1045</v>
      </c>
      <c r="B940" s="4">
        <v>1</v>
      </c>
    </row>
    <row r="941" s="1" customFormat="1" ht="22.5" customHeight="1" spans="1:2">
      <c r="A941" s="3">
        <v>1047</v>
      </c>
      <c r="B941" s="4">
        <v>1</v>
      </c>
    </row>
    <row r="942" s="1" customFormat="1" ht="22.5" customHeight="1" spans="1:2">
      <c r="A942" s="3">
        <v>1048</v>
      </c>
      <c r="B942" s="4">
        <v>1</v>
      </c>
    </row>
    <row r="943" s="1" customFormat="1" ht="22.5" customHeight="1" spans="1:2">
      <c r="A943" s="3">
        <v>1049</v>
      </c>
      <c r="B943" s="4">
        <v>2</v>
      </c>
    </row>
    <row r="944" s="1" customFormat="1" ht="22.5" customHeight="1" spans="1:2">
      <c r="A944" s="3">
        <v>1050</v>
      </c>
      <c r="B944" s="4">
        <v>1</v>
      </c>
    </row>
    <row r="945" s="1" customFormat="1" ht="22.5" customHeight="1" spans="1:2">
      <c r="A945" s="3">
        <v>1051</v>
      </c>
      <c r="B945" s="4">
        <v>1</v>
      </c>
    </row>
    <row r="946" s="1" customFormat="1" ht="22.5" customHeight="1" spans="1:2">
      <c r="A946" s="3">
        <v>1052</v>
      </c>
      <c r="B946" s="4">
        <v>1</v>
      </c>
    </row>
    <row r="947" s="1" customFormat="1" ht="22.5" customHeight="1" spans="1:2">
      <c r="A947" s="3">
        <v>1053</v>
      </c>
      <c r="B947" s="4">
        <v>1</v>
      </c>
    </row>
    <row r="948" s="1" customFormat="1" ht="22.5" customHeight="1" spans="1:2">
      <c r="A948" s="3">
        <v>1054</v>
      </c>
      <c r="B948" s="4">
        <v>1</v>
      </c>
    </row>
    <row r="949" s="1" customFormat="1" ht="22.5" customHeight="1" spans="1:2">
      <c r="A949" s="3">
        <v>1055</v>
      </c>
      <c r="B949" s="4">
        <v>1</v>
      </c>
    </row>
    <row r="950" s="1" customFormat="1" ht="22.5" customHeight="1" spans="1:2">
      <c r="A950" s="3">
        <v>1057</v>
      </c>
      <c r="B950" s="4">
        <v>2</v>
      </c>
    </row>
    <row r="951" s="1" customFormat="1" ht="22.5" customHeight="1" spans="1:2">
      <c r="A951" s="3">
        <v>1058</v>
      </c>
      <c r="B951" s="4">
        <v>1</v>
      </c>
    </row>
    <row r="952" s="1" customFormat="1" ht="22.5" customHeight="1" spans="1:2">
      <c r="A952" s="3">
        <v>1061</v>
      </c>
      <c r="B952" s="4">
        <v>1</v>
      </c>
    </row>
    <row r="953" s="1" customFormat="1" ht="22.5" customHeight="1" spans="1:2">
      <c r="A953" s="3">
        <v>1063</v>
      </c>
      <c r="B953" s="4">
        <v>1</v>
      </c>
    </row>
    <row r="954" s="1" customFormat="1" ht="22.5" customHeight="1" spans="1:2">
      <c r="A954" s="3">
        <v>1065</v>
      </c>
      <c r="B954" s="4">
        <v>3</v>
      </c>
    </row>
    <row r="955" s="1" customFormat="1" ht="22.5" customHeight="1" spans="1:2">
      <c r="A955" s="3">
        <v>1066</v>
      </c>
      <c r="B955" s="4">
        <v>2</v>
      </c>
    </row>
    <row r="956" s="1" customFormat="1" ht="22.5" customHeight="1" spans="1:2">
      <c r="A956" s="3">
        <v>1068</v>
      </c>
      <c r="B956" s="4">
        <v>1</v>
      </c>
    </row>
    <row r="957" s="1" customFormat="1" ht="22.5" customHeight="1" spans="1:2">
      <c r="A957" s="3">
        <v>1069</v>
      </c>
      <c r="B957" s="4">
        <v>1</v>
      </c>
    </row>
    <row r="958" s="1" customFormat="1" ht="22.5" customHeight="1" spans="1:2">
      <c r="A958" s="3">
        <v>1070</v>
      </c>
      <c r="B958" s="4">
        <v>1</v>
      </c>
    </row>
    <row r="959" s="1" customFormat="1" ht="22.5" customHeight="1" spans="1:2">
      <c r="A959" s="3">
        <v>1072</v>
      </c>
      <c r="B959" s="4">
        <v>2</v>
      </c>
    </row>
    <row r="960" s="1" customFormat="1" ht="22.5" customHeight="1" spans="1:2">
      <c r="A960" s="3">
        <v>1073</v>
      </c>
      <c r="B960" s="4">
        <v>1</v>
      </c>
    </row>
    <row r="961" s="1" customFormat="1" ht="22.5" customHeight="1" spans="1:2">
      <c r="A961" s="3">
        <v>1074</v>
      </c>
      <c r="B961" s="4">
        <v>1</v>
      </c>
    </row>
    <row r="962" s="1" customFormat="1" ht="22.5" customHeight="1" spans="1:2">
      <c r="A962" s="3">
        <v>1078</v>
      </c>
      <c r="B962" s="4">
        <v>1</v>
      </c>
    </row>
    <row r="963" s="1" customFormat="1" ht="22.5" customHeight="1" spans="1:2">
      <c r="A963" s="3">
        <v>1080</v>
      </c>
      <c r="B963" s="4">
        <v>1</v>
      </c>
    </row>
    <row r="964" s="1" customFormat="1" ht="22.5" customHeight="1" spans="1:2">
      <c r="A964" s="3">
        <v>1083</v>
      </c>
      <c r="B964" s="4">
        <v>2</v>
      </c>
    </row>
    <row r="965" s="1" customFormat="1" ht="22.5" customHeight="1" spans="1:2">
      <c r="A965" s="3">
        <v>1086</v>
      </c>
      <c r="B965" s="4">
        <v>1</v>
      </c>
    </row>
    <row r="966" s="1" customFormat="1" ht="22.5" customHeight="1" spans="1:2">
      <c r="A966" s="3">
        <v>1088</v>
      </c>
      <c r="B966" s="4">
        <v>2</v>
      </c>
    </row>
    <row r="967" s="1" customFormat="1" ht="22.5" customHeight="1" spans="1:2">
      <c r="A967" s="3">
        <v>1089</v>
      </c>
      <c r="B967" s="4">
        <v>2</v>
      </c>
    </row>
    <row r="968" s="1" customFormat="1" ht="22.5" customHeight="1" spans="1:2">
      <c r="A968" s="3">
        <v>1090</v>
      </c>
      <c r="B968" s="4">
        <v>1</v>
      </c>
    </row>
    <row r="969" s="1" customFormat="1" ht="22.5" customHeight="1" spans="1:2">
      <c r="A969" s="3">
        <v>1091</v>
      </c>
      <c r="B969" s="4">
        <v>1</v>
      </c>
    </row>
    <row r="970" s="1" customFormat="1" ht="22.5" customHeight="1" spans="1:2">
      <c r="A970" s="3">
        <v>1092</v>
      </c>
      <c r="B970" s="4">
        <v>1</v>
      </c>
    </row>
    <row r="971" s="1" customFormat="1" ht="22.5" customHeight="1" spans="1:2">
      <c r="A971" s="3">
        <v>1094</v>
      </c>
      <c r="B971" s="4">
        <v>1</v>
      </c>
    </row>
    <row r="972" s="1" customFormat="1" ht="22.5" customHeight="1" spans="1:2">
      <c r="A972" s="3">
        <v>1095</v>
      </c>
      <c r="B972" s="4">
        <v>2</v>
      </c>
    </row>
    <row r="973" s="1" customFormat="1" ht="22.5" customHeight="1" spans="1:2">
      <c r="A973" s="3">
        <v>1098</v>
      </c>
      <c r="B973" s="4">
        <v>1</v>
      </c>
    </row>
    <row r="974" s="1" customFormat="1" ht="22.5" customHeight="1" spans="1:2">
      <c r="A974" s="3">
        <v>1100</v>
      </c>
      <c r="B974" s="4">
        <v>1</v>
      </c>
    </row>
    <row r="975" s="1" customFormat="1" ht="22.5" customHeight="1" spans="1:2">
      <c r="A975" s="3">
        <v>1101</v>
      </c>
      <c r="B975" s="4">
        <v>1</v>
      </c>
    </row>
    <row r="976" s="1" customFormat="1" ht="22.5" customHeight="1" spans="1:2">
      <c r="A976" s="3">
        <v>1103</v>
      </c>
      <c r="B976" s="4">
        <v>2</v>
      </c>
    </row>
    <row r="977" s="1" customFormat="1" ht="22.5" customHeight="1" spans="1:2">
      <c r="A977" s="3">
        <v>1104</v>
      </c>
      <c r="B977" s="4">
        <v>1</v>
      </c>
    </row>
    <row r="978" s="1" customFormat="1" ht="22.5" customHeight="1" spans="1:2">
      <c r="A978" s="3">
        <v>1106</v>
      </c>
      <c r="B978" s="4">
        <v>2</v>
      </c>
    </row>
    <row r="979" s="1" customFormat="1" ht="22.5" customHeight="1" spans="1:2">
      <c r="A979" s="3">
        <v>1109</v>
      </c>
      <c r="B979" s="4">
        <v>2</v>
      </c>
    </row>
    <row r="980" s="1" customFormat="1" ht="22.5" customHeight="1" spans="1:2">
      <c r="A980" s="3">
        <v>1113</v>
      </c>
      <c r="B980" s="4">
        <v>1</v>
      </c>
    </row>
    <row r="981" s="1" customFormat="1" ht="22.5" customHeight="1" spans="1:2">
      <c r="A981" s="3">
        <v>1115</v>
      </c>
      <c r="B981" s="4">
        <v>2</v>
      </c>
    </row>
    <row r="982" s="1" customFormat="1" ht="22.5" customHeight="1" spans="1:2">
      <c r="A982" s="3">
        <v>1116</v>
      </c>
      <c r="B982" s="4">
        <v>1</v>
      </c>
    </row>
    <row r="983" s="1" customFormat="1" ht="22.5" customHeight="1" spans="1:2">
      <c r="A983" s="3">
        <v>1118</v>
      </c>
      <c r="B983" s="4">
        <v>1</v>
      </c>
    </row>
    <row r="984" s="1" customFormat="1" ht="22.5" customHeight="1" spans="1:2">
      <c r="A984" s="3">
        <v>1120</v>
      </c>
      <c r="B984" s="4">
        <v>1</v>
      </c>
    </row>
    <row r="985" s="1" customFormat="1" ht="22.5" customHeight="1" spans="1:2">
      <c r="A985" s="3">
        <v>1122</v>
      </c>
      <c r="B985" s="4">
        <v>1</v>
      </c>
    </row>
    <row r="986" s="1" customFormat="1" ht="22.5" customHeight="1" spans="1:2">
      <c r="A986" s="3">
        <v>1124</v>
      </c>
      <c r="B986" s="4">
        <v>2</v>
      </c>
    </row>
    <row r="987" s="1" customFormat="1" ht="22.5" customHeight="1" spans="1:2">
      <c r="A987" s="3">
        <v>1128</v>
      </c>
      <c r="B987" s="4">
        <v>1</v>
      </c>
    </row>
    <row r="988" s="1" customFormat="1" ht="22.5" customHeight="1" spans="1:2">
      <c r="A988" s="3">
        <v>1129</v>
      </c>
      <c r="B988" s="4">
        <v>1</v>
      </c>
    </row>
    <row r="989" s="1" customFormat="1" ht="22.5" customHeight="1" spans="1:2">
      <c r="A989" s="3">
        <v>1133</v>
      </c>
      <c r="B989" s="4">
        <v>2</v>
      </c>
    </row>
    <row r="990" s="1" customFormat="1" ht="22.5" customHeight="1" spans="1:2">
      <c r="A990" s="3">
        <v>1137</v>
      </c>
      <c r="B990" s="4">
        <v>1</v>
      </c>
    </row>
    <row r="991" s="1" customFormat="1" ht="22.5" customHeight="1" spans="1:2">
      <c r="A991" s="3">
        <v>1143</v>
      </c>
      <c r="B991" s="4">
        <v>1</v>
      </c>
    </row>
    <row r="992" s="1" customFormat="1" ht="22.5" customHeight="1" spans="1:2">
      <c r="A992" s="3">
        <v>1146</v>
      </c>
      <c r="B992" s="4">
        <v>2</v>
      </c>
    </row>
    <row r="993" s="1" customFormat="1" ht="22.5" customHeight="1" spans="1:2">
      <c r="A993" s="3">
        <v>1147</v>
      </c>
      <c r="B993" s="4">
        <v>1</v>
      </c>
    </row>
    <row r="994" s="1" customFormat="1" ht="22.5" customHeight="1" spans="1:2">
      <c r="A994" s="3">
        <v>1148</v>
      </c>
      <c r="B994" s="4">
        <v>2</v>
      </c>
    </row>
    <row r="995" s="1" customFormat="1" ht="22.5" customHeight="1" spans="1:2">
      <c r="A995" s="3">
        <v>1149</v>
      </c>
      <c r="B995" s="4">
        <v>1</v>
      </c>
    </row>
    <row r="996" s="1" customFormat="1" ht="22.5" customHeight="1" spans="1:2">
      <c r="A996" s="3">
        <v>1151</v>
      </c>
      <c r="B996" s="4">
        <v>1</v>
      </c>
    </row>
    <row r="997" s="1" customFormat="1" ht="22.5" customHeight="1" spans="1:2">
      <c r="A997" s="3">
        <v>1152</v>
      </c>
      <c r="B997" s="4">
        <v>1</v>
      </c>
    </row>
    <row r="998" s="1" customFormat="1" ht="22.5" customHeight="1" spans="1:2">
      <c r="A998" s="3">
        <v>1155</v>
      </c>
      <c r="B998" s="4">
        <v>2</v>
      </c>
    </row>
    <row r="999" s="1" customFormat="1" ht="22.5" customHeight="1" spans="1:2">
      <c r="A999" s="3">
        <v>1156</v>
      </c>
      <c r="B999" s="4">
        <v>1</v>
      </c>
    </row>
    <row r="1000" s="1" customFormat="1" ht="22.5" customHeight="1" spans="1:2">
      <c r="A1000" s="3">
        <v>1158</v>
      </c>
      <c r="B1000" s="4">
        <v>2</v>
      </c>
    </row>
    <row r="1001" s="1" customFormat="1" ht="22.5" customHeight="1" spans="1:2">
      <c r="A1001" s="3">
        <v>1161</v>
      </c>
      <c r="B1001" s="4">
        <v>2</v>
      </c>
    </row>
    <row r="1002" s="1" customFormat="1" ht="22.5" customHeight="1" spans="1:2">
      <c r="A1002" s="3">
        <v>1162</v>
      </c>
      <c r="B1002" s="4">
        <v>1</v>
      </c>
    </row>
    <row r="1003" s="1" customFormat="1" ht="22.5" customHeight="1" spans="1:2">
      <c r="A1003" s="3">
        <v>1165</v>
      </c>
      <c r="B1003" s="4">
        <v>1</v>
      </c>
    </row>
    <row r="1004" s="1" customFormat="1" ht="22.5" customHeight="1" spans="1:2">
      <c r="A1004" s="3">
        <v>1171</v>
      </c>
      <c r="B1004" s="4">
        <v>1</v>
      </c>
    </row>
    <row r="1005" s="1" customFormat="1" ht="22.5" customHeight="1" spans="1:2">
      <c r="A1005" s="3">
        <v>1172</v>
      </c>
      <c r="B1005" s="4">
        <v>2</v>
      </c>
    </row>
    <row r="1006" s="1" customFormat="1" ht="22.5" customHeight="1" spans="1:2">
      <c r="A1006" s="3">
        <v>1183</v>
      </c>
      <c r="B1006" s="4">
        <v>3</v>
      </c>
    </row>
    <row r="1007" s="1" customFormat="1" ht="22.5" customHeight="1" spans="1:2">
      <c r="A1007" s="3">
        <v>1184</v>
      </c>
      <c r="B1007" s="4">
        <v>3</v>
      </c>
    </row>
    <row r="1008" s="1" customFormat="1" ht="22.5" customHeight="1" spans="1:2">
      <c r="A1008" s="3">
        <v>1185</v>
      </c>
      <c r="B1008" s="4">
        <v>1</v>
      </c>
    </row>
    <row r="1009" s="1" customFormat="1" ht="22.5" customHeight="1" spans="1:2">
      <c r="A1009" s="3">
        <v>1187</v>
      </c>
      <c r="B1009" s="4">
        <v>1</v>
      </c>
    </row>
    <row r="1010" s="1" customFormat="1" ht="22.5" customHeight="1" spans="1:2">
      <c r="A1010" s="3">
        <v>1189</v>
      </c>
      <c r="B1010" s="4">
        <v>1</v>
      </c>
    </row>
    <row r="1011" s="1" customFormat="1" ht="22.5" customHeight="1" spans="1:2">
      <c r="A1011" s="3">
        <v>1190</v>
      </c>
      <c r="B1011" s="4">
        <v>1</v>
      </c>
    </row>
    <row r="1012" s="1" customFormat="1" ht="22.5" customHeight="1" spans="1:2">
      <c r="A1012" s="3">
        <v>1193</v>
      </c>
      <c r="B1012" s="4">
        <v>1</v>
      </c>
    </row>
    <row r="1013" s="1" customFormat="1" ht="22.5" customHeight="1" spans="1:2">
      <c r="A1013" s="3">
        <v>1195</v>
      </c>
      <c r="B1013" s="4">
        <v>1</v>
      </c>
    </row>
    <row r="1014" s="1" customFormat="1" ht="22.5" customHeight="1" spans="1:2">
      <c r="A1014" s="3">
        <v>1203</v>
      </c>
      <c r="B1014" s="4">
        <v>1</v>
      </c>
    </row>
    <row r="1015" s="1" customFormat="1" ht="22.5" customHeight="1" spans="1:2">
      <c r="A1015" s="3">
        <v>1204</v>
      </c>
      <c r="B1015" s="4">
        <v>1</v>
      </c>
    </row>
    <row r="1016" s="1" customFormat="1" ht="22.5" customHeight="1" spans="1:2">
      <c r="A1016" s="3">
        <v>1209</v>
      </c>
      <c r="B1016" s="4">
        <v>2</v>
      </c>
    </row>
    <row r="1017" s="1" customFormat="1" ht="22.5" customHeight="1" spans="1:2">
      <c r="A1017" s="3">
        <v>1210</v>
      </c>
      <c r="B1017" s="4">
        <v>2</v>
      </c>
    </row>
    <row r="1018" s="1" customFormat="1" ht="22.5" customHeight="1" spans="1:2">
      <c r="A1018" s="3">
        <v>1214</v>
      </c>
      <c r="B1018" s="4">
        <v>1</v>
      </c>
    </row>
    <row r="1019" s="1" customFormat="1" ht="22.5" customHeight="1" spans="1:2">
      <c r="A1019" s="3">
        <v>1220</v>
      </c>
      <c r="B1019" s="4">
        <v>1</v>
      </c>
    </row>
    <row r="1020" s="1" customFormat="1" ht="22.5" customHeight="1" spans="1:2">
      <c r="A1020" s="3">
        <v>1221</v>
      </c>
      <c r="B1020" s="4">
        <v>1</v>
      </c>
    </row>
    <row r="1021" s="1" customFormat="1" ht="22.5" customHeight="1" spans="1:2">
      <c r="A1021" s="3">
        <v>1224</v>
      </c>
      <c r="B1021" s="4">
        <v>1</v>
      </c>
    </row>
    <row r="1022" s="1" customFormat="1" ht="22.5" customHeight="1" spans="1:2">
      <c r="A1022" s="3">
        <v>1227</v>
      </c>
      <c r="B1022" s="4">
        <v>1</v>
      </c>
    </row>
    <row r="1023" s="1" customFormat="1" ht="22.5" customHeight="1" spans="1:2">
      <c r="A1023" s="3">
        <v>1228</v>
      </c>
      <c r="B1023" s="4">
        <v>1</v>
      </c>
    </row>
    <row r="1024" s="1" customFormat="1" ht="22.5" customHeight="1" spans="1:2">
      <c r="A1024" s="3">
        <v>1229</v>
      </c>
      <c r="B1024" s="4">
        <v>1</v>
      </c>
    </row>
    <row r="1025" s="1" customFormat="1" ht="22.5" customHeight="1" spans="1:2">
      <c r="A1025" s="3">
        <v>1230</v>
      </c>
      <c r="B1025" s="4">
        <v>2</v>
      </c>
    </row>
    <row r="1026" s="1" customFormat="1" ht="22.5" customHeight="1" spans="1:2">
      <c r="A1026" s="3">
        <v>1238</v>
      </c>
      <c r="B1026" s="4">
        <v>1</v>
      </c>
    </row>
    <row r="1027" s="1" customFormat="1" ht="22.5" customHeight="1" spans="1:2">
      <c r="A1027" s="3">
        <v>1239</v>
      </c>
      <c r="B1027" s="4">
        <v>1</v>
      </c>
    </row>
    <row r="1028" s="1" customFormat="1" ht="22.5" customHeight="1" spans="1:2">
      <c r="A1028" s="3">
        <v>1244</v>
      </c>
      <c r="B1028" s="4">
        <v>1</v>
      </c>
    </row>
    <row r="1029" s="1" customFormat="1" ht="22.5" customHeight="1" spans="1:2">
      <c r="A1029" s="3">
        <v>1245</v>
      </c>
      <c r="B1029" s="4">
        <v>2</v>
      </c>
    </row>
    <row r="1030" s="1" customFormat="1" ht="22.5" customHeight="1" spans="1:2">
      <c r="A1030" s="3">
        <v>1246</v>
      </c>
      <c r="B1030" s="4">
        <v>1</v>
      </c>
    </row>
    <row r="1031" s="1" customFormat="1" ht="22.5" customHeight="1" spans="1:2">
      <c r="A1031" s="3">
        <v>1247</v>
      </c>
      <c r="B1031" s="4">
        <v>1</v>
      </c>
    </row>
    <row r="1032" s="1" customFormat="1" ht="22.5" customHeight="1" spans="1:2">
      <c r="A1032" s="3">
        <v>1250</v>
      </c>
      <c r="B1032" s="4">
        <v>1</v>
      </c>
    </row>
    <row r="1033" s="1" customFormat="1" ht="22.5" customHeight="1" spans="1:2">
      <c r="A1033" s="3">
        <v>1261</v>
      </c>
      <c r="B1033" s="4">
        <v>1</v>
      </c>
    </row>
    <row r="1034" s="1" customFormat="1" ht="22.5" customHeight="1" spans="1:2">
      <c r="A1034" s="3">
        <v>1266</v>
      </c>
      <c r="B1034" s="4">
        <v>1</v>
      </c>
    </row>
    <row r="1035" s="1" customFormat="1" ht="22.5" customHeight="1" spans="1:2">
      <c r="A1035" s="3">
        <v>1267</v>
      </c>
      <c r="B1035" s="4">
        <v>1</v>
      </c>
    </row>
    <row r="1036" s="1" customFormat="1" ht="22.5" customHeight="1" spans="1:2">
      <c r="A1036" s="3">
        <v>1283</v>
      </c>
      <c r="B1036" s="4">
        <v>1</v>
      </c>
    </row>
    <row r="1037" s="1" customFormat="1" ht="22.5" customHeight="1" spans="1:2">
      <c r="A1037" s="3">
        <v>1286</v>
      </c>
      <c r="B1037" s="4">
        <v>1</v>
      </c>
    </row>
    <row r="1038" s="1" customFormat="1" ht="22.5" customHeight="1" spans="1:2">
      <c r="A1038" s="3">
        <v>1287</v>
      </c>
      <c r="B1038" s="4">
        <v>4</v>
      </c>
    </row>
    <row r="1039" s="1" customFormat="1" ht="22.5" customHeight="1" spans="1:2">
      <c r="A1039" s="3">
        <v>1292</v>
      </c>
      <c r="B1039" s="4">
        <v>1</v>
      </c>
    </row>
    <row r="1040" s="1" customFormat="1" ht="22.5" customHeight="1" spans="1:2">
      <c r="A1040" s="3">
        <v>1295</v>
      </c>
      <c r="B1040" s="4">
        <v>1</v>
      </c>
    </row>
    <row r="1041" s="1" customFormat="1" ht="22.5" customHeight="1" spans="1:2">
      <c r="A1041" s="3">
        <v>1296</v>
      </c>
      <c r="B1041" s="4">
        <v>1</v>
      </c>
    </row>
    <row r="1042" s="1" customFormat="1" ht="22.5" customHeight="1" spans="1:2">
      <c r="A1042" s="3">
        <v>1301</v>
      </c>
      <c r="B1042" s="4">
        <v>1</v>
      </c>
    </row>
    <row r="1043" s="1" customFormat="1" ht="22.5" customHeight="1" spans="1:2">
      <c r="A1043" s="3">
        <v>1308</v>
      </c>
      <c r="B1043" s="4">
        <v>1</v>
      </c>
    </row>
    <row r="1044" s="1" customFormat="1" ht="22.5" customHeight="1" spans="1:2">
      <c r="A1044" s="3">
        <v>1310</v>
      </c>
      <c r="B1044" s="4">
        <v>1</v>
      </c>
    </row>
    <row r="1045" s="1" customFormat="1" ht="22.5" customHeight="1" spans="1:2">
      <c r="A1045" s="3">
        <v>1323</v>
      </c>
      <c r="B1045" s="4">
        <v>1</v>
      </c>
    </row>
    <row r="1046" s="1" customFormat="1" ht="22.5" customHeight="1" spans="1:2">
      <c r="A1046" s="3">
        <v>1326</v>
      </c>
      <c r="B1046" s="4">
        <v>2</v>
      </c>
    </row>
    <row r="1047" s="1" customFormat="1" ht="22.5" customHeight="1" spans="1:2">
      <c r="A1047" s="3">
        <v>1327</v>
      </c>
      <c r="B1047" s="4">
        <v>1</v>
      </c>
    </row>
    <row r="1048" s="1" customFormat="1" ht="22.5" customHeight="1" spans="1:2">
      <c r="A1048" s="3">
        <v>1329</v>
      </c>
      <c r="B1048" s="4">
        <v>1</v>
      </c>
    </row>
    <row r="1049" s="1" customFormat="1" ht="22.5" customHeight="1" spans="1:2">
      <c r="A1049" s="3">
        <v>1331</v>
      </c>
      <c r="B1049" s="4">
        <v>1</v>
      </c>
    </row>
    <row r="1050" s="1" customFormat="1" ht="22.5" customHeight="1" spans="1:2">
      <c r="A1050" s="3">
        <v>1334</v>
      </c>
      <c r="B1050" s="4">
        <v>1</v>
      </c>
    </row>
    <row r="1051" s="1" customFormat="1" ht="22.5" customHeight="1" spans="1:2">
      <c r="A1051" s="3">
        <v>1336</v>
      </c>
      <c r="B1051" s="4">
        <v>1</v>
      </c>
    </row>
    <row r="1052" s="1" customFormat="1" ht="22.5" customHeight="1" spans="1:2">
      <c r="A1052" s="3">
        <v>1339</v>
      </c>
      <c r="B1052" s="4">
        <v>1</v>
      </c>
    </row>
    <row r="1053" s="1" customFormat="1" ht="22.5" customHeight="1" spans="1:2">
      <c r="A1053" s="3">
        <v>1340</v>
      </c>
      <c r="B1053" s="4">
        <v>1</v>
      </c>
    </row>
    <row r="1054" s="1" customFormat="1" ht="22.5" customHeight="1" spans="1:2">
      <c r="A1054" s="3">
        <v>1341</v>
      </c>
      <c r="B1054" s="4">
        <v>1</v>
      </c>
    </row>
    <row r="1055" s="1" customFormat="1" ht="22.5" customHeight="1" spans="1:2">
      <c r="A1055" s="3">
        <v>1343</v>
      </c>
      <c r="B1055" s="4">
        <v>1</v>
      </c>
    </row>
    <row r="1056" s="1" customFormat="1" ht="22.5" customHeight="1" spans="1:2">
      <c r="A1056" s="3">
        <v>1346</v>
      </c>
      <c r="B1056" s="4">
        <v>1</v>
      </c>
    </row>
    <row r="1057" s="1" customFormat="1" ht="22.5" customHeight="1" spans="1:2">
      <c r="A1057" s="3">
        <v>1347</v>
      </c>
      <c r="B1057" s="4">
        <v>1</v>
      </c>
    </row>
    <row r="1058" s="1" customFormat="1" ht="22.5" customHeight="1" spans="1:2">
      <c r="A1058" s="3">
        <v>1350</v>
      </c>
      <c r="B1058" s="4">
        <v>2</v>
      </c>
    </row>
    <row r="1059" s="1" customFormat="1" ht="22.5" customHeight="1" spans="1:2">
      <c r="A1059" s="3">
        <v>1351</v>
      </c>
      <c r="B1059" s="4">
        <v>1</v>
      </c>
    </row>
    <row r="1060" s="1" customFormat="1" ht="22.5" customHeight="1" spans="1:2">
      <c r="A1060" s="3">
        <v>1352</v>
      </c>
      <c r="B1060" s="4">
        <v>1</v>
      </c>
    </row>
    <row r="1061" s="1" customFormat="1" ht="22.5" customHeight="1" spans="1:2">
      <c r="A1061" s="3">
        <v>1353</v>
      </c>
      <c r="B1061" s="4">
        <v>1</v>
      </c>
    </row>
    <row r="1062" s="1" customFormat="1" ht="22.5" customHeight="1" spans="1:2">
      <c r="A1062" s="3">
        <v>1354</v>
      </c>
      <c r="B1062" s="4">
        <v>2</v>
      </c>
    </row>
    <row r="1063" s="1" customFormat="1" ht="22.5" customHeight="1" spans="1:2">
      <c r="A1063" s="3">
        <v>1360</v>
      </c>
      <c r="B1063" s="4">
        <v>1</v>
      </c>
    </row>
    <row r="1064" s="1" customFormat="1" ht="22.5" customHeight="1" spans="1:2">
      <c r="A1064" s="3">
        <v>1361</v>
      </c>
      <c r="B1064" s="4">
        <v>1</v>
      </c>
    </row>
    <row r="1065" s="1" customFormat="1" ht="22.5" customHeight="1" spans="1:2">
      <c r="A1065" s="3">
        <v>1362</v>
      </c>
      <c r="B1065" s="4">
        <v>2</v>
      </c>
    </row>
    <row r="1066" s="1" customFormat="1" ht="22.5" customHeight="1" spans="1:2">
      <c r="A1066" s="3">
        <v>1363</v>
      </c>
      <c r="B1066" s="4">
        <v>1</v>
      </c>
    </row>
    <row r="1067" s="1" customFormat="1" ht="22.5" customHeight="1" spans="1:2">
      <c r="A1067" s="3">
        <v>1365</v>
      </c>
      <c r="B1067" s="4">
        <v>2</v>
      </c>
    </row>
    <row r="1068" s="1" customFormat="1" ht="22.5" customHeight="1" spans="1:2">
      <c r="A1068" s="3">
        <v>1379</v>
      </c>
      <c r="B1068" s="4">
        <v>2</v>
      </c>
    </row>
    <row r="1069" s="1" customFormat="1" ht="22.5" customHeight="1" spans="1:2">
      <c r="A1069" s="3">
        <v>1381</v>
      </c>
      <c r="B1069" s="4">
        <v>1</v>
      </c>
    </row>
    <row r="1070" s="1" customFormat="1" ht="22.5" customHeight="1" spans="1:2">
      <c r="A1070" s="3">
        <v>1382</v>
      </c>
      <c r="B1070" s="4">
        <v>1</v>
      </c>
    </row>
    <row r="1071" s="1" customFormat="1" ht="22.5" customHeight="1" spans="1:2">
      <c r="A1071" s="3">
        <v>1390</v>
      </c>
      <c r="B1071" s="4">
        <v>1</v>
      </c>
    </row>
    <row r="1072" s="1" customFormat="1" ht="22.5" customHeight="1" spans="1:2">
      <c r="A1072" s="3">
        <v>1394</v>
      </c>
      <c r="B1072" s="4">
        <v>1</v>
      </c>
    </row>
    <row r="1073" s="1" customFormat="1" ht="22.5" customHeight="1" spans="1:2">
      <c r="A1073" s="3">
        <v>1395</v>
      </c>
      <c r="B1073" s="4">
        <v>1</v>
      </c>
    </row>
    <row r="1074" s="1" customFormat="1" ht="22.5" customHeight="1" spans="1:2">
      <c r="A1074" s="3">
        <v>1397</v>
      </c>
      <c r="B1074" s="4">
        <v>1</v>
      </c>
    </row>
    <row r="1075" s="1" customFormat="1" ht="22.5" customHeight="1" spans="1:2">
      <c r="A1075" s="3">
        <v>1399</v>
      </c>
      <c r="B1075" s="4">
        <v>1</v>
      </c>
    </row>
    <row r="1076" s="1" customFormat="1" ht="22.5" customHeight="1" spans="1:2">
      <c r="A1076" s="3">
        <v>1403</v>
      </c>
      <c r="B1076" s="4">
        <v>1</v>
      </c>
    </row>
    <row r="1077" s="1" customFormat="1" ht="22.5" customHeight="1" spans="1:2">
      <c r="A1077" s="3">
        <v>1404</v>
      </c>
      <c r="B1077" s="4">
        <v>2</v>
      </c>
    </row>
    <row r="1078" s="1" customFormat="1" ht="22.5" customHeight="1" spans="1:2">
      <c r="A1078" s="3">
        <v>1406</v>
      </c>
      <c r="B1078" s="4">
        <v>1</v>
      </c>
    </row>
    <row r="1079" s="1" customFormat="1" ht="22.5" customHeight="1" spans="1:2">
      <c r="A1079" s="3">
        <v>1411</v>
      </c>
      <c r="B1079" s="4">
        <v>2</v>
      </c>
    </row>
    <row r="1080" s="1" customFormat="1" ht="22.5" customHeight="1" spans="1:2">
      <c r="A1080" s="3">
        <v>1413</v>
      </c>
      <c r="B1080" s="4">
        <v>1</v>
      </c>
    </row>
    <row r="1081" s="1" customFormat="1" ht="22.5" customHeight="1" spans="1:2">
      <c r="A1081" s="3">
        <v>1416</v>
      </c>
      <c r="B1081" s="4">
        <v>1</v>
      </c>
    </row>
    <row r="1082" s="1" customFormat="1" ht="22.5" customHeight="1" spans="1:2">
      <c r="A1082" s="3">
        <v>1417</v>
      </c>
      <c r="B1082" s="4">
        <v>1</v>
      </c>
    </row>
    <row r="1083" s="1" customFormat="1" ht="22.5" customHeight="1" spans="1:2">
      <c r="A1083" s="3">
        <v>1419</v>
      </c>
      <c r="B1083" s="4">
        <v>1</v>
      </c>
    </row>
    <row r="1084" s="1" customFormat="1" ht="22.5" customHeight="1" spans="1:2">
      <c r="A1084" s="3">
        <v>1422</v>
      </c>
      <c r="B1084" s="4">
        <v>1</v>
      </c>
    </row>
    <row r="1085" s="1" customFormat="1" ht="22.5" customHeight="1" spans="1:2">
      <c r="A1085" s="3">
        <v>1426</v>
      </c>
      <c r="B1085" s="4">
        <v>1</v>
      </c>
    </row>
    <row r="1086" s="1" customFormat="1" ht="22.5" customHeight="1" spans="1:2">
      <c r="A1086" s="3">
        <v>1429</v>
      </c>
      <c r="B1086" s="4">
        <v>1</v>
      </c>
    </row>
    <row r="1087" s="1" customFormat="1" ht="22.5" customHeight="1" spans="1:2">
      <c r="A1087" s="3">
        <v>1435</v>
      </c>
      <c r="B1087" s="4">
        <v>1</v>
      </c>
    </row>
    <row r="1088" s="1" customFormat="1" ht="22.5" customHeight="1" spans="1:2">
      <c r="A1088" s="3">
        <v>1438</v>
      </c>
      <c r="B1088" s="4">
        <v>1</v>
      </c>
    </row>
    <row r="1089" s="1" customFormat="1" ht="22.5" customHeight="1" spans="1:2">
      <c r="A1089" s="3">
        <v>1439</v>
      </c>
      <c r="B1089" s="4">
        <v>3</v>
      </c>
    </row>
    <row r="1090" s="1" customFormat="1" ht="22.5" customHeight="1" spans="1:2">
      <c r="A1090" s="3">
        <v>1445</v>
      </c>
      <c r="B1090" s="4">
        <v>1</v>
      </c>
    </row>
    <row r="1091" s="1" customFormat="1" ht="22.5" customHeight="1" spans="1:2">
      <c r="A1091" s="3">
        <v>1448</v>
      </c>
      <c r="B1091" s="4">
        <v>1</v>
      </c>
    </row>
    <row r="1092" s="1" customFormat="1" ht="22.5" customHeight="1" spans="1:2">
      <c r="A1092" s="3">
        <v>1450</v>
      </c>
      <c r="B1092" s="4">
        <v>1</v>
      </c>
    </row>
    <row r="1093" s="1" customFormat="1" ht="22.5" customHeight="1" spans="1:2">
      <c r="A1093" s="3">
        <v>1455</v>
      </c>
      <c r="B1093" s="4">
        <v>1</v>
      </c>
    </row>
    <row r="1094" s="1" customFormat="1" ht="22.5" customHeight="1" spans="1:2">
      <c r="A1094" s="3">
        <v>1457</v>
      </c>
      <c r="B1094" s="4">
        <v>2</v>
      </c>
    </row>
    <row r="1095" s="1" customFormat="1" ht="22.5" customHeight="1" spans="1:2">
      <c r="A1095" s="3">
        <v>1458</v>
      </c>
      <c r="B1095" s="4">
        <v>1</v>
      </c>
    </row>
    <row r="1096" s="1" customFormat="1" ht="22.5" customHeight="1" spans="1:2">
      <c r="A1096" s="3">
        <v>1460</v>
      </c>
      <c r="B1096" s="4">
        <v>1</v>
      </c>
    </row>
    <row r="1097" s="1" customFormat="1" ht="22.5" customHeight="1" spans="1:2">
      <c r="A1097" s="3">
        <v>1461</v>
      </c>
      <c r="B1097" s="4">
        <v>2</v>
      </c>
    </row>
    <row r="1098" s="1" customFormat="1" ht="22.5" customHeight="1" spans="1:2">
      <c r="A1098" s="3">
        <v>1463</v>
      </c>
      <c r="B1098" s="4">
        <v>1</v>
      </c>
    </row>
    <row r="1099" s="1" customFormat="1" ht="22.5" customHeight="1" spans="1:2">
      <c r="A1099" s="3">
        <v>1464</v>
      </c>
      <c r="B1099" s="4">
        <v>1</v>
      </c>
    </row>
    <row r="1100" s="1" customFormat="1" ht="22.5" customHeight="1" spans="1:2">
      <c r="A1100" s="3">
        <v>1469</v>
      </c>
      <c r="B1100" s="4">
        <v>1</v>
      </c>
    </row>
    <row r="1101" s="1" customFormat="1" ht="22.5" customHeight="1" spans="1:2">
      <c r="A1101" s="3">
        <v>1472</v>
      </c>
      <c r="B1101" s="4">
        <v>1</v>
      </c>
    </row>
    <row r="1102" s="1" customFormat="1" ht="22.5" customHeight="1" spans="1:2">
      <c r="A1102" s="3">
        <v>1474</v>
      </c>
      <c r="B1102" s="4">
        <v>1</v>
      </c>
    </row>
    <row r="1103" s="1" customFormat="1" ht="22.5" customHeight="1" spans="1:2">
      <c r="A1103" s="3">
        <v>1477</v>
      </c>
      <c r="B1103" s="4">
        <v>1</v>
      </c>
    </row>
    <row r="1104" s="1" customFormat="1" ht="22.5" customHeight="1" spans="1:2">
      <c r="A1104" s="3">
        <v>1481</v>
      </c>
      <c r="B1104" s="4">
        <v>2</v>
      </c>
    </row>
    <row r="1105" s="1" customFormat="1" ht="22.5" customHeight="1" spans="1:2">
      <c r="A1105" s="3">
        <v>1487</v>
      </c>
      <c r="B1105" s="4">
        <v>1</v>
      </c>
    </row>
    <row r="1106" s="1" customFormat="1" ht="22.5" customHeight="1" spans="1:2">
      <c r="A1106" s="3">
        <v>1493</v>
      </c>
      <c r="B1106" s="4">
        <v>1</v>
      </c>
    </row>
    <row r="1107" s="1" customFormat="1" ht="22.5" customHeight="1" spans="1:2">
      <c r="A1107" s="3">
        <v>1496</v>
      </c>
      <c r="B1107" s="4">
        <v>1</v>
      </c>
    </row>
    <row r="1108" s="1" customFormat="1" ht="22.5" customHeight="1" spans="1:2">
      <c r="A1108" s="3">
        <v>1499</v>
      </c>
      <c r="B1108" s="4">
        <v>1</v>
      </c>
    </row>
    <row r="1109" s="1" customFormat="1" ht="22.5" customHeight="1" spans="1:2">
      <c r="A1109" s="3">
        <v>1512</v>
      </c>
      <c r="B1109" s="4">
        <v>1</v>
      </c>
    </row>
    <row r="1110" s="1" customFormat="1" ht="22.5" customHeight="1" spans="1:2">
      <c r="A1110" s="3">
        <v>1516</v>
      </c>
      <c r="B1110" s="4">
        <v>1</v>
      </c>
    </row>
    <row r="1111" s="1" customFormat="1" ht="22.5" customHeight="1" spans="1:2">
      <c r="A1111" s="3">
        <v>1519</v>
      </c>
      <c r="B1111" s="4">
        <v>1</v>
      </c>
    </row>
    <row r="1112" s="1" customFormat="1" ht="22.5" customHeight="1" spans="1:2">
      <c r="A1112" s="3">
        <v>1526</v>
      </c>
      <c r="B1112" s="4">
        <v>1</v>
      </c>
    </row>
    <row r="1113" s="1" customFormat="1" ht="22.5" customHeight="1" spans="1:2">
      <c r="A1113" s="3">
        <v>1529</v>
      </c>
      <c r="B1113" s="4">
        <v>1</v>
      </c>
    </row>
    <row r="1114" s="1" customFormat="1" ht="22.5" customHeight="1" spans="1:2">
      <c r="A1114" s="3">
        <v>1534</v>
      </c>
      <c r="B1114" s="4">
        <v>1</v>
      </c>
    </row>
    <row r="1115" s="1" customFormat="1" ht="22.5" customHeight="1" spans="1:2">
      <c r="A1115" s="3">
        <v>1538</v>
      </c>
      <c r="B1115" s="4">
        <v>1</v>
      </c>
    </row>
    <row r="1116" s="1" customFormat="1" ht="22.5" customHeight="1" spans="1:2">
      <c r="A1116" s="3">
        <v>1540</v>
      </c>
      <c r="B1116" s="4">
        <v>1</v>
      </c>
    </row>
    <row r="1117" s="1" customFormat="1" ht="22.5" customHeight="1" spans="1:2">
      <c r="A1117" s="3">
        <v>1542</v>
      </c>
      <c r="B1117" s="4">
        <v>2</v>
      </c>
    </row>
    <row r="1118" s="1" customFormat="1" ht="22.5" customHeight="1" spans="1:2">
      <c r="A1118" s="3">
        <v>1545</v>
      </c>
      <c r="B1118" s="4">
        <v>1</v>
      </c>
    </row>
    <row r="1119" s="1" customFormat="1" ht="22.5" customHeight="1" spans="1:2">
      <c r="A1119" s="3">
        <v>1550</v>
      </c>
      <c r="B1119" s="4">
        <v>1</v>
      </c>
    </row>
    <row r="1120" s="1" customFormat="1" ht="22.5" customHeight="1" spans="1:2">
      <c r="A1120" s="3">
        <v>1554</v>
      </c>
      <c r="B1120" s="4">
        <v>1</v>
      </c>
    </row>
    <row r="1121" s="1" customFormat="1" ht="22.5" customHeight="1" spans="1:2">
      <c r="A1121" s="3">
        <v>1556</v>
      </c>
      <c r="B1121" s="4">
        <v>1</v>
      </c>
    </row>
    <row r="1122" s="1" customFormat="1" ht="22.5" customHeight="1" spans="1:2">
      <c r="A1122" s="3">
        <v>1557</v>
      </c>
      <c r="B1122" s="4">
        <v>1</v>
      </c>
    </row>
    <row r="1123" s="1" customFormat="1" ht="22.5" customHeight="1" spans="1:2">
      <c r="A1123" s="3">
        <v>1560</v>
      </c>
      <c r="B1123" s="4">
        <v>1</v>
      </c>
    </row>
    <row r="1124" s="1" customFormat="1" ht="22.5" customHeight="1" spans="1:2">
      <c r="A1124" s="3">
        <v>1563</v>
      </c>
      <c r="B1124" s="4">
        <v>1</v>
      </c>
    </row>
    <row r="1125" s="1" customFormat="1" ht="22.5" customHeight="1" spans="1:2">
      <c r="A1125" s="3">
        <v>1567</v>
      </c>
      <c r="B1125" s="4">
        <v>1</v>
      </c>
    </row>
    <row r="1126" s="1" customFormat="1" ht="22.5" customHeight="1" spans="1:2">
      <c r="A1126" s="3">
        <v>1569</v>
      </c>
      <c r="B1126" s="4">
        <v>1</v>
      </c>
    </row>
    <row r="1127" s="1" customFormat="1" ht="22.5" customHeight="1" spans="1:2">
      <c r="A1127" s="3">
        <v>1573</v>
      </c>
      <c r="B1127" s="4">
        <v>2</v>
      </c>
    </row>
    <row r="1128" s="1" customFormat="1" ht="22.5" customHeight="1" spans="1:2">
      <c r="A1128" s="3">
        <v>1575</v>
      </c>
      <c r="B1128" s="4">
        <v>2</v>
      </c>
    </row>
    <row r="1129" s="1" customFormat="1" ht="22.5" customHeight="1" spans="1:2">
      <c r="A1129" s="3">
        <v>1576</v>
      </c>
      <c r="B1129" s="4">
        <v>1</v>
      </c>
    </row>
    <row r="1130" s="1" customFormat="1" ht="22.5" customHeight="1" spans="1:2">
      <c r="A1130" s="3">
        <v>1577</v>
      </c>
      <c r="B1130" s="4">
        <v>1</v>
      </c>
    </row>
    <row r="1131" s="1" customFormat="1" ht="22.5" customHeight="1" spans="1:2">
      <c r="A1131" s="3">
        <v>1595</v>
      </c>
      <c r="B1131" s="4">
        <v>2</v>
      </c>
    </row>
    <row r="1132" s="1" customFormat="1" ht="22.5" customHeight="1" spans="1:2">
      <c r="A1132" s="3">
        <v>1597</v>
      </c>
      <c r="B1132" s="4">
        <v>1</v>
      </c>
    </row>
    <row r="1133" s="1" customFormat="1" ht="22.5" customHeight="1" spans="1:2">
      <c r="A1133" s="3">
        <v>1599</v>
      </c>
      <c r="B1133" s="4">
        <v>1</v>
      </c>
    </row>
    <row r="1134" s="1" customFormat="1" ht="22.5" customHeight="1" spans="1:2">
      <c r="A1134" s="3">
        <v>1603</v>
      </c>
      <c r="B1134" s="4">
        <v>1</v>
      </c>
    </row>
    <row r="1135" s="1" customFormat="1" ht="22.5" customHeight="1" spans="1:2">
      <c r="A1135" s="3">
        <v>1610</v>
      </c>
      <c r="B1135" s="4">
        <v>1</v>
      </c>
    </row>
    <row r="1136" s="1" customFormat="1" ht="22.5" customHeight="1" spans="1:2">
      <c r="A1136" s="3">
        <v>1614</v>
      </c>
      <c r="B1136" s="4">
        <v>1</v>
      </c>
    </row>
    <row r="1137" s="1" customFormat="1" ht="22.5" customHeight="1" spans="1:2">
      <c r="A1137" s="3">
        <v>1615</v>
      </c>
      <c r="B1137" s="4">
        <v>1</v>
      </c>
    </row>
    <row r="1138" s="1" customFormat="1" ht="22.5" customHeight="1" spans="1:2">
      <c r="A1138" s="3">
        <v>1622</v>
      </c>
      <c r="B1138" s="4">
        <v>1</v>
      </c>
    </row>
    <row r="1139" s="1" customFormat="1" ht="22.5" customHeight="1" spans="1:2">
      <c r="A1139" s="3">
        <v>1623</v>
      </c>
      <c r="B1139" s="4">
        <v>1</v>
      </c>
    </row>
    <row r="1140" s="1" customFormat="1" ht="22.5" customHeight="1" spans="1:2">
      <c r="A1140" s="3">
        <v>1640</v>
      </c>
      <c r="B1140" s="4">
        <v>1</v>
      </c>
    </row>
    <row r="1141" s="1" customFormat="1" ht="22.5" customHeight="1" spans="1:2">
      <c r="A1141" s="3">
        <v>1653</v>
      </c>
      <c r="B1141" s="4">
        <v>1</v>
      </c>
    </row>
    <row r="1142" s="1" customFormat="1" ht="22.5" customHeight="1" spans="1:2">
      <c r="A1142" s="3">
        <v>1658</v>
      </c>
      <c r="B1142" s="4">
        <v>1</v>
      </c>
    </row>
    <row r="1143" s="1" customFormat="1" ht="22.5" customHeight="1" spans="1:2">
      <c r="A1143" s="3">
        <v>1661</v>
      </c>
      <c r="B1143" s="4">
        <v>1</v>
      </c>
    </row>
    <row r="1144" s="1" customFormat="1" ht="22.5" customHeight="1" spans="1:2">
      <c r="A1144" s="3">
        <v>1664</v>
      </c>
      <c r="B1144" s="4">
        <v>1</v>
      </c>
    </row>
    <row r="1145" s="1" customFormat="1" ht="22.5" customHeight="1" spans="1:2">
      <c r="A1145" s="3">
        <v>1666</v>
      </c>
      <c r="B1145" s="4">
        <v>1</v>
      </c>
    </row>
    <row r="1146" s="1" customFormat="1" ht="22.5" customHeight="1" spans="1:2">
      <c r="A1146" s="3">
        <v>1672</v>
      </c>
      <c r="B1146" s="4">
        <v>1</v>
      </c>
    </row>
    <row r="1147" s="1" customFormat="1" ht="22.5" customHeight="1" spans="1:2">
      <c r="A1147" s="3">
        <v>1673</v>
      </c>
      <c r="B1147" s="4">
        <v>1</v>
      </c>
    </row>
    <row r="1148" s="1" customFormat="1" ht="22.5" customHeight="1" spans="1:2">
      <c r="A1148" s="3">
        <v>1674</v>
      </c>
      <c r="B1148" s="4">
        <v>2</v>
      </c>
    </row>
    <row r="1149" s="1" customFormat="1" ht="22.5" customHeight="1" spans="1:2">
      <c r="A1149" s="3">
        <v>1680</v>
      </c>
      <c r="B1149" s="4">
        <v>1</v>
      </c>
    </row>
    <row r="1150" s="1" customFormat="1" ht="22.5" customHeight="1" spans="1:2">
      <c r="A1150" s="3">
        <v>1685</v>
      </c>
      <c r="B1150" s="4">
        <v>1</v>
      </c>
    </row>
    <row r="1151" s="1" customFormat="1" ht="22.5" customHeight="1" spans="1:2">
      <c r="A1151" s="3">
        <v>1689</v>
      </c>
      <c r="B1151" s="4">
        <v>1</v>
      </c>
    </row>
    <row r="1152" s="1" customFormat="1" ht="22.5" customHeight="1" spans="1:2">
      <c r="A1152" s="3">
        <v>1692</v>
      </c>
      <c r="B1152" s="4">
        <v>2</v>
      </c>
    </row>
    <row r="1153" s="1" customFormat="1" ht="22.5" customHeight="1" spans="1:2">
      <c r="A1153" s="3">
        <v>1701</v>
      </c>
      <c r="B1153" s="4">
        <v>1</v>
      </c>
    </row>
    <row r="1154" s="1" customFormat="1" ht="22.5" customHeight="1" spans="1:2">
      <c r="A1154" s="3">
        <v>1705</v>
      </c>
      <c r="B1154" s="4">
        <v>1</v>
      </c>
    </row>
    <row r="1155" s="1" customFormat="1" ht="22.5" customHeight="1" spans="1:2">
      <c r="A1155" s="3">
        <v>1706</v>
      </c>
      <c r="B1155" s="4">
        <v>1</v>
      </c>
    </row>
    <row r="1156" s="1" customFormat="1" ht="22.5" customHeight="1" spans="1:2">
      <c r="A1156" s="3">
        <v>1711</v>
      </c>
      <c r="B1156" s="4">
        <v>1</v>
      </c>
    </row>
    <row r="1157" s="1" customFormat="1" ht="22.5" customHeight="1" spans="1:2">
      <c r="A1157" s="3">
        <v>1716</v>
      </c>
      <c r="B1157" s="4">
        <v>1</v>
      </c>
    </row>
    <row r="1158" s="1" customFormat="1" ht="22.5" customHeight="1" spans="1:2">
      <c r="A1158" s="3">
        <v>1723</v>
      </c>
      <c r="B1158" s="4">
        <v>1</v>
      </c>
    </row>
    <row r="1159" s="1" customFormat="1" ht="22.5" customHeight="1" spans="1:2">
      <c r="A1159" s="3">
        <v>1724</v>
      </c>
      <c r="B1159" s="4">
        <v>1</v>
      </c>
    </row>
    <row r="1160" s="1" customFormat="1" ht="22.5" customHeight="1" spans="1:2">
      <c r="A1160" s="3">
        <v>1726</v>
      </c>
      <c r="B1160" s="4">
        <v>1</v>
      </c>
    </row>
    <row r="1161" s="1" customFormat="1" ht="22.5" customHeight="1" spans="1:2">
      <c r="A1161" s="3">
        <v>1728</v>
      </c>
      <c r="B1161" s="4">
        <v>1</v>
      </c>
    </row>
    <row r="1162" s="1" customFormat="1" ht="22.5" customHeight="1" spans="1:2">
      <c r="A1162" s="3">
        <v>1734</v>
      </c>
      <c r="B1162" s="4">
        <v>1</v>
      </c>
    </row>
    <row r="1163" s="1" customFormat="1" ht="22.5" customHeight="1" spans="1:2">
      <c r="A1163" s="3">
        <v>1738</v>
      </c>
      <c r="B1163" s="4">
        <v>1</v>
      </c>
    </row>
    <row r="1164" s="1" customFormat="1" ht="22.5" customHeight="1" spans="1:2">
      <c r="A1164" s="3">
        <v>1742</v>
      </c>
      <c r="B1164" s="4">
        <v>1</v>
      </c>
    </row>
    <row r="1165" s="1" customFormat="1" ht="22.5" customHeight="1" spans="1:2">
      <c r="A1165" s="3">
        <v>1745</v>
      </c>
      <c r="B1165" s="4">
        <v>1</v>
      </c>
    </row>
    <row r="1166" s="1" customFormat="1" ht="22.5" customHeight="1" spans="1:2">
      <c r="A1166" s="3">
        <v>1754</v>
      </c>
      <c r="B1166" s="4">
        <v>1</v>
      </c>
    </row>
    <row r="1167" s="1" customFormat="1" ht="22.5" customHeight="1" spans="1:2">
      <c r="A1167" s="3">
        <v>1762</v>
      </c>
      <c r="B1167" s="4">
        <v>1</v>
      </c>
    </row>
    <row r="1168" s="1" customFormat="1" ht="22.5" customHeight="1" spans="1:2">
      <c r="A1168" s="3">
        <v>1765</v>
      </c>
      <c r="B1168" s="4">
        <v>1</v>
      </c>
    </row>
    <row r="1169" s="1" customFormat="1" ht="22.5" customHeight="1" spans="1:2">
      <c r="A1169" s="3">
        <v>1770</v>
      </c>
      <c r="B1169" s="4">
        <v>1</v>
      </c>
    </row>
    <row r="1170" s="1" customFormat="1" ht="22.5" customHeight="1" spans="1:2">
      <c r="A1170" s="3">
        <v>1777</v>
      </c>
      <c r="B1170" s="4">
        <v>1</v>
      </c>
    </row>
    <row r="1171" s="1" customFormat="1" ht="22.5" customHeight="1" spans="1:2">
      <c r="A1171" s="3">
        <v>1781</v>
      </c>
      <c r="B1171" s="4">
        <v>1</v>
      </c>
    </row>
    <row r="1172" s="1" customFormat="1" ht="22.5" customHeight="1" spans="1:2">
      <c r="A1172" s="3">
        <v>1789</v>
      </c>
      <c r="B1172" s="4">
        <v>1</v>
      </c>
    </row>
    <row r="1173" s="1" customFormat="1" ht="22.5" customHeight="1" spans="1:2">
      <c r="A1173" s="3">
        <v>1801</v>
      </c>
      <c r="B1173" s="4">
        <v>1</v>
      </c>
    </row>
    <row r="1174" s="1" customFormat="1" ht="22.5" customHeight="1" spans="1:2">
      <c r="A1174" s="3">
        <v>1806</v>
      </c>
      <c r="B1174" s="4">
        <v>1</v>
      </c>
    </row>
    <row r="1175" s="1" customFormat="1" ht="22.5" customHeight="1" spans="1:2">
      <c r="A1175" s="3">
        <v>1810</v>
      </c>
      <c r="B1175" s="4">
        <v>1</v>
      </c>
    </row>
    <row r="1176" s="1" customFormat="1" ht="22.5" customHeight="1" spans="1:2">
      <c r="A1176" s="3">
        <v>1811</v>
      </c>
      <c r="B1176" s="4">
        <v>1</v>
      </c>
    </row>
    <row r="1177" s="1" customFormat="1" ht="22.5" customHeight="1" spans="1:2">
      <c r="A1177" s="3">
        <v>1814</v>
      </c>
      <c r="B1177" s="4">
        <v>1</v>
      </c>
    </row>
    <row r="1178" s="1" customFormat="1" ht="22.5" customHeight="1" spans="1:2">
      <c r="A1178" s="3">
        <v>1815</v>
      </c>
      <c r="B1178" s="4">
        <v>1</v>
      </c>
    </row>
    <row r="1179" s="1" customFormat="1" ht="22.5" customHeight="1" spans="1:2">
      <c r="A1179" s="3">
        <v>1825</v>
      </c>
      <c r="B1179" s="4">
        <v>1</v>
      </c>
    </row>
    <row r="1180" s="1" customFormat="1" ht="22.5" customHeight="1" spans="1:2">
      <c r="A1180" s="3">
        <v>1826</v>
      </c>
      <c r="B1180" s="4">
        <v>1</v>
      </c>
    </row>
    <row r="1181" s="1" customFormat="1" ht="22.5" customHeight="1" spans="1:2">
      <c r="A1181" s="3">
        <v>1847</v>
      </c>
      <c r="B1181" s="4">
        <v>1</v>
      </c>
    </row>
    <row r="1182" s="1" customFormat="1" ht="22.5" customHeight="1" spans="1:2">
      <c r="A1182" s="3">
        <v>1852</v>
      </c>
      <c r="B1182" s="4">
        <v>1</v>
      </c>
    </row>
    <row r="1183" s="1" customFormat="1" ht="22.5" customHeight="1" spans="1:2">
      <c r="A1183" s="3">
        <v>1859</v>
      </c>
      <c r="B1183" s="4">
        <v>1</v>
      </c>
    </row>
    <row r="1184" s="1" customFormat="1" ht="22.5" customHeight="1" spans="1:2">
      <c r="A1184" s="3">
        <v>1870</v>
      </c>
      <c r="B1184" s="4">
        <v>1</v>
      </c>
    </row>
    <row r="1185" s="1" customFormat="1" ht="22.5" customHeight="1" spans="1:2">
      <c r="A1185" s="3">
        <v>1880</v>
      </c>
      <c r="B1185" s="4">
        <v>1</v>
      </c>
    </row>
    <row r="1186" s="1" customFormat="1" ht="22.5" customHeight="1" spans="1:2">
      <c r="A1186" s="3">
        <v>1882</v>
      </c>
      <c r="B1186" s="4">
        <v>1</v>
      </c>
    </row>
    <row r="1187" s="1" customFormat="1" ht="22.5" customHeight="1" spans="1:2">
      <c r="A1187" s="3">
        <v>1885</v>
      </c>
      <c r="B1187" s="4">
        <v>2</v>
      </c>
    </row>
    <row r="1188" s="1" customFormat="1" ht="22.5" customHeight="1" spans="1:2">
      <c r="A1188" s="3">
        <v>1886</v>
      </c>
      <c r="B1188" s="4">
        <v>1</v>
      </c>
    </row>
    <row r="1189" s="1" customFormat="1" ht="22.5" customHeight="1" spans="1:2">
      <c r="A1189" s="3">
        <v>1888</v>
      </c>
      <c r="B1189" s="4">
        <v>1</v>
      </c>
    </row>
    <row r="1190" s="1" customFormat="1" ht="22.5" customHeight="1" spans="1:2">
      <c r="A1190" s="3">
        <v>1890</v>
      </c>
      <c r="B1190" s="4">
        <v>1</v>
      </c>
    </row>
    <row r="1191" s="1" customFormat="1" ht="22.5" customHeight="1" spans="1:2">
      <c r="A1191" s="3">
        <v>1895</v>
      </c>
      <c r="B1191" s="4">
        <v>1</v>
      </c>
    </row>
    <row r="1192" s="1" customFormat="1" ht="22.5" customHeight="1" spans="1:2">
      <c r="A1192" s="3">
        <v>1898</v>
      </c>
      <c r="B1192" s="4">
        <v>1</v>
      </c>
    </row>
    <row r="1193" s="1" customFormat="1" ht="22.5" customHeight="1" spans="1:2">
      <c r="A1193" s="3">
        <v>1902</v>
      </c>
      <c r="B1193" s="4">
        <v>1</v>
      </c>
    </row>
    <row r="1194" s="1" customFormat="1" ht="22.5" customHeight="1" spans="1:2">
      <c r="A1194" s="3">
        <v>1903</v>
      </c>
      <c r="B1194" s="4">
        <v>1</v>
      </c>
    </row>
    <row r="1195" s="1" customFormat="1" ht="22.5" customHeight="1" spans="1:2">
      <c r="A1195" s="3">
        <v>1909</v>
      </c>
      <c r="B1195" s="4">
        <v>1</v>
      </c>
    </row>
    <row r="1196" s="1" customFormat="1" ht="22.5" customHeight="1" spans="1:2">
      <c r="A1196" s="3">
        <v>1915</v>
      </c>
      <c r="B1196" s="4">
        <v>1</v>
      </c>
    </row>
    <row r="1197" s="1" customFormat="1" ht="22.5" customHeight="1" spans="1:2">
      <c r="A1197" s="3">
        <v>1925</v>
      </c>
      <c r="B1197" s="4">
        <v>1</v>
      </c>
    </row>
    <row r="1198" s="1" customFormat="1" ht="22.5" customHeight="1" spans="1:2">
      <c r="A1198" s="3">
        <v>1926</v>
      </c>
      <c r="B1198" s="4">
        <v>1</v>
      </c>
    </row>
    <row r="1199" s="1" customFormat="1" ht="22.5" customHeight="1" spans="1:2">
      <c r="A1199" s="3">
        <v>1940</v>
      </c>
      <c r="B1199" s="4">
        <v>1</v>
      </c>
    </row>
    <row r="1200" s="1" customFormat="1" ht="22.5" customHeight="1" spans="1:2">
      <c r="A1200" s="3">
        <v>1948</v>
      </c>
      <c r="B1200" s="4">
        <v>1</v>
      </c>
    </row>
    <row r="1201" s="1" customFormat="1" ht="22.5" customHeight="1" spans="1:2">
      <c r="A1201" s="3">
        <v>1952</v>
      </c>
      <c r="B1201" s="4">
        <v>1</v>
      </c>
    </row>
    <row r="1202" s="1" customFormat="1" ht="22.5" customHeight="1" spans="1:2">
      <c r="A1202" s="3">
        <v>1954</v>
      </c>
      <c r="B1202" s="4">
        <v>1</v>
      </c>
    </row>
    <row r="1203" s="1" customFormat="1" ht="22.5" customHeight="1" spans="1:2">
      <c r="A1203" s="3">
        <v>1957</v>
      </c>
      <c r="B1203" s="4">
        <v>1</v>
      </c>
    </row>
    <row r="1204" s="1" customFormat="1" ht="22.5" customHeight="1" spans="1:2">
      <c r="A1204" s="3">
        <v>1965</v>
      </c>
      <c r="B1204" s="4">
        <v>1</v>
      </c>
    </row>
    <row r="1205" s="1" customFormat="1" ht="22.5" customHeight="1" spans="1:2">
      <c r="A1205" s="3">
        <v>1966</v>
      </c>
      <c r="B1205" s="4">
        <v>1</v>
      </c>
    </row>
    <row r="1206" s="1" customFormat="1" ht="22.5" customHeight="1" spans="1:2">
      <c r="A1206" s="3">
        <v>1967</v>
      </c>
      <c r="B1206" s="4">
        <v>1</v>
      </c>
    </row>
    <row r="1207" s="1" customFormat="1" ht="22.5" customHeight="1" spans="1:2">
      <c r="A1207" s="3">
        <v>1971</v>
      </c>
      <c r="B1207" s="4">
        <v>1</v>
      </c>
    </row>
    <row r="1208" s="1" customFormat="1" ht="22.5" customHeight="1" spans="1:2">
      <c r="A1208" s="3">
        <v>1974</v>
      </c>
      <c r="B1208" s="4">
        <v>1</v>
      </c>
    </row>
    <row r="1209" s="1" customFormat="1" ht="22.5" customHeight="1" spans="1:2">
      <c r="A1209" s="3">
        <v>1975</v>
      </c>
      <c r="B1209" s="4">
        <v>1</v>
      </c>
    </row>
    <row r="1210" s="1" customFormat="1" ht="22.5" customHeight="1" spans="1:2">
      <c r="A1210" s="3">
        <v>1978</v>
      </c>
      <c r="B1210" s="4">
        <v>1</v>
      </c>
    </row>
    <row r="1211" s="1" customFormat="1" ht="22.5" customHeight="1" spans="1:2">
      <c r="A1211" s="3">
        <v>1987</v>
      </c>
      <c r="B1211" s="4">
        <v>1</v>
      </c>
    </row>
    <row r="1212" s="1" customFormat="1" ht="22.5" customHeight="1" spans="1:2">
      <c r="A1212" s="3">
        <v>1998</v>
      </c>
      <c r="B1212" s="4">
        <v>1</v>
      </c>
    </row>
    <row r="1213" s="1" customFormat="1" ht="22.5" customHeight="1" spans="1:2">
      <c r="A1213" s="3">
        <v>2030</v>
      </c>
      <c r="B1213" s="4">
        <v>1</v>
      </c>
    </row>
    <row r="1214" s="1" customFormat="1" ht="22.5" customHeight="1" spans="1:2">
      <c r="A1214" s="3">
        <v>2045</v>
      </c>
      <c r="B1214" s="4">
        <v>1</v>
      </c>
    </row>
    <row r="1215" s="1" customFormat="1" ht="22.5" customHeight="1" spans="1:2">
      <c r="A1215" s="3">
        <v>2049</v>
      </c>
      <c r="B1215" s="4">
        <v>2</v>
      </c>
    </row>
    <row r="1216" s="1" customFormat="1" ht="22.5" customHeight="1" spans="1:2">
      <c r="A1216" s="3">
        <v>2072</v>
      </c>
      <c r="B1216" s="4">
        <v>1</v>
      </c>
    </row>
    <row r="1217" s="1" customFormat="1" ht="22.5" customHeight="1" spans="1:2">
      <c r="A1217" s="3">
        <v>2081</v>
      </c>
      <c r="B1217" s="4">
        <v>1</v>
      </c>
    </row>
    <row r="1218" s="1" customFormat="1" ht="22.5" customHeight="1" spans="1:2">
      <c r="A1218" s="3">
        <v>2097</v>
      </c>
      <c r="B1218" s="4">
        <v>1</v>
      </c>
    </row>
    <row r="1219" s="1" customFormat="1" ht="22.5" customHeight="1" spans="1:2">
      <c r="A1219" s="3">
        <v>2099</v>
      </c>
      <c r="B1219" s="4">
        <v>1</v>
      </c>
    </row>
    <row r="1220" s="1" customFormat="1" ht="22.5" customHeight="1" spans="1:2">
      <c r="A1220" s="3">
        <v>2106</v>
      </c>
      <c r="B1220" s="4">
        <v>2</v>
      </c>
    </row>
    <row r="1221" s="1" customFormat="1" ht="22.5" customHeight="1" spans="1:2">
      <c r="A1221" s="3">
        <v>2108</v>
      </c>
      <c r="B1221" s="4">
        <v>1</v>
      </c>
    </row>
    <row r="1222" s="1" customFormat="1" ht="22.5" customHeight="1" spans="1:2">
      <c r="A1222" s="3">
        <v>2130</v>
      </c>
      <c r="B1222" s="4">
        <v>1</v>
      </c>
    </row>
    <row r="1223" s="1" customFormat="1" ht="22.5" customHeight="1" spans="1:2">
      <c r="A1223" s="3">
        <v>2137</v>
      </c>
      <c r="B1223" s="4">
        <v>1</v>
      </c>
    </row>
    <row r="1224" s="1" customFormat="1" ht="22.5" customHeight="1" spans="1:2">
      <c r="A1224" s="3">
        <v>2148</v>
      </c>
      <c r="B1224" s="4">
        <v>1</v>
      </c>
    </row>
    <row r="1225" s="1" customFormat="1" ht="22.5" customHeight="1" spans="1:2">
      <c r="A1225" s="3">
        <v>2158</v>
      </c>
      <c r="B1225" s="4">
        <v>1</v>
      </c>
    </row>
    <row r="1226" s="1" customFormat="1" ht="22.5" customHeight="1" spans="1:2">
      <c r="A1226" s="3">
        <v>2161</v>
      </c>
      <c r="B1226" s="4">
        <v>1</v>
      </c>
    </row>
    <row r="1227" s="1" customFormat="1" ht="22.5" customHeight="1" spans="1:2">
      <c r="A1227" s="3">
        <v>2170</v>
      </c>
      <c r="B1227" s="4">
        <v>1</v>
      </c>
    </row>
    <row r="1228" s="1" customFormat="1" ht="22.5" customHeight="1" spans="1:2">
      <c r="A1228" s="3">
        <v>2174</v>
      </c>
      <c r="B1228" s="4">
        <v>1</v>
      </c>
    </row>
    <row r="1229" s="1" customFormat="1" ht="22.5" customHeight="1" spans="1:2">
      <c r="A1229" s="3">
        <v>2189</v>
      </c>
      <c r="B1229" s="4">
        <v>1</v>
      </c>
    </row>
    <row r="1230" s="1" customFormat="1" ht="22.5" customHeight="1" spans="1:2">
      <c r="A1230" s="3">
        <v>2202</v>
      </c>
      <c r="B1230" s="4">
        <v>1</v>
      </c>
    </row>
    <row r="1231" s="1" customFormat="1" ht="22.5" customHeight="1" spans="1:2">
      <c r="A1231" s="3">
        <v>2224</v>
      </c>
      <c r="B1231" s="4">
        <v>1</v>
      </c>
    </row>
    <row r="1232" s="1" customFormat="1" ht="22.5" customHeight="1" spans="1:2">
      <c r="A1232" s="3">
        <v>2225</v>
      </c>
      <c r="B1232" s="4">
        <v>1</v>
      </c>
    </row>
    <row r="1233" s="1" customFormat="1" ht="22.5" customHeight="1" spans="1:2">
      <c r="A1233" s="3">
        <v>2247</v>
      </c>
      <c r="B1233" s="4">
        <v>1</v>
      </c>
    </row>
    <row r="1234" s="1" customFormat="1" ht="22.5" customHeight="1" spans="1:2">
      <c r="A1234" s="3">
        <v>2258</v>
      </c>
      <c r="B1234" s="4">
        <v>1</v>
      </c>
    </row>
    <row r="1235" s="1" customFormat="1" ht="22.5" customHeight="1" spans="1:2">
      <c r="A1235" s="3">
        <v>2264</v>
      </c>
      <c r="B1235" s="4">
        <v>1</v>
      </c>
    </row>
    <row r="1236" s="1" customFormat="1" ht="22.5" customHeight="1" spans="1:2">
      <c r="A1236" s="3">
        <v>2293</v>
      </c>
      <c r="B1236" s="4">
        <v>1</v>
      </c>
    </row>
    <row r="1237" s="1" customFormat="1" ht="22.5" customHeight="1" spans="1:2">
      <c r="A1237" s="3">
        <v>2323</v>
      </c>
      <c r="B1237" s="4">
        <v>1</v>
      </c>
    </row>
    <row r="1238" s="1" customFormat="1" ht="22.5" customHeight="1" spans="1:2">
      <c r="A1238" s="3">
        <v>2342</v>
      </c>
      <c r="B1238" s="4">
        <v>1</v>
      </c>
    </row>
    <row r="1239" s="1" customFormat="1" ht="22.5" customHeight="1" spans="1:2">
      <c r="A1239" s="3">
        <v>2350</v>
      </c>
      <c r="B1239" s="4">
        <v>1</v>
      </c>
    </row>
    <row r="1240" s="1" customFormat="1" ht="22.5" customHeight="1" spans="1:2">
      <c r="A1240" s="3">
        <v>2366</v>
      </c>
      <c r="B1240" s="4">
        <v>1</v>
      </c>
    </row>
    <row r="1241" s="1" customFormat="1" ht="22.5" customHeight="1" spans="1:2">
      <c r="A1241" s="3">
        <v>2383</v>
      </c>
      <c r="B1241" s="4">
        <v>1</v>
      </c>
    </row>
    <row r="1242" s="1" customFormat="1" ht="22.5" customHeight="1" spans="1:2">
      <c r="A1242" s="3">
        <v>2385</v>
      </c>
      <c r="B1242" s="4">
        <v>1</v>
      </c>
    </row>
    <row r="1243" s="1" customFormat="1" ht="22.5" customHeight="1" spans="1:2">
      <c r="A1243" s="3">
        <v>2387</v>
      </c>
      <c r="B1243" s="4">
        <v>1</v>
      </c>
    </row>
    <row r="1244" s="1" customFormat="1" ht="22.5" customHeight="1" spans="1:2">
      <c r="A1244" s="3">
        <v>2388</v>
      </c>
      <c r="B1244" s="4">
        <v>1</v>
      </c>
    </row>
    <row r="1245" s="1" customFormat="1" ht="22.5" customHeight="1" spans="1:2">
      <c r="A1245" s="3">
        <v>2395</v>
      </c>
      <c r="B1245" s="4">
        <v>1</v>
      </c>
    </row>
    <row r="1246" s="1" customFormat="1" ht="22.5" customHeight="1" spans="1:2">
      <c r="A1246" s="3">
        <v>2410</v>
      </c>
      <c r="B1246" s="4">
        <v>1</v>
      </c>
    </row>
    <row r="1247" s="1" customFormat="1" ht="22.5" customHeight="1" spans="1:2">
      <c r="A1247" s="3">
        <v>2412</v>
      </c>
      <c r="B1247" s="4">
        <v>1</v>
      </c>
    </row>
    <row r="1248" s="1" customFormat="1" ht="22.5" customHeight="1" spans="1:2">
      <c r="A1248" s="3">
        <v>2418</v>
      </c>
      <c r="B1248" s="4">
        <v>1</v>
      </c>
    </row>
    <row r="1249" s="1" customFormat="1" ht="22.5" customHeight="1" spans="1:2">
      <c r="A1249" s="3">
        <v>2435</v>
      </c>
      <c r="B1249" s="4">
        <v>2</v>
      </c>
    </row>
    <row r="1250" s="1" customFormat="1" ht="22.5" customHeight="1" spans="1:2">
      <c r="A1250" s="3">
        <v>2445</v>
      </c>
      <c r="B1250" s="4">
        <v>1</v>
      </c>
    </row>
    <row r="1251" s="1" customFormat="1" ht="22.5" customHeight="1" spans="1:2">
      <c r="A1251" s="3">
        <v>2446</v>
      </c>
      <c r="B1251" s="4">
        <v>1</v>
      </c>
    </row>
    <row r="1252" s="1" customFormat="1" ht="22.5" customHeight="1" spans="1:2">
      <c r="A1252" s="3">
        <v>2458</v>
      </c>
      <c r="B1252" s="4">
        <v>1</v>
      </c>
    </row>
    <row r="1253" s="1" customFormat="1" ht="22.5" customHeight="1" spans="1:2">
      <c r="A1253" s="3">
        <v>2481</v>
      </c>
      <c r="B1253" s="4">
        <v>1</v>
      </c>
    </row>
    <row r="1254" s="1" customFormat="1" ht="22.5" customHeight="1" spans="1:2">
      <c r="A1254" s="3">
        <v>2502</v>
      </c>
      <c r="B1254" s="4">
        <v>1</v>
      </c>
    </row>
    <row r="1255" s="1" customFormat="1" ht="22.5" customHeight="1" spans="1:2">
      <c r="A1255" s="3">
        <v>2530</v>
      </c>
      <c r="B1255" s="4">
        <v>1</v>
      </c>
    </row>
    <row r="1256" s="1" customFormat="1" ht="22.5" customHeight="1" spans="1:2">
      <c r="A1256" s="3">
        <v>2545</v>
      </c>
      <c r="B1256" s="4">
        <v>1</v>
      </c>
    </row>
    <row r="1257" s="1" customFormat="1" ht="22.5" customHeight="1" spans="1:2">
      <c r="A1257" s="3">
        <v>2548</v>
      </c>
      <c r="B1257" s="4">
        <v>1</v>
      </c>
    </row>
    <row r="1258" s="1" customFormat="1" ht="22.5" customHeight="1" spans="1:2">
      <c r="A1258" s="3">
        <v>2576</v>
      </c>
      <c r="B1258" s="4">
        <v>1</v>
      </c>
    </row>
    <row r="1259" s="1" customFormat="1" ht="22.5" customHeight="1" spans="1:2">
      <c r="A1259" s="3">
        <v>2580</v>
      </c>
      <c r="B1259" s="4">
        <v>1</v>
      </c>
    </row>
    <row r="1260" s="1" customFormat="1" ht="22.5" customHeight="1" spans="1:2">
      <c r="A1260" s="3">
        <v>2585</v>
      </c>
      <c r="B1260" s="4">
        <v>1</v>
      </c>
    </row>
    <row r="1261" s="1" customFormat="1" ht="22.5" customHeight="1" spans="1:2">
      <c r="A1261" s="3">
        <v>2592</v>
      </c>
      <c r="B1261" s="4">
        <v>1</v>
      </c>
    </row>
    <row r="1262" s="1" customFormat="1" ht="22.5" customHeight="1" spans="1:2">
      <c r="A1262" s="3">
        <v>2596</v>
      </c>
      <c r="B1262" s="4">
        <v>1</v>
      </c>
    </row>
    <row r="1263" s="1" customFormat="1" ht="22.5" customHeight="1" spans="1:2">
      <c r="A1263" s="3">
        <v>2610</v>
      </c>
      <c r="B1263" s="4">
        <v>1</v>
      </c>
    </row>
    <row r="1264" s="1" customFormat="1" ht="22.5" customHeight="1" spans="1:2">
      <c r="A1264" s="3">
        <v>2615</v>
      </c>
      <c r="B1264" s="4">
        <v>1</v>
      </c>
    </row>
    <row r="1265" s="1" customFormat="1" ht="22.5" customHeight="1" spans="1:2">
      <c r="A1265" s="3">
        <v>2629</v>
      </c>
      <c r="B1265" s="4">
        <v>1</v>
      </c>
    </row>
    <row r="1266" s="1" customFormat="1" ht="22.5" customHeight="1" spans="1:2">
      <c r="A1266" s="3">
        <v>2633</v>
      </c>
      <c r="B1266" s="4">
        <v>1</v>
      </c>
    </row>
    <row r="1267" s="1" customFormat="1" ht="22.5" customHeight="1" spans="1:2">
      <c r="A1267" s="3">
        <v>2669</v>
      </c>
      <c r="B1267" s="4">
        <v>1</v>
      </c>
    </row>
    <row r="1268" s="1" customFormat="1" ht="22.5" customHeight="1" spans="1:2">
      <c r="A1268" s="3">
        <v>2670</v>
      </c>
      <c r="B1268" s="4">
        <v>1</v>
      </c>
    </row>
    <row r="1269" s="1" customFormat="1" ht="22.5" customHeight="1" spans="1:2">
      <c r="A1269" s="3">
        <v>2677</v>
      </c>
      <c r="B1269" s="4">
        <v>1</v>
      </c>
    </row>
    <row r="1270" s="1" customFormat="1" ht="22.5" customHeight="1" spans="1:2">
      <c r="A1270" s="3">
        <v>2683</v>
      </c>
      <c r="B1270" s="4">
        <v>1</v>
      </c>
    </row>
    <row r="1271" s="1" customFormat="1" ht="22.5" customHeight="1" spans="1:2">
      <c r="A1271" s="3">
        <v>2695</v>
      </c>
      <c r="B1271" s="4">
        <v>1</v>
      </c>
    </row>
    <row r="1272" s="1" customFormat="1" ht="22.5" customHeight="1" spans="1:2">
      <c r="A1272" s="3">
        <v>2705</v>
      </c>
      <c r="B1272" s="4">
        <v>1</v>
      </c>
    </row>
    <row r="1273" s="1" customFormat="1" ht="22.5" customHeight="1" spans="1:2">
      <c r="A1273" s="3">
        <v>2709</v>
      </c>
      <c r="B1273" s="4">
        <v>1</v>
      </c>
    </row>
    <row r="1274" s="1" customFormat="1" ht="22.5" customHeight="1" spans="1:2">
      <c r="A1274" s="3">
        <v>2733</v>
      </c>
      <c r="B1274" s="4">
        <v>1</v>
      </c>
    </row>
    <row r="1275" s="1" customFormat="1" ht="22.5" customHeight="1" spans="1:2">
      <c r="A1275" s="3">
        <v>2752</v>
      </c>
      <c r="B1275" s="4">
        <v>1</v>
      </c>
    </row>
    <row r="1276" s="1" customFormat="1" ht="22.5" customHeight="1" spans="1:2">
      <c r="A1276" s="3">
        <v>2760</v>
      </c>
      <c r="B1276" s="4">
        <v>1</v>
      </c>
    </row>
    <row r="1277" s="1" customFormat="1" ht="22.5" customHeight="1" spans="1:2">
      <c r="A1277" s="3">
        <v>2778</v>
      </c>
      <c r="B1277" s="4">
        <v>1</v>
      </c>
    </row>
    <row r="1278" s="1" customFormat="1" ht="22.5" customHeight="1" spans="1:2">
      <c r="A1278" s="3">
        <v>2783</v>
      </c>
      <c r="B1278" s="4">
        <v>1</v>
      </c>
    </row>
    <row r="1279" s="1" customFormat="1" ht="22.5" customHeight="1" spans="1:2">
      <c r="A1279" s="3">
        <v>2796</v>
      </c>
      <c r="B1279" s="4">
        <v>1</v>
      </c>
    </row>
    <row r="1280" s="1" customFormat="1" ht="22.5" customHeight="1" spans="1:2">
      <c r="A1280" s="3">
        <v>2797</v>
      </c>
      <c r="B1280" s="4">
        <v>1</v>
      </c>
    </row>
    <row r="1281" s="1" customFormat="1" ht="22.5" customHeight="1" spans="1:2">
      <c r="A1281" s="3">
        <v>2830</v>
      </c>
      <c r="B1281" s="4">
        <v>1</v>
      </c>
    </row>
    <row r="1282" s="1" customFormat="1" ht="22.5" customHeight="1" spans="1:2">
      <c r="A1282" s="3">
        <v>2892</v>
      </c>
      <c r="B1282" s="4">
        <v>1</v>
      </c>
    </row>
    <row r="1283" s="1" customFormat="1" ht="22.5" customHeight="1" spans="1:2">
      <c r="A1283" s="3">
        <v>2898</v>
      </c>
      <c r="B1283" s="4">
        <v>1</v>
      </c>
    </row>
    <row r="1284" s="1" customFormat="1" ht="22.5" customHeight="1" spans="1:2">
      <c r="A1284" s="3">
        <v>2935</v>
      </c>
      <c r="B1284" s="4">
        <v>1</v>
      </c>
    </row>
    <row r="1285" s="1" customFormat="1" ht="22.5" customHeight="1" spans="1:2">
      <c r="A1285" s="3">
        <v>2936</v>
      </c>
      <c r="B1285" s="4">
        <v>1</v>
      </c>
    </row>
    <row r="1286" s="1" customFormat="1" ht="22.5" customHeight="1" spans="1:2">
      <c r="A1286" s="3">
        <v>2949</v>
      </c>
      <c r="B1286" s="4">
        <v>1</v>
      </c>
    </row>
    <row r="1287" s="1" customFormat="1" ht="22.5" customHeight="1" spans="1:2">
      <c r="A1287" s="3">
        <v>2952</v>
      </c>
      <c r="B1287" s="4">
        <v>1</v>
      </c>
    </row>
    <row r="1288" s="1" customFormat="1" ht="22.5" customHeight="1" spans="1:2">
      <c r="A1288" s="3">
        <v>2962</v>
      </c>
      <c r="B1288" s="4">
        <v>1</v>
      </c>
    </row>
    <row r="1289" s="1" customFormat="1" ht="22.5" customHeight="1" spans="1:2">
      <c r="A1289" s="3">
        <v>2965</v>
      </c>
      <c r="B1289" s="4">
        <v>1</v>
      </c>
    </row>
    <row r="1290" s="1" customFormat="1" ht="22.5" customHeight="1" spans="1:2">
      <c r="A1290" s="3">
        <v>2989</v>
      </c>
      <c r="B1290" s="4">
        <v>1</v>
      </c>
    </row>
    <row r="1291" s="1" customFormat="1" ht="22.5" customHeight="1" spans="1:2">
      <c r="A1291" s="3">
        <v>3007</v>
      </c>
      <c r="B1291" s="4">
        <v>1</v>
      </c>
    </row>
    <row r="1292" s="1" customFormat="1" ht="22.5" customHeight="1" spans="1:2">
      <c r="A1292" s="3">
        <v>3030</v>
      </c>
      <c r="B1292" s="4">
        <v>1</v>
      </c>
    </row>
    <row r="1293" s="1" customFormat="1" ht="22.5" customHeight="1" spans="1:2">
      <c r="A1293" s="3">
        <v>3048</v>
      </c>
      <c r="B1293" s="4">
        <v>1</v>
      </c>
    </row>
    <row r="1294" s="1" customFormat="1" ht="22.5" customHeight="1" spans="1:2">
      <c r="A1294" s="3">
        <v>3053</v>
      </c>
      <c r="B1294" s="4">
        <v>1</v>
      </c>
    </row>
    <row r="1295" s="1" customFormat="1" ht="22.5" customHeight="1" spans="1:2">
      <c r="A1295" s="3">
        <v>3062</v>
      </c>
      <c r="B1295" s="4">
        <v>1</v>
      </c>
    </row>
    <row r="1296" s="1" customFormat="1" ht="22.5" customHeight="1" spans="1:2">
      <c r="A1296" s="3">
        <v>3077</v>
      </c>
      <c r="B1296" s="4">
        <v>1</v>
      </c>
    </row>
    <row r="1297" s="1" customFormat="1" ht="22.5" customHeight="1" spans="1:2">
      <c r="A1297" s="3">
        <v>3090</v>
      </c>
      <c r="B1297" s="4">
        <v>1</v>
      </c>
    </row>
    <row r="1298" s="1" customFormat="1" ht="22.5" customHeight="1" spans="1:2">
      <c r="A1298" s="3">
        <v>3122</v>
      </c>
      <c r="B1298" s="4">
        <v>1</v>
      </c>
    </row>
    <row r="1299" s="1" customFormat="1" ht="22.5" customHeight="1" spans="1:2">
      <c r="A1299" s="3">
        <v>3123</v>
      </c>
      <c r="B1299" s="4">
        <v>1</v>
      </c>
    </row>
    <row r="1300" s="1" customFormat="1" ht="22.5" customHeight="1" spans="1:2">
      <c r="A1300" s="3">
        <v>3129</v>
      </c>
      <c r="B1300" s="4">
        <v>1</v>
      </c>
    </row>
    <row r="1301" s="1" customFormat="1" ht="22.5" customHeight="1" spans="1:2">
      <c r="A1301" s="3">
        <v>3156</v>
      </c>
      <c r="B1301" s="4">
        <v>1</v>
      </c>
    </row>
    <row r="1302" s="1" customFormat="1" ht="22.5" customHeight="1" spans="1:2">
      <c r="A1302" s="3">
        <v>3171</v>
      </c>
      <c r="B1302" s="4">
        <v>1</v>
      </c>
    </row>
    <row r="1303" s="1" customFormat="1" ht="22.5" customHeight="1" spans="1:2">
      <c r="A1303" s="3">
        <v>3173</v>
      </c>
      <c r="B1303" s="4">
        <v>1</v>
      </c>
    </row>
    <row r="1304" s="1" customFormat="1" ht="22.5" customHeight="1" spans="1:2">
      <c r="A1304" s="3">
        <v>3202</v>
      </c>
      <c r="B1304" s="4">
        <v>1</v>
      </c>
    </row>
    <row r="1305" s="1" customFormat="1" ht="22.5" customHeight="1" spans="1:2">
      <c r="A1305" s="3">
        <v>3219</v>
      </c>
      <c r="B1305" s="4">
        <v>1</v>
      </c>
    </row>
    <row r="1306" s="1" customFormat="1" ht="22.5" customHeight="1" spans="1:2">
      <c r="A1306" s="3">
        <v>3229</v>
      </c>
      <c r="B1306" s="4">
        <v>1</v>
      </c>
    </row>
    <row r="1307" s="1" customFormat="1" ht="22.5" customHeight="1" spans="1:2">
      <c r="A1307" s="3">
        <v>3273</v>
      </c>
      <c r="B1307" s="4">
        <v>1</v>
      </c>
    </row>
    <row r="1308" s="1" customFormat="1" ht="22.5" customHeight="1" spans="1:2">
      <c r="A1308" s="3">
        <v>3275</v>
      </c>
      <c r="B1308" s="4">
        <v>1</v>
      </c>
    </row>
    <row r="1309" s="1" customFormat="1" ht="22.5" customHeight="1" spans="1:2">
      <c r="A1309" s="3">
        <v>3287</v>
      </c>
      <c r="B1309" s="4">
        <v>1</v>
      </c>
    </row>
    <row r="1310" s="1" customFormat="1" ht="22.5" customHeight="1" spans="1:2">
      <c r="A1310" s="3">
        <v>3299</v>
      </c>
      <c r="B1310" s="4">
        <v>1</v>
      </c>
    </row>
    <row r="1311" s="1" customFormat="1" ht="22.5" customHeight="1" spans="1:2">
      <c r="A1311" s="3">
        <v>3310</v>
      </c>
      <c r="B1311" s="4">
        <v>1</v>
      </c>
    </row>
    <row r="1312" s="1" customFormat="1" ht="22.5" customHeight="1" spans="1:2">
      <c r="A1312" s="3">
        <v>3349</v>
      </c>
      <c r="B1312" s="4">
        <v>1</v>
      </c>
    </row>
    <row r="1313" s="1" customFormat="1" ht="22.5" customHeight="1" spans="1:2">
      <c r="A1313" s="3">
        <v>3350</v>
      </c>
      <c r="B1313" s="4">
        <v>1</v>
      </c>
    </row>
    <row r="1314" s="1" customFormat="1" ht="22.5" customHeight="1" spans="1:2">
      <c r="A1314" s="3">
        <v>3379</v>
      </c>
      <c r="B1314" s="4">
        <v>1</v>
      </c>
    </row>
    <row r="1315" s="1" customFormat="1" ht="22.5" customHeight="1" spans="1:2">
      <c r="A1315" s="3">
        <v>3397</v>
      </c>
      <c r="B1315" s="4">
        <v>2</v>
      </c>
    </row>
    <row r="1316" s="1" customFormat="1" ht="22.5" customHeight="1" spans="1:2">
      <c r="A1316" s="3">
        <v>3403</v>
      </c>
      <c r="B1316" s="4">
        <v>1</v>
      </c>
    </row>
    <row r="1317" s="1" customFormat="1" ht="22.5" customHeight="1" spans="1:2">
      <c r="A1317" s="3">
        <v>3408</v>
      </c>
      <c r="B1317" s="4">
        <v>1</v>
      </c>
    </row>
    <row r="1318" s="1" customFormat="1" ht="22.5" customHeight="1" spans="1:2">
      <c r="A1318" s="3">
        <v>3443</v>
      </c>
      <c r="B1318" s="4">
        <v>1</v>
      </c>
    </row>
    <row r="1319" s="1" customFormat="1" ht="22.5" customHeight="1" spans="1:2">
      <c r="A1319" s="3">
        <v>3484</v>
      </c>
      <c r="B1319" s="4">
        <v>1</v>
      </c>
    </row>
    <row r="1320" s="1" customFormat="1" ht="22.5" customHeight="1" spans="1:2">
      <c r="A1320" s="3">
        <v>3542</v>
      </c>
      <c r="B1320" s="4">
        <v>1</v>
      </c>
    </row>
    <row r="1321" s="1" customFormat="1" ht="22.5" customHeight="1" spans="1:2">
      <c r="A1321" s="3">
        <v>3575</v>
      </c>
      <c r="B1321" s="4">
        <v>1</v>
      </c>
    </row>
    <row r="1322" s="1" customFormat="1" ht="22.5" customHeight="1" spans="1:2">
      <c r="A1322" s="3">
        <v>3590</v>
      </c>
      <c r="B1322" s="4">
        <v>1</v>
      </c>
    </row>
    <row r="1323" s="1" customFormat="1" ht="22.5" customHeight="1" spans="1:2">
      <c r="A1323" s="3">
        <v>3621</v>
      </c>
      <c r="B1323" s="4">
        <v>1</v>
      </c>
    </row>
    <row r="1324" s="1" customFormat="1" ht="22.5" customHeight="1" spans="1:2">
      <c r="A1324" s="3">
        <v>3637</v>
      </c>
      <c r="B1324" s="4">
        <v>1</v>
      </c>
    </row>
    <row r="1325" s="1" customFormat="1" ht="22.5" customHeight="1" spans="1:2">
      <c r="A1325" s="3">
        <v>3694</v>
      </c>
      <c r="B1325" s="4">
        <v>1</v>
      </c>
    </row>
    <row r="1326" s="1" customFormat="1" ht="22.5" customHeight="1" spans="1:2">
      <c r="A1326" s="3">
        <v>3707</v>
      </c>
      <c r="B1326" s="4">
        <v>1</v>
      </c>
    </row>
    <row r="1327" s="1" customFormat="1" ht="22.5" customHeight="1" spans="1:2">
      <c r="A1327" s="3">
        <v>3863</v>
      </c>
      <c r="B1327" s="4">
        <v>1</v>
      </c>
    </row>
    <row r="1328" s="1" customFormat="1" ht="22.5" customHeight="1" spans="1:2">
      <c r="A1328" s="3">
        <v>3952</v>
      </c>
      <c r="B1328" s="4">
        <v>1</v>
      </c>
    </row>
    <row r="1329" s="1" customFormat="1" ht="22.5" customHeight="1" spans="1:2">
      <c r="A1329" s="3">
        <v>3957</v>
      </c>
      <c r="B1329" s="4">
        <v>1</v>
      </c>
    </row>
    <row r="1330" s="1" customFormat="1" ht="22.5" customHeight="1" spans="1:2">
      <c r="A1330" s="3">
        <v>3962</v>
      </c>
      <c r="B1330" s="4">
        <v>1</v>
      </c>
    </row>
    <row r="1331" s="1" customFormat="1" ht="22.5" customHeight="1" spans="1:2">
      <c r="A1331" s="3">
        <v>4097</v>
      </c>
      <c r="B1331" s="4">
        <v>1</v>
      </c>
    </row>
    <row r="1332" s="1" customFormat="1" ht="22.5" customHeight="1" spans="1:2">
      <c r="A1332" s="3">
        <v>4144</v>
      </c>
      <c r="B1332" s="4">
        <v>1</v>
      </c>
    </row>
    <row r="1333" s="1" customFormat="1" ht="22.5" customHeight="1" spans="1:2">
      <c r="A1333" s="3">
        <v>4162</v>
      </c>
      <c r="B1333" s="4">
        <v>1</v>
      </c>
    </row>
    <row r="1334" s="1" customFormat="1" ht="22.5" customHeight="1" spans="1:2">
      <c r="A1334" s="3">
        <v>4165</v>
      </c>
      <c r="B1334" s="4">
        <v>1</v>
      </c>
    </row>
    <row r="1335" s="1" customFormat="1" ht="22.5" customHeight="1" spans="1:2">
      <c r="A1335" s="3">
        <v>4194</v>
      </c>
      <c r="B1335" s="4">
        <v>1</v>
      </c>
    </row>
    <row r="1336" s="1" customFormat="1" ht="22.5" customHeight="1" spans="1:2">
      <c r="A1336" s="3">
        <v>4209</v>
      </c>
      <c r="B1336" s="4">
        <v>1</v>
      </c>
    </row>
    <row r="1337" s="1" customFormat="1" ht="22.5" customHeight="1" spans="1:2">
      <c r="A1337" s="3">
        <v>4275</v>
      </c>
      <c r="B1337" s="4">
        <v>1</v>
      </c>
    </row>
    <row r="1338" s="1" customFormat="1" ht="22.5" customHeight="1" spans="1:2">
      <c r="A1338" s="3">
        <v>4308</v>
      </c>
      <c r="B1338" s="4">
        <v>1</v>
      </c>
    </row>
    <row r="1339" s="1" customFormat="1" ht="22.5" customHeight="1" spans="1:2">
      <c r="A1339" s="3">
        <v>4341</v>
      </c>
      <c r="B1339" s="4">
        <v>1</v>
      </c>
    </row>
    <row r="1340" s="1" customFormat="1" ht="22.5" customHeight="1" spans="1:2">
      <c r="A1340" s="3">
        <v>4360</v>
      </c>
      <c r="B1340" s="4">
        <v>1</v>
      </c>
    </row>
    <row r="1341" s="1" customFormat="1" ht="22.5" customHeight="1" spans="1:2">
      <c r="A1341" s="3">
        <v>4434</v>
      </c>
      <c r="B1341" s="4">
        <v>1</v>
      </c>
    </row>
    <row r="1342" s="1" customFormat="1" ht="22.5" customHeight="1" spans="1:2">
      <c r="A1342" s="3">
        <v>4539</v>
      </c>
      <c r="B1342" s="4">
        <v>1</v>
      </c>
    </row>
    <row r="1343" s="1" customFormat="1" ht="22.5" customHeight="1" spans="1:2">
      <c r="A1343" s="3">
        <v>4677</v>
      </c>
      <c r="B1343" s="4">
        <v>1</v>
      </c>
    </row>
    <row r="1344" s="1" customFormat="1" ht="22.5" customHeight="1" spans="1:2">
      <c r="A1344" s="3">
        <v>4678</v>
      </c>
      <c r="B1344" s="4">
        <v>1</v>
      </c>
    </row>
    <row r="1345" s="1" customFormat="1" ht="22.5" customHeight="1" spans="1:2">
      <c r="A1345" s="3">
        <v>4747</v>
      </c>
      <c r="B1345" s="4">
        <v>1</v>
      </c>
    </row>
    <row r="1346" s="1" customFormat="1" ht="22.5" customHeight="1" spans="1:2">
      <c r="A1346" s="3">
        <v>5002</v>
      </c>
      <c r="B1346" s="4">
        <v>1</v>
      </c>
    </row>
    <row r="1347" s="1" customFormat="1" ht="22.5" customHeight="1" spans="1:2">
      <c r="A1347" s="3">
        <v>5013</v>
      </c>
      <c r="B1347" s="4">
        <v>1</v>
      </c>
    </row>
    <row r="1348" s="1" customFormat="1" ht="22.5" customHeight="1" spans="1:2">
      <c r="A1348" s="3">
        <v>5014</v>
      </c>
      <c r="B1348" s="4">
        <v>1</v>
      </c>
    </row>
    <row r="1349" s="1" customFormat="1" ht="22.5" customHeight="1" spans="1:2">
      <c r="A1349" s="3">
        <v>5036</v>
      </c>
      <c r="B1349" s="4">
        <v>1</v>
      </c>
    </row>
    <row r="1350" s="1" customFormat="1" ht="22.5" customHeight="1" spans="1:2">
      <c r="A1350" s="3">
        <v>5199</v>
      </c>
      <c r="B1350" s="4">
        <v>1</v>
      </c>
    </row>
    <row r="1351" s="1" customFormat="1" ht="22.5" customHeight="1" spans="1:2">
      <c r="A1351" s="3">
        <v>5257</v>
      </c>
      <c r="B1351" s="4">
        <v>1</v>
      </c>
    </row>
    <row r="1352" s="1" customFormat="1" ht="22.5" customHeight="1" spans="1:2">
      <c r="A1352" s="3">
        <v>5276</v>
      </c>
      <c r="B1352" s="4">
        <v>1</v>
      </c>
    </row>
    <row r="1353" s="1" customFormat="1" ht="22.5" customHeight="1" spans="1:2">
      <c r="A1353" s="3">
        <v>5410</v>
      </c>
      <c r="B1353" s="4">
        <v>1</v>
      </c>
    </row>
    <row r="1354" s="1" customFormat="1" ht="22.5" customHeight="1" spans="1:2">
      <c r="A1354" s="3">
        <v>5431</v>
      </c>
      <c r="B1354" s="4">
        <v>1</v>
      </c>
    </row>
    <row r="1355" s="1" customFormat="1" ht="22.5" customHeight="1" spans="1:2">
      <c r="A1355" s="3">
        <v>5535</v>
      </c>
      <c r="B1355" s="4">
        <v>1</v>
      </c>
    </row>
    <row r="1356" s="1" customFormat="1" ht="22.5" customHeight="1" spans="1:2">
      <c r="A1356" s="3">
        <v>5577</v>
      </c>
      <c r="B1356" s="4">
        <v>1</v>
      </c>
    </row>
    <row r="1357" s="1" customFormat="1" ht="22.5" customHeight="1" spans="1:2">
      <c r="A1357" s="3">
        <v>5618</v>
      </c>
      <c r="B1357" s="4">
        <v>1</v>
      </c>
    </row>
    <row r="1358" s="1" customFormat="1" ht="22.5" customHeight="1" spans="1:2">
      <c r="A1358" s="3">
        <v>5622</v>
      </c>
      <c r="B1358" s="4">
        <v>1</v>
      </c>
    </row>
    <row r="1359" s="1" customFormat="1" ht="22.5" customHeight="1" spans="1:2">
      <c r="A1359" s="3">
        <v>5670</v>
      </c>
      <c r="B1359" s="4">
        <v>1</v>
      </c>
    </row>
    <row r="1360" s="1" customFormat="1" ht="22.5" customHeight="1" spans="1:2">
      <c r="A1360" s="3">
        <v>5693</v>
      </c>
      <c r="B1360" s="4">
        <v>1</v>
      </c>
    </row>
    <row r="1361" s="1" customFormat="1" ht="22.5" customHeight="1" spans="1:2">
      <c r="A1361" s="3">
        <v>5769</v>
      </c>
      <c r="B1361" s="4">
        <v>1</v>
      </c>
    </row>
    <row r="1362" s="1" customFormat="1" ht="22.5" customHeight="1" spans="1:2">
      <c r="A1362" s="3">
        <v>5812</v>
      </c>
      <c r="B1362" s="4">
        <v>1</v>
      </c>
    </row>
    <row r="1363" s="1" customFormat="1" ht="22.5" customHeight="1" spans="1:2">
      <c r="A1363" s="3">
        <v>5957</v>
      </c>
      <c r="B1363" s="4">
        <v>1</v>
      </c>
    </row>
    <row r="1364" s="1" customFormat="1" ht="22.5" customHeight="1" spans="1:2">
      <c r="A1364" s="3">
        <v>6108</v>
      </c>
      <c r="B1364" s="4">
        <v>1</v>
      </c>
    </row>
    <row r="1365" s="1" customFormat="1" ht="22.5" customHeight="1" spans="1:2">
      <c r="A1365" s="3">
        <v>6181</v>
      </c>
      <c r="B1365" s="4">
        <v>1</v>
      </c>
    </row>
    <row r="1366" s="1" customFormat="1" ht="22.5" customHeight="1" spans="1:2">
      <c r="A1366" s="3">
        <v>6384</v>
      </c>
      <c r="B1366" s="4">
        <v>1</v>
      </c>
    </row>
    <row r="1367" s="1" customFormat="1" ht="22.5" customHeight="1" spans="1:2">
      <c r="A1367" s="3">
        <v>6402</v>
      </c>
      <c r="B1367" s="4">
        <v>1</v>
      </c>
    </row>
    <row r="1368" s="1" customFormat="1" ht="22.5" customHeight="1" spans="1:2">
      <c r="A1368" s="3">
        <v>6408</v>
      </c>
      <c r="B1368" s="4">
        <v>1</v>
      </c>
    </row>
    <row r="1369" s="1" customFormat="1" ht="22.5" customHeight="1" spans="1:2">
      <c r="A1369" s="3">
        <v>6430</v>
      </c>
      <c r="B1369" s="4">
        <v>1</v>
      </c>
    </row>
    <row r="1370" s="1" customFormat="1" ht="22.5" customHeight="1" spans="1:2">
      <c r="A1370" s="3">
        <v>7232</v>
      </c>
      <c r="B1370" s="4">
        <v>1</v>
      </c>
    </row>
    <row r="1371" s="1" customFormat="1" ht="22.5" customHeight="1" spans="1:2">
      <c r="A1371" s="3">
        <v>7419</v>
      </c>
      <c r="B1371" s="4">
        <v>1</v>
      </c>
    </row>
    <row r="1372" s="1" customFormat="1" ht="22.5" customHeight="1" spans="1:2">
      <c r="A1372" s="3">
        <v>8371</v>
      </c>
      <c r="B1372" s="4">
        <v>1</v>
      </c>
    </row>
    <row r="1373" s="1" customFormat="1" ht="22.5" customHeight="1" spans="1:2">
      <c r="A1373" s="3">
        <v>8373</v>
      </c>
      <c r="B1373" s="4">
        <v>1</v>
      </c>
    </row>
    <row r="1374" s="1" customFormat="1" ht="22.5" customHeight="1" spans="1:2">
      <c r="A1374" s="3">
        <v>8470</v>
      </c>
      <c r="B1374" s="4">
        <v>1</v>
      </c>
    </row>
    <row r="1375" s="1" customFormat="1" ht="22.5" customHeight="1" spans="1:2">
      <c r="A1375" s="3">
        <v>8715</v>
      </c>
      <c r="B1375" s="4">
        <v>1</v>
      </c>
    </row>
    <row r="1376" s="1" customFormat="1" ht="22.5" customHeight="1" spans="1:2">
      <c r="A1376" s="3">
        <v>8717</v>
      </c>
      <c r="B1376" s="4">
        <v>1</v>
      </c>
    </row>
    <row r="1377" s="1" customFormat="1" ht="22.5" customHeight="1" spans="1:2">
      <c r="A1377" s="3">
        <v>9033</v>
      </c>
      <c r="B1377" s="4">
        <v>1</v>
      </c>
    </row>
    <row r="1378" s="1" customFormat="1" ht="22.5" customHeight="1" spans="1:2">
      <c r="A1378" s="3">
        <v>9912</v>
      </c>
      <c r="B1378" s="4">
        <v>1</v>
      </c>
    </row>
    <row r="1379" s="1" customFormat="1" ht="22.5" customHeight="1" spans="1:2">
      <c r="A1379" s="3">
        <v>10327</v>
      </c>
      <c r="B1379" s="4">
        <v>1</v>
      </c>
    </row>
    <row r="1380" s="1" customFormat="1" ht="22.5" customHeight="1" spans="1:2">
      <c r="A1380" s="3">
        <v>11695</v>
      </c>
      <c r="B1380" s="4">
        <v>1</v>
      </c>
    </row>
    <row r="1381" s="1" customFormat="1" ht="22.5" customHeight="1" spans="1:2">
      <c r="A1381" s="3">
        <v>14229</v>
      </c>
      <c r="B1381" s="4">
        <v>1</v>
      </c>
    </row>
    <row r="1382" s="1" customFormat="1" ht="22.5" customHeight="1" spans="1:2">
      <c r="A1382" s="3">
        <v>14448</v>
      </c>
      <c r="B1382" s="4">
        <v>1</v>
      </c>
    </row>
    <row r="1383" s="1" customFormat="1" ht="22.5" customHeight="1" spans="1:2">
      <c r="A1383" s="3">
        <v>14837</v>
      </c>
      <c r="B1383" s="4">
        <v>1</v>
      </c>
    </row>
    <row r="1384" s="1" customFormat="1" ht="22.5" customHeight="1" spans="1:2">
      <c r="A1384" s="3">
        <v>15024</v>
      </c>
      <c r="B1384" s="4">
        <v>1</v>
      </c>
    </row>
    <row r="1385" s="1" customFormat="1" ht="22.5" customHeight="1" spans="1:2">
      <c r="A1385" s="3">
        <v>15298</v>
      </c>
      <c r="B1385" s="4">
        <v>1</v>
      </c>
    </row>
    <row r="1386" s="1" customFormat="1" ht="22.5" customHeight="1" spans="1:2">
      <c r="A1386" s="3">
        <v>16220</v>
      </c>
      <c r="B1386" s="4">
        <v>1</v>
      </c>
    </row>
    <row r="1387" s="1" customFormat="1" ht="22.5" customHeight="1" spans="1:2">
      <c r="A1387" s="3">
        <v>16826</v>
      </c>
      <c r="B1387" s="4">
        <v>1</v>
      </c>
    </row>
    <row r="1388" s="1" customFormat="1" ht="22.5" customHeight="1" spans="1:2">
      <c r="A1388" s="3">
        <v>25470</v>
      </c>
      <c r="B1388" s="4">
        <v>1</v>
      </c>
    </row>
    <row r="1389" s="1" customFormat="1" ht="22.5" customHeight="1" spans="1:2">
      <c r="A1389" s="3">
        <v>27380</v>
      </c>
      <c r="B1389" s="4">
        <v>1</v>
      </c>
    </row>
    <row r="1390" s="1" customFormat="1" ht="22.5" customHeight="1" spans="1:2">
      <c r="A1390" s="3">
        <v>27851</v>
      </c>
      <c r="B1390" s="4">
        <v>1</v>
      </c>
    </row>
    <row r="1391" s="1" customFormat="1" ht="22.5" customHeight="1" spans="1:2">
      <c r="A1391" s="3">
        <v>28743</v>
      </c>
      <c r="B1391" s="4">
        <v>1</v>
      </c>
    </row>
    <row r="1392" s="1" customFormat="1" ht="22.5" customHeight="1" spans="1:2">
      <c r="A1392" s="3">
        <v>29261</v>
      </c>
      <c r="B1392" s="4">
        <v>1</v>
      </c>
    </row>
    <row r="1393" s="1" customFormat="1" ht="22.5" customHeight="1" spans="1:2">
      <c r="A1393" s="3">
        <v>40815</v>
      </c>
      <c r="B1393" s="4">
        <v>1</v>
      </c>
    </row>
    <row r="1394" s="1" customFormat="1" ht="22.5" customHeight="1" spans="1:2">
      <c r="A1394" s="3">
        <v>45085</v>
      </c>
      <c r="B1394" s="4">
        <v>1</v>
      </c>
    </row>
    <row r="1395" s="1" customFormat="1" ht="22.5" customHeight="1" spans="1:2">
      <c r="A1395" s="3">
        <v>45291</v>
      </c>
      <c r="B1395" s="4">
        <v>1</v>
      </c>
    </row>
    <row r="1396" s="1" customFormat="1" ht="22.5" customHeight="1" spans="1:2">
      <c r="A1396" s="3">
        <v>47369</v>
      </c>
      <c r="B1396" s="4">
        <v>1</v>
      </c>
    </row>
    <row r="1397" s="1" customFormat="1" ht="22.5" customHeight="1" spans="1:2">
      <c r="A1397" s="3">
        <v>55517</v>
      </c>
      <c r="B1397" s="4">
        <v>1</v>
      </c>
    </row>
    <row r="1398" s="1" customFormat="1" ht="22.5" customHeight="1" spans="1:2">
      <c r="A1398" s="3">
        <v>56899</v>
      </c>
      <c r="B1398" s="4">
        <v>1</v>
      </c>
    </row>
    <row r="1399" s="1" customFormat="1" ht="22.5" customHeight="1" spans="1:2">
      <c r="A1399" s="3">
        <v>64335</v>
      </c>
      <c r="B1399" s="4">
        <v>1</v>
      </c>
    </row>
    <row r="1400" s="1" customFormat="1" ht="22.5" customHeight="1" spans="1:2">
      <c r="A1400" s="3">
        <v>78221</v>
      </c>
      <c r="B1400" s="4">
        <v>1</v>
      </c>
    </row>
    <row r="1401" s="1" customFormat="1" ht="22.5" customHeight="1" spans="1:2">
      <c r="A1401" s="3">
        <v>82008</v>
      </c>
      <c r="B1401" s="4">
        <v>1</v>
      </c>
    </row>
    <row r="1402" s="1" customFormat="1" ht="22.5" customHeight="1" spans="1:2">
      <c r="A1402" s="3">
        <v>87145</v>
      </c>
      <c r="B1402" s="4">
        <v>1</v>
      </c>
    </row>
    <row r="1403" s="1" customFormat="1" ht="22.5" customHeight="1" spans="1:2">
      <c r="A1403" s="3">
        <v>108916</v>
      </c>
      <c r="B1403" s="4">
        <v>1</v>
      </c>
    </row>
    <row r="1404" s="1" customFormat="1" ht="22.5" customHeight="1" spans="1:2">
      <c r="A1404" s="3" t="s">
        <v>3</v>
      </c>
      <c r="B1404" s="4">
        <v>516712</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Sheet1</vt:lpstr>
      <vt:lpstr>Sheet2</vt:lpstr>
      <vt:lpstr>Sheet3</vt:lpstr>
      <vt:lpstr>Sheet4</vt:lpstr>
      <vt:lpstr>Sheet5</vt:lpstr>
      <vt:lpstr>Sheet6</vt:lpstr>
      <vt:lpstr>Sheet7</vt:lpstr>
      <vt:lpstr>Sheet7.2</vt:lpstr>
      <vt:lpstr>Sheet8</vt:lpstr>
      <vt:lpstr>Sheet9</vt:lpstr>
      <vt:lpstr>Sheet10</vt:lpstr>
      <vt:lpstr>Sheet11</vt:lpstr>
      <vt:lpstr>Sheet12</vt:lpstr>
      <vt:lpstr>Sheet13</vt:lpstr>
      <vt:lpstr>Sheet14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拿 破伦</dc:creator>
  <cp:lastModifiedBy>守</cp:lastModifiedBy>
  <dcterms:created xsi:type="dcterms:W3CDTF">2024-02-03T02:16:00Z</dcterms:created>
  <dcterms:modified xsi:type="dcterms:W3CDTF">2024-02-29T14:58:37Z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1364D05C15D0402996EED968563AF8CB_13</vt:lpwstr>
  </property>
  <property fmtid="{D5CDD505-2E9C-101B-9397-08002B2CF9AE}" pid="3" name="KSOProductBuildVer">
    <vt:lpwstr>2052-12.1.0.16388</vt:lpwstr>
  </property>
</Properties>
</file>